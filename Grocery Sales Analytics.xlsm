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drawings/drawing2.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mc:AlternateContent xmlns:mc="http://schemas.openxmlformats.org/markup-compatibility/2006">
    <mc:Choice Requires="x15">
      <x15ac:absPath xmlns:x15ac="http://schemas.microsoft.com/office/spreadsheetml/2010/11/ac" url="D:\01. Kursus + Porto + work\Project\Grocery Sales\"/>
    </mc:Choice>
  </mc:AlternateContent>
  <xr:revisionPtr revIDLastSave="0" documentId="13_ncr:1_{B067C169-E23A-4A8C-B8FA-987D22600483}" xr6:coauthVersionLast="47" xr6:coauthVersionMax="47" xr10:uidLastSave="{00000000-0000-0000-0000-000000000000}"/>
  <bookViews>
    <workbookView xWindow="-120" yWindow="-120" windowWidth="20730" windowHeight="11760" xr2:uid="{00000000-000D-0000-FFFF-FFFF00000000}"/>
  </bookViews>
  <sheets>
    <sheet name="Dashboard" sheetId="4" r:id="rId1"/>
    <sheet name="Detail" sheetId="5" r:id="rId2"/>
    <sheet name="Data" sheetId="1" r:id="rId3"/>
    <sheet name="Pivot" sheetId="6" r:id="rId4"/>
    <sheet name="Status" sheetId="2" r:id="rId5"/>
  </sheets>
  <externalReferences>
    <externalReference r:id="rId6"/>
  </externalReferences>
  <definedNames>
    <definedName name="Slicer_Platform">#N/A</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5" i="6" l="1" a="1"/>
  <c r="U5" i="6"/>
  <c r="T5" i="6" a="1"/>
  <c r="T5" i="6"/>
  <c r="D6" i="1" l="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4" i="1"/>
  <c r="D5" i="1"/>
  <c r="D3" i="1"/>
  <c r="D7" i="6"/>
  <c r="D8" i="6" l="1"/>
  <c r="A9" i="6" s="1"/>
  <c r="C5" i="6"/>
  <c r="Y3" i="1" l="1"/>
  <c r="Y4" i="1"/>
  <c r="Y5" i="1"/>
  <c r="Y6" i="1"/>
  <c r="Y7" i="1"/>
  <c r="K3" i="1" l="1"/>
  <c r="L3" i="1"/>
  <c r="U3" i="1" s="1" a="1"/>
  <c r="U3" i="1" s="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M3" i="1" l="1"/>
  <c r="L2002" i="1"/>
  <c r="U2002" i="1" s="1" a="1"/>
  <c r="U2002" i="1" s="1"/>
  <c r="L2001" i="1"/>
  <c r="U2001" i="1" s="1" a="1"/>
  <c r="U2001" i="1" s="1"/>
  <c r="L2000" i="1"/>
  <c r="U2000" i="1" s="1" a="1"/>
  <c r="U2000" i="1" s="1"/>
  <c r="L1999" i="1"/>
  <c r="U1999" i="1" s="1" a="1"/>
  <c r="U1999" i="1" s="1"/>
  <c r="L1998" i="1"/>
  <c r="U1998" i="1" s="1" a="1"/>
  <c r="U1998" i="1" s="1"/>
  <c r="L1997" i="1"/>
  <c r="U1997" i="1" s="1" a="1"/>
  <c r="U1997" i="1" s="1"/>
  <c r="L1996" i="1"/>
  <c r="U1996" i="1" s="1" a="1"/>
  <c r="U1996" i="1" s="1"/>
  <c r="L1995" i="1"/>
  <c r="U1995" i="1" s="1" a="1"/>
  <c r="U1995" i="1" s="1"/>
  <c r="L1994" i="1"/>
  <c r="U1994" i="1" s="1" a="1"/>
  <c r="U1994" i="1" s="1"/>
  <c r="L1993" i="1"/>
  <c r="U1993" i="1" s="1" a="1"/>
  <c r="U1993" i="1" s="1"/>
  <c r="L1992" i="1"/>
  <c r="U1992" i="1" s="1" a="1"/>
  <c r="U1992" i="1" s="1"/>
  <c r="L1991" i="1"/>
  <c r="U1991" i="1" s="1" a="1"/>
  <c r="U1991" i="1" s="1"/>
  <c r="L1990" i="1"/>
  <c r="U1990" i="1" s="1" a="1"/>
  <c r="U1990" i="1" s="1"/>
  <c r="L1989" i="1"/>
  <c r="U1989" i="1" s="1" a="1"/>
  <c r="U1989" i="1" s="1"/>
  <c r="L1988" i="1"/>
  <c r="U1988" i="1" s="1" a="1"/>
  <c r="U1988" i="1" s="1"/>
  <c r="L1987" i="1"/>
  <c r="U1987" i="1" s="1" a="1"/>
  <c r="U1987" i="1" s="1"/>
  <c r="L1986" i="1"/>
  <c r="U1986" i="1" s="1" a="1"/>
  <c r="U1986" i="1" s="1"/>
  <c r="L1985" i="1"/>
  <c r="U1985" i="1" s="1" a="1"/>
  <c r="U1985" i="1" s="1"/>
  <c r="L1984" i="1"/>
  <c r="U1984" i="1" s="1" a="1"/>
  <c r="U1984" i="1" s="1"/>
  <c r="L1983" i="1"/>
  <c r="U1983" i="1" s="1" a="1"/>
  <c r="U1983" i="1" s="1"/>
  <c r="L1982" i="1"/>
  <c r="U1982" i="1" s="1" a="1"/>
  <c r="U1982" i="1" s="1"/>
  <c r="L1981" i="1"/>
  <c r="U1981" i="1" s="1" a="1"/>
  <c r="U1981" i="1" s="1"/>
  <c r="L1980" i="1"/>
  <c r="U1980" i="1" s="1" a="1"/>
  <c r="U1980" i="1" s="1"/>
  <c r="L1979" i="1"/>
  <c r="U1979" i="1" s="1" a="1"/>
  <c r="U1979" i="1" s="1"/>
  <c r="L1978" i="1"/>
  <c r="U1978" i="1" s="1" a="1"/>
  <c r="U1978" i="1" s="1"/>
  <c r="L1977" i="1"/>
  <c r="U1977" i="1" s="1" a="1"/>
  <c r="U1977" i="1" s="1"/>
  <c r="L1976" i="1"/>
  <c r="U1976" i="1" s="1" a="1"/>
  <c r="U1976" i="1" s="1"/>
  <c r="L1975" i="1"/>
  <c r="U1975" i="1" s="1" a="1"/>
  <c r="U1975" i="1" s="1"/>
  <c r="L1974" i="1"/>
  <c r="U1974" i="1" s="1" a="1"/>
  <c r="U1974" i="1" s="1"/>
  <c r="L1973" i="1"/>
  <c r="U1973" i="1" s="1" a="1"/>
  <c r="U1973" i="1" s="1"/>
  <c r="L1972" i="1"/>
  <c r="U1972" i="1" s="1" a="1"/>
  <c r="U1972" i="1" s="1"/>
  <c r="L1971" i="1"/>
  <c r="U1971" i="1" s="1" a="1"/>
  <c r="U1971" i="1" s="1"/>
  <c r="L1970" i="1"/>
  <c r="U1970" i="1" s="1" a="1"/>
  <c r="U1970" i="1" s="1"/>
  <c r="L1969" i="1"/>
  <c r="U1969" i="1" s="1" a="1"/>
  <c r="U1969" i="1" s="1"/>
  <c r="L1968" i="1"/>
  <c r="U1968" i="1" s="1" a="1"/>
  <c r="U1968" i="1" s="1"/>
  <c r="L1967" i="1"/>
  <c r="U1967" i="1" s="1" a="1"/>
  <c r="U1967" i="1" s="1"/>
  <c r="L1966" i="1"/>
  <c r="U1966" i="1" s="1" a="1"/>
  <c r="U1966" i="1" s="1"/>
  <c r="L1965" i="1"/>
  <c r="U1965" i="1" s="1" a="1"/>
  <c r="U1965" i="1" s="1"/>
  <c r="L1964" i="1"/>
  <c r="U1964" i="1" s="1" a="1"/>
  <c r="U1964" i="1" s="1"/>
  <c r="L1963" i="1"/>
  <c r="U1963" i="1" s="1" a="1"/>
  <c r="U1963" i="1" s="1"/>
  <c r="L1962" i="1"/>
  <c r="U1962" i="1" s="1" a="1"/>
  <c r="U1962" i="1" s="1"/>
  <c r="L1961" i="1"/>
  <c r="U1961" i="1" s="1" a="1"/>
  <c r="U1961" i="1" s="1"/>
  <c r="L1960" i="1"/>
  <c r="U1960" i="1" s="1" a="1"/>
  <c r="U1960" i="1" s="1"/>
  <c r="L1959" i="1"/>
  <c r="U1959" i="1" s="1" a="1"/>
  <c r="U1959" i="1" s="1"/>
  <c r="L1958" i="1"/>
  <c r="U1958" i="1" s="1" a="1"/>
  <c r="U1958" i="1" s="1"/>
  <c r="L1957" i="1"/>
  <c r="U1957" i="1" s="1" a="1"/>
  <c r="U1957" i="1" s="1"/>
  <c r="L1956" i="1"/>
  <c r="U1956" i="1" s="1" a="1"/>
  <c r="U1956" i="1" s="1"/>
  <c r="L1955" i="1"/>
  <c r="U1955" i="1" s="1" a="1"/>
  <c r="U1955" i="1" s="1"/>
  <c r="L1954" i="1"/>
  <c r="U1954" i="1" s="1" a="1"/>
  <c r="U1954" i="1" s="1"/>
  <c r="L1953" i="1"/>
  <c r="U1953" i="1" s="1" a="1"/>
  <c r="U1953" i="1" s="1"/>
  <c r="L1952" i="1"/>
  <c r="U1952" i="1" s="1" a="1"/>
  <c r="U1952" i="1" s="1"/>
  <c r="L1951" i="1"/>
  <c r="U1951" i="1" s="1" a="1"/>
  <c r="U1951" i="1" s="1"/>
  <c r="L1950" i="1"/>
  <c r="U1950" i="1" s="1" a="1"/>
  <c r="U1950" i="1" s="1"/>
  <c r="L1949" i="1"/>
  <c r="U1949" i="1" s="1" a="1"/>
  <c r="U1949" i="1" s="1"/>
  <c r="L1948" i="1"/>
  <c r="U1948" i="1" s="1" a="1"/>
  <c r="U1948" i="1" s="1"/>
  <c r="L1947" i="1"/>
  <c r="U1947" i="1" s="1" a="1"/>
  <c r="U1947" i="1" s="1"/>
  <c r="L1946" i="1"/>
  <c r="U1946" i="1" s="1" a="1"/>
  <c r="U1946" i="1" s="1"/>
  <c r="L1945" i="1"/>
  <c r="U1945" i="1" s="1" a="1"/>
  <c r="U1945" i="1" s="1"/>
  <c r="L1944" i="1"/>
  <c r="U1944" i="1" s="1" a="1"/>
  <c r="U1944" i="1" s="1"/>
  <c r="L1943" i="1"/>
  <c r="U1943" i="1" s="1" a="1"/>
  <c r="U1943" i="1" s="1"/>
  <c r="L1942" i="1"/>
  <c r="U1942" i="1" s="1" a="1"/>
  <c r="U1942" i="1" s="1"/>
  <c r="L1941" i="1"/>
  <c r="U1941" i="1" s="1" a="1"/>
  <c r="U1941" i="1" s="1"/>
  <c r="L1940" i="1"/>
  <c r="U1940" i="1" s="1" a="1"/>
  <c r="U1940" i="1" s="1"/>
  <c r="L1939" i="1"/>
  <c r="U1939" i="1" s="1" a="1"/>
  <c r="U1939" i="1" s="1"/>
  <c r="L1938" i="1"/>
  <c r="U1938" i="1" s="1" a="1"/>
  <c r="U1938" i="1" s="1"/>
  <c r="L1937" i="1"/>
  <c r="U1937" i="1" s="1" a="1"/>
  <c r="U1937" i="1" s="1"/>
  <c r="L1936" i="1"/>
  <c r="U1936" i="1" s="1" a="1"/>
  <c r="U1936" i="1" s="1"/>
  <c r="L1935" i="1"/>
  <c r="U1935" i="1" s="1" a="1"/>
  <c r="U1935" i="1" s="1"/>
  <c r="L1934" i="1"/>
  <c r="U1934" i="1" s="1" a="1"/>
  <c r="U1934" i="1" s="1"/>
  <c r="L1933" i="1"/>
  <c r="U1933" i="1" s="1" a="1"/>
  <c r="U1933" i="1" s="1"/>
  <c r="L1932" i="1"/>
  <c r="U1932" i="1" s="1" a="1"/>
  <c r="U1932" i="1" s="1"/>
  <c r="L1931" i="1"/>
  <c r="U1931" i="1" s="1" a="1"/>
  <c r="U1931" i="1" s="1"/>
  <c r="L1930" i="1"/>
  <c r="U1930" i="1" s="1" a="1"/>
  <c r="U1930" i="1" s="1"/>
  <c r="L1929" i="1"/>
  <c r="U1929" i="1" s="1" a="1"/>
  <c r="U1929" i="1" s="1"/>
  <c r="L1928" i="1"/>
  <c r="U1928" i="1" s="1" a="1"/>
  <c r="U1928" i="1" s="1"/>
  <c r="L1927" i="1"/>
  <c r="U1927" i="1" s="1" a="1"/>
  <c r="U1927" i="1" s="1"/>
  <c r="L1926" i="1"/>
  <c r="U1926" i="1" s="1" a="1"/>
  <c r="U1926" i="1" s="1"/>
  <c r="L1925" i="1"/>
  <c r="U1925" i="1" s="1" a="1"/>
  <c r="U1925" i="1" s="1"/>
  <c r="L1924" i="1"/>
  <c r="U1924" i="1" s="1" a="1"/>
  <c r="U1924" i="1" s="1"/>
  <c r="L1923" i="1"/>
  <c r="U1923" i="1" s="1" a="1"/>
  <c r="U1923" i="1" s="1"/>
  <c r="L1922" i="1"/>
  <c r="U1922" i="1" s="1" a="1"/>
  <c r="U1922" i="1" s="1"/>
  <c r="L1921" i="1"/>
  <c r="U1921" i="1" s="1" a="1"/>
  <c r="U1921" i="1" s="1"/>
  <c r="L1920" i="1"/>
  <c r="U1920" i="1" s="1" a="1"/>
  <c r="U1920" i="1" s="1"/>
  <c r="L1919" i="1"/>
  <c r="U1919" i="1" s="1" a="1"/>
  <c r="U1919" i="1" s="1"/>
  <c r="L1918" i="1"/>
  <c r="U1918" i="1" s="1" a="1"/>
  <c r="U1918" i="1" s="1"/>
  <c r="L1917" i="1"/>
  <c r="U1917" i="1" s="1" a="1"/>
  <c r="U1917" i="1" s="1"/>
  <c r="L1916" i="1"/>
  <c r="U1916" i="1" s="1" a="1"/>
  <c r="U1916" i="1" s="1"/>
  <c r="L1915" i="1"/>
  <c r="U1915" i="1" s="1" a="1"/>
  <c r="U1915" i="1" s="1"/>
  <c r="L1914" i="1"/>
  <c r="U1914" i="1" s="1" a="1"/>
  <c r="U1914" i="1" s="1"/>
  <c r="L1913" i="1"/>
  <c r="U1913" i="1" s="1" a="1"/>
  <c r="U1913" i="1" s="1"/>
  <c r="L1912" i="1"/>
  <c r="U1912" i="1" s="1" a="1"/>
  <c r="U1912" i="1" s="1"/>
  <c r="L1911" i="1"/>
  <c r="U1911" i="1" s="1" a="1"/>
  <c r="U1911" i="1" s="1"/>
  <c r="L1910" i="1"/>
  <c r="U1910" i="1" s="1" a="1"/>
  <c r="U1910" i="1" s="1"/>
  <c r="L1909" i="1"/>
  <c r="U1909" i="1" s="1" a="1"/>
  <c r="U1909" i="1" s="1"/>
  <c r="L1908" i="1"/>
  <c r="U1908" i="1" s="1" a="1"/>
  <c r="U1908" i="1" s="1"/>
  <c r="L1907" i="1"/>
  <c r="U1907" i="1" s="1" a="1"/>
  <c r="U1907" i="1" s="1"/>
  <c r="L1906" i="1"/>
  <c r="U1906" i="1" s="1" a="1"/>
  <c r="U1906" i="1" s="1"/>
  <c r="L1905" i="1"/>
  <c r="U1905" i="1" s="1" a="1"/>
  <c r="U1905" i="1" s="1"/>
  <c r="L1904" i="1"/>
  <c r="U1904" i="1" s="1" a="1"/>
  <c r="U1904" i="1" s="1"/>
  <c r="L1903" i="1"/>
  <c r="U1903" i="1" s="1" a="1"/>
  <c r="U1903" i="1" s="1"/>
  <c r="L1902" i="1"/>
  <c r="U1902" i="1" s="1" a="1"/>
  <c r="U1902" i="1" s="1"/>
  <c r="L1901" i="1"/>
  <c r="U1901" i="1" s="1" a="1"/>
  <c r="U1901" i="1" s="1"/>
  <c r="L1900" i="1"/>
  <c r="U1900" i="1" s="1" a="1"/>
  <c r="U1900" i="1" s="1"/>
  <c r="L1899" i="1"/>
  <c r="U1899" i="1" s="1" a="1"/>
  <c r="U1899" i="1" s="1"/>
  <c r="L1898" i="1"/>
  <c r="U1898" i="1" s="1" a="1"/>
  <c r="U1898" i="1" s="1"/>
  <c r="L1897" i="1"/>
  <c r="U1897" i="1" s="1" a="1"/>
  <c r="U1897" i="1" s="1"/>
  <c r="L1896" i="1"/>
  <c r="U1896" i="1" s="1" a="1"/>
  <c r="U1896" i="1" s="1"/>
  <c r="L1895" i="1"/>
  <c r="U1895" i="1" s="1" a="1"/>
  <c r="U1895" i="1" s="1"/>
  <c r="L1894" i="1"/>
  <c r="U1894" i="1" s="1" a="1"/>
  <c r="U1894" i="1" s="1"/>
  <c r="L1893" i="1"/>
  <c r="U1893" i="1" s="1" a="1"/>
  <c r="U1893" i="1" s="1"/>
  <c r="L1892" i="1"/>
  <c r="U1892" i="1" s="1" a="1"/>
  <c r="U1892" i="1" s="1"/>
  <c r="L1891" i="1"/>
  <c r="U1891" i="1" s="1" a="1"/>
  <c r="U1891" i="1" s="1"/>
  <c r="L1890" i="1"/>
  <c r="U1890" i="1" s="1" a="1"/>
  <c r="U1890" i="1" s="1"/>
  <c r="L1889" i="1"/>
  <c r="U1889" i="1" s="1" a="1"/>
  <c r="U1889" i="1" s="1"/>
  <c r="L1888" i="1"/>
  <c r="U1888" i="1" s="1" a="1"/>
  <c r="U1888" i="1" s="1"/>
  <c r="L1887" i="1"/>
  <c r="U1887" i="1" s="1" a="1"/>
  <c r="U1887" i="1" s="1"/>
  <c r="L1886" i="1"/>
  <c r="U1886" i="1" s="1" a="1"/>
  <c r="U1886" i="1" s="1"/>
  <c r="L1885" i="1"/>
  <c r="U1885" i="1" s="1" a="1"/>
  <c r="U1885" i="1" s="1"/>
  <c r="L1884" i="1"/>
  <c r="U1884" i="1" s="1" a="1"/>
  <c r="U1884" i="1" s="1"/>
  <c r="L1883" i="1"/>
  <c r="U1883" i="1" s="1" a="1"/>
  <c r="U1883" i="1" s="1"/>
  <c r="L1882" i="1"/>
  <c r="U1882" i="1" s="1" a="1"/>
  <c r="U1882" i="1" s="1"/>
  <c r="L1881" i="1"/>
  <c r="U1881" i="1" s="1" a="1"/>
  <c r="U1881" i="1" s="1"/>
  <c r="L1880" i="1"/>
  <c r="U1880" i="1" s="1" a="1"/>
  <c r="U1880" i="1" s="1"/>
  <c r="L1879" i="1"/>
  <c r="U1879" i="1" s="1" a="1"/>
  <c r="U1879" i="1" s="1"/>
  <c r="L1878" i="1"/>
  <c r="U1878" i="1" s="1" a="1"/>
  <c r="U1878" i="1" s="1"/>
  <c r="L1877" i="1"/>
  <c r="U1877" i="1" s="1" a="1"/>
  <c r="U1877" i="1" s="1"/>
  <c r="L1876" i="1"/>
  <c r="U1876" i="1" s="1" a="1"/>
  <c r="U1876" i="1" s="1"/>
  <c r="L1875" i="1"/>
  <c r="U1875" i="1" s="1" a="1"/>
  <c r="U1875" i="1" s="1"/>
  <c r="L1874" i="1"/>
  <c r="U1874" i="1" s="1" a="1"/>
  <c r="U1874" i="1" s="1"/>
  <c r="L1873" i="1"/>
  <c r="U1873" i="1" s="1" a="1"/>
  <c r="U1873" i="1" s="1"/>
  <c r="L1872" i="1"/>
  <c r="U1872" i="1" s="1" a="1"/>
  <c r="U1872" i="1" s="1"/>
  <c r="L1871" i="1"/>
  <c r="U1871" i="1" s="1" a="1"/>
  <c r="U1871" i="1" s="1"/>
  <c r="L1870" i="1"/>
  <c r="U1870" i="1" s="1" a="1"/>
  <c r="U1870" i="1" s="1"/>
  <c r="L1869" i="1"/>
  <c r="U1869" i="1" s="1" a="1"/>
  <c r="U1869" i="1" s="1"/>
  <c r="L1868" i="1"/>
  <c r="U1868" i="1" s="1" a="1"/>
  <c r="U1868" i="1" s="1"/>
  <c r="L1867" i="1"/>
  <c r="U1867" i="1" s="1" a="1"/>
  <c r="U1867" i="1" s="1"/>
  <c r="L1866" i="1"/>
  <c r="U1866" i="1" s="1" a="1"/>
  <c r="U1866" i="1" s="1"/>
  <c r="L1865" i="1"/>
  <c r="U1865" i="1" s="1" a="1"/>
  <c r="U1865" i="1" s="1"/>
  <c r="L1864" i="1"/>
  <c r="U1864" i="1" s="1" a="1"/>
  <c r="U1864" i="1" s="1"/>
  <c r="L1863" i="1"/>
  <c r="U1863" i="1" s="1" a="1"/>
  <c r="U1863" i="1" s="1"/>
  <c r="L1862" i="1"/>
  <c r="U1862" i="1" s="1" a="1"/>
  <c r="U1862" i="1" s="1"/>
  <c r="L1861" i="1"/>
  <c r="U1861" i="1" s="1" a="1"/>
  <c r="U1861" i="1" s="1"/>
  <c r="L1860" i="1"/>
  <c r="U1860" i="1" s="1" a="1"/>
  <c r="U1860" i="1" s="1"/>
  <c r="L1859" i="1"/>
  <c r="U1859" i="1" s="1" a="1"/>
  <c r="U1859" i="1" s="1"/>
  <c r="L1858" i="1"/>
  <c r="U1858" i="1" s="1" a="1"/>
  <c r="U1858" i="1" s="1"/>
  <c r="L1857" i="1"/>
  <c r="U1857" i="1" s="1" a="1"/>
  <c r="U1857" i="1" s="1"/>
  <c r="L1856" i="1"/>
  <c r="U1856" i="1" s="1" a="1"/>
  <c r="U1856" i="1" s="1"/>
  <c r="L1855" i="1"/>
  <c r="U1855" i="1" s="1" a="1"/>
  <c r="U1855" i="1" s="1"/>
  <c r="L1854" i="1"/>
  <c r="U1854" i="1" s="1" a="1"/>
  <c r="U1854" i="1" s="1"/>
  <c r="L1853" i="1"/>
  <c r="U1853" i="1" s="1" a="1"/>
  <c r="U1853" i="1" s="1"/>
  <c r="L1852" i="1"/>
  <c r="U1852" i="1" s="1" a="1"/>
  <c r="U1852" i="1" s="1"/>
  <c r="L1851" i="1"/>
  <c r="U1851" i="1" s="1" a="1"/>
  <c r="U1851" i="1" s="1"/>
  <c r="L1850" i="1"/>
  <c r="U1850" i="1" s="1" a="1"/>
  <c r="U1850" i="1" s="1"/>
  <c r="L1849" i="1"/>
  <c r="U1849" i="1" s="1" a="1"/>
  <c r="U1849" i="1" s="1"/>
  <c r="L1848" i="1"/>
  <c r="U1848" i="1" s="1" a="1"/>
  <c r="U1848" i="1" s="1"/>
  <c r="L1847" i="1"/>
  <c r="U1847" i="1" s="1" a="1"/>
  <c r="U1847" i="1" s="1"/>
  <c r="L1846" i="1"/>
  <c r="U1846" i="1" s="1" a="1"/>
  <c r="U1846" i="1" s="1"/>
  <c r="L1845" i="1"/>
  <c r="U1845" i="1" s="1" a="1"/>
  <c r="U1845" i="1" s="1"/>
  <c r="L1844" i="1"/>
  <c r="U1844" i="1" s="1" a="1"/>
  <c r="U1844" i="1" s="1"/>
  <c r="L1843" i="1"/>
  <c r="U1843" i="1" s="1" a="1"/>
  <c r="U1843" i="1" s="1"/>
  <c r="L1842" i="1"/>
  <c r="U1842" i="1" s="1" a="1"/>
  <c r="U1842" i="1" s="1"/>
  <c r="L1841" i="1"/>
  <c r="U1841" i="1" s="1" a="1"/>
  <c r="U1841" i="1" s="1"/>
  <c r="L1840" i="1"/>
  <c r="U1840" i="1" s="1" a="1"/>
  <c r="U1840" i="1" s="1"/>
  <c r="L1839" i="1"/>
  <c r="U1839" i="1" s="1" a="1"/>
  <c r="U1839" i="1" s="1"/>
  <c r="L1838" i="1"/>
  <c r="U1838" i="1" s="1" a="1"/>
  <c r="U1838" i="1" s="1"/>
  <c r="L1837" i="1"/>
  <c r="U1837" i="1" s="1" a="1"/>
  <c r="U1837" i="1" s="1"/>
  <c r="L1836" i="1"/>
  <c r="U1836" i="1" s="1" a="1"/>
  <c r="U1836" i="1" s="1"/>
  <c r="L1835" i="1"/>
  <c r="U1835" i="1" s="1" a="1"/>
  <c r="U1835" i="1" s="1"/>
  <c r="L1834" i="1"/>
  <c r="U1834" i="1" s="1" a="1"/>
  <c r="U1834" i="1" s="1"/>
  <c r="L1833" i="1"/>
  <c r="U1833" i="1" s="1" a="1"/>
  <c r="U1833" i="1" s="1"/>
  <c r="L1832" i="1"/>
  <c r="U1832" i="1" s="1" a="1"/>
  <c r="U1832" i="1" s="1"/>
  <c r="L1831" i="1"/>
  <c r="U1831" i="1" s="1" a="1"/>
  <c r="U1831" i="1" s="1"/>
  <c r="L1830" i="1"/>
  <c r="U1830" i="1" s="1" a="1"/>
  <c r="U1830" i="1" s="1"/>
  <c r="L1829" i="1"/>
  <c r="U1829" i="1" s="1" a="1"/>
  <c r="U1829" i="1" s="1"/>
  <c r="L1828" i="1"/>
  <c r="U1828" i="1" s="1" a="1"/>
  <c r="U1828" i="1" s="1"/>
  <c r="L1827" i="1"/>
  <c r="U1827" i="1" s="1" a="1"/>
  <c r="U1827" i="1" s="1"/>
  <c r="L1826" i="1"/>
  <c r="U1826" i="1" s="1" a="1"/>
  <c r="U1826" i="1" s="1"/>
  <c r="L1825" i="1"/>
  <c r="U1825" i="1" s="1" a="1"/>
  <c r="U1825" i="1" s="1"/>
  <c r="L1824" i="1"/>
  <c r="U1824" i="1" s="1" a="1"/>
  <c r="U1824" i="1" s="1"/>
  <c r="L1823" i="1"/>
  <c r="U1823" i="1" s="1" a="1"/>
  <c r="U1823" i="1" s="1"/>
  <c r="L1822" i="1"/>
  <c r="U1822" i="1" s="1" a="1"/>
  <c r="U1822" i="1" s="1"/>
  <c r="L1821" i="1"/>
  <c r="U1821" i="1" s="1" a="1"/>
  <c r="U1821" i="1" s="1"/>
  <c r="L1820" i="1"/>
  <c r="U1820" i="1" s="1" a="1"/>
  <c r="U1820" i="1" s="1"/>
  <c r="L1819" i="1"/>
  <c r="U1819" i="1" s="1" a="1"/>
  <c r="U1819" i="1" s="1"/>
  <c r="L1818" i="1"/>
  <c r="U1818" i="1" s="1" a="1"/>
  <c r="U1818" i="1" s="1"/>
  <c r="L1817" i="1"/>
  <c r="U1817" i="1" s="1" a="1"/>
  <c r="U1817" i="1" s="1"/>
  <c r="L1816" i="1"/>
  <c r="U1816" i="1" s="1" a="1"/>
  <c r="U1816" i="1" s="1"/>
  <c r="L1815" i="1"/>
  <c r="U1815" i="1" s="1" a="1"/>
  <c r="U1815" i="1" s="1"/>
  <c r="L1814" i="1"/>
  <c r="U1814" i="1" s="1" a="1"/>
  <c r="U1814" i="1" s="1"/>
  <c r="L1813" i="1"/>
  <c r="U1813" i="1" s="1" a="1"/>
  <c r="U1813" i="1" s="1"/>
  <c r="L1812" i="1"/>
  <c r="U1812" i="1" s="1" a="1"/>
  <c r="U1812" i="1" s="1"/>
  <c r="L1811" i="1"/>
  <c r="U1811" i="1" s="1" a="1"/>
  <c r="U1811" i="1" s="1"/>
  <c r="L1810" i="1"/>
  <c r="U1810" i="1" s="1" a="1"/>
  <c r="U1810" i="1" s="1"/>
  <c r="L1809" i="1"/>
  <c r="U1809" i="1" s="1" a="1"/>
  <c r="U1809" i="1" s="1"/>
  <c r="L1808" i="1"/>
  <c r="U1808" i="1" s="1" a="1"/>
  <c r="U1808" i="1" s="1"/>
  <c r="L1807" i="1"/>
  <c r="U1807" i="1" s="1" a="1"/>
  <c r="U1807" i="1" s="1"/>
  <c r="L1806" i="1"/>
  <c r="U1806" i="1" s="1" a="1"/>
  <c r="U1806" i="1" s="1"/>
  <c r="L1805" i="1"/>
  <c r="U1805" i="1" s="1" a="1"/>
  <c r="U1805" i="1" s="1"/>
  <c r="L1804" i="1"/>
  <c r="U1804" i="1" s="1" a="1"/>
  <c r="U1804" i="1" s="1"/>
  <c r="L1803" i="1"/>
  <c r="U1803" i="1" s="1" a="1"/>
  <c r="U1803" i="1" s="1"/>
  <c r="L1802" i="1"/>
  <c r="U1802" i="1" s="1" a="1"/>
  <c r="U1802" i="1" s="1"/>
  <c r="L1801" i="1"/>
  <c r="U1801" i="1" s="1" a="1"/>
  <c r="U1801" i="1" s="1"/>
  <c r="L1800" i="1"/>
  <c r="U1800" i="1" s="1" a="1"/>
  <c r="U1800" i="1" s="1"/>
  <c r="L1799" i="1"/>
  <c r="U1799" i="1" s="1" a="1"/>
  <c r="U1799" i="1" s="1"/>
  <c r="L1798" i="1"/>
  <c r="U1798" i="1" s="1" a="1"/>
  <c r="U1798" i="1" s="1"/>
  <c r="L1797" i="1"/>
  <c r="U1797" i="1" s="1" a="1"/>
  <c r="U1797" i="1" s="1"/>
  <c r="L1796" i="1"/>
  <c r="U1796" i="1" s="1" a="1"/>
  <c r="U1796" i="1" s="1"/>
  <c r="L1795" i="1"/>
  <c r="U1795" i="1" s="1" a="1"/>
  <c r="U1795" i="1" s="1"/>
  <c r="L1794" i="1"/>
  <c r="U1794" i="1" s="1" a="1"/>
  <c r="U1794" i="1" s="1"/>
  <c r="L1793" i="1"/>
  <c r="U1793" i="1" s="1" a="1"/>
  <c r="U1793" i="1" s="1"/>
  <c r="L1792" i="1"/>
  <c r="U1792" i="1" s="1" a="1"/>
  <c r="U1792" i="1" s="1"/>
  <c r="L1791" i="1"/>
  <c r="U1791" i="1" s="1" a="1"/>
  <c r="U1791" i="1" s="1"/>
  <c r="L1790" i="1"/>
  <c r="U1790" i="1" s="1" a="1"/>
  <c r="U1790" i="1" s="1"/>
  <c r="L1789" i="1"/>
  <c r="U1789" i="1" s="1" a="1"/>
  <c r="U1789" i="1" s="1"/>
  <c r="L1788" i="1"/>
  <c r="U1788" i="1" s="1" a="1"/>
  <c r="U1788" i="1" s="1"/>
  <c r="L1787" i="1"/>
  <c r="U1787" i="1" s="1" a="1"/>
  <c r="U1787" i="1" s="1"/>
  <c r="L1786" i="1"/>
  <c r="U1786" i="1" s="1" a="1"/>
  <c r="U1786" i="1" s="1"/>
  <c r="L1785" i="1"/>
  <c r="U1785" i="1" s="1" a="1"/>
  <c r="U1785" i="1" s="1"/>
  <c r="L1784" i="1"/>
  <c r="U1784" i="1" s="1" a="1"/>
  <c r="U1784" i="1" s="1"/>
  <c r="L1783" i="1"/>
  <c r="U1783" i="1" s="1" a="1"/>
  <c r="U1783" i="1" s="1"/>
  <c r="L1782" i="1"/>
  <c r="U1782" i="1" s="1" a="1"/>
  <c r="U1782" i="1" s="1"/>
  <c r="L1781" i="1"/>
  <c r="U1781" i="1" s="1" a="1"/>
  <c r="U1781" i="1" s="1"/>
  <c r="L1780" i="1"/>
  <c r="U1780" i="1" s="1" a="1"/>
  <c r="U1780" i="1" s="1"/>
  <c r="L1779" i="1"/>
  <c r="U1779" i="1" s="1" a="1"/>
  <c r="U1779" i="1" s="1"/>
  <c r="L1778" i="1"/>
  <c r="U1778" i="1" s="1" a="1"/>
  <c r="U1778" i="1" s="1"/>
  <c r="L1777" i="1"/>
  <c r="U1777" i="1" s="1" a="1"/>
  <c r="U1777" i="1" s="1"/>
  <c r="L1776" i="1"/>
  <c r="U1776" i="1" s="1" a="1"/>
  <c r="U1776" i="1" s="1"/>
  <c r="L1775" i="1"/>
  <c r="U1775" i="1" s="1" a="1"/>
  <c r="U1775" i="1" s="1"/>
  <c r="L1774" i="1"/>
  <c r="U1774" i="1" s="1" a="1"/>
  <c r="U1774" i="1" s="1"/>
  <c r="L1773" i="1"/>
  <c r="U1773" i="1" s="1" a="1"/>
  <c r="U1773" i="1" s="1"/>
  <c r="L1772" i="1"/>
  <c r="U1772" i="1" s="1" a="1"/>
  <c r="U1772" i="1" s="1"/>
  <c r="L1771" i="1"/>
  <c r="U1771" i="1" s="1" a="1"/>
  <c r="U1771" i="1" s="1"/>
  <c r="L1770" i="1"/>
  <c r="U1770" i="1" s="1" a="1"/>
  <c r="U1770" i="1" s="1"/>
  <c r="L1769" i="1"/>
  <c r="U1769" i="1" s="1" a="1"/>
  <c r="U1769" i="1" s="1"/>
  <c r="L1768" i="1"/>
  <c r="U1768" i="1" s="1" a="1"/>
  <c r="U1768" i="1" s="1"/>
  <c r="L1767" i="1"/>
  <c r="U1767" i="1" s="1" a="1"/>
  <c r="U1767" i="1" s="1"/>
  <c r="L1766" i="1"/>
  <c r="U1766" i="1" s="1" a="1"/>
  <c r="U1766" i="1" s="1"/>
  <c r="L1765" i="1"/>
  <c r="U1765" i="1" s="1" a="1"/>
  <c r="U1765" i="1" s="1"/>
  <c r="L1764" i="1"/>
  <c r="U1764" i="1" s="1" a="1"/>
  <c r="U1764" i="1" s="1"/>
  <c r="L1763" i="1"/>
  <c r="U1763" i="1" s="1" a="1"/>
  <c r="U1763" i="1" s="1"/>
  <c r="L1762" i="1"/>
  <c r="U1762" i="1" s="1" a="1"/>
  <c r="U1762" i="1" s="1"/>
  <c r="L1761" i="1"/>
  <c r="U1761" i="1" s="1" a="1"/>
  <c r="U1761" i="1" s="1"/>
  <c r="L1760" i="1"/>
  <c r="U1760" i="1" s="1" a="1"/>
  <c r="U1760" i="1" s="1"/>
  <c r="L1759" i="1"/>
  <c r="U1759" i="1" s="1" a="1"/>
  <c r="U1759" i="1" s="1"/>
  <c r="L1758" i="1"/>
  <c r="U1758" i="1" s="1" a="1"/>
  <c r="U1758" i="1" s="1"/>
  <c r="L1757" i="1"/>
  <c r="U1757" i="1" s="1" a="1"/>
  <c r="U1757" i="1" s="1"/>
  <c r="L1756" i="1"/>
  <c r="U1756" i="1" s="1" a="1"/>
  <c r="U1756" i="1" s="1"/>
  <c r="L1755" i="1"/>
  <c r="U1755" i="1" s="1" a="1"/>
  <c r="U1755" i="1" s="1"/>
  <c r="L1754" i="1"/>
  <c r="U1754" i="1" s="1" a="1"/>
  <c r="U1754" i="1" s="1"/>
  <c r="L1753" i="1"/>
  <c r="U1753" i="1" s="1" a="1"/>
  <c r="U1753" i="1" s="1"/>
  <c r="L1752" i="1"/>
  <c r="U1752" i="1" s="1" a="1"/>
  <c r="U1752" i="1" s="1"/>
  <c r="L1751" i="1"/>
  <c r="U1751" i="1" s="1" a="1"/>
  <c r="U1751" i="1" s="1"/>
  <c r="L1750" i="1"/>
  <c r="U1750" i="1" s="1" a="1"/>
  <c r="U1750" i="1" s="1"/>
  <c r="L1749" i="1"/>
  <c r="U1749" i="1" s="1" a="1"/>
  <c r="U1749" i="1" s="1"/>
  <c r="L1748" i="1"/>
  <c r="U1748" i="1" s="1" a="1"/>
  <c r="U1748" i="1" s="1"/>
  <c r="L1747" i="1"/>
  <c r="U1747" i="1" s="1" a="1"/>
  <c r="U1747" i="1" s="1"/>
  <c r="L1746" i="1"/>
  <c r="U1746" i="1" s="1" a="1"/>
  <c r="U1746" i="1" s="1"/>
  <c r="L1745" i="1"/>
  <c r="U1745" i="1" s="1" a="1"/>
  <c r="U1745" i="1" s="1"/>
  <c r="L1744" i="1"/>
  <c r="U1744" i="1" s="1" a="1"/>
  <c r="U1744" i="1" s="1"/>
  <c r="L1743" i="1"/>
  <c r="U1743" i="1" s="1" a="1"/>
  <c r="U1743" i="1" s="1"/>
  <c r="L1742" i="1"/>
  <c r="U1742" i="1" s="1" a="1"/>
  <c r="U1742" i="1" s="1"/>
  <c r="L1741" i="1"/>
  <c r="U1741" i="1" s="1" a="1"/>
  <c r="U1741" i="1" s="1"/>
  <c r="L1740" i="1"/>
  <c r="U1740" i="1" s="1" a="1"/>
  <c r="U1740" i="1" s="1"/>
  <c r="L1739" i="1"/>
  <c r="U1739" i="1" s="1" a="1"/>
  <c r="U1739" i="1" s="1"/>
  <c r="L1738" i="1"/>
  <c r="U1738" i="1" s="1" a="1"/>
  <c r="U1738" i="1" s="1"/>
  <c r="L1737" i="1"/>
  <c r="U1737" i="1" s="1" a="1"/>
  <c r="U1737" i="1" s="1"/>
  <c r="L1736" i="1"/>
  <c r="U1736" i="1" s="1" a="1"/>
  <c r="U1736" i="1" s="1"/>
  <c r="L1735" i="1"/>
  <c r="U1735" i="1" s="1" a="1"/>
  <c r="U1735" i="1" s="1"/>
  <c r="L1734" i="1"/>
  <c r="U1734" i="1" s="1" a="1"/>
  <c r="U1734" i="1" s="1"/>
  <c r="L1733" i="1"/>
  <c r="U1733" i="1" s="1" a="1"/>
  <c r="U1733" i="1" s="1"/>
  <c r="L1732" i="1"/>
  <c r="U1732" i="1" s="1" a="1"/>
  <c r="U1732" i="1" s="1"/>
  <c r="L1731" i="1"/>
  <c r="U1731" i="1" s="1" a="1"/>
  <c r="U1731" i="1" s="1"/>
  <c r="L1730" i="1"/>
  <c r="U1730" i="1" s="1" a="1"/>
  <c r="U1730" i="1" s="1"/>
  <c r="L1729" i="1"/>
  <c r="U1729" i="1" s="1" a="1"/>
  <c r="U1729" i="1" s="1"/>
  <c r="L1728" i="1"/>
  <c r="U1728" i="1" s="1" a="1"/>
  <c r="U1728" i="1" s="1"/>
  <c r="L1727" i="1"/>
  <c r="U1727" i="1" s="1" a="1"/>
  <c r="U1727" i="1" s="1"/>
  <c r="L1726" i="1"/>
  <c r="U1726" i="1" s="1" a="1"/>
  <c r="U1726" i="1" s="1"/>
  <c r="L1725" i="1"/>
  <c r="U1725" i="1" s="1" a="1"/>
  <c r="U1725" i="1" s="1"/>
  <c r="L1724" i="1"/>
  <c r="U1724" i="1" s="1" a="1"/>
  <c r="U1724" i="1" s="1"/>
  <c r="L1723" i="1"/>
  <c r="U1723" i="1" s="1" a="1"/>
  <c r="U1723" i="1" s="1"/>
  <c r="L1722" i="1"/>
  <c r="U1722" i="1" s="1" a="1"/>
  <c r="U1722" i="1" s="1"/>
  <c r="L1721" i="1"/>
  <c r="U1721" i="1" s="1" a="1"/>
  <c r="U1721" i="1" s="1"/>
  <c r="L1720" i="1"/>
  <c r="U1720" i="1" s="1" a="1"/>
  <c r="U1720" i="1" s="1"/>
  <c r="L1719" i="1"/>
  <c r="U1719" i="1" s="1" a="1"/>
  <c r="U1719" i="1" s="1"/>
  <c r="L1718" i="1"/>
  <c r="U1718" i="1" s="1" a="1"/>
  <c r="U1718" i="1" s="1"/>
  <c r="L1717" i="1"/>
  <c r="U1717" i="1" s="1" a="1"/>
  <c r="U1717" i="1" s="1"/>
  <c r="L1716" i="1"/>
  <c r="U1716" i="1" s="1" a="1"/>
  <c r="U1716" i="1" s="1"/>
  <c r="L1715" i="1"/>
  <c r="U1715" i="1" s="1" a="1"/>
  <c r="U1715" i="1" s="1"/>
  <c r="L1714" i="1"/>
  <c r="U1714" i="1" s="1" a="1"/>
  <c r="U1714" i="1" s="1"/>
  <c r="L1713" i="1"/>
  <c r="U1713" i="1" s="1" a="1"/>
  <c r="U1713" i="1" s="1"/>
  <c r="L1712" i="1"/>
  <c r="U1712" i="1" s="1" a="1"/>
  <c r="U1712" i="1" s="1"/>
  <c r="L1711" i="1"/>
  <c r="U1711" i="1" s="1" a="1"/>
  <c r="U1711" i="1" s="1"/>
  <c r="L1710" i="1"/>
  <c r="U1710" i="1" s="1" a="1"/>
  <c r="U1710" i="1" s="1"/>
  <c r="L1709" i="1"/>
  <c r="U1709" i="1" s="1" a="1"/>
  <c r="U1709" i="1" s="1"/>
  <c r="L1708" i="1"/>
  <c r="U1708" i="1" s="1" a="1"/>
  <c r="U1708" i="1" s="1"/>
  <c r="L1707" i="1"/>
  <c r="U1707" i="1" s="1" a="1"/>
  <c r="U1707" i="1" s="1"/>
  <c r="L1706" i="1"/>
  <c r="U1706" i="1" s="1" a="1"/>
  <c r="U1706" i="1" s="1"/>
  <c r="L1705" i="1"/>
  <c r="U1705" i="1" s="1" a="1"/>
  <c r="U1705" i="1" s="1"/>
  <c r="L1704" i="1"/>
  <c r="U1704" i="1" s="1" a="1"/>
  <c r="U1704" i="1" s="1"/>
  <c r="L1703" i="1"/>
  <c r="U1703" i="1" s="1" a="1"/>
  <c r="U1703" i="1" s="1"/>
  <c r="L1702" i="1"/>
  <c r="U1702" i="1" s="1" a="1"/>
  <c r="U1702" i="1" s="1"/>
  <c r="L1701" i="1"/>
  <c r="U1701" i="1" s="1" a="1"/>
  <c r="U1701" i="1" s="1"/>
  <c r="L1700" i="1"/>
  <c r="U1700" i="1" s="1" a="1"/>
  <c r="U1700" i="1" s="1"/>
  <c r="L1699" i="1"/>
  <c r="U1699" i="1" s="1" a="1"/>
  <c r="U1699" i="1" s="1"/>
  <c r="L1698" i="1"/>
  <c r="U1698" i="1" s="1" a="1"/>
  <c r="U1698" i="1" s="1"/>
  <c r="L1697" i="1"/>
  <c r="U1697" i="1" s="1" a="1"/>
  <c r="U1697" i="1" s="1"/>
  <c r="L1696" i="1"/>
  <c r="U1696" i="1" s="1" a="1"/>
  <c r="U1696" i="1" s="1"/>
  <c r="L1695" i="1"/>
  <c r="U1695" i="1" s="1" a="1"/>
  <c r="U1695" i="1" s="1"/>
  <c r="L1694" i="1"/>
  <c r="U1694" i="1" s="1" a="1"/>
  <c r="U1694" i="1" s="1"/>
  <c r="L1693" i="1"/>
  <c r="U1693" i="1" s="1" a="1"/>
  <c r="U1693" i="1" s="1"/>
  <c r="L1692" i="1"/>
  <c r="U1692" i="1" s="1" a="1"/>
  <c r="U1692" i="1" s="1"/>
  <c r="L1691" i="1"/>
  <c r="U1691" i="1" s="1" a="1"/>
  <c r="U1691" i="1" s="1"/>
  <c r="L1690" i="1"/>
  <c r="U1690" i="1" s="1" a="1"/>
  <c r="U1690" i="1" s="1"/>
  <c r="L1689" i="1"/>
  <c r="U1689" i="1" s="1" a="1"/>
  <c r="U1689" i="1" s="1"/>
  <c r="L1688" i="1"/>
  <c r="U1688" i="1" s="1" a="1"/>
  <c r="U1688" i="1" s="1"/>
  <c r="L1687" i="1"/>
  <c r="U1687" i="1" s="1" a="1"/>
  <c r="U1687" i="1" s="1"/>
  <c r="L1686" i="1"/>
  <c r="U1686" i="1" s="1" a="1"/>
  <c r="U1686" i="1" s="1"/>
  <c r="L1685" i="1"/>
  <c r="U1685" i="1" s="1" a="1"/>
  <c r="U1685" i="1" s="1"/>
  <c r="L1684" i="1"/>
  <c r="U1684" i="1" s="1" a="1"/>
  <c r="U1684" i="1" s="1"/>
  <c r="L1683" i="1"/>
  <c r="U1683" i="1" s="1" a="1"/>
  <c r="U1683" i="1" s="1"/>
  <c r="L1682" i="1"/>
  <c r="U1682" i="1" s="1" a="1"/>
  <c r="U1682" i="1" s="1"/>
  <c r="L1681" i="1"/>
  <c r="U1681" i="1" s="1" a="1"/>
  <c r="U1681" i="1" s="1"/>
  <c r="L1680" i="1"/>
  <c r="U1680" i="1" s="1" a="1"/>
  <c r="U1680" i="1" s="1"/>
  <c r="L1679" i="1"/>
  <c r="U1679" i="1" s="1" a="1"/>
  <c r="U1679" i="1" s="1"/>
  <c r="L1678" i="1"/>
  <c r="U1678" i="1" s="1" a="1"/>
  <c r="U1678" i="1" s="1"/>
  <c r="L1677" i="1"/>
  <c r="U1677" i="1" s="1" a="1"/>
  <c r="U1677" i="1" s="1"/>
  <c r="L1676" i="1"/>
  <c r="U1676" i="1" s="1" a="1"/>
  <c r="U1676" i="1" s="1"/>
  <c r="L1675" i="1"/>
  <c r="U1675" i="1" s="1" a="1"/>
  <c r="U1675" i="1" s="1"/>
  <c r="L1674" i="1"/>
  <c r="U1674" i="1" s="1" a="1"/>
  <c r="U1674" i="1" s="1"/>
  <c r="L1673" i="1"/>
  <c r="U1673" i="1" s="1" a="1"/>
  <c r="U1673" i="1" s="1"/>
  <c r="L1672" i="1"/>
  <c r="U1672" i="1" s="1" a="1"/>
  <c r="U1672" i="1" s="1"/>
  <c r="L1671" i="1"/>
  <c r="U1671" i="1" s="1" a="1"/>
  <c r="U1671" i="1" s="1"/>
  <c r="L1670" i="1"/>
  <c r="U1670" i="1" s="1" a="1"/>
  <c r="U1670" i="1" s="1"/>
  <c r="L1669" i="1"/>
  <c r="U1669" i="1" s="1" a="1"/>
  <c r="U1669" i="1" s="1"/>
  <c r="L1668" i="1"/>
  <c r="U1668" i="1" s="1" a="1"/>
  <c r="U1668" i="1" s="1"/>
  <c r="L1667" i="1"/>
  <c r="U1667" i="1" s="1" a="1"/>
  <c r="U1667" i="1" s="1"/>
  <c r="L1666" i="1"/>
  <c r="U1666" i="1" s="1" a="1"/>
  <c r="U1666" i="1" s="1"/>
  <c r="L1665" i="1"/>
  <c r="U1665" i="1" s="1" a="1"/>
  <c r="U1665" i="1" s="1"/>
  <c r="L1664" i="1"/>
  <c r="U1664" i="1" s="1" a="1"/>
  <c r="U1664" i="1" s="1"/>
  <c r="L1663" i="1"/>
  <c r="U1663" i="1" s="1" a="1"/>
  <c r="U1663" i="1" s="1"/>
  <c r="L1662" i="1"/>
  <c r="U1662" i="1" s="1" a="1"/>
  <c r="U1662" i="1" s="1"/>
  <c r="L1661" i="1"/>
  <c r="U1661" i="1" s="1" a="1"/>
  <c r="U1661" i="1" s="1"/>
  <c r="L1660" i="1"/>
  <c r="U1660" i="1" s="1" a="1"/>
  <c r="U1660" i="1" s="1"/>
  <c r="L1659" i="1"/>
  <c r="U1659" i="1" s="1" a="1"/>
  <c r="U1659" i="1" s="1"/>
  <c r="L1658" i="1"/>
  <c r="U1658" i="1" s="1" a="1"/>
  <c r="U1658" i="1" s="1"/>
  <c r="L1657" i="1"/>
  <c r="U1657" i="1" s="1" a="1"/>
  <c r="U1657" i="1" s="1"/>
  <c r="L1656" i="1"/>
  <c r="U1656" i="1" s="1" a="1"/>
  <c r="U1656" i="1" s="1"/>
  <c r="L1655" i="1"/>
  <c r="U1655" i="1" s="1" a="1"/>
  <c r="U1655" i="1" s="1"/>
  <c r="L1654" i="1"/>
  <c r="U1654" i="1" s="1" a="1"/>
  <c r="U1654" i="1" s="1"/>
  <c r="L1653" i="1"/>
  <c r="U1653" i="1" s="1" a="1"/>
  <c r="U1653" i="1" s="1"/>
  <c r="L1652" i="1"/>
  <c r="U1652" i="1" s="1" a="1"/>
  <c r="U1652" i="1" s="1"/>
  <c r="L1651" i="1"/>
  <c r="U1651" i="1" s="1" a="1"/>
  <c r="U1651" i="1" s="1"/>
  <c r="L1650" i="1"/>
  <c r="U1650" i="1" s="1" a="1"/>
  <c r="U1650" i="1" s="1"/>
  <c r="L1649" i="1"/>
  <c r="U1649" i="1" s="1" a="1"/>
  <c r="U1649" i="1" s="1"/>
  <c r="L1648" i="1"/>
  <c r="U1648" i="1" s="1" a="1"/>
  <c r="U1648" i="1" s="1"/>
  <c r="L1647" i="1"/>
  <c r="U1647" i="1" s="1" a="1"/>
  <c r="U1647" i="1" s="1"/>
  <c r="L1646" i="1"/>
  <c r="U1646" i="1" s="1" a="1"/>
  <c r="U1646" i="1" s="1"/>
  <c r="L1645" i="1"/>
  <c r="U1645" i="1" s="1" a="1"/>
  <c r="U1645" i="1" s="1"/>
  <c r="L1644" i="1"/>
  <c r="U1644" i="1" s="1" a="1"/>
  <c r="U1644" i="1" s="1"/>
  <c r="L1643" i="1"/>
  <c r="U1643" i="1" s="1" a="1"/>
  <c r="U1643" i="1" s="1"/>
  <c r="L1642" i="1"/>
  <c r="U1642" i="1" s="1" a="1"/>
  <c r="U1642" i="1" s="1"/>
  <c r="L1641" i="1"/>
  <c r="U1641" i="1" s="1" a="1"/>
  <c r="U1641" i="1" s="1"/>
  <c r="L1640" i="1"/>
  <c r="U1640" i="1" s="1" a="1"/>
  <c r="U1640" i="1" s="1"/>
  <c r="L1639" i="1"/>
  <c r="U1639" i="1" s="1" a="1"/>
  <c r="U1639" i="1" s="1"/>
  <c r="L1638" i="1"/>
  <c r="U1638" i="1" s="1" a="1"/>
  <c r="U1638" i="1" s="1"/>
  <c r="L1637" i="1"/>
  <c r="U1637" i="1" s="1" a="1"/>
  <c r="U1637" i="1" s="1"/>
  <c r="L1636" i="1"/>
  <c r="U1636" i="1" s="1" a="1"/>
  <c r="U1636" i="1" s="1"/>
  <c r="L1635" i="1"/>
  <c r="U1635" i="1" s="1" a="1"/>
  <c r="U1635" i="1" s="1"/>
  <c r="L1634" i="1"/>
  <c r="U1634" i="1" s="1" a="1"/>
  <c r="U1634" i="1" s="1"/>
  <c r="L1633" i="1"/>
  <c r="U1633" i="1" s="1" a="1"/>
  <c r="U1633" i="1" s="1"/>
  <c r="L1632" i="1"/>
  <c r="U1632" i="1" s="1" a="1"/>
  <c r="U1632" i="1" s="1"/>
  <c r="L1631" i="1"/>
  <c r="U1631" i="1" s="1" a="1"/>
  <c r="U1631" i="1" s="1"/>
  <c r="L1630" i="1"/>
  <c r="U1630" i="1" s="1" a="1"/>
  <c r="U1630" i="1" s="1"/>
  <c r="L1629" i="1"/>
  <c r="U1629" i="1" s="1" a="1"/>
  <c r="U1629" i="1" s="1"/>
  <c r="L1628" i="1"/>
  <c r="U1628" i="1" s="1" a="1"/>
  <c r="U1628" i="1" s="1"/>
  <c r="L1627" i="1"/>
  <c r="U1627" i="1" s="1" a="1"/>
  <c r="U1627" i="1" s="1"/>
  <c r="L1626" i="1"/>
  <c r="U1626" i="1" s="1" a="1"/>
  <c r="U1626" i="1" s="1"/>
  <c r="L1625" i="1"/>
  <c r="U1625" i="1" s="1" a="1"/>
  <c r="U1625" i="1" s="1"/>
  <c r="L1624" i="1"/>
  <c r="U1624" i="1" s="1" a="1"/>
  <c r="U1624" i="1" s="1"/>
  <c r="L1623" i="1"/>
  <c r="U1623" i="1" s="1" a="1"/>
  <c r="U1623" i="1" s="1"/>
  <c r="L1622" i="1"/>
  <c r="U1622" i="1" s="1" a="1"/>
  <c r="U1622" i="1" s="1"/>
  <c r="L1621" i="1"/>
  <c r="U1621" i="1" s="1" a="1"/>
  <c r="U1621" i="1" s="1"/>
  <c r="L1620" i="1"/>
  <c r="U1620" i="1" s="1" a="1"/>
  <c r="U1620" i="1" s="1"/>
  <c r="L1619" i="1"/>
  <c r="U1619" i="1" s="1" a="1"/>
  <c r="U1619" i="1" s="1"/>
  <c r="L1618" i="1"/>
  <c r="U1618" i="1" s="1" a="1"/>
  <c r="U1618" i="1" s="1"/>
  <c r="L1617" i="1"/>
  <c r="U1617" i="1" s="1" a="1"/>
  <c r="U1617" i="1" s="1"/>
  <c r="L1616" i="1"/>
  <c r="U1616" i="1" s="1" a="1"/>
  <c r="U1616" i="1" s="1"/>
  <c r="L1615" i="1"/>
  <c r="U1615" i="1" s="1" a="1"/>
  <c r="U1615" i="1" s="1"/>
  <c r="L1614" i="1"/>
  <c r="U1614" i="1" s="1" a="1"/>
  <c r="U1614" i="1" s="1"/>
  <c r="L1613" i="1"/>
  <c r="U1613" i="1" s="1" a="1"/>
  <c r="U1613" i="1" s="1"/>
  <c r="L1612" i="1"/>
  <c r="U1612" i="1" s="1" a="1"/>
  <c r="U1612" i="1" s="1"/>
  <c r="L1611" i="1"/>
  <c r="U1611" i="1" s="1" a="1"/>
  <c r="U1611" i="1" s="1"/>
  <c r="L1610" i="1"/>
  <c r="U1610" i="1" s="1" a="1"/>
  <c r="U1610" i="1" s="1"/>
  <c r="L1609" i="1"/>
  <c r="U1609" i="1" s="1" a="1"/>
  <c r="U1609" i="1" s="1"/>
  <c r="L1608" i="1"/>
  <c r="U1608" i="1" s="1" a="1"/>
  <c r="U1608" i="1" s="1"/>
  <c r="L1607" i="1"/>
  <c r="U1607" i="1" s="1" a="1"/>
  <c r="U1607" i="1" s="1"/>
  <c r="L1606" i="1"/>
  <c r="U1606" i="1" s="1" a="1"/>
  <c r="U1606" i="1" s="1"/>
  <c r="L1605" i="1"/>
  <c r="U1605" i="1" s="1" a="1"/>
  <c r="U1605" i="1" s="1"/>
  <c r="L1604" i="1"/>
  <c r="U1604" i="1" s="1" a="1"/>
  <c r="U1604" i="1" s="1"/>
  <c r="L1603" i="1"/>
  <c r="U1603" i="1" s="1" a="1"/>
  <c r="U1603" i="1" s="1"/>
  <c r="L1602" i="1"/>
  <c r="U1602" i="1" s="1" a="1"/>
  <c r="U1602" i="1" s="1"/>
  <c r="L1601" i="1"/>
  <c r="U1601" i="1" s="1" a="1"/>
  <c r="U1601" i="1" s="1"/>
  <c r="L1600" i="1"/>
  <c r="U1600" i="1" s="1" a="1"/>
  <c r="U1600" i="1" s="1"/>
  <c r="L1599" i="1"/>
  <c r="U1599" i="1" s="1" a="1"/>
  <c r="U1599" i="1" s="1"/>
  <c r="L1598" i="1"/>
  <c r="U1598" i="1" s="1" a="1"/>
  <c r="U1598" i="1" s="1"/>
  <c r="L1597" i="1"/>
  <c r="U1597" i="1" s="1" a="1"/>
  <c r="U1597" i="1" s="1"/>
  <c r="L1596" i="1"/>
  <c r="U1596" i="1" s="1" a="1"/>
  <c r="U1596" i="1" s="1"/>
  <c r="L1595" i="1"/>
  <c r="U1595" i="1" s="1" a="1"/>
  <c r="U1595" i="1" s="1"/>
  <c r="L1594" i="1"/>
  <c r="U1594" i="1" s="1" a="1"/>
  <c r="U1594" i="1" s="1"/>
  <c r="L1593" i="1"/>
  <c r="U1593" i="1" s="1" a="1"/>
  <c r="U1593" i="1" s="1"/>
  <c r="L1592" i="1"/>
  <c r="U1592" i="1" s="1" a="1"/>
  <c r="U1592" i="1" s="1"/>
  <c r="L1591" i="1"/>
  <c r="U1591" i="1" s="1" a="1"/>
  <c r="U1591" i="1" s="1"/>
  <c r="L1590" i="1"/>
  <c r="U1590" i="1" s="1" a="1"/>
  <c r="U1590" i="1" s="1"/>
  <c r="L1589" i="1"/>
  <c r="U1589" i="1" s="1" a="1"/>
  <c r="U1589" i="1" s="1"/>
  <c r="L1588" i="1"/>
  <c r="U1588" i="1" s="1" a="1"/>
  <c r="U1588" i="1" s="1"/>
  <c r="L1587" i="1"/>
  <c r="U1587" i="1" s="1" a="1"/>
  <c r="U1587" i="1" s="1"/>
  <c r="L1586" i="1"/>
  <c r="U1586" i="1" s="1" a="1"/>
  <c r="U1586" i="1" s="1"/>
  <c r="L1585" i="1"/>
  <c r="U1585" i="1" s="1" a="1"/>
  <c r="U1585" i="1" s="1"/>
  <c r="L1584" i="1"/>
  <c r="U1584" i="1" s="1" a="1"/>
  <c r="U1584" i="1" s="1"/>
  <c r="L1583" i="1"/>
  <c r="U1583" i="1" s="1" a="1"/>
  <c r="U1583" i="1" s="1"/>
  <c r="L1582" i="1"/>
  <c r="U1582" i="1" s="1" a="1"/>
  <c r="U1582" i="1" s="1"/>
  <c r="L1581" i="1"/>
  <c r="U1581" i="1" s="1" a="1"/>
  <c r="U1581" i="1" s="1"/>
  <c r="L1580" i="1"/>
  <c r="U1580" i="1" s="1" a="1"/>
  <c r="U1580" i="1" s="1"/>
  <c r="L1579" i="1"/>
  <c r="U1579" i="1" s="1" a="1"/>
  <c r="U1579" i="1" s="1"/>
  <c r="L1578" i="1"/>
  <c r="U1578" i="1" s="1" a="1"/>
  <c r="U1578" i="1" s="1"/>
  <c r="L1577" i="1"/>
  <c r="U1577" i="1" s="1" a="1"/>
  <c r="U1577" i="1" s="1"/>
  <c r="L1576" i="1"/>
  <c r="U1576" i="1" s="1" a="1"/>
  <c r="U1576" i="1" s="1"/>
  <c r="L1575" i="1"/>
  <c r="U1575" i="1" s="1" a="1"/>
  <c r="U1575" i="1" s="1"/>
  <c r="L1574" i="1"/>
  <c r="U1574" i="1" s="1" a="1"/>
  <c r="U1574" i="1" s="1"/>
  <c r="L1573" i="1"/>
  <c r="U1573" i="1" s="1" a="1"/>
  <c r="U1573" i="1" s="1"/>
  <c r="L1572" i="1"/>
  <c r="U1572" i="1" s="1" a="1"/>
  <c r="U1572" i="1" s="1"/>
  <c r="L1571" i="1"/>
  <c r="U1571" i="1" s="1" a="1"/>
  <c r="U1571" i="1" s="1"/>
  <c r="L1570" i="1"/>
  <c r="U1570" i="1" s="1" a="1"/>
  <c r="U1570" i="1" s="1"/>
  <c r="L1569" i="1"/>
  <c r="U1569" i="1" s="1" a="1"/>
  <c r="U1569" i="1" s="1"/>
  <c r="L1568" i="1"/>
  <c r="U1568" i="1" s="1" a="1"/>
  <c r="U1568" i="1" s="1"/>
  <c r="L1567" i="1"/>
  <c r="U1567" i="1" s="1" a="1"/>
  <c r="U1567" i="1" s="1"/>
  <c r="L1566" i="1"/>
  <c r="U1566" i="1" s="1" a="1"/>
  <c r="U1566" i="1" s="1"/>
  <c r="L1565" i="1"/>
  <c r="U1565" i="1" s="1" a="1"/>
  <c r="U1565" i="1" s="1"/>
  <c r="L1564" i="1"/>
  <c r="U1564" i="1" s="1" a="1"/>
  <c r="U1564" i="1" s="1"/>
  <c r="L1563" i="1"/>
  <c r="U1563" i="1" s="1" a="1"/>
  <c r="U1563" i="1" s="1"/>
  <c r="L1562" i="1"/>
  <c r="U1562" i="1" s="1" a="1"/>
  <c r="U1562" i="1" s="1"/>
  <c r="L1561" i="1"/>
  <c r="U1561" i="1" s="1" a="1"/>
  <c r="U1561" i="1" s="1"/>
  <c r="L1560" i="1"/>
  <c r="U1560" i="1" s="1" a="1"/>
  <c r="U1560" i="1" s="1"/>
  <c r="L1559" i="1"/>
  <c r="U1559" i="1" s="1" a="1"/>
  <c r="U1559" i="1" s="1"/>
  <c r="L1558" i="1"/>
  <c r="U1558" i="1" s="1" a="1"/>
  <c r="U1558" i="1" s="1"/>
  <c r="L1557" i="1"/>
  <c r="U1557" i="1" s="1" a="1"/>
  <c r="U1557" i="1" s="1"/>
  <c r="L1556" i="1"/>
  <c r="U1556" i="1" s="1" a="1"/>
  <c r="U1556" i="1" s="1"/>
  <c r="L1555" i="1"/>
  <c r="U1555" i="1" s="1" a="1"/>
  <c r="U1555" i="1" s="1"/>
  <c r="L1554" i="1"/>
  <c r="U1554" i="1" s="1" a="1"/>
  <c r="U1554" i="1" s="1"/>
  <c r="L1553" i="1"/>
  <c r="U1553" i="1" s="1" a="1"/>
  <c r="U1553" i="1" s="1"/>
  <c r="L1552" i="1"/>
  <c r="U1552" i="1" s="1" a="1"/>
  <c r="U1552" i="1" s="1"/>
  <c r="L1551" i="1"/>
  <c r="U1551" i="1" s="1" a="1"/>
  <c r="U1551" i="1" s="1"/>
  <c r="L1550" i="1"/>
  <c r="U1550" i="1" s="1" a="1"/>
  <c r="U1550" i="1" s="1"/>
  <c r="L1549" i="1"/>
  <c r="U1549" i="1" s="1" a="1"/>
  <c r="U1549" i="1" s="1"/>
  <c r="L1548" i="1"/>
  <c r="U1548" i="1" s="1" a="1"/>
  <c r="U1548" i="1" s="1"/>
  <c r="L1547" i="1"/>
  <c r="U1547" i="1" s="1" a="1"/>
  <c r="U1547" i="1" s="1"/>
  <c r="L1546" i="1"/>
  <c r="U1546" i="1" s="1" a="1"/>
  <c r="U1546" i="1" s="1"/>
  <c r="L1545" i="1"/>
  <c r="U1545" i="1" s="1" a="1"/>
  <c r="U1545" i="1" s="1"/>
  <c r="L1544" i="1"/>
  <c r="U1544" i="1" s="1" a="1"/>
  <c r="U1544" i="1" s="1"/>
  <c r="L1543" i="1"/>
  <c r="U1543" i="1" s="1" a="1"/>
  <c r="U1543" i="1" s="1"/>
  <c r="L1542" i="1"/>
  <c r="U1542" i="1" s="1" a="1"/>
  <c r="U1542" i="1" s="1"/>
  <c r="L1541" i="1"/>
  <c r="U1541" i="1" s="1" a="1"/>
  <c r="U1541" i="1" s="1"/>
  <c r="L1540" i="1"/>
  <c r="U1540" i="1" s="1" a="1"/>
  <c r="U1540" i="1" s="1"/>
  <c r="L1539" i="1"/>
  <c r="U1539" i="1" s="1" a="1"/>
  <c r="U1539" i="1" s="1"/>
  <c r="L1538" i="1"/>
  <c r="U1538" i="1" s="1" a="1"/>
  <c r="U1538" i="1" s="1"/>
  <c r="L1537" i="1"/>
  <c r="U1537" i="1" s="1" a="1"/>
  <c r="U1537" i="1" s="1"/>
  <c r="L1536" i="1"/>
  <c r="U1536" i="1" s="1" a="1"/>
  <c r="U1536" i="1" s="1"/>
  <c r="L1535" i="1"/>
  <c r="U1535" i="1" s="1" a="1"/>
  <c r="U1535" i="1" s="1"/>
  <c r="L1534" i="1"/>
  <c r="U1534" i="1" s="1" a="1"/>
  <c r="U1534" i="1" s="1"/>
  <c r="L1533" i="1"/>
  <c r="U1533" i="1" s="1" a="1"/>
  <c r="U1533" i="1" s="1"/>
  <c r="L1532" i="1"/>
  <c r="U1532" i="1" s="1" a="1"/>
  <c r="U1532" i="1" s="1"/>
  <c r="L1531" i="1"/>
  <c r="U1531" i="1" s="1" a="1"/>
  <c r="U1531" i="1" s="1"/>
  <c r="L1530" i="1"/>
  <c r="U1530" i="1" s="1" a="1"/>
  <c r="U1530" i="1" s="1"/>
  <c r="L1529" i="1"/>
  <c r="U1529" i="1" s="1" a="1"/>
  <c r="U1529" i="1" s="1"/>
  <c r="L1528" i="1"/>
  <c r="U1528" i="1" s="1" a="1"/>
  <c r="U1528" i="1" s="1"/>
  <c r="L1527" i="1"/>
  <c r="U1527" i="1" s="1" a="1"/>
  <c r="U1527" i="1" s="1"/>
  <c r="L1526" i="1"/>
  <c r="U1526" i="1" s="1" a="1"/>
  <c r="U1526" i="1" s="1"/>
  <c r="L1525" i="1"/>
  <c r="U1525" i="1" s="1" a="1"/>
  <c r="U1525" i="1" s="1"/>
  <c r="L1524" i="1"/>
  <c r="U1524" i="1" s="1" a="1"/>
  <c r="U1524" i="1" s="1"/>
  <c r="L1523" i="1"/>
  <c r="U1523" i="1" s="1" a="1"/>
  <c r="U1523" i="1" s="1"/>
  <c r="L1522" i="1"/>
  <c r="U1522" i="1" s="1" a="1"/>
  <c r="U1522" i="1" s="1"/>
  <c r="L1521" i="1"/>
  <c r="U1521" i="1" s="1" a="1"/>
  <c r="U1521" i="1" s="1"/>
  <c r="L1520" i="1"/>
  <c r="U1520" i="1" s="1" a="1"/>
  <c r="U1520" i="1" s="1"/>
  <c r="L1519" i="1"/>
  <c r="U1519" i="1" s="1" a="1"/>
  <c r="U1519" i="1" s="1"/>
  <c r="L1518" i="1"/>
  <c r="U1518" i="1" s="1" a="1"/>
  <c r="U1518" i="1" s="1"/>
  <c r="L1517" i="1"/>
  <c r="U1517" i="1" s="1" a="1"/>
  <c r="U1517" i="1" s="1"/>
  <c r="L1516" i="1"/>
  <c r="U1516" i="1" s="1" a="1"/>
  <c r="U1516" i="1" s="1"/>
  <c r="L1515" i="1"/>
  <c r="U1515" i="1" s="1" a="1"/>
  <c r="U1515" i="1" s="1"/>
  <c r="L1514" i="1"/>
  <c r="U1514" i="1" s="1" a="1"/>
  <c r="U1514" i="1" s="1"/>
  <c r="L1513" i="1"/>
  <c r="U1513" i="1" s="1" a="1"/>
  <c r="U1513" i="1" s="1"/>
  <c r="L1512" i="1"/>
  <c r="U1512" i="1" s="1" a="1"/>
  <c r="U1512" i="1" s="1"/>
  <c r="L1511" i="1"/>
  <c r="U1511" i="1" s="1" a="1"/>
  <c r="U1511" i="1" s="1"/>
  <c r="L1510" i="1"/>
  <c r="U1510" i="1" s="1" a="1"/>
  <c r="U1510" i="1" s="1"/>
  <c r="L1509" i="1"/>
  <c r="U1509" i="1" s="1" a="1"/>
  <c r="U1509" i="1" s="1"/>
  <c r="L1508" i="1"/>
  <c r="U1508" i="1" s="1" a="1"/>
  <c r="U1508" i="1" s="1"/>
  <c r="L1507" i="1"/>
  <c r="U1507" i="1" s="1" a="1"/>
  <c r="U1507" i="1" s="1"/>
  <c r="L1506" i="1"/>
  <c r="U1506" i="1" s="1" a="1"/>
  <c r="U1506" i="1" s="1"/>
  <c r="L1505" i="1"/>
  <c r="U1505" i="1" s="1" a="1"/>
  <c r="U1505" i="1" s="1"/>
  <c r="L1504" i="1"/>
  <c r="U1504" i="1" s="1" a="1"/>
  <c r="U1504" i="1" s="1"/>
  <c r="L1503" i="1"/>
  <c r="U1503" i="1" s="1" a="1"/>
  <c r="U1503" i="1" s="1"/>
  <c r="L1502" i="1"/>
  <c r="U1502" i="1" s="1" a="1"/>
  <c r="U1502" i="1" s="1"/>
  <c r="L1501" i="1"/>
  <c r="U1501" i="1" s="1" a="1"/>
  <c r="U1501" i="1" s="1"/>
  <c r="L1500" i="1"/>
  <c r="U1500" i="1" s="1" a="1"/>
  <c r="U1500" i="1" s="1"/>
  <c r="L1499" i="1"/>
  <c r="U1499" i="1" s="1" a="1"/>
  <c r="U1499" i="1" s="1"/>
  <c r="L1498" i="1"/>
  <c r="U1498" i="1" s="1" a="1"/>
  <c r="U1498" i="1" s="1"/>
  <c r="L1497" i="1"/>
  <c r="U1497" i="1" s="1" a="1"/>
  <c r="U1497" i="1" s="1"/>
  <c r="L1496" i="1"/>
  <c r="U1496" i="1" s="1" a="1"/>
  <c r="U1496" i="1" s="1"/>
  <c r="L1495" i="1"/>
  <c r="U1495" i="1" s="1" a="1"/>
  <c r="U1495" i="1" s="1"/>
  <c r="L1494" i="1"/>
  <c r="U1494" i="1" s="1" a="1"/>
  <c r="U1494" i="1" s="1"/>
  <c r="L1493" i="1"/>
  <c r="U1493" i="1" s="1" a="1"/>
  <c r="U1493" i="1" s="1"/>
  <c r="L1492" i="1"/>
  <c r="U1492" i="1" s="1" a="1"/>
  <c r="U1492" i="1" s="1"/>
  <c r="L1491" i="1"/>
  <c r="U1491" i="1" s="1" a="1"/>
  <c r="U1491" i="1" s="1"/>
  <c r="L1490" i="1"/>
  <c r="U1490" i="1" s="1" a="1"/>
  <c r="U1490" i="1" s="1"/>
  <c r="L1489" i="1"/>
  <c r="U1489" i="1" s="1" a="1"/>
  <c r="U1489" i="1" s="1"/>
  <c r="L1488" i="1"/>
  <c r="U1488" i="1" s="1" a="1"/>
  <c r="U1488" i="1" s="1"/>
  <c r="L1487" i="1"/>
  <c r="U1487" i="1" s="1" a="1"/>
  <c r="U1487" i="1" s="1"/>
  <c r="L1486" i="1"/>
  <c r="U1486" i="1" s="1" a="1"/>
  <c r="U1486" i="1" s="1"/>
  <c r="L1485" i="1"/>
  <c r="U1485" i="1" s="1" a="1"/>
  <c r="U1485" i="1" s="1"/>
  <c r="L1484" i="1"/>
  <c r="U1484" i="1" s="1" a="1"/>
  <c r="U1484" i="1" s="1"/>
  <c r="L1483" i="1"/>
  <c r="U1483" i="1" s="1" a="1"/>
  <c r="U1483" i="1" s="1"/>
  <c r="L1482" i="1"/>
  <c r="U1482" i="1" s="1" a="1"/>
  <c r="U1482" i="1" s="1"/>
  <c r="L1481" i="1"/>
  <c r="U1481" i="1" s="1" a="1"/>
  <c r="U1481" i="1" s="1"/>
  <c r="L1480" i="1"/>
  <c r="U1480" i="1" s="1" a="1"/>
  <c r="U1480" i="1" s="1"/>
  <c r="L1479" i="1"/>
  <c r="U1479" i="1" s="1" a="1"/>
  <c r="U1479" i="1" s="1"/>
  <c r="L1478" i="1"/>
  <c r="U1478" i="1" s="1" a="1"/>
  <c r="U1478" i="1" s="1"/>
  <c r="L1477" i="1"/>
  <c r="U1477" i="1" s="1" a="1"/>
  <c r="U1477" i="1" s="1"/>
  <c r="L1476" i="1"/>
  <c r="U1476" i="1" s="1" a="1"/>
  <c r="U1476" i="1" s="1"/>
  <c r="L1475" i="1"/>
  <c r="U1475" i="1" s="1" a="1"/>
  <c r="U1475" i="1" s="1"/>
  <c r="L1474" i="1"/>
  <c r="U1474" i="1" s="1" a="1"/>
  <c r="U1474" i="1" s="1"/>
  <c r="L1473" i="1"/>
  <c r="U1473" i="1" s="1" a="1"/>
  <c r="U1473" i="1" s="1"/>
  <c r="L1472" i="1"/>
  <c r="U1472" i="1" s="1" a="1"/>
  <c r="U1472" i="1" s="1"/>
  <c r="L1471" i="1"/>
  <c r="U1471" i="1" s="1" a="1"/>
  <c r="U1471" i="1" s="1"/>
  <c r="L1470" i="1"/>
  <c r="U1470" i="1" s="1" a="1"/>
  <c r="U1470" i="1" s="1"/>
  <c r="L1469" i="1"/>
  <c r="U1469" i="1" s="1" a="1"/>
  <c r="U1469" i="1" s="1"/>
  <c r="L1468" i="1"/>
  <c r="U1468" i="1" s="1" a="1"/>
  <c r="U1468" i="1" s="1"/>
  <c r="L1467" i="1"/>
  <c r="U1467" i="1" s="1" a="1"/>
  <c r="U1467" i="1" s="1"/>
  <c r="L1466" i="1"/>
  <c r="U1466" i="1" s="1" a="1"/>
  <c r="U1466" i="1" s="1"/>
  <c r="L1465" i="1"/>
  <c r="U1465" i="1" s="1" a="1"/>
  <c r="U1465" i="1" s="1"/>
  <c r="L1464" i="1"/>
  <c r="U1464" i="1" s="1" a="1"/>
  <c r="U1464" i="1" s="1"/>
  <c r="L1463" i="1"/>
  <c r="U1463" i="1" s="1" a="1"/>
  <c r="U1463" i="1" s="1"/>
  <c r="L1462" i="1"/>
  <c r="U1462" i="1" s="1" a="1"/>
  <c r="U1462" i="1" s="1"/>
  <c r="L1461" i="1"/>
  <c r="U1461" i="1" s="1" a="1"/>
  <c r="U1461" i="1" s="1"/>
  <c r="L1460" i="1"/>
  <c r="U1460" i="1" s="1" a="1"/>
  <c r="U1460" i="1" s="1"/>
  <c r="L1459" i="1"/>
  <c r="U1459" i="1" s="1" a="1"/>
  <c r="U1459" i="1" s="1"/>
  <c r="L1458" i="1"/>
  <c r="U1458" i="1" s="1" a="1"/>
  <c r="U1458" i="1" s="1"/>
  <c r="L1457" i="1"/>
  <c r="U1457" i="1" s="1" a="1"/>
  <c r="U1457" i="1" s="1"/>
  <c r="L1456" i="1"/>
  <c r="U1456" i="1" s="1" a="1"/>
  <c r="U1456" i="1" s="1"/>
  <c r="L1455" i="1"/>
  <c r="U1455" i="1" s="1" a="1"/>
  <c r="U1455" i="1" s="1"/>
  <c r="L1454" i="1"/>
  <c r="U1454" i="1" s="1" a="1"/>
  <c r="U1454" i="1" s="1"/>
  <c r="L1453" i="1"/>
  <c r="U1453" i="1" s="1" a="1"/>
  <c r="U1453" i="1" s="1"/>
  <c r="L1452" i="1"/>
  <c r="U1452" i="1" s="1" a="1"/>
  <c r="U1452" i="1" s="1"/>
  <c r="L1451" i="1"/>
  <c r="U1451" i="1" s="1" a="1"/>
  <c r="U1451" i="1" s="1"/>
  <c r="L1450" i="1"/>
  <c r="U1450" i="1" s="1" a="1"/>
  <c r="U1450" i="1" s="1"/>
  <c r="L1449" i="1"/>
  <c r="U1449" i="1" s="1" a="1"/>
  <c r="U1449" i="1" s="1"/>
  <c r="L1448" i="1"/>
  <c r="U1448" i="1" s="1" a="1"/>
  <c r="U1448" i="1" s="1"/>
  <c r="L1447" i="1"/>
  <c r="U1447" i="1" s="1" a="1"/>
  <c r="U1447" i="1" s="1"/>
  <c r="L1446" i="1"/>
  <c r="U1446" i="1" s="1" a="1"/>
  <c r="U1446" i="1" s="1"/>
  <c r="L1445" i="1"/>
  <c r="U1445" i="1" s="1" a="1"/>
  <c r="U1445" i="1" s="1"/>
  <c r="L1444" i="1"/>
  <c r="U1444" i="1" s="1" a="1"/>
  <c r="U1444" i="1" s="1"/>
  <c r="L1443" i="1"/>
  <c r="U1443" i="1" s="1" a="1"/>
  <c r="U1443" i="1" s="1"/>
  <c r="L1442" i="1"/>
  <c r="U1442" i="1" s="1" a="1"/>
  <c r="U1442" i="1" s="1"/>
  <c r="L1441" i="1"/>
  <c r="U1441" i="1" s="1" a="1"/>
  <c r="U1441" i="1" s="1"/>
  <c r="L1440" i="1"/>
  <c r="U1440" i="1" s="1" a="1"/>
  <c r="U1440" i="1" s="1"/>
  <c r="L1439" i="1"/>
  <c r="U1439" i="1" s="1" a="1"/>
  <c r="U1439" i="1" s="1"/>
  <c r="L1438" i="1"/>
  <c r="U1438" i="1" s="1" a="1"/>
  <c r="U1438" i="1" s="1"/>
  <c r="L1437" i="1"/>
  <c r="U1437" i="1" s="1" a="1"/>
  <c r="U1437" i="1" s="1"/>
  <c r="L1436" i="1"/>
  <c r="U1436" i="1" s="1" a="1"/>
  <c r="U1436" i="1" s="1"/>
  <c r="L1435" i="1"/>
  <c r="U1435" i="1" s="1" a="1"/>
  <c r="U1435" i="1" s="1"/>
  <c r="L1434" i="1"/>
  <c r="U1434" i="1" s="1" a="1"/>
  <c r="U1434" i="1" s="1"/>
  <c r="L1433" i="1"/>
  <c r="U1433" i="1" s="1" a="1"/>
  <c r="U1433" i="1" s="1"/>
  <c r="L1432" i="1"/>
  <c r="U1432" i="1" s="1" a="1"/>
  <c r="U1432" i="1" s="1"/>
  <c r="L1431" i="1"/>
  <c r="U1431" i="1" s="1" a="1"/>
  <c r="U1431" i="1" s="1"/>
  <c r="L1430" i="1"/>
  <c r="U1430" i="1" s="1" a="1"/>
  <c r="U1430" i="1" s="1"/>
  <c r="L1429" i="1"/>
  <c r="U1429" i="1" s="1" a="1"/>
  <c r="U1429" i="1" s="1"/>
  <c r="L1428" i="1"/>
  <c r="U1428" i="1" s="1" a="1"/>
  <c r="U1428" i="1" s="1"/>
  <c r="L1427" i="1"/>
  <c r="U1427" i="1" s="1" a="1"/>
  <c r="U1427" i="1" s="1"/>
  <c r="L1426" i="1"/>
  <c r="U1426" i="1" s="1" a="1"/>
  <c r="U1426" i="1" s="1"/>
  <c r="L1425" i="1"/>
  <c r="U1425" i="1" s="1" a="1"/>
  <c r="U1425" i="1" s="1"/>
  <c r="L1424" i="1"/>
  <c r="U1424" i="1" s="1" a="1"/>
  <c r="U1424" i="1" s="1"/>
  <c r="L1423" i="1"/>
  <c r="U1423" i="1" s="1" a="1"/>
  <c r="U1423" i="1" s="1"/>
  <c r="L1422" i="1"/>
  <c r="U1422" i="1" s="1" a="1"/>
  <c r="U1422" i="1" s="1"/>
  <c r="L1421" i="1"/>
  <c r="U1421" i="1" s="1" a="1"/>
  <c r="U1421" i="1" s="1"/>
  <c r="L1420" i="1"/>
  <c r="U1420" i="1" s="1" a="1"/>
  <c r="U1420" i="1" s="1"/>
  <c r="L1419" i="1"/>
  <c r="U1419" i="1" s="1" a="1"/>
  <c r="U1419" i="1" s="1"/>
  <c r="L1418" i="1"/>
  <c r="U1418" i="1" s="1" a="1"/>
  <c r="U1418" i="1" s="1"/>
  <c r="L1417" i="1"/>
  <c r="U1417" i="1" s="1" a="1"/>
  <c r="U1417" i="1" s="1"/>
  <c r="L1416" i="1"/>
  <c r="U1416" i="1" s="1" a="1"/>
  <c r="U1416" i="1" s="1"/>
  <c r="L1415" i="1"/>
  <c r="U1415" i="1" s="1" a="1"/>
  <c r="U1415" i="1" s="1"/>
  <c r="L1414" i="1"/>
  <c r="U1414" i="1" s="1" a="1"/>
  <c r="U1414" i="1" s="1"/>
  <c r="L1413" i="1"/>
  <c r="U1413" i="1" s="1" a="1"/>
  <c r="U1413" i="1" s="1"/>
  <c r="L1412" i="1"/>
  <c r="U1412" i="1" s="1" a="1"/>
  <c r="U1412" i="1" s="1"/>
  <c r="L1411" i="1"/>
  <c r="U1411" i="1" s="1" a="1"/>
  <c r="U1411" i="1" s="1"/>
  <c r="L1410" i="1"/>
  <c r="U1410" i="1" s="1" a="1"/>
  <c r="U1410" i="1" s="1"/>
  <c r="L1409" i="1"/>
  <c r="U1409" i="1" s="1" a="1"/>
  <c r="U1409" i="1" s="1"/>
  <c r="L1408" i="1"/>
  <c r="U1408" i="1" s="1" a="1"/>
  <c r="U1408" i="1" s="1"/>
  <c r="L1407" i="1"/>
  <c r="U1407" i="1" s="1" a="1"/>
  <c r="U1407" i="1" s="1"/>
  <c r="L1406" i="1"/>
  <c r="U1406" i="1" s="1" a="1"/>
  <c r="U1406" i="1" s="1"/>
  <c r="L1405" i="1"/>
  <c r="U1405" i="1" s="1" a="1"/>
  <c r="U1405" i="1" s="1"/>
  <c r="L1404" i="1"/>
  <c r="U1404" i="1" s="1" a="1"/>
  <c r="U1404" i="1" s="1"/>
  <c r="L1403" i="1"/>
  <c r="U1403" i="1" s="1" a="1"/>
  <c r="U1403" i="1" s="1"/>
  <c r="L1402" i="1"/>
  <c r="U1402" i="1" s="1" a="1"/>
  <c r="U1402" i="1" s="1"/>
  <c r="L1401" i="1"/>
  <c r="U1401" i="1" s="1" a="1"/>
  <c r="U1401" i="1" s="1"/>
  <c r="L1400" i="1"/>
  <c r="U1400" i="1" s="1" a="1"/>
  <c r="U1400" i="1" s="1"/>
  <c r="L1399" i="1"/>
  <c r="U1399" i="1" s="1" a="1"/>
  <c r="U1399" i="1" s="1"/>
  <c r="L1398" i="1"/>
  <c r="U1398" i="1" s="1" a="1"/>
  <c r="U1398" i="1" s="1"/>
  <c r="L1397" i="1"/>
  <c r="U1397" i="1" s="1" a="1"/>
  <c r="U1397" i="1" s="1"/>
  <c r="L1396" i="1"/>
  <c r="U1396" i="1" s="1" a="1"/>
  <c r="U1396" i="1" s="1"/>
  <c r="L1395" i="1"/>
  <c r="U1395" i="1" s="1" a="1"/>
  <c r="U1395" i="1" s="1"/>
  <c r="L1394" i="1"/>
  <c r="U1394" i="1" s="1" a="1"/>
  <c r="U1394" i="1" s="1"/>
  <c r="L1393" i="1"/>
  <c r="U1393" i="1" s="1" a="1"/>
  <c r="U1393" i="1" s="1"/>
  <c r="L1392" i="1"/>
  <c r="U1392" i="1" s="1" a="1"/>
  <c r="U1392" i="1" s="1"/>
  <c r="L1391" i="1"/>
  <c r="U1391" i="1" s="1" a="1"/>
  <c r="U1391" i="1" s="1"/>
  <c r="L1390" i="1"/>
  <c r="U1390" i="1" s="1" a="1"/>
  <c r="U1390" i="1" s="1"/>
  <c r="L1389" i="1"/>
  <c r="U1389" i="1" s="1" a="1"/>
  <c r="U1389" i="1" s="1"/>
  <c r="L1388" i="1"/>
  <c r="U1388" i="1" s="1" a="1"/>
  <c r="U1388" i="1" s="1"/>
  <c r="L1387" i="1"/>
  <c r="U1387" i="1" s="1" a="1"/>
  <c r="U1387" i="1" s="1"/>
  <c r="L1386" i="1"/>
  <c r="U1386" i="1" s="1" a="1"/>
  <c r="U1386" i="1" s="1"/>
  <c r="L1385" i="1"/>
  <c r="U1385" i="1" s="1" a="1"/>
  <c r="U1385" i="1" s="1"/>
  <c r="L1384" i="1"/>
  <c r="U1384" i="1" s="1" a="1"/>
  <c r="U1384" i="1" s="1"/>
  <c r="L1383" i="1"/>
  <c r="U1383" i="1" s="1" a="1"/>
  <c r="U1383" i="1" s="1"/>
  <c r="L1382" i="1"/>
  <c r="U1382" i="1" s="1" a="1"/>
  <c r="U1382" i="1" s="1"/>
  <c r="L1381" i="1"/>
  <c r="U1381" i="1" s="1" a="1"/>
  <c r="U1381" i="1" s="1"/>
  <c r="L1380" i="1"/>
  <c r="U1380" i="1" s="1" a="1"/>
  <c r="U1380" i="1" s="1"/>
  <c r="L1379" i="1"/>
  <c r="U1379" i="1" s="1" a="1"/>
  <c r="U1379" i="1" s="1"/>
  <c r="L1378" i="1"/>
  <c r="U1378" i="1" s="1" a="1"/>
  <c r="U1378" i="1" s="1"/>
  <c r="L1377" i="1"/>
  <c r="U1377" i="1" s="1" a="1"/>
  <c r="U1377" i="1" s="1"/>
  <c r="L1376" i="1"/>
  <c r="U1376" i="1" s="1" a="1"/>
  <c r="U1376" i="1" s="1"/>
  <c r="L1375" i="1"/>
  <c r="U1375" i="1" s="1" a="1"/>
  <c r="U1375" i="1" s="1"/>
  <c r="L1374" i="1"/>
  <c r="U1374" i="1" s="1" a="1"/>
  <c r="U1374" i="1" s="1"/>
  <c r="L1373" i="1"/>
  <c r="U1373" i="1" s="1" a="1"/>
  <c r="U1373" i="1" s="1"/>
  <c r="L1372" i="1"/>
  <c r="U1372" i="1" s="1" a="1"/>
  <c r="U1372" i="1" s="1"/>
  <c r="L1371" i="1"/>
  <c r="U1371" i="1" s="1" a="1"/>
  <c r="U1371" i="1" s="1"/>
  <c r="L1370" i="1"/>
  <c r="U1370" i="1" s="1" a="1"/>
  <c r="U1370" i="1" s="1"/>
  <c r="L1369" i="1"/>
  <c r="U1369" i="1" s="1" a="1"/>
  <c r="U1369" i="1" s="1"/>
  <c r="L1368" i="1"/>
  <c r="U1368" i="1" s="1" a="1"/>
  <c r="U1368" i="1" s="1"/>
  <c r="L1367" i="1"/>
  <c r="U1367" i="1" s="1" a="1"/>
  <c r="U1367" i="1" s="1"/>
  <c r="L1366" i="1"/>
  <c r="U1366" i="1" s="1" a="1"/>
  <c r="U1366" i="1" s="1"/>
  <c r="L1365" i="1"/>
  <c r="U1365" i="1" s="1" a="1"/>
  <c r="U1365" i="1" s="1"/>
  <c r="L1364" i="1"/>
  <c r="U1364" i="1" s="1" a="1"/>
  <c r="U1364" i="1" s="1"/>
  <c r="L1363" i="1"/>
  <c r="U1363" i="1" s="1" a="1"/>
  <c r="U1363" i="1" s="1"/>
  <c r="L1362" i="1"/>
  <c r="U1362" i="1" s="1" a="1"/>
  <c r="U1362" i="1" s="1"/>
  <c r="L1361" i="1"/>
  <c r="U1361" i="1" s="1" a="1"/>
  <c r="U1361" i="1" s="1"/>
  <c r="L1360" i="1"/>
  <c r="U1360" i="1" s="1" a="1"/>
  <c r="U1360" i="1" s="1"/>
  <c r="L1359" i="1"/>
  <c r="U1359" i="1" s="1" a="1"/>
  <c r="U1359" i="1" s="1"/>
  <c r="L1358" i="1"/>
  <c r="U1358" i="1" s="1" a="1"/>
  <c r="U1358" i="1" s="1"/>
  <c r="L1357" i="1"/>
  <c r="U1357" i="1" s="1" a="1"/>
  <c r="U1357" i="1" s="1"/>
  <c r="L1356" i="1"/>
  <c r="U1356" i="1" s="1" a="1"/>
  <c r="U1356" i="1" s="1"/>
  <c r="L1355" i="1"/>
  <c r="U1355" i="1" s="1" a="1"/>
  <c r="U1355" i="1" s="1"/>
  <c r="L1354" i="1"/>
  <c r="U1354" i="1" s="1" a="1"/>
  <c r="U1354" i="1" s="1"/>
  <c r="L1353" i="1"/>
  <c r="U1353" i="1" s="1" a="1"/>
  <c r="U1353" i="1" s="1"/>
  <c r="L1352" i="1"/>
  <c r="U1352" i="1" s="1" a="1"/>
  <c r="U1352" i="1" s="1"/>
  <c r="L1351" i="1"/>
  <c r="U1351" i="1" s="1" a="1"/>
  <c r="U1351" i="1" s="1"/>
  <c r="L1350" i="1"/>
  <c r="U1350" i="1" s="1" a="1"/>
  <c r="U1350" i="1" s="1"/>
  <c r="L1349" i="1"/>
  <c r="U1349" i="1" s="1" a="1"/>
  <c r="U1349" i="1" s="1"/>
  <c r="L1348" i="1"/>
  <c r="U1348" i="1" s="1" a="1"/>
  <c r="U1348" i="1" s="1"/>
  <c r="L1347" i="1"/>
  <c r="U1347" i="1" s="1" a="1"/>
  <c r="U1347" i="1" s="1"/>
  <c r="L1346" i="1"/>
  <c r="U1346" i="1" s="1" a="1"/>
  <c r="U1346" i="1" s="1"/>
  <c r="L1345" i="1"/>
  <c r="U1345" i="1" s="1" a="1"/>
  <c r="U1345" i="1" s="1"/>
  <c r="L1344" i="1"/>
  <c r="U1344" i="1" s="1" a="1"/>
  <c r="U1344" i="1" s="1"/>
  <c r="L1343" i="1"/>
  <c r="U1343" i="1" s="1" a="1"/>
  <c r="U1343" i="1" s="1"/>
  <c r="L1342" i="1"/>
  <c r="U1342" i="1" s="1" a="1"/>
  <c r="U1342" i="1" s="1"/>
  <c r="L1341" i="1"/>
  <c r="U1341" i="1" s="1" a="1"/>
  <c r="U1341" i="1" s="1"/>
  <c r="L1340" i="1"/>
  <c r="U1340" i="1" s="1" a="1"/>
  <c r="U1340" i="1" s="1"/>
  <c r="L1339" i="1"/>
  <c r="U1339" i="1" s="1" a="1"/>
  <c r="U1339" i="1" s="1"/>
  <c r="L1338" i="1"/>
  <c r="U1338" i="1" s="1" a="1"/>
  <c r="U1338" i="1" s="1"/>
  <c r="L1337" i="1"/>
  <c r="U1337" i="1" s="1" a="1"/>
  <c r="U1337" i="1" s="1"/>
  <c r="L1336" i="1"/>
  <c r="U1336" i="1" s="1" a="1"/>
  <c r="U1336" i="1" s="1"/>
  <c r="L1335" i="1"/>
  <c r="U1335" i="1" s="1" a="1"/>
  <c r="U1335" i="1" s="1"/>
  <c r="L1334" i="1"/>
  <c r="U1334" i="1" s="1" a="1"/>
  <c r="U1334" i="1" s="1"/>
  <c r="L1333" i="1"/>
  <c r="U1333" i="1" s="1" a="1"/>
  <c r="U1333" i="1" s="1"/>
  <c r="L1332" i="1"/>
  <c r="U1332" i="1" s="1" a="1"/>
  <c r="U1332" i="1" s="1"/>
  <c r="L1331" i="1"/>
  <c r="U1331" i="1" s="1" a="1"/>
  <c r="U1331" i="1" s="1"/>
  <c r="L1330" i="1"/>
  <c r="U1330" i="1" s="1" a="1"/>
  <c r="U1330" i="1" s="1"/>
  <c r="L1329" i="1"/>
  <c r="U1329" i="1" s="1" a="1"/>
  <c r="U1329" i="1" s="1"/>
  <c r="L1328" i="1"/>
  <c r="U1328" i="1" s="1" a="1"/>
  <c r="U1328" i="1" s="1"/>
  <c r="L1327" i="1"/>
  <c r="U1327" i="1" s="1" a="1"/>
  <c r="U1327" i="1" s="1"/>
  <c r="L1326" i="1"/>
  <c r="U1326" i="1" s="1" a="1"/>
  <c r="U1326" i="1" s="1"/>
  <c r="L1325" i="1"/>
  <c r="U1325" i="1" s="1" a="1"/>
  <c r="U1325" i="1" s="1"/>
  <c r="L1324" i="1"/>
  <c r="U1324" i="1" s="1" a="1"/>
  <c r="U1324" i="1" s="1"/>
  <c r="L1323" i="1"/>
  <c r="U1323" i="1" s="1" a="1"/>
  <c r="U1323" i="1" s="1"/>
  <c r="L1322" i="1"/>
  <c r="U1322" i="1" s="1" a="1"/>
  <c r="U1322" i="1" s="1"/>
  <c r="L1321" i="1"/>
  <c r="U1321" i="1" s="1" a="1"/>
  <c r="U1321" i="1" s="1"/>
  <c r="L1320" i="1"/>
  <c r="U1320" i="1" s="1" a="1"/>
  <c r="U1320" i="1" s="1"/>
  <c r="L1319" i="1"/>
  <c r="U1319" i="1" s="1" a="1"/>
  <c r="U1319" i="1" s="1"/>
  <c r="L1318" i="1"/>
  <c r="U1318" i="1" s="1" a="1"/>
  <c r="U1318" i="1" s="1"/>
  <c r="L1317" i="1"/>
  <c r="U1317" i="1" s="1" a="1"/>
  <c r="U1317" i="1" s="1"/>
  <c r="L1316" i="1"/>
  <c r="U1316" i="1" s="1" a="1"/>
  <c r="U1316" i="1" s="1"/>
  <c r="L1315" i="1"/>
  <c r="U1315" i="1" s="1" a="1"/>
  <c r="U1315" i="1" s="1"/>
  <c r="L1314" i="1"/>
  <c r="U1314" i="1" s="1" a="1"/>
  <c r="U1314" i="1" s="1"/>
  <c r="L1313" i="1"/>
  <c r="U1313" i="1" s="1" a="1"/>
  <c r="U1313" i="1" s="1"/>
  <c r="L1312" i="1"/>
  <c r="U1312" i="1" s="1" a="1"/>
  <c r="U1312" i="1" s="1"/>
  <c r="L1311" i="1"/>
  <c r="U1311" i="1" s="1" a="1"/>
  <c r="U1311" i="1" s="1"/>
  <c r="L1310" i="1"/>
  <c r="U1310" i="1" s="1" a="1"/>
  <c r="U1310" i="1" s="1"/>
  <c r="L1309" i="1"/>
  <c r="U1309" i="1" s="1" a="1"/>
  <c r="U1309" i="1" s="1"/>
  <c r="L1308" i="1"/>
  <c r="U1308" i="1" s="1" a="1"/>
  <c r="U1308" i="1" s="1"/>
  <c r="L1307" i="1"/>
  <c r="U1307" i="1" s="1" a="1"/>
  <c r="U1307" i="1" s="1"/>
  <c r="L1306" i="1"/>
  <c r="U1306" i="1" s="1" a="1"/>
  <c r="U1306" i="1" s="1"/>
  <c r="L1305" i="1"/>
  <c r="U1305" i="1" s="1" a="1"/>
  <c r="U1305" i="1" s="1"/>
  <c r="L1304" i="1"/>
  <c r="U1304" i="1" s="1" a="1"/>
  <c r="U1304" i="1" s="1"/>
  <c r="L1303" i="1"/>
  <c r="U1303" i="1" s="1" a="1"/>
  <c r="U1303" i="1" s="1"/>
  <c r="L1302" i="1"/>
  <c r="U1302" i="1" s="1" a="1"/>
  <c r="U1302" i="1" s="1"/>
  <c r="L1301" i="1"/>
  <c r="U1301" i="1" s="1" a="1"/>
  <c r="U1301" i="1" s="1"/>
  <c r="L1300" i="1"/>
  <c r="U1300" i="1" s="1" a="1"/>
  <c r="U1300" i="1" s="1"/>
  <c r="L1299" i="1"/>
  <c r="U1299" i="1" s="1" a="1"/>
  <c r="U1299" i="1" s="1"/>
  <c r="L1298" i="1"/>
  <c r="U1298" i="1" s="1" a="1"/>
  <c r="U1298" i="1" s="1"/>
  <c r="L1297" i="1"/>
  <c r="U1297" i="1" s="1" a="1"/>
  <c r="U1297" i="1" s="1"/>
  <c r="L1296" i="1"/>
  <c r="U1296" i="1" s="1" a="1"/>
  <c r="U1296" i="1" s="1"/>
  <c r="L1295" i="1"/>
  <c r="U1295" i="1" s="1" a="1"/>
  <c r="U1295" i="1" s="1"/>
  <c r="L1294" i="1"/>
  <c r="U1294" i="1" s="1" a="1"/>
  <c r="U1294" i="1" s="1"/>
  <c r="L1293" i="1"/>
  <c r="U1293" i="1" s="1" a="1"/>
  <c r="U1293" i="1" s="1"/>
  <c r="L1292" i="1"/>
  <c r="U1292" i="1" s="1" a="1"/>
  <c r="U1292" i="1" s="1"/>
  <c r="L1291" i="1"/>
  <c r="U1291" i="1" s="1" a="1"/>
  <c r="U1291" i="1" s="1"/>
  <c r="L1290" i="1"/>
  <c r="U1290" i="1" s="1" a="1"/>
  <c r="U1290" i="1" s="1"/>
  <c r="L1289" i="1"/>
  <c r="U1289" i="1" s="1" a="1"/>
  <c r="U1289" i="1" s="1"/>
  <c r="L1288" i="1"/>
  <c r="U1288" i="1" s="1" a="1"/>
  <c r="U1288" i="1" s="1"/>
  <c r="L1287" i="1"/>
  <c r="U1287" i="1" s="1" a="1"/>
  <c r="U1287" i="1" s="1"/>
  <c r="L1286" i="1"/>
  <c r="U1286" i="1" s="1" a="1"/>
  <c r="U1286" i="1" s="1"/>
  <c r="L1285" i="1"/>
  <c r="U1285" i="1" s="1" a="1"/>
  <c r="U1285" i="1" s="1"/>
  <c r="L1284" i="1"/>
  <c r="U1284" i="1" s="1" a="1"/>
  <c r="U1284" i="1" s="1"/>
  <c r="L1283" i="1"/>
  <c r="U1283" i="1" s="1" a="1"/>
  <c r="U1283" i="1" s="1"/>
  <c r="L1282" i="1"/>
  <c r="U1282" i="1" s="1" a="1"/>
  <c r="U1282" i="1" s="1"/>
  <c r="L1281" i="1"/>
  <c r="U1281" i="1" s="1" a="1"/>
  <c r="U1281" i="1" s="1"/>
  <c r="L1280" i="1"/>
  <c r="U1280" i="1" s="1" a="1"/>
  <c r="U1280" i="1" s="1"/>
  <c r="L1279" i="1"/>
  <c r="U1279" i="1" s="1" a="1"/>
  <c r="U1279" i="1" s="1"/>
  <c r="L1278" i="1"/>
  <c r="U1278" i="1" s="1" a="1"/>
  <c r="U1278" i="1" s="1"/>
  <c r="L1277" i="1"/>
  <c r="U1277" i="1" s="1" a="1"/>
  <c r="U1277" i="1" s="1"/>
  <c r="L1276" i="1"/>
  <c r="U1276" i="1" s="1" a="1"/>
  <c r="U1276" i="1" s="1"/>
  <c r="L1275" i="1"/>
  <c r="U1275" i="1" s="1" a="1"/>
  <c r="U1275" i="1" s="1"/>
  <c r="L1274" i="1"/>
  <c r="U1274" i="1" s="1" a="1"/>
  <c r="U1274" i="1" s="1"/>
  <c r="L1273" i="1"/>
  <c r="U1273" i="1" s="1" a="1"/>
  <c r="U1273" i="1" s="1"/>
  <c r="L1272" i="1"/>
  <c r="U1272" i="1" s="1" a="1"/>
  <c r="U1272" i="1" s="1"/>
  <c r="L1271" i="1"/>
  <c r="U1271" i="1" s="1" a="1"/>
  <c r="U1271" i="1" s="1"/>
  <c r="L1270" i="1"/>
  <c r="U1270" i="1" s="1" a="1"/>
  <c r="U1270" i="1" s="1"/>
  <c r="L1269" i="1"/>
  <c r="U1269" i="1" s="1" a="1"/>
  <c r="U1269" i="1" s="1"/>
  <c r="L1268" i="1"/>
  <c r="U1268" i="1" s="1" a="1"/>
  <c r="U1268" i="1" s="1"/>
  <c r="L1267" i="1"/>
  <c r="U1267" i="1" s="1" a="1"/>
  <c r="U1267" i="1" s="1"/>
  <c r="L1266" i="1"/>
  <c r="U1266" i="1" s="1" a="1"/>
  <c r="U1266" i="1" s="1"/>
  <c r="L1265" i="1"/>
  <c r="U1265" i="1" s="1" a="1"/>
  <c r="U1265" i="1" s="1"/>
  <c r="L1264" i="1"/>
  <c r="U1264" i="1" s="1" a="1"/>
  <c r="U1264" i="1" s="1"/>
  <c r="L1263" i="1"/>
  <c r="U1263" i="1" s="1" a="1"/>
  <c r="U1263" i="1" s="1"/>
  <c r="L1262" i="1"/>
  <c r="U1262" i="1" s="1" a="1"/>
  <c r="U1262" i="1" s="1"/>
  <c r="L1261" i="1"/>
  <c r="U1261" i="1" s="1" a="1"/>
  <c r="U1261" i="1" s="1"/>
  <c r="L1260" i="1"/>
  <c r="U1260" i="1" s="1" a="1"/>
  <c r="U1260" i="1" s="1"/>
  <c r="L1259" i="1"/>
  <c r="U1259" i="1" s="1" a="1"/>
  <c r="U1259" i="1" s="1"/>
  <c r="L1258" i="1"/>
  <c r="U1258" i="1" s="1" a="1"/>
  <c r="U1258" i="1" s="1"/>
  <c r="L1257" i="1"/>
  <c r="U1257" i="1" s="1" a="1"/>
  <c r="U1257" i="1" s="1"/>
  <c r="L1256" i="1"/>
  <c r="U1256" i="1" s="1" a="1"/>
  <c r="U1256" i="1" s="1"/>
  <c r="L1255" i="1"/>
  <c r="U1255" i="1" s="1" a="1"/>
  <c r="U1255" i="1" s="1"/>
  <c r="L1254" i="1"/>
  <c r="U1254" i="1" s="1" a="1"/>
  <c r="U1254" i="1" s="1"/>
  <c r="L1253" i="1"/>
  <c r="U1253" i="1" s="1" a="1"/>
  <c r="U1253" i="1" s="1"/>
  <c r="L1252" i="1"/>
  <c r="U1252" i="1" s="1" a="1"/>
  <c r="U1252" i="1" s="1"/>
  <c r="L1251" i="1"/>
  <c r="U1251" i="1" s="1" a="1"/>
  <c r="U1251" i="1" s="1"/>
  <c r="L1250" i="1"/>
  <c r="U1250" i="1" s="1" a="1"/>
  <c r="U1250" i="1" s="1"/>
  <c r="L1249" i="1"/>
  <c r="U1249" i="1" s="1" a="1"/>
  <c r="U1249" i="1" s="1"/>
  <c r="L1248" i="1"/>
  <c r="U1248" i="1" s="1" a="1"/>
  <c r="U1248" i="1" s="1"/>
  <c r="L1247" i="1"/>
  <c r="U1247" i="1" s="1" a="1"/>
  <c r="U1247" i="1" s="1"/>
  <c r="L1246" i="1"/>
  <c r="U1246" i="1" s="1" a="1"/>
  <c r="U1246" i="1" s="1"/>
  <c r="L1245" i="1"/>
  <c r="U1245" i="1" s="1" a="1"/>
  <c r="U1245" i="1" s="1"/>
  <c r="L1244" i="1"/>
  <c r="U1244" i="1" s="1" a="1"/>
  <c r="U1244" i="1" s="1"/>
  <c r="L1243" i="1"/>
  <c r="U1243" i="1" s="1" a="1"/>
  <c r="U1243" i="1" s="1"/>
  <c r="L1242" i="1"/>
  <c r="U1242" i="1" s="1" a="1"/>
  <c r="U1242" i="1" s="1"/>
  <c r="L1241" i="1"/>
  <c r="U1241" i="1" s="1" a="1"/>
  <c r="U1241" i="1" s="1"/>
  <c r="L1240" i="1"/>
  <c r="U1240" i="1" s="1" a="1"/>
  <c r="U1240" i="1" s="1"/>
  <c r="L1239" i="1"/>
  <c r="U1239" i="1" s="1" a="1"/>
  <c r="U1239" i="1" s="1"/>
  <c r="L1238" i="1"/>
  <c r="U1238" i="1" s="1" a="1"/>
  <c r="U1238" i="1" s="1"/>
  <c r="L1237" i="1"/>
  <c r="U1237" i="1" s="1" a="1"/>
  <c r="U1237" i="1" s="1"/>
  <c r="L1236" i="1"/>
  <c r="U1236" i="1" s="1" a="1"/>
  <c r="U1236" i="1" s="1"/>
  <c r="L1235" i="1"/>
  <c r="U1235" i="1" s="1" a="1"/>
  <c r="U1235" i="1" s="1"/>
  <c r="L1234" i="1"/>
  <c r="U1234" i="1" s="1" a="1"/>
  <c r="U1234" i="1" s="1"/>
  <c r="L1233" i="1"/>
  <c r="U1233" i="1" s="1" a="1"/>
  <c r="U1233" i="1" s="1"/>
  <c r="L1232" i="1"/>
  <c r="U1232" i="1" s="1" a="1"/>
  <c r="U1232" i="1" s="1"/>
  <c r="L1231" i="1"/>
  <c r="U1231" i="1" s="1" a="1"/>
  <c r="U1231" i="1" s="1"/>
  <c r="L1230" i="1"/>
  <c r="U1230" i="1" s="1" a="1"/>
  <c r="U1230" i="1" s="1"/>
  <c r="L1229" i="1"/>
  <c r="U1229" i="1" s="1" a="1"/>
  <c r="U1229" i="1" s="1"/>
  <c r="L1228" i="1"/>
  <c r="U1228" i="1" s="1" a="1"/>
  <c r="U1228" i="1" s="1"/>
  <c r="L1227" i="1"/>
  <c r="U1227" i="1" s="1" a="1"/>
  <c r="U1227" i="1" s="1"/>
  <c r="L1226" i="1"/>
  <c r="U1226" i="1" s="1" a="1"/>
  <c r="U1226" i="1" s="1"/>
  <c r="L1225" i="1"/>
  <c r="U1225" i="1" s="1" a="1"/>
  <c r="U1225" i="1" s="1"/>
  <c r="L1224" i="1"/>
  <c r="U1224" i="1" s="1" a="1"/>
  <c r="U1224" i="1" s="1"/>
  <c r="L1223" i="1"/>
  <c r="U1223" i="1" s="1" a="1"/>
  <c r="U1223" i="1" s="1"/>
  <c r="L1222" i="1"/>
  <c r="U1222" i="1" s="1" a="1"/>
  <c r="U1222" i="1" s="1"/>
  <c r="L1221" i="1"/>
  <c r="U1221" i="1" s="1" a="1"/>
  <c r="U1221" i="1" s="1"/>
  <c r="L1220" i="1"/>
  <c r="U1220" i="1" s="1" a="1"/>
  <c r="U1220" i="1" s="1"/>
  <c r="L1219" i="1"/>
  <c r="U1219" i="1" s="1" a="1"/>
  <c r="U1219" i="1" s="1"/>
  <c r="L1218" i="1"/>
  <c r="U1218" i="1" s="1" a="1"/>
  <c r="U1218" i="1" s="1"/>
  <c r="L1217" i="1"/>
  <c r="U1217" i="1" s="1" a="1"/>
  <c r="U1217" i="1" s="1"/>
  <c r="L1216" i="1"/>
  <c r="U1216" i="1" s="1" a="1"/>
  <c r="U1216" i="1" s="1"/>
  <c r="L1215" i="1"/>
  <c r="U1215" i="1" s="1" a="1"/>
  <c r="U1215" i="1" s="1"/>
  <c r="L1214" i="1"/>
  <c r="U1214" i="1" s="1" a="1"/>
  <c r="U1214" i="1" s="1"/>
  <c r="L1213" i="1"/>
  <c r="U1213" i="1" s="1" a="1"/>
  <c r="U1213" i="1" s="1"/>
  <c r="L1212" i="1"/>
  <c r="U1212" i="1" s="1" a="1"/>
  <c r="U1212" i="1" s="1"/>
  <c r="L1211" i="1"/>
  <c r="U1211" i="1" s="1" a="1"/>
  <c r="U1211" i="1" s="1"/>
  <c r="L1210" i="1"/>
  <c r="U1210" i="1" s="1" a="1"/>
  <c r="U1210" i="1" s="1"/>
  <c r="L1209" i="1"/>
  <c r="U1209" i="1" s="1" a="1"/>
  <c r="U1209" i="1" s="1"/>
  <c r="L1208" i="1"/>
  <c r="U1208" i="1" s="1" a="1"/>
  <c r="U1208" i="1" s="1"/>
  <c r="L1207" i="1"/>
  <c r="U1207" i="1" s="1" a="1"/>
  <c r="U1207" i="1" s="1"/>
  <c r="L1206" i="1"/>
  <c r="U1206" i="1" s="1" a="1"/>
  <c r="U1206" i="1" s="1"/>
  <c r="L1205" i="1"/>
  <c r="U1205" i="1" s="1" a="1"/>
  <c r="U1205" i="1" s="1"/>
  <c r="L1204" i="1"/>
  <c r="U1204" i="1" s="1" a="1"/>
  <c r="U1204" i="1" s="1"/>
  <c r="L1203" i="1"/>
  <c r="U1203" i="1" s="1" a="1"/>
  <c r="U1203" i="1" s="1"/>
  <c r="L1202" i="1"/>
  <c r="U1202" i="1" s="1" a="1"/>
  <c r="U1202" i="1" s="1"/>
  <c r="L1201" i="1"/>
  <c r="U1201" i="1" s="1" a="1"/>
  <c r="U1201" i="1" s="1"/>
  <c r="L1200" i="1"/>
  <c r="U1200" i="1" s="1" a="1"/>
  <c r="U1200" i="1" s="1"/>
  <c r="L1199" i="1"/>
  <c r="U1199" i="1" s="1" a="1"/>
  <c r="U1199" i="1" s="1"/>
  <c r="L1198" i="1"/>
  <c r="U1198" i="1" s="1" a="1"/>
  <c r="U1198" i="1" s="1"/>
  <c r="L1197" i="1"/>
  <c r="U1197" i="1" s="1" a="1"/>
  <c r="U1197" i="1" s="1"/>
  <c r="L1196" i="1"/>
  <c r="U1196" i="1" s="1" a="1"/>
  <c r="U1196" i="1" s="1"/>
  <c r="L1195" i="1"/>
  <c r="U1195" i="1" s="1" a="1"/>
  <c r="U1195" i="1" s="1"/>
  <c r="L1194" i="1"/>
  <c r="U1194" i="1" s="1" a="1"/>
  <c r="U1194" i="1" s="1"/>
  <c r="L1193" i="1"/>
  <c r="U1193" i="1" s="1" a="1"/>
  <c r="U1193" i="1" s="1"/>
  <c r="L1192" i="1"/>
  <c r="U1192" i="1" s="1" a="1"/>
  <c r="U1192" i="1" s="1"/>
  <c r="L1191" i="1"/>
  <c r="U1191" i="1" s="1" a="1"/>
  <c r="U1191" i="1" s="1"/>
  <c r="L1190" i="1"/>
  <c r="U1190" i="1" s="1" a="1"/>
  <c r="U1190" i="1" s="1"/>
  <c r="L1189" i="1"/>
  <c r="U1189" i="1" s="1" a="1"/>
  <c r="U1189" i="1" s="1"/>
  <c r="L1188" i="1"/>
  <c r="U1188" i="1" s="1" a="1"/>
  <c r="U1188" i="1" s="1"/>
  <c r="L1187" i="1"/>
  <c r="U1187" i="1" s="1" a="1"/>
  <c r="U1187" i="1" s="1"/>
  <c r="L1186" i="1"/>
  <c r="U1186" i="1" s="1" a="1"/>
  <c r="U1186" i="1" s="1"/>
  <c r="L1185" i="1"/>
  <c r="U1185" i="1" s="1" a="1"/>
  <c r="U1185" i="1" s="1"/>
  <c r="L1184" i="1"/>
  <c r="U1184" i="1" s="1" a="1"/>
  <c r="U1184" i="1" s="1"/>
  <c r="L1183" i="1"/>
  <c r="U1183" i="1" s="1" a="1"/>
  <c r="U1183" i="1" s="1"/>
  <c r="L1182" i="1"/>
  <c r="U1182" i="1" s="1" a="1"/>
  <c r="U1182" i="1" s="1"/>
  <c r="L1181" i="1"/>
  <c r="U1181" i="1" s="1" a="1"/>
  <c r="U1181" i="1" s="1"/>
  <c r="L1180" i="1"/>
  <c r="U1180" i="1" s="1" a="1"/>
  <c r="U1180" i="1" s="1"/>
  <c r="L1179" i="1"/>
  <c r="U1179" i="1" s="1" a="1"/>
  <c r="U1179" i="1" s="1"/>
  <c r="L1178" i="1"/>
  <c r="U1178" i="1" s="1" a="1"/>
  <c r="U1178" i="1" s="1"/>
  <c r="L1177" i="1"/>
  <c r="U1177" i="1" s="1" a="1"/>
  <c r="U1177" i="1" s="1"/>
  <c r="L1176" i="1"/>
  <c r="U1176" i="1" s="1" a="1"/>
  <c r="U1176" i="1" s="1"/>
  <c r="L1175" i="1"/>
  <c r="U1175" i="1" s="1" a="1"/>
  <c r="U1175" i="1" s="1"/>
  <c r="L1174" i="1"/>
  <c r="U1174" i="1" s="1" a="1"/>
  <c r="U1174" i="1" s="1"/>
  <c r="L1173" i="1"/>
  <c r="U1173" i="1" s="1" a="1"/>
  <c r="U1173" i="1" s="1"/>
  <c r="L1172" i="1"/>
  <c r="U1172" i="1" s="1" a="1"/>
  <c r="U1172" i="1" s="1"/>
  <c r="L1171" i="1"/>
  <c r="U1171" i="1" s="1" a="1"/>
  <c r="U1171" i="1" s="1"/>
  <c r="L1170" i="1"/>
  <c r="U1170" i="1" s="1" a="1"/>
  <c r="U1170" i="1" s="1"/>
  <c r="L1169" i="1"/>
  <c r="U1169" i="1" s="1" a="1"/>
  <c r="U1169" i="1" s="1"/>
  <c r="L1168" i="1"/>
  <c r="U1168" i="1" s="1" a="1"/>
  <c r="U1168" i="1" s="1"/>
  <c r="L1167" i="1"/>
  <c r="U1167" i="1" s="1" a="1"/>
  <c r="U1167" i="1" s="1"/>
  <c r="L1166" i="1"/>
  <c r="U1166" i="1" s="1" a="1"/>
  <c r="U1166" i="1" s="1"/>
  <c r="L1165" i="1"/>
  <c r="U1165" i="1" s="1" a="1"/>
  <c r="U1165" i="1" s="1"/>
  <c r="L1164" i="1"/>
  <c r="U1164" i="1" s="1" a="1"/>
  <c r="U1164" i="1" s="1"/>
  <c r="L1163" i="1"/>
  <c r="U1163" i="1" s="1" a="1"/>
  <c r="U1163" i="1" s="1"/>
  <c r="L1162" i="1"/>
  <c r="U1162" i="1" s="1" a="1"/>
  <c r="U1162" i="1" s="1"/>
  <c r="L1161" i="1"/>
  <c r="U1161" i="1" s="1" a="1"/>
  <c r="U1161" i="1" s="1"/>
  <c r="L1160" i="1"/>
  <c r="U1160" i="1" s="1" a="1"/>
  <c r="U1160" i="1" s="1"/>
  <c r="L1159" i="1"/>
  <c r="U1159" i="1" s="1" a="1"/>
  <c r="U1159" i="1" s="1"/>
  <c r="L1158" i="1"/>
  <c r="U1158" i="1" s="1" a="1"/>
  <c r="U1158" i="1" s="1"/>
  <c r="L1157" i="1"/>
  <c r="U1157" i="1" s="1" a="1"/>
  <c r="U1157" i="1" s="1"/>
  <c r="L1156" i="1"/>
  <c r="U1156" i="1" s="1" a="1"/>
  <c r="U1156" i="1" s="1"/>
  <c r="L1155" i="1"/>
  <c r="U1155" i="1" s="1" a="1"/>
  <c r="U1155" i="1" s="1"/>
  <c r="L1154" i="1"/>
  <c r="U1154" i="1" s="1" a="1"/>
  <c r="U1154" i="1" s="1"/>
  <c r="L1153" i="1"/>
  <c r="U1153" i="1" s="1" a="1"/>
  <c r="U1153" i="1" s="1"/>
  <c r="L1152" i="1"/>
  <c r="U1152" i="1" s="1" a="1"/>
  <c r="U1152" i="1" s="1"/>
  <c r="L1151" i="1"/>
  <c r="U1151" i="1" s="1" a="1"/>
  <c r="U1151" i="1" s="1"/>
  <c r="L1150" i="1"/>
  <c r="U1150" i="1" s="1" a="1"/>
  <c r="U1150" i="1" s="1"/>
  <c r="L1149" i="1"/>
  <c r="U1149" i="1" s="1" a="1"/>
  <c r="U1149" i="1" s="1"/>
  <c r="L1148" i="1"/>
  <c r="U1148" i="1" s="1" a="1"/>
  <c r="U1148" i="1" s="1"/>
  <c r="L1147" i="1"/>
  <c r="U1147" i="1" s="1" a="1"/>
  <c r="U1147" i="1" s="1"/>
  <c r="L1146" i="1"/>
  <c r="U1146" i="1" s="1" a="1"/>
  <c r="U1146" i="1" s="1"/>
  <c r="L1145" i="1"/>
  <c r="U1145" i="1" s="1" a="1"/>
  <c r="U1145" i="1" s="1"/>
  <c r="L1144" i="1"/>
  <c r="U1144" i="1" s="1" a="1"/>
  <c r="U1144" i="1" s="1"/>
  <c r="L1143" i="1"/>
  <c r="U1143" i="1" s="1" a="1"/>
  <c r="U1143" i="1" s="1"/>
  <c r="L1142" i="1"/>
  <c r="U1142" i="1" s="1" a="1"/>
  <c r="U1142" i="1" s="1"/>
  <c r="L1141" i="1"/>
  <c r="U1141" i="1" s="1" a="1"/>
  <c r="U1141" i="1" s="1"/>
  <c r="L1140" i="1"/>
  <c r="U1140" i="1" s="1" a="1"/>
  <c r="U1140" i="1" s="1"/>
  <c r="L1139" i="1"/>
  <c r="U1139" i="1" s="1" a="1"/>
  <c r="U1139" i="1" s="1"/>
  <c r="L1138" i="1"/>
  <c r="U1138" i="1" s="1" a="1"/>
  <c r="U1138" i="1" s="1"/>
  <c r="L1137" i="1"/>
  <c r="U1137" i="1" s="1" a="1"/>
  <c r="U1137" i="1" s="1"/>
  <c r="L1136" i="1"/>
  <c r="U1136" i="1" s="1" a="1"/>
  <c r="U1136" i="1" s="1"/>
  <c r="L1135" i="1"/>
  <c r="U1135" i="1" s="1" a="1"/>
  <c r="U1135" i="1" s="1"/>
  <c r="L1134" i="1"/>
  <c r="U1134" i="1" s="1" a="1"/>
  <c r="U1134" i="1" s="1"/>
  <c r="L1133" i="1"/>
  <c r="U1133" i="1" s="1" a="1"/>
  <c r="U1133" i="1" s="1"/>
  <c r="L1132" i="1"/>
  <c r="U1132" i="1" s="1" a="1"/>
  <c r="U1132" i="1" s="1"/>
  <c r="L1131" i="1"/>
  <c r="U1131" i="1" s="1" a="1"/>
  <c r="U1131" i="1" s="1"/>
  <c r="L1130" i="1"/>
  <c r="U1130" i="1" s="1" a="1"/>
  <c r="U1130" i="1" s="1"/>
  <c r="L1129" i="1"/>
  <c r="U1129" i="1" s="1" a="1"/>
  <c r="U1129" i="1" s="1"/>
  <c r="L1128" i="1"/>
  <c r="U1128" i="1" s="1" a="1"/>
  <c r="U1128" i="1" s="1"/>
  <c r="L1127" i="1"/>
  <c r="U1127" i="1" s="1" a="1"/>
  <c r="U1127" i="1" s="1"/>
  <c r="L1126" i="1"/>
  <c r="U1126" i="1" s="1" a="1"/>
  <c r="U1126" i="1" s="1"/>
  <c r="L1125" i="1"/>
  <c r="U1125" i="1" s="1" a="1"/>
  <c r="U1125" i="1" s="1"/>
  <c r="L1124" i="1"/>
  <c r="U1124" i="1" s="1" a="1"/>
  <c r="U1124" i="1" s="1"/>
  <c r="L1123" i="1"/>
  <c r="U1123" i="1" s="1" a="1"/>
  <c r="U1123" i="1" s="1"/>
  <c r="L1122" i="1"/>
  <c r="U1122" i="1" s="1" a="1"/>
  <c r="U1122" i="1" s="1"/>
  <c r="L1121" i="1"/>
  <c r="U1121" i="1" s="1" a="1"/>
  <c r="U1121" i="1" s="1"/>
  <c r="L1120" i="1"/>
  <c r="U1120" i="1" s="1" a="1"/>
  <c r="U1120" i="1" s="1"/>
  <c r="L1119" i="1"/>
  <c r="U1119" i="1" s="1" a="1"/>
  <c r="U1119" i="1" s="1"/>
  <c r="L1118" i="1"/>
  <c r="U1118" i="1" s="1" a="1"/>
  <c r="U1118" i="1" s="1"/>
  <c r="L1117" i="1"/>
  <c r="U1117" i="1" s="1" a="1"/>
  <c r="U1117" i="1" s="1"/>
  <c r="L1116" i="1"/>
  <c r="U1116" i="1" s="1" a="1"/>
  <c r="U1116" i="1" s="1"/>
  <c r="L1115" i="1"/>
  <c r="U1115" i="1" s="1" a="1"/>
  <c r="U1115" i="1" s="1"/>
  <c r="L1114" i="1"/>
  <c r="U1114" i="1" s="1" a="1"/>
  <c r="U1114" i="1" s="1"/>
  <c r="L1113" i="1"/>
  <c r="U1113" i="1" s="1" a="1"/>
  <c r="U1113" i="1" s="1"/>
  <c r="L1112" i="1"/>
  <c r="U1112" i="1" s="1" a="1"/>
  <c r="U1112" i="1" s="1"/>
  <c r="L1111" i="1"/>
  <c r="U1111" i="1" s="1" a="1"/>
  <c r="U1111" i="1" s="1"/>
  <c r="L1110" i="1"/>
  <c r="U1110" i="1" s="1" a="1"/>
  <c r="U1110" i="1" s="1"/>
  <c r="L1109" i="1"/>
  <c r="U1109" i="1" s="1" a="1"/>
  <c r="U1109" i="1" s="1"/>
  <c r="L1108" i="1"/>
  <c r="U1108" i="1" s="1" a="1"/>
  <c r="U1108" i="1" s="1"/>
  <c r="L1107" i="1"/>
  <c r="U1107" i="1" s="1" a="1"/>
  <c r="U1107" i="1" s="1"/>
  <c r="L1106" i="1"/>
  <c r="U1106" i="1" s="1" a="1"/>
  <c r="U1106" i="1" s="1"/>
  <c r="L1105" i="1"/>
  <c r="U1105" i="1" s="1" a="1"/>
  <c r="U1105" i="1" s="1"/>
  <c r="L1104" i="1"/>
  <c r="U1104" i="1" s="1" a="1"/>
  <c r="U1104" i="1" s="1"/>
  <c r="L1103" i="1"/>
  <c r="U1103" i="1" s="1" a="1"/>
  <c r="U1103" i="1" s="1"/>
  <c r="L1102" i="1"/>
  <c r="U1102" i="1" s="1" a="1"/>
  <c r="U1102" i="1" s="1"/>
  <c r="L1101" i="1"/>
  <c r="U1101" i="1" s="1" a="1"/>
  <c r="U1101" i="1" s="1"/>
  <c r="L1100" i="1"/>
  <c r="U1100" i="1" s="1" a="1"/>
  <c r="U1100" i="1" s="1"/>
  <c r="L1099" i="1"/>
  <c r="U1099" i="1" s="1" a="1"/>
  <c r="U1099" i="1" s="1"/>
  <c r="L1098" i="1"/>
  <c r="U1098" i="1" s="1" a="1"/>
  <c r="U1098" i="1" s="1"/>
  <c r="L1097" i="1"/>
  <c r="U1097" i="1" s="1" a="1"/>
  <c r="U1097" i="1" s="1"/>
  <c r="L1096" i="1"/>
  <c r="U1096" i="1" s="1" a="1"/>
  <c r="U1096" i="1" s="1"/>
  <c r="L1095" i="1"/>
  <c r="U1095" i="1" s="1" a="1"/>
  <c r="U1095" i="1" s="1"/>
  <c r="L1094" i="1"/>
  <c r="U1094" i="1" s="1" a="1"/>
  <c r="U1094" i="1" s="1"/>
  <c r="L1093" i="1"/>
  <c r="U1093" i="1" s="1" a="1"/>
  <c r="U1093" i="1" s="1"/>
  <c r="L1092" i="1"/>
  <c r="U1092" i="1" s="1" a="1"/>
  <c r="U1092" i="1" s="1"/>
  <c r="L1091" i="1"/>
  <c r="U1091" i="1" s="1" a="1"/>
  <c r="U1091" i="1" s="1"/>
  <c r="L1090" i="1"/>
  <c r="U1090" i="1" s="1" a="1"/>
  <c r="U1090" i="1" s="1"/>
  <c r="L1089" i="1"/>
  <c r="U1089" i="1" s="1" a="1"/>
  <c r="U1089" i="1" s="1"/>
  <c r="L1088" i="1"/>
  <c r="U1088" i="1" s="1" a="1"/>
  <c r="U1088" i="1" s="1"/>
  <c r="L1087" i="1"/>
  <c r="U1087" i="1" s="1" a="1"/>
  <c r="U1087" i="1" s="1"/>
  <c r="L1086" i="1"/>
  <c r="U1086" i="1" s="1" a="1"/>
  <c r="U1086" i="1" s="1"/>
  <c r="L1085" i="1"/>
  <c r="U1085" i="1" s="1" a="1"/>
  <c r="U1085" i="1" s="1"/>
  <c r="L1084" i="1"/>
  <c r="U1084" i="1" s="1" a="1"/>
  <c r="U1084" i="1" s="1"/>
  <c r="L1083" i="1"/>
  <c r="U1083" i="1" s="1" a="1"/>
  <c r="U1083" i="1" s="1"/>
  <c r="L1082" i="1"/>
  <c r="U1082" i="1" s="1" a="1"/>
  <c r="U1082" i="1" s="1"/>
  <c r="L1081" i="1"/>
  <c r="U1081" i="1" s="1" a="1"/>
  <c r="U1081" i="1" s="1"/>
  <c r="L1080" i="1"/>
  <c r="U1080" i="1" s="1" a="1"/>
  <c r="U1080" i="1" s="1"/>
  <c r="L1079" i="1"/>
  <c r="U1079" i="1" s="1" a="1"/>
  <c r="U1079" i="1" s="1"/>
  <c r="L1078" i="1"/>
  <c r="U1078" i="1" s="1" a="1"/>
  <c r="U1078" i="1" s="1"/>
  <c r="L1077" i="1"/>
  <c r="U1077" i="1" s="1" a="1"/>
  <c r="U1077" i="1" s="1"/>
  <c r="L1076" i="1"/>
  <c r="U1076" i="1" s="1" a="1"/>
  <c r="U1076" i="1" s="1"/>
  <c r="L1075" i="1"/>
  <c r="U1075" i="1" s="1" a="1"/>
  <c r="U1075" i="1" s="1"/>
  <c r="L1074" i="1"/>
  <c r="U1074" i="1" s="1" a="1"/>
  <c r="U1074" i="1" s="1"/>
  <c r="L1073" i="1"/>
  <c r="U1073" i="1" s="1" a="1"/>
  <c r="U1073" i="1" s="1"/>
  <c r="L1072" i="1"/>
  <c r="U1072" i="1" s="1" a="1"/>
  <c r="U1072" i="1" s="1"/>
  <c r="L1071" i="1"/>
  <c r="U1071" i="1" s="1" a="1"/>
  <c r="U1071" i="1" s="1"/>
  <c r="L1070" i="1"/>
  <c r="U1070" i="1" s="1" a="1"/>
  <c r="U1070" i="1" s="1"/>
  <c r="L1069" i="1"/>
  <c r="U1069" i="1" s="1" a="1"/>
  <c r="U1069" i="1" s="1"/>
  <c r="L1068" i="1"/>
  <c r="U1068" i="1" s="1" a="1"/>
  <c r="U1068" i="1" s="1"/>
  <c r="L1067" i="1"/>
  <c r="U1067" i="1" s="1" a="1"/>
  <c r="U1067" i="1" s="1"/>
  <c r="L1066" i="1"/>
  <c r="U1066" i="1" s="1" a="1"/>
  <c r="U1066" i="1" s="1"/>
  <c r="L1065" i="1"/>
  <c r="U1065" i="1" s="1" a="1"/>
  <c r="U1065" i="1" s="1"/>
  <c r="L1064" i="1"/>
  <c r="U1064" i="1" s="1" a="1"/>
  <c r="U1064" i="1" s="1"/>
  <c r="L1063" i="1"/>
  <c r="U1063" i="1" s="1" a="1"/>
  <c r="U1063" i="1" s="1"/>
  <c r="L1062" i="1"/>
  <c r="U1062" i="1" s="1" a="1"/>
  <c r="U1062" i="1" s="1"/>
  <c r="L1061" i="1"/>
  <c r="U1061" i="1" s="1" a="1"/>
  <c r="U1061" i="1" s="1"/>
  <c r="L1060" i="1"/>
  <c r="U1060" i="1" s="1" a="1"/>
  <c r="U1060" i="1" s="1"/>
  <c r="L1059" i="1"/>
  <c r="U1059" i="1" s="1" a="1"/>
  <c r="U1059" i="1" s="1"/>
  <c r="L1058" i="1"/>
  <c r="U1058" i="1" s="1" a="1"/>
  <c r="U1058" i="1" s="1"/>
  <c r="L1057" i="1"/>
  <c r="U1057" i="1" s="1" a="1"/>
  <c r="U1057" i="1" s="1"/>
  <c r="L1056" i="1"/>
  <c r="U1056" i="1" s="1" a="1"/>
  <c r="U1056" i="1" s="1"/>
  <c r="L1055" i="1"/>
  <c r="U1055" i="1" s="1" a="1"/>
  <c r="U1055" i="1" s="1"/>
  <c r="L1054" i="1"/>
  <c r="U1054" i="1" s="1" a="1"/>
  <c r="U1054" i="1" s="1"/>
  <c r="L1053" i="1"/>
  <c r="U1053" i="1" s="1" a="1"/>
  <c r="U1053" i="1" s="1"/>
  <c r="L1052" i="1"/>
  <c r="U1052" i="1" s="1" a="1"/>
  <c r="U1052" i="1" s="1"/>
  <c r="L1051" i="1"/>
  <c r="U1051" i="1" s="1" a="1"/>
  <c r="U1051" i="1" s="1"/>
  <c r="L1050" i="1"/>
  <c r="U1050" i="1" s="1" a="1"/>
  <c r="U1050" i="1" s="1"/>
  <c r="L1049" i="1"/>
  <c r="U1049" i="1" s="1" a="1"/>
  <c r="U1049" i="1" s="1"/>
  <c r="L1048" i="1"/>
  <c r="U1048" i="1" s="1" a="1"/>
  <c r="U1048" i="1" s="1"/>
  <c r="L1047" i="1"/>
  <c r="U1047" i="1" s="1" a="1"/>
  <c r="U1047" i="1" s="1"/>
  <c r="L1046" i="1"/>
  <c r="U1046" i="1" s="1" a="1"/>
  <c r="U1046" i="1" s="1"/>
  <c r="L1045" i="1"/>
  <c r="U1045" i="1" s="1" a="1"/>
  <c r="U1045" i="1" s="1"/>
  <c r="L1044" i="1"/>
  <c r="U1044" i="1" s="1" a="1"/>
  <c r="U1044" i="1" s="1"/>
  <c r="L1043" i="1"/>
  <c r="U1043" i="1" s="1" a="1"/>
  <c r="U1043" i="1" s="1"/>
  <c r="L1042" i="1"/>
  <c r="U1042" i="1" s="1" a="1"/>
  <c r="U1042" i="1" s="1"/>
  <c r="L1041" i="1"/>
  <c r="U1041" i="1" s="1" a="1"/>
  <c r="U1041" i="1" s="1"/>
  <c r="L1040" i="1"/>
  <c r="U1040" i="1" s="1" a="1"/>
  <c r="U1040" i="1" s="1"/>
  <c r="L1039" i="1"/>
  <c r="U1039" i="1" s="1" a="1"/>
  <c r="U1039" i="1" s="1"/>
  <c r="L1038" i="1"/>
  <c r="U1038" i="1" s="1" a="1"/>
  <c r="U1038" i="1" s="1"/>
  <c r="L1037" i="1"/>
  <c r="U1037" i="1" s="1" a="1"/>
  <c r="U1037" i="1" s="1"/>
  <c r="L1036" i="1"/>
  <c r="U1036" i="1" s="1" a="1"/>
  <c r="U1036" i="1" s="1"/>
  <c r="L1035" i="1"/>
  <c r="U1035" i="1" s="1" a="1"/>
  <c r="U1035" i="1" s="1"/>
  <c r="L1034" i="1"/>
  <c r="U1034" i="1" s="1" a="1"/>
  <c r="U1034" i="1" s="1"/>
  <c r="L1033" i="1"/>
  <c r="U1033" i="1" s="1" a="1"/>
  <c r="U1033" i="1" s="1"/>
  <c r="L1032" i="1"/>
  <c r="U1032" i="1" s="1" a="1"/>
  <c r="U1032" i="1" s="1"/>
  <c r="L1031" i="1"/>
  <c r="U1031" i="1" s="1" a="1"/>
  <c r="U1031" i="1" s="1"/>
  <c r="L1030" i="1"/>
  <c r="U1030" i="1" s="1" a="1"/>
  <c r="U1030" i="1" s="1"/>
  <c r="L1029" i="1"/>
  <c r="U1029" i="1" s="1" a="1"/>
  <c r="U1029" i="1" s="1"/>
  <c r="L1028" i="1"/>
  <c r="U1028" i="1" s="1" a="1"/>
  <c r="U1028" i="1" s="1"/>
  <c r="L1027" i="1"/>
  <c r="U1027" i="1" s="1" a="1"/>
  <c r="U1027" i="1" s="1"/>
  <c r="L1026" i="1"/>
  <c r="U1026" i="1" s="1" a="1"/>
  <c r="U1026" i="1" s="1"/>
  <c r="L1025" i="1"/>
  <c r="U1025" i="1" s="1" a="1"/>
  <c r="U1025" i="1" s="1"/>
  <c r="L1024" i="1"/>
  <c r="U1024" i="1" s="1" a="1"/>
  <c r="U1024" i="1" s="1"/>
  <c r="L1023" i="1"/>
  <c r="U1023" i="1" s="1" a="1"/>
  <c r="U1023" i="1" s="1"/>
  <c r="L1022" i="1"/>
  <c r="U1022" i="1" s="1" a="1"/>
  <c r="U1022" i="1" s="1"/>
  <c r="L1021" i="1"/>
  <c r="U1021" i="1" s="1" a="1"/>
  <c r="U1021" i="1" s="1"/>
  <c r="L1020" i="1"/>
  <c r="U1020" i="1" s="1" a="1"/>
  <c r="U1020" i="1" s="1"/>
  <c r="L1019" i="1"/>
  <c r="U1019" i="1" s="1" a="1"/>
  <c r="U1019" i="1" s="1"/>
  <c r="L1018" i="1"/>
  <c r="U1018" i="1" s="1" a="1"/>
  <c r="U1018" i="1" s="1"/>
  <c r="L1017" i="1"/>
  <c r="U1017" i="1" s="1" a="1"/>
  <c r="U1017" i="1" s="1"/>
  <c r="L1016" i="1"/>
  <c r="U1016" i="1" s="1" a="1"/>
  <c r="U1016" i="1" s="1"/>
  <c r="L1015" i="1"/>
  <c r="U1015" i="1" s="1" a="1"/>
  <c r="U1015" i="1" s="1"/>
  <c r="L1014" i="1"/>
  <c r="U1014" i="1" s="1" a="1"/>
  <c r="U1014" i="1" s="1"/>
  <c r="L1013" i="1"/>
  <c r="U1013" i="1" s="1" a="1"/>
  <c r="U1013" i="1" s="1"/>
  <c r="L1012" i="1"/>
  <c r="U1012" i="1" s="1" a="1"/>
  <c r="U1012" i="1" s="1"/>
  <c r="L1011" i="1"/>
  <c r="U1011" i="1" s="1" a="1"/>
  <c r="U1011" i="1" s="1"/>
  <c r="L1010" i="1"/>
  <c r="U1010" i="1" s="1" a="1"/>
  <c r="U1010" i="1" s="1"/>
  <c r="L1009" i="1"/>
  <c r="U1009" i="1" s="1" a="1"/>
  <c r="U1009" i="1" s="1"/>
  <c r="L1008" i="1"/>
  <c r="U1008" i="1" s="1" a="1"/>
  <c r="U1008" i="1" s="1"/>
  <c r="L1007" i="1"/>
  <c r="U1007" i="1" s="1" a="1"/>
  <c r="U1007" i="1" s="1"/>
  <c r="L1006" i="1"/>
  <c r="U1006" i="1" s="1" a="1"/>
  <c r="U1006" i="1" s="1"/>
  <c r="L1005" i="1"/>
  <c r="U1005" i="1" s="1" a="1"/>
  <c r="U1005" i="1" s="1"/>
  <c r="L1004" i="1"/>
  <c r="U1004" i="1" s="1" a="1"/>
  <c r="U1004" i="1" s="1"/>
  <c r="L1003" i="1"/>
  <c r="U1003" i="1" s="1" a="1"/>
  <c r="U1003" i="1" s="1"/>
  <c r="L1002" i="1"/>
  <c r="U1002" i="1" s="1" a="1"/>
  <c r="U1002" i="1" s="1"/>
  <c r="L1001" i="1"/>
  <c r="U1001" i="1" s="1" a="1"/>
  <c r="U1001" i="1" s="1"/>
  <c r="L1000" i="1"/>
  <c r="U1000" i="1" s="1" a="1"/>
  <c r="U1000" i="1" s="1"/>
  <c r="L999" i="1"/>
  <c r="U999" i="1" s="1" a="1"/>
  <c r="U999" i="1" s="1"/>
  <c r="L998" i="1"/>
  <c r="U998" i="1" s="1" a="1"/>
  <c r="U998" i="1" s="1"/>
  <c r="L997" i="1"/>
  <c r="U997" i="1" s="1" a="1"/>
  <c r="U997" i="1" s="1"/>
  <c r="L996" i="1"/>
  <c r="U996" i="1" s="1" a="1"/>
  <c r="U996" i="1" s="1"/>
  <c r="L995" i="1"/>
  <c r="U995" i="1" s="1" a="1"/>
  <c r="U995" i="1" s="1"/>
  <c r="L994" i="1"/>
  <c r="U994" i="1" s="1" a="1"/>
  <c r="U994" i="1" s="1"/>
  <c r="L993" i="1"/>
  <c r="U993" i="1" s="1" a="1"/>
  <c r="U993" i="1" s="1"/>
  <c r="L992" i="1"/>
  <c r="U992" i="1" s="1" a="1"/>
  <c r="U992" i="1" s="1"/>
  <c r="L991" i="1"/>
  <c r="U991" i="1" s="1" a="1"/>
  <c r="U991" i="1" s="1"/>
  <c r="L990" i="1"/>
  <c r="U990" i="1" s="1" a="1"/>
  <c r="U990" i="1" s="1"/>
  <c r="L989" i="1"/>
  <c r="U989" i="1" s="1" a="1"/>
  <c r="U989" i="1" s="1"/>
  <c r="L988" i="1"/>
  <c r="U988" i="1" s="1" a="1"/>
  <c r="U988" i="1" s="1"/>
  <c r="L987" i="1"/>
  <c r="U987" i="1" s="1" a="1"/>
  <c r="U987" i="1" s="1"/>
  <c r="L986" i="1"/>
  <c r="U986" i="1" s="1" a="1"/>
  <c r="U986" i="1" s="1"/>
  <c r="L985" i="1"/>
  <c r="U985" i="1" s="1" a="1"/>
  <c r="U985" i="1" s="1"/>
  <c r="L984" i="1"/>
  <c r="U984" i="1" s="1" a="1"/>
  <c r="U984" i="1" s="1"/>
  <c r="L983" i="1"/>
  <c r="U983" i="1" s="1" a="1"/>
  <c r="U983" i="1" s="1"/>
  <c r="L982" i="1"/>
  <c r="U982" i="1" s="1" a="1"/>
  <c r="U982" i="1" s="1"/>
  <c r="L981" i="1"/>
  <c r="U981" i="1" s="1" a="1"/>
  <c r="U981" i="1" s="1"/>
  <c r="L980" i="1"/>
  <c r="U980" i="1" s="1" a="1"/>
  <c r="U980" i="1" s="1"/>
  <c r="L979" i="1"/>
  <c r="U979" i="1" s="1" a="1"/>
  <c r="U979" i="1" s="1"/>
  <c r="L978" i="1"/>
  <c r="U978" i="1" s="1" a="1"/>
  <c r="U978" i="1" s="1"/>
  <c r="L977" i="1"/>
  <c r="U977" i="1" s="1" a="1"/>
  <c r="U977" i="1" s="1"/>
  <c r="L976" i="1"/>
  <c r="U976" i="1" s="1" a="1"/>
  <c r="U976" i="1" s="1"/>
  <c r="L975" i="1"/>
  <c r="U975" i="1" s="1" a="1"/>
  <c r="U975" i="1" s="1"/>
  <c r="L974" i="1"/>
  <c r="U974" i="1" s="1" a="1"/>
  <c r="U974" i="1" s="1"/>
  <c r="L973" i="1"/>
  <c r="U973" i="1" s="1" a="1"/>
  <c r="U973" i="1" s="1"/>
  <c r="L972" i="1"/>
  <c r="U972" i="1" s="1" a="1"/>
  <c r="U972" i="1" s="1"/>
  <c r="L971" i="1"/>
  <c r="U971" i="1" s="1" a="1"/>
  <c r="U971" i="1" s="1"/>
  <c r="L970" i="1"/>
  <c r="U970" i="1" s="1" a="1"/>
  <c r="U970" i="1" s="1"/>
  <c r="L969" i="1"/>
  <c r="U969" i="1" s="1" a="1"/>
  <c r="U969" i="1" s="1"/>
  <c r="L968" i="1"/>
  <c r="U968" i="1" s="1" a="1"/>
  <c r="U968" i="1" s="1"/>
  <c r="L967" i="1"/>
  <c r="U967" i="1" s="1" a="1"/>
  <c r="U967" i="1" s="1"/>
  <c r="L966" i="1"/>
  <c r="U966" i="1" s="1" a="1"/>
  <c r="U966" i="1" s="1"/>
  <c r="L965" i="1"/>
  <c r="U965" i="1" s="1" a="1"/>
  <c r="U965" i="1" s="1"/>
  <c r="L964" i="1"/>
  <c r="U964" i="1" s="1" a="1"/>
  <c r="U964" i="1" s="1"/>
  <c r="L963" i="1"/>
  <c r="U963" i="1" s="1" a="1"/>
  <c r="U963" i="1" s="1"/>
  <c r="L962" i="1"/>
  <c r="U962" i="1" s="1" a="1"/>
  <c r="U962" i="1" s="1"/>
  <c r="L961" i="1"/>
  <c r="U961" i="1" s="1" a="1"/>
  <c r="U961" i="1" s="1"/>
  <c r="L960" i="1"/>
  <c r="U960" i="1" s="1" a="1"/>
  <c r="U960" i="1" s="1"/>
  <c r="L959" i="1"/>
  <c r="U959" i="1" s="1" a="1"/>
  <c r="U959" i="1" s="1"/>
  <c r="L958" i="1"/>
  <c r="U958" i="1" s="1" a="1"/>
  <c r="U958" i="1" s="1"/>
  <c r="L957" i="1"/>
  <c r="U957" i="1" s="1" a="1"/>
  <c r="U957" i="1" s="1"/>
  <c r="L956" i="1"/>
  <c r="U956" i="1" s="1" a="1"/>
  <c r="U956" i="1" s="1"/>
  <c r="L955" i="1"/>
  <c r="U955" i="1" s="1" a="1"/>
  <c r="U955" i="1" s="1"/>
  <c r="L954" i="1"/>
  <c r="U954" i="1" s="1" a="1"/>
  <c r="U954" i="1" s="1"/>
  <c r="L953" i="1"/>
  <c r="U953" i="1" s="1" a="1"/>
  <c r="U953" i="1" s="1"/>
  <c r="L952" i="1"/>
  <c r="U952" i="1" s="1" a="1"/>
  <c r="U952" i="1" s="1"/>
  <c r="L951" i="1"/>
  <c r="U951" i="1" s="1" a="1"/>
  <c r="U951" i="1" s="1"/>
  <c r="L950" i="1"/>
  <c r="U950" i="1" s="1" a="1"/>
  <c r="U950" i="1" s="1"/>
  <c r="L949" i="1"/>
  <c r="U949" i="1" s="1" a="1"/>
  <c r="U949" i="1" s="1"/>
  <c r="L948" i="1"/>
  <c r="U948" i="1" s="1" a="1"/>
  <c r="U948" i="1" s="1"/>
  <c r="L947" i="1"/>
  <c r="U947" i="1" s="1" a="1"/>
  <c r="U947" i="1" s="1"/>
  <c r="L946" i="1"/>
  <c r="U946" i="1" s="1" a="1"/>
  <c r="U946" i="1" s="1"/>
  <c r="L945" i="1"/>
  <c r="U945" i="1" s="1" a="1"/>
  <c r="U945" i="1" s="1"/>
  <c r="L944" i="1"/>
  <c r="U944" i="1" s="1" a="1"/>
  <c r="U944" i="1" s="1"/>
  <c r="L943" i="1"/>
  <c r="U943" i="1" s="1" a="1"/>
  <c r="U943" i="1" s="1"/>
  <c r="L942" i="1"/>
  <c r="U942" i="1" s="1" a="1"/>
  <c r="U942" i="1" s="1"/>
  <c r="L941" i="1"/>
  <c r="U941" i="1" s="1" a="1"/>
  <c r="U941" i="1" s="1"/>
  <c r="L940" i="1"/>
  <c r="U940" i="1" s="1" a="1"/>
  <c r="U940" i="1" s="1"/>
  <c r="L939" i="1"/>
  <c r="U939" i="1" s="1" a="1"/>
  <c r="U939" i="1" s="1"/>
  <c r="L938" i="1"/>
  <c r="U938" i="1" s="1" a="1"/>
  <c r="U938" i="1" s="1"/>
  <c r="L937" i="1"/>
  <c r="U937" i="1" s="1" a="1"/>
  <c r="U937" i="1" s="1"/>
  <c r="L936" i="1"/>
  <c r="U936" i="1" s="1" a="1"/>
  <c r="U936" i="1" s="1"/>
  <c r="L935" i="1"/>
  <c r="U935" i="1" s="1" a="1"/>
  <c r="U935" i="1" s="1"/>
  <c r="L934" i="1"/>
  <c r="U934" i="1" s="1" a="1"/>
  <c r="U934" i="1" s="1"/>
  <c r="L933" i="1"/>
  <c r="U933" i="1" s="1" a="1"/>
  <c r="U933" i="1" s="1"/>
  <c r="L932" i="1"/>
  <c r="U932" i="1" s="1" a="1"/>
  <c r="U932" i="1" s="1"/>
  <c r="L931" i="1"/>
  <c r="U931" i="1" s="1" a="1"/>
  <c r="U931" i="1" s="1"/>
  <c r="L930" i="1"/>
  <c r="U930" i="1" s="1" a="1"/>
  <c r="U930" i="1" s="1"/>
  <c r="L929" i="1"/>
  <c r="U929" i="1" s="1" a="1"/>
  <c r="U929" i="1" s="1"/>
  <c r="L928" i="1"/>
  <c r="U928" i="1" s="1" a="1"/>
  <c r="U928" i="1" s="1"/>
  <c r="L927" i="1"/>
  <c r="U927" i="1" s="1" a="1"/>
  <c r="U927" i="1" s="1"/>
  <c r="L926" i="1"/>
  <c r="U926" i="1" s="1" a="1"/>
  <c r="U926" i="1" s="1"/>
  <c r="L925" i="1"/>
  <c r="U925" i="1" s="1" a="1"/>
  <c r="U925" i="1" s="1"/>
  <c r="L924" i="1"/>
  <c r="U924" i="1" s="1" a="1"/>
  <c r="U924" i="1" s="1"/>
  <c r="L923" i="1"/>
  <c r="U923" i="1" s="1" a="1"/>
  <c r="U923" i="1" s="1"/>
  <c r="L922" i="1"/>
  <c r="U922" i="1" s="1" a="1"/>
  <c r="U922" i="1" s="1"/>
  <c r="L921" i="1"/>
  <c r="U921" i="1" s="1" a="1"/>
  <c r="U921" i="1" s="1"/>
  <c r="L920" i="1"/>
  <c r="U920" i="1" s="1" a="1"/>
  <c r="U920" i="1" s="1"/>
  <c r="L919" i="1"/>
  <c r="U919" i="1" s="1" a="1"/>
  <c r="U919" i="1" s="1"/>
  <c r="L918" i="1"/>
  <c r="U918" i="1" s="1" a="1"/>
  <c r="U918" i="1" s="1"/>
  <c r="L917" i="1"/>
  <c r="U917" i="1" s="1" a="1"/>
  <c r="U917" i="1" s="1"/>
  <c r="L916" i="1"/>
  <c r="U916" i="1" s="1" a="1"/>
  <c r="U916" i="1" s="1"/>
  <c r="L915" i="1"/>
  <c r="U915" i="1" s="1" a="1"/>
  <c r="U915" i="1" s="1"/>
  <c r="L914" i="1"/>
  <c r="U914" i="1" s="1" a="1"/>
  <c r="U914" i="1" s="1"/>
  <c r="L913" i="1"/>
  <c r="U913" i="1" s="1" a="1"/>
  <c r="U913" i="1" s="1"/>
  <c r="L912" i="1"/>
  <c r="U912" i="1" s="1" a="1"/>
  <c r="U912" i="1" s="1"/>
  <c r="L911" i="1"/>
  <c r="U911" i="1" s="1" a="1"/>
  <c r="U911" i="1" s="1"/>
  <c r="L910" i="1"/>
  <c r="U910" i="1" s="1" a="1"/>
  <c r="U910" i="1" s="1"/>
  <c r="L909" i="1"/>
  <c r="U909" i="1" s="1" a="1"/>
  <c r="U909" i="1" s="1"/>
  <c r="L908" i="1"/>
  <c r="U908" i="1" s="1" a="1"/>
  <c r="U908" i="1" s="1"/>
  <c r="L907" i="1"/>
  <c r="U907" i="1" s="1" a="1"/>
  <c r="U907" i="1" s="1"/>
  <c r="L906" i="1"/>
  <c r="U906" i="1" s="1" a="1"/>
  <c r="U906" i="1" s="1"/>
  <c r="L905" i="1"/>
  <c r="U905" i="1" s="1" a="1"/>
  <c r="U905" i="1" s="1"/>
  <c r="L904" i="1"/>
  <c r="U904" i="1" s="1" a="1"/>
  <c r="U904" i="1" s="1"/>
  <c r="L903" i="1"/>
  <c r="U903" i="1" s="1" a="1"/>
  <c r="U903" i="1" s="1"/>
  <c r="L902" i="1"/>
  <c r="U902" i="1" s="1" a="1"/>
  <c r="U902" i="1" s="1"/>
  <c r="L901" i="1"/>
  <c r="U901" i="1" s="1" a="1"/>
  <c r="U901" i="1" s="1"/>
  <c r="L900" i="1"/>
  <c r="U900" i="1" s="1" a="1"/>
  <c r="U900" i="1" s="1"/>
  <c r="L899" i="1"/>
  <c r="U899" i="1" s="1" a="1"/>
  <c r="U899" i="1" s="1"/>
  <c r="L898" i="1"/>
  <c r="U898" i="1" s="1" a="1"/>
  <c r="U898" i="1" s="1"/>
  <c r="L897" i="1"/>
  <c r="U897" i="1" s="1" a="1"/>
  <c r="U897" i="1" s="1"/>
  <c r="L896" i="1"/>
  <c r="U896" i="1" s="1" a="1"/>
  <c r="U896" i="1" s="1"/>
  <c r="L895" i="1"/>
  <c r="U895" i="1" s="1" a="1"/>
  <c r="U895" i="1" s="1"/>
  <c r="L894" i="1"/>
  <c r="U894" i="1" s="1" a="1"/>
  <c r="U894" i="1" s="1"/>
  <c r="L893" i="1"/>
  <c r="U893" i="1" s="1" a="1"/>
  <c r="U893" i="1" s="1"/>
  <c r="L892" i="1"/>
  <c r="U892" i="1" s="1" a="1"/>
  <c r="U892" i="1" s="1"/>
  <c r="L891" i="1"/>
  <c r="U891" i="1" s="1" a="1"/>
  <c r="U891" i="1" s="1"/>
  <c r="L890" i="1"/>
  <c r="U890" i="1" s="1" a="1"/>
  <c r="U890" i="1" s="1"/>
  <c r="L889" i="1"/>
  <c r="U889" i="1" s="1" a="1"/>
  <c r="U889" i="1" s="1"/>
  <c r="L888" i="1"/>
  <c r="U888" i="1" s="1" a="1"/>
  <c r="U888" i="1" s="1"/>
  <c r="L887" i="1"/>
  <c r="U887" i="1" s="1" a="1"/>
  <c r="U887" i="1" s="1"/>
  <c r="L886" i="1"/>
  <c r="U886" i="1" s="1" a="1"/>
  <c r="U886" i="1" s="1"/>
  <c r="L885" i="1"/>
  <c r="U885" i="1" s="1" a="1"/>
  <c r="U885" i="1" s="1"/>
  <c r="L884" i="1"/>
  <c r="U884" i="1" s="1" a="1"/>
  <c r="U884" i="1" s="1"/>
  <c r="L883" i="1"/>
  <c r="U883" i="1" s="1" a="1"/>
  <c r="U883" i="1" s="1"/>
  <c r="L882" i="1"/>
  <c r="U882" i="1" s="1" a="1"/>
  <c r="U882" i="1" s="1"/>
  <c r="L881" i="1"/>
  <c r="U881" i="1" s="1" a="1"/>
  <c r="U881" i="1" s="1"/>
  <c r="L880" i="1"/>
  <c r="U880" i="1" s="1" a="1"/>
  <c r="U880" i="1" s="1"/>
  <c r="L879" i="1"/>
  <c r="U879" i="1" s="1" a="1"/>
  <c r="U879" i="1" s="1"/>
  <c r="L878" i="1"/>
  <c r="U878" i="1" s="1" a="1"/>
  <c r="U878" i="1" s="1"/>
  <c r="L877" i="1"/>
  <c r="U877" i="1" s="1" a="1"/>
  <c r="U877" i="1" s="1"/>
  <c r="L876" i="1"/>
  <c r="U876" i="1" s="1" a="1"/>
  <c r="U876" i="1" s="1"/>
  <c r="L875" i="1"/>
  <c r="U875" i="1" s="1" a="1"/>
  <c r="U875" i="1" s="1"/>
  <c r="L874" i="1"/>
  <c r="U874" i="1" s="1" a="1"/>
  <c r="U874" i="1" s="1"/>
  <c r="L873" i="1"/>
  <c r="U873" i="1" s="1" a="1"/>
  <c r="U873" i="1" s="1"/>
  <c r="L872" i="1"/>
  <c r="U872" i="1" s="1" a="1"/>
  <c r="U872" i="1" s="1"/>
  <c r="L871" i="1"/>
  <c r="U871" i="1" s="1" a="1"/>
  <c r="U871" i="1" s="1"/>
  <c r="L870" i="1"/>
  <c r="U870" i="1" s="1" a="1"/>
  <c r="U870" i="1" s="1"/>
  <c r="L869" i="1"/>
  <c r="U869" i="1" s="1" a="1"/>
  <c r="U869" i="1" s="1"/>
  <c r="L868" i="1"/>
  <c r="U868" i="1" s="1" a="1"/>
  <c r="U868" i="1" s="1"/>
  <c r="L867" i="1"/>
  <c r="U867" i="1" s="1" a="1"/>
  <c r="U867" i="1" s="1"/>
  <c r="L866" i="1"/>
  <c r="U866" i="1" s="1" a="1"/>
  <c r="U866" i="1" s="1"/>
  <c r="L865" i="1"/>
  <c r="U865" i="1" s="1" a="1"/>
  <c r="U865" i="1" s="1"/>
  <c r="L864" i="1"/>
  <c r="U864" i="1" s="1" a="1"/>
  <c r="U864" i="1" s="1"/>
  <c r="L863" i="1"/>
  <c r="U863" i="1" s="1" a="1"/>
  <c r="U863" i="1" s="1"/>
  <c r="L862" i="1"/>
  <c r="U862" i="1" s="1" a="1"/>
  <c r="U862" i="1" s="1"/>
  <c r="L861" i="1"/>
  <c r="U861" i="1" s="1" a="1"/>
  <c r="U861" i="1" s="1"/>
  <c r="L860" i="1"/>
  <c r="U860" i="1" s="1" a="1"/>
  <c r="U860" i="1" s="1"/>
  <c r="L859" i="1"/>
  <c r="U859" i="1" s="1" a="1"/>
  <c r="U859" i="1" s="1"/>
  <c r="L858" i="1"/>
  <c r="U858" i="1" s="1" a="1"/>
  <c r="U858" i="1" s="1"/>
  <c r="L857" i="1"/>
  <c r="U857" i="1" s="1" a="1"/>
  <c r="U857" i="1" s="1"/>
  <c r="L856" i="1"/>
  <c r="U856" i="1" s="1" a="1"/>
  <c r="U856" i="1" s="1"/>
  <c r="L855" i="1"/>
  <c r="U855" i="1" s="1" a="1"/>
  <c r="U855" i="1" s="1"/>
  <c r="L854" i="1"/>
  <c r="U854" i="1" s="1" a="1"/>
  <c r="U854" i="1" s="1"/>
  <c r="L853" i="1"/>
  <c r="U853" i="1" s="1" a="1"/>
  <c r="U853" i="1" s="1"/>
  <c r="L852" i="1"/>
  <c r="U852" i="1" s="1" a="1"/>
  <c r="U852" i="1" s="1"/>
  <c r="L851" i="1"/>
  <c r="U851" i="1" s="1" a="1"/>
  <c r="U851" i="1" s="1"/>
  <c r="L850" i="1"/>
  <c r="U850" i="1" s="1" a="1"/>
  <c r="U850" i="1" s="1"/>
  <c r="L849" i="1"/>
  <c r="U849" i="1" s="1" a="1"/>
  <c r="U849" i="1" s="1"/>
  <c r="L848" i="1"/>
  <c r="U848" i="1" s="1" a="1"/>
  <c r="U848" i="1" s="1"/>
  <c r="L847" i="1"/>
  <c r="U847" i="1" s="1" a="1"/>
  <c r="U847" i="1" s="1"/>
  <c r="L846" i="1"/>
  <c r="U846" i="1" s="1" a="1"/>
  <c r="U846" i="1" s="1"/>
  <c r="L845" i="1"/>
  <c r="U845" i="1" s="1" a="1"/>
  <c r="U845" i="1" s="1"/>
  <c r="L844" i="1"/>
  <c r="U844" i="1" s="1" a="1"/>
  <c r="U844" i="1" s="1"/>
  <c r="L843" i="1"/>
  <c r="U843" i="1" s="1" a="1"/>
  <c r="U843" i="1" s="1"/>
  <c r="L842" i="1"/>
  <c r="U842" i="1" s="1" a="1"/>
  <c r="U842" i="1" s="1"/>
  <c r="L841" i="1"/>
  <c r="U841" i="1" s="1" a="1"/>
  <c r="U841" i="1" s="1"/>
  <c r="L840" i="1"/>
  <c r="U840" i="1" s="1" a="1"/>
  <c r="U840" i="1" s="1"/>
  <c r="L839" i="1"/>
  <c r="U839" i="1" s="1" a="1"/>
  <c r="U839" i="1" s="1"/>
  <c r="L838" i="1"/>
  <c r="U838" i="1" s="1" a="1"/>
  <c r="U838" i="1" s="1"/>
  <c r="L837" i="1"/>
  <c r="U837" i="1" s="1" a="1"/>
  <c r="U837" i="1" s="1"/>
  <c r="L836" i="1"/>
  <c r="U836" i="1" s="1" a="1"/>
  <c r="U836" i="1" s="1"/>
  <c r="L835" i="1"/>
  <c r="U835" i="1" s="1" a="1"/>
  <c r="U835" i="1" s="1"/>
  <c r="L834" i="1"/>
  <c r="U834" i="1" s="1" a="1"/>
  <c r="U834" i="1" s="1"/>
  <c r="L833" i="1"/>
  <c r="U833" i="1" s="1" a="1"/>
  <c r="U833" i="1" s="1"/>
  <c r="L832" i="1"/>
  <c r="U832" i="1" s="1" a="1"/>
  <c r="U832" i="1" s="1"/>
  <c r="L831" i="1"/>
  <c r="U831" i="1" s="1" a="1"/>
  <c r="U831" i="1" s="1"/>
  <c r="L830" i="1"/>
  <c r="U830" i="1" s="1" a="1"/>
  <c r="U830" i="1" s="1"/>
  <c r="L829" i="1"/>
  <c r="U829" i="1" s="1" a="1"/>
  <c r="U829" i="1" s="1"/>
  <c r="L828" i="1"/>
  <c r="U828" i="1" s="1" a="1"/>
  <c r="U828" i="1" s="1"/>
  <c r="L827" i="1"/>
  <c r="U827" i="1" s="1" a="1"/>
  <c r="U827" i="1" s="1"/>
  <c r="L826" i="1"/>
  <c r="U826" i="1" s="1" a="1"/>
  <c r="U826" i="1" s="1"/>
  <c r="L825" i="1"/>
  <c r="U825" i="1" s="1" a="1"/>
  <c r="U825" i="1" s="1"/>
  <c r="L824" i="1"/>
  <c r="U824" i="1" s="1" a="1"/>
  <c r="U824" i="1" s="1"/>
  <c r="L823" i="1"/>
  <c r="U823" i="1" s="1" a="1"/>
  <c r="U823" i="1" s="1"/>
  <c r="L822" i="1"/>
  <c r="U822" i="1" s="1" a="1"/>
  <c r="U822" i="1" s="1"/>
  <c r="L821" i="1"/>
  <c r="U821" i="1" s="1" a="1"/>
  <c r="U821" i="1" s="1"/>
  <c r="L820" i="1"/>
  <c r="U820" i="1" s="1" a="1"/>
  <c r="U820" i="1" s="1"/>
  <c r="L819" i="1"/>
  <c r="U819" i="1" s="1" a="1"/>
  <c r="U819" i="1" s="1"/>
  <c r="L818" i="1"/>
  <c r="U818" i="1" s="1" a="1"/>
  <c r="U818" i="1" s="1"/>
  <c r="L817" i="1"/>
  <c r="U817" i="1" s="1" a="1"/>
  <c r="U817" i="1" s="1"/>
  <c r="L816" i="1"/>
  <c r="U816" i="1" s="1" a="1"/>
  <c r="U816" i="1" s="1"/>
  <c r="L815" i="1"/>
  <c r="U815" i="1" s="1" a="1"/>
  <c r="U815" i="1" s="1"/>
  <c r="L814" i="1"/>
  <c r="U814" i="1" s="1" a="1"/>
  <c r="U814" i="1" s="1"/>
  <c r="L813" i="1"/>
  <c r="U813" i="1" s="1" a="1"/>
  <c r="U813" i="1" s="1"/>
  <c r="L812" i="1"/>
  <c r="U812" i="1" s="1" a="1"/>
  <c r="U812" i="1" s="1"/>
  <c r="L811" i="1"/>
  <c r="U811" i="1" s="1" a="1"/>
  <c r="U811" i="1" s="1"/>
  <c r="L810" i="1"/>
  <c r="U810" i="1" s="1" a="1"/>
  <c r="U810" i="1" s="1"/>
  <c r="L809" i="1"/>
  <c r="U809" i="1" s="1" a="1"/>
  <c r="U809" i="1" s="1"/>
  <c r="L808" i="1"/>
  <c r="U808" i="1" s="1" a="1"/>
  <c r="U808" i="1" s="1"/>
  <c r="L807" i="1"/>
  <c r="U807" i="1" s="1" a="1"/>
  <c r="U807" i="1" s="1"/>
  <c r="L806" i="1"/>
  <c r="U806" i="1" s="1" a="1"/>
  <c r="U806" i="1" s="1"/>
  <c r="L805" i="1"/>
  <c r="U805" i="1" s="1" a="1"/>
  <c r="U805" i="1" s="1"/>
  <c r="L804" i="1"/>
  <c r="U804" i="1" s="1" a="1"/>
  <c r="U804" i="1" s="1"/>
  <c r="L803" i="1"/>
  <c r="U803" i="1" s="1" a="1"/>
  <c r="U803" i="1" s="1"/>
  <c r="L802" i="1"/>
  <c r="U802" i="1" s="1" a="1"/>
  <c r="U802" i="1" s="1"/>
  <c r="L801" i="1"/>
  <c r="U801" i="1" s="1" a="1"/>
  <c r="U801" i="1" s="1"/>
  <c r="L800" i="1"/>
  <c r="U800" i="1" s="1" a="1"/>
  <c r="U800" i="1" s="1"/>
  <c r="L799" i="1"/>
  <c r="U799" i="1" s="1" a="1"/>
  <c r="U799" i="1" s="1"/>
  <c r="L798" i="1"/>
  <c r="U798" i="1" s="1" a="1"/>
  <c r="U798" i="1" s="1"/>
  <c r="L797" i="1"/>
  <c r="U797" i="1" s="1" a="1"/>
  <c r="U797" i="1" s="1"/>
  <c r="L796" i="1"/>
  <c r="U796" i="1" s="1" a="1"/>
  <c r="U796" i="1" s="1"/>
  <c r="L795" i="1"/>
  <c r="U795" i="1" s="1" a="1"/>
  <c r="U795" i="1" s="1"/>
  <c r="L794" i="1"/>
  <c r="U794" i="1" s="1" a="1"/>
  <c r="U794" i="1" s="1"/>
  <c r="L793" i="1"/>
  <c r="U793" i="1" s="1" a="1"/>
  <c r="U793" i="1" s="1"/>
  <c r="L792" i="1"/>
  <c r="U792" i="1" s="1" a="1"/>
  <c r="U792" i="1" s="1"/>
  <c r="L791" i="1"/>
  <c r="U791" i="1" s="1" a="1"/>
  <c r="U791" i="1" s="1"/>
  <c r="L790" i="1"/>
  <c r="U790" i="1" s="1" a="1"/>
  <c r="U790" i="1" s="1"/>
  <c r="L789" i="1"/>
  <c r="U789" i="1" s="1" a="1"/>
  <c r="U789" i="1" s="1"/>
  <c r="L788" i="1"/>
  <c r="U788" i="1" s="1" a="1"/>
  <c r="U788" i="1" s="1"/>
  <c r="L787" i="1"/>
  <c r="U787" i="1" s="1" a="1"/>
  <c r="U787" i="1" s="1"/>
  <c r="L786" i="1"/>
  <c r="U786" i="1" s="1" a="1"/>
  <c r="U786" i="1" s="1"/>
  <c r="L785" i="1"/>
  <c r="U785" i="1" s="1" a="1"/>
  <c r="U785" i="1" s="1"/>
  <c r="L784" i="1"/>
  <c r="U784" i="1" s="1" a="1"/>
  <c r="U784" i="1" s="1"/>
  <c r="L783" i="1"/>
  <c r="U783" i="1" s="1" a="1"/>
  <c r="U783" i="1" s="1"/>
  <c r="L782" i="1"/>
  <c r="U782" i="1" s="1" a="1"/>
  <c r="U782" i="1" s="1"/>
  <c r="L781" i="1"/>
  <c r="U781" i="1" s="1" a="1"/>
  <c r="U781" i="1" s="1"/>
  <c r="L780" i="1"/>
  <c r="U780" i="1" s="1" a="1"/>
  <c r="U780" i="1" s="1"/>
  <c r="L779" i="1"/>
  <c r="U779" i="1" s="1" a="1"/>
  <c r="U779" i="1" s="1"/>
  <c r="L778" i="1"/>
  <c r="U778" i="1" s="1" a="1"/>
  <c r="U778" i="1" s="1"/>
  <c r="L777" i="1"/>
  <c r="U777" i="1" s="1" a="1"/>
  <c r="U777" i="1" s="1"/>
  <c r="L776" i="1"/>
  <c r="U776" i="1" s="1" a="1"/>
  <c r="U776" i="1" s="1"/>
  <c r="L775" i="1"/>
  <c r="U775" i="1" s="1" a="1"/>
  <c r="U775" i="1" s="1"/>
  <c r="L774" i="1"/>
  <c r="U774" i="1" s="1" a="1"/>
  <c r="U774" i="1" s="1"/>
  <c r="L773" i="1"/>
  <c r="U773" i="1" s="1" a="1"/>
  <c r="U773" i="1" s="1"/>
  <c r="L772" i="1"/>
  <c r="U772" i="1" s="1" a="1"/>
  <c r="U772" i="1" s="1"/>
  <c r="L771" i="1"/>
  <c r="U771" i="1" s="1" a="1"/>
  <c r="U771" i="1" s="1"/>
  <c r="L770" i="1"/>
  <c r="U770" i="1" s="1" a="1"/>
  <c r="U770" i="1" s="1"/>
  <c r="L769" i="1"/>
  <c r="U769" i="1" s="1" a="1"/>
  <c r="U769" i="1" s="1"/>
  <c r="L768" i="1"/>
  <c r="U768" i="1" s="1" a="1"/>
  <c r="U768" i="1" s="1"/>
  <c r="L767" i="1"/>
  <c r="U767" i="1" s="1" a="1"/>
  <c r="U767" i="1" s="1"/>
  <c r="L766" i="1"/>
  <c r="U766" i="1" s="1" a="1"/>
  <c r="U766" i="1" s="1"/>
  <c r="L765" i="1"/>
  <c r="U765" i="1" s="1" a="1"/>
  <c r="U765" i="1" s="1"/>
  <c r="L764" i="1"/>
  <c r="U764" i="1" s="1" a="1"/>
  <c r="U764" i="1" s="1"/>
  <c r="L763" i="1"/>
  <c r="U763" i="1" s="1" a="1"/>
  <c r="U763" i="1" s="1"/>
  <c r="L762" i="1"/>
  <c r="U762" i="1" s="1" a="1"/>
  <c r="U762" i="1" s="1"/>
  <c r="L761" i="1"/>
  <c r="U761" i="1" s="1" a="1"/>
  <c r="U761" i="1" s="1"/>
  <c r="L760" i="1"/>
  <c r="U760" i="1" s="1" a="1"/>
  <c r="U760" i="1" s="1"/>
  <c r="L759" i="1"/>
  <c r="U759" i="1" s="1" a="1"/>
  <c r="U759" i="1" s="1"/>
  <c r="L758" i="1"/>
  <c r="U758" i="1" s="1" a="1"/>
  <c r="U758" i="1" s="1"/>
  <c r="L757" i="1"/>
  <c r="U757" i="1" s="1" a="1"/>
  <c r="U757" i="1" s="1"/>
  <c r="L756" i="1"/>
  <c r="U756" i="1" s="1" a="1"/>
  <c r="U756" i="1" s="1"/>
  <c r="L755" i="1"/>
  <c r="U755" i="1" s="1" a="1"/>
  <c r="U755" i="1" s="1"/>
  <c r="L754" i="1"/>
  <c r="U754" i="1" s="1" a="1"/>
  <c r="U754" i="1" s="1"/>
  <c r="L753" i="1"/>
  <c r="U753" i="1" s="1" a="1"/>
  <c r="U753" i="1" s="1"/>
  <c r="L752" i="1"/>
  <c r="U752" i="1" s="1" a="1"/>
  <c r="U752" i="1" s="1"/>
  <c r="L751" i="1"/>
  <c r="U751" i="1" s="1" a="1"/>
  <c r="U751" i="1" s="1"/>
  <c r="L750" i="1"/>
  <c r="U750" i="1" s="1" a="1"/>
  <c r="U750" i="1" s="1"/>
  <c r="L749" i="1"/>
  <c r="U749" i="1" s="1" a="1"/>
  <c r="U749" i="1" s="1"/>
  <c r="L748" i="1"/>
  <c r="U748" i="1" s="1" a="1"/>
  <c r="U748" i="1" s="1"/>
  <c r="L747" i="1"/>
  <c r="U747" i="1" s="1" a="1"/>
  <c r="U747" i="1" s="1"/>
  <c r="L746" i="1"/>
  <c r="U746" i="1" s="1" a="1"/>
  <c r="U746" i="1" s="1"/>
  <c r="L745" i="1"/>
  <c r="U745" i="1" s="1" a="1"/>
  <c r="U745" i="1" s="1"/>
  <c r="L744" i="1"/>
  <c r="U744" i="1" s="1" a="1"/>
  <c r="U744" i="1" s="1"/>
  <c r="L743" i="1"/>
  <c r="U743" i="1" s="1" a="1"/>
  <c r="U743" i="1" s="1"/>
  <c r="L742" i="1"/>
  <c r="U742" i="1" s="1" a="1"/>
  <c r="U742" i="1" s="1"/>
  <c r="L741" i="1"/>
  <c r="U741" i="1" s="1" a="1"/>
  <c r="U741" i="1" s="1"/>
  <c r="L740" i="1"/>
  <c r="U740" i="1" s="1" a="1"/>
  <c r="U740" i="1" s="1"/>
  <c r="L739" i="1"/>
  <c r="U739" i="1" s="1" a="1"/>
  <c r="U739" i="1" s="1"/>
  <c r="L738" i="1"/>
  <c r="U738" i="1" s="1" a="1"/>
  <c r="U738" i="1" s="1"/>
  <c r="L737" i="1"/>
  <c r="U737" i="1" s="1" a="1"/>
  <c r="U737" i="1" s="1"/>
  <c r="L736" i="1"/>
  <c r="U736" i="1" s="1" a="1"/>
  <c r="U736" i="1" s="1"/>
  <c r="L735" i="1"/>
  <c r="U735" i="1" s="1" a="1"/>
  <c r="U735" i="1" s="1"/>
  <c r="L734" i="1"/>
  <c r="U734" i="1" s="1" a="1"/>
  <c r="U734" i="1" s="1"/>
  <c r="L733" i="1"/>
  <c r="U733" i="1" s="1" a="1"/>
  <c r="U733" i="1" s="1"/>
  <c r="L732" i="1"/>
  <c r="U732" i="1" s="1" a="1"/>
  <c r="U732" i="1" s="1"/>
  <c r="L731" i="1"/>
  <c r="U731" i="1" s="1" a="1"/>
  <c r="U731" i="1" s="1"/>
  <c r="L730" i="1"/>
  <c r="U730" i="1" s="1" a="1"/>
  <c r="U730" i="1" s="1"/>
  <c r="L729" i="1"/>
  <c r="U729" i="1" s="1" a="1"/>
  <c r="U729" i="1" s="1"/>
  <c r="L728" i="1"/>
  <c r="U728" i="1" s="1" a="1"/>
  <c r="U728" i="1" s="1"/>
  <c r="L727" i="1"/>
  <c r="U727" i="1" s="1" a="1"/>
  <c r="U727" i="1" s="1"/>
  <c r="L726" i="1"/>
  <c r="U726" i="1" s="1" a="1"/>
  <c r="U726" i="1" s="1"/>
  <c r="L725" i="1"/>
  <c r="U725" i="1" s="1" a="1"/>
  <c r="U725" i="1" s="1"/>
  <c r="L724" i="1"/>
  <c r="U724" i="1" s="1" a="1"/>
  <c r="U724" i="1" s="1"/>
  <c r="L723" i="1"/>
  <c r="U723" i="1" s="1" a="1"/>
  <c r="U723" i="1" s="1"/>
  <c r="L722" i="1"/>
  <c r="U722" i="1" s="1" a="1"/>
  <c r="U722" i="1" s="1"/>
  <c r="L721" i="1"/>
  <c r="U721" i="1" s="1" a="1"/>
  <c r="U721" i="1" s="1"/>
  <c r="L720" i="1"/>
  <c r="U720" i="1" s="1" a="1"/>
  <c r="U720" i="1" s="1"/>
  <c r="L719" i="1"/>
  <c r="U719" i="1" s="1" a="1"/>
  <c r="U719" i="1" s="1"/>
  <c r="L718" i="1"/>
  <c r="U718" i="1" s="1" a="1"/>
  <c r="U718" i="1" s="1"/>
  <c r="L717" i="1"/>
  <c r="U717" i="1" s="1" a="1"/>
  <c r="U717" i="1" s="1"/>
  <c r="L716" i="1"/>
  <c r="U716" i="1" s="1" a="1"/>
  <c r="U716" i="1" s="1"/>
  <c r="L715" i="1"/>
  <c r="U715" i="1" s="1" a="1"/>
  <c r="U715" i="1" s="1"/>
  <c r="L714" i="1"/>
  <c r="U714" i="1" s="1" a="1"/>
  <c r="U714" i="1" s="1"/>
  <c r="L713" i="1"/>
  <c r="U713" i="1" s="1" a="1"/>
  <c r="U713" i="1" s="1"/>
  <c r="L712" i="1"/>
  <c r="U712" i="1" s="1" a="1"/>
  <c r="U712" i="1" s="1"/>
  <c r="L711" i="1"/>
  <c r="U711" i="1" s="1" a="1"/>
  <c r="U711" i="1" s="1"/>
  <c r="L710" i="1"/>
  <c r="U710" i="1" s="1" a="1"/>
  <c r="U710" i="1" s="1"/>
  <c r="L709" i="1"/>
  <c r="U709" i="1" s="1" a="1"/>
  <c r="U709" i="1" s="1"/>
  <c r="L708" i="1"/>
  <c r="U708" i="1" s="1" a="1"/>
  <c r="U708" i="1" s="1"/>
  <c r="L707" i="1"/>
  <c r="U707" i="1" s="1" a="1"/>
  <c r="U707" i="1" s="1"/>
  <c r="L706" i="1"/>
  <c r="U706" i="1" s="1" a="1"/>
  <c r="U706" i="1" s="1"/>
  <c r="L705" i="1"/>
  <c r="U705" i="1" s="1" a="1"/>
  <c r="U705" i="1" s="1"/>
  <c r="L704" i="1"/>
  <c r="U704" i="1" s="1" a="1"/>
  <c r="U704" i="1" s="1"/>
  <c r="L703" i="1"/>
  <c r="U703" i="1" s="1" a="1"/>
  <c r="U703" i="1" s="1"/>
  <c r="L702" i="1"/>
  <c r="U702" i="1" s="1" a="1"/>
  <c r="U702" i="1" s="1"/>
  <c r="L701" i="1"/>
  <c r="U701" i="1" s="1" a="1"/>
  <c r="U701" i="1" s="1"/>
  <c r="L700" i="1"/>
  <c r="U700" i="1" s="1" a="1"/>
  <c r="U700" i="1" s="1"/>
  <c r="L699" i="1"/>
  <c r="U699" i="1" s="1" a="1"/>
  <c r="U699" i="1" s="1"/>
  <c r="L698" i="1"/>
  <c r="U698" i="1" s="1" a="1"/>
  <c r="U698" i="1" s="1"/>
  <c r="L697" i="1"/>
  <c r="U697" i="1" s="1" a="1"/>
  <c r="U697" i="1" s="1"/>
  <c r="L696" i="1"/>
  <c r="U696" i="1" s="1" a="1"/>
  <c r="U696" i="1" s="1"/>
  <c r="L695" i="1"/>
  <c r="U695" i="1" s="1" a="1"/>
  <c r="U695" i="1" s="1"/>
  <c r="L694" i="1"/>
  <c r="U694" i="1" s="1" a="1"/>
  <c r="U694" i="1" s="1"/>
  <c r="L693" i="1"/>
  <c r="U693" i="1" s="1" a="1"/>
  <c r="U693" i="1" s="1"/>
  <c r="L692" i="1"/>
  <c r="U692" i="1" s="1" a="1"/>
  <c r="U692" i="1" s="1"/>
  <c r="L691" i="1"/>
  <c r="U691" i="1" s="1" a="1"/>
  <c r="U691" i="1" s="1"/>
  <c r="L690" i="1"/>
  <c r="U690" i="1" s="1" a="1"/>
  <c r="U690" i="1" s="1"/>
  <c r="L689" i="1"/>
  <c r="U689" i="1" s="1" a="1"/>
  <c r="U689" i="1" s="1"/>
  <c r="L688" i="1"/>
  <c r="U688" i="1" s="1" a="1"/>
  <c r="U688" i="1" s="1"/>
  <c r="L687" i="1"/>
  <c r="U687" i="1" s="1" a="1"/>
  <c r="U687" i="1" s="1"/>
  <c r="L686" i="1"/>
  <c r="U686" i="1" s="1" a="1"/>
  <c r="U686" i="1" s="1"/>
  <c r="L685" i="1"/>
  <c r="U685" i="1" s="1" a="1"/>
  <c r="U685" i="1" s="1"/>
  <c r="L684" i="1"/>
  <c r="U684" i="1" s="1" a="1"/>
  <c r="U684" i="1" s="1"/>
  <c r="L683" i="1"/>
  <c r="U683" i="1" s="1" a="1"/>
  <c r="U683" i="1" s="1"/>
  <c r="L682" i="1"/>
  <c r="U682" i="1" s="1" a="1"/>
  <c r="U682" i="1" s="1"/>
  <c r="L681" i="1"/>
  <c r="U681" i="1" s="1" a="1"/>
  <c r="U681" i="1" s="1"/>
  <c r="L680" i="1"/>
  <c r="U680" i="1" s="1" a="1"/>
  <c r="U680" i="1" s="1"/>
  <c r="L679" i="1"/>
  <c r="U679" i="1" s="1" a="1"/>
  <c r="U679" i="1" s="1"/>
  <c r="L678" i="1"/>
  <c r="U678" i="1" s="1" a="1"/>
  <c r="U678" i="1" s="1"/>
  <c r="L677" i="1"/>
  <c r="U677" i="1" s="1" a="1"/>
  <c r="U677" i="1" s="1"/>
  <c r="L676" i="1"/>
  <c r="U676" i="1" s="1" a="1"/>
  <c r="U676" i="1" s="1"/>
  <c r="L675" i="1"/>
  <c r="U675" i="1" s="1" a="1"/>
  <c r="U675" i="1" s="1"/>
  <c r="L674" i="1"/>
  <c r="U674" i="1" s="1" a="1"/>
  <c r="U674" i="1" s="1"/>
  <c r="L673" i="1"/>
  <c r="U673" i="1" s="1" a="1"/>
  <c r="U673" i="1" s="1"/>
  <c r="L672" i="1"/>
  <c r="U672" i="1" s="1" a="1"/>
  <c r="U672" i="1" s="1"/>
  <c r="L671" i="1"/>
  <c r="U671" i="1" s="1" a="1"/>
  <c r="U671" i="1" s="1"/>
  <c r="L670" i="1"/>
  <c r="U670" i="1" s="1" a="1"/>
  <c r="U670" i="1" s="1"/>
  <c r="L669" i="1"/>
  <c r="U669" i="1" s="1" a="1"/>
  <c r="U669" i="1" s="1"/>
  <c r="L668" i="1"/>
  <c r="U668" i="1" s="1" a="1"/>
  <c r="U668" i="1" s="1"/>
  <c r="L667" i="1"/>
  <c r="U667" i="1" s="1" a="1"/>
  <c r="U667" i="1" s="1"/>
  <c r="L666" i="1"/>
  <c r="U666" i="1" s="1" a="1"/>
  <c r="U666" i="1" s="1"/>
  <c r="L665" i="1"/>
  <c r="U665" i="1" s="1" a="1"/>
  <c r="U665" i="1" s="1"/>
  <c r="L664" i="1"/>
  <c r="U664" i="1" s="1" a="1"/>
  <c r="U664" i="1" s="1"/>
  <c r="L663" i="1"/>
  <c r="U663" i="1" s="1" a="1"/>
  <c r="U663" i="1" s="1"/>
  <c r="L662" i="1"/>
  <c r="U662" i="1" s="1" a="1"/>
  <c r="U662" i="1" s="1"/>
  <c r="L661" i="1"/>
  <c r="U661" i="1" s="1" a="1"/>
  <c r="U661" i="1" s="1"/>
  <c r="L660" i="1"/>
  <c r="U660" i="1" s="1" a="1"/>
  <c r="U660" i="1" s="1"/>
  <c r="L659" i="1"/>
  <c r="U659" i="1" s="1" a="1"/>
  <c r="U659" i="1" s="1"/>
  <c r="L658" i="1"/>
  <c r="U658" i="1" s="1" a="1"/>
  <c r="U658" i="1" s="1"/>
  <c r="L657" i="1"/>
  <c r="U657" i="1" s="1" a="1"/>
  <c r="U657" i="1" s="1"/>
  <c r="L656" i="1"/>
  <c r="U656" i="1" s="1" a="1"/>
  <c r="U656" i="1" s="1"/>
  <c r="L655" i="1"/>
  <c r="U655" i="1" s="1" a="1"/>
  <c r="U655" i="1" s="1"/>
  <c r="L654" i="1"/>
  <c r="U654" i="1" s="1" a="1"/>
  <c r="U654" i="1" s="1"/>
  <c r="L653" i="1"/>
  <c r="U653" i="1" s="1" a="1"/>
  <c r="U653" i="1" s="1"/>
  <c r="L652" i="1"/>
  <c r="U652" i="1" s="1" a="1"/>
  <c r="U652" i="1" s="1"/>
  <c r="L651" i="1"/>
  <c r="U651" i="1" s="1" a="1"/>
  <c r="U651" i="1" s="1"/>
  <c r="L650" i="1"/>
  <c r="U650" i="1" s="1" a="1"/>
  <c r="U650" i="1" s="1"/>
  <c r="L649" i="1"/>
  <c r="U649" i="1" s="1" a="1"/>
  <c r="U649" i="1" s="1"/>
  <c r="L648" i="1"/>
  <c r="U648" i="1" s="1" a="1"/>
  <c r="U648" i="1" s="1"/>
  <c r="L647" i="1"/>
  <c r="U647" i="1" s="1" a="1"/>
  <c r="U647" i="1" s="1"/>
  <c r="L646" i="1"/>
  <c r="U646" i="1" s="1" a="1"/>
  <c r="U646" i="1" s="1"/>
  <c r="L645" i="1"/>
  <c r="U645" i="1" s="1" a="1"/>
  <c r="U645" i="1" s="1"/>
  <c r="L644" i="1"/>
  <c r="U644" i="1" s="1" a="1"/>
  <c r="U644" i="1" s="1"/>
  <c r="L643" i="1"/>
  <c r="U643" i="1" s="1" a="1"/>
  <c r="U643" i="1" s="1"/>
  <c r="L642" i="1"/>
  <c r="U642" i="1" s="1" a="1"/>
  <c r="U642" i="1" s="1"/>
  <c r="L641" i="1"/>
  <c r="U641" i="1" s="1" a="1"/>
  <c r="U641" i="1" s="1"/>
  <c r="L640" i="1"/>
  <c r="U640" i="1" s="1" a="1"/>
  <c r="U640" i="1" s="1"/>
  <c r="L639" i="1"/>
  <c r="U639" i="1" s="1" a="1"/>
  <c r="U639" i="1" s="1"/>
  <c r="L638" i="1"/>
  <c r="U638" i="1" s="1" a="1"/>
  <c r="U638" i="1" s="1"/>
  <c r="L637" i="1"/>
  <c r="U637" i="1" s="1" a="1"/>
  <c r="U637" i="1" s="1"/>
  <c r="L636" i="1"/>
  <c r="U636" i="1" s="1" a="1"/>
  <c r="U636" i="1" s="1"/>
  <c r="L635" i="1"/>
  <c r="U635" i="1" s="1" a="1"/>
  <c r="U635" i="1" s="1"/>
  <c r="L634" i="1"/>
  <c r="U634" i="1" s="1" a="1"/>
  <c r="U634" i="1" s="1"/>
  <c r="L633" i="1"/>
  <c r="U633" i="1" s="1" a="1"/>
  <c r="U633" i="1" s="1"/>
  <c r="L632" i="1"/>
  <c r="U632" i="1" s="1" a="1"/>
  <c r="U632" i="1" s="1"/>
  <c r="L631" i="1"/>
  <c r="U631" i="1" s="1" a="1"/>
  <c r="U631" i="1" s="1"/>
  <c r="L630" i="1"/>
  <c r="U630" i="1" s="1" a="1"/>
  <c r="U630" i="1" s="1"/>
  <c r="L629" i="1"/>
  <c r="U629" i="1" s="1" a="1"/>
  <c r="U629" i="1" s="1"/>
  <c r="L628" i="1"/>
  <c r="U628" i="1" s="1" a="1"/>
  <c r="U628" i="1" s="1"/>
  <c r="L627" i="1"/>
  <c r="U627" i="1" s="1" a="1"/>
  <c r="U627" i="1" s="1"/>
  <c r="L626" i="1"/>
  <c r="U626" i="1" s="1" a="1"/>
  <c r="U626" i="1" s="1"/>
  <c r="L625" i="1"/>
  <c r="U625" i="1" s="1" a="1"/>
  <c r="U625" i="1" s="1"/>
  <c r="L624" i="1"/>
  <c r="U624" i="1" s="1" a="1"/>
  <c r="U624" i="1" s="1"/>
  <c r="L623" i="1"/>
  <c r="U623" i="1" s="1" a="1"/>
  <c r="U623" i="1" s="1"/>
  <c r="L622" i="1"/>
  <c r="U622" i="1" s="1" a="1"/>
  <c r="U622" i="1" s="1"/>
  <c r="L621" i="1"/>
  <c r="U621" i="1" s="1" a="1"/>
  <c r="U621" i="1" s="1"/>
  <c r="L620" i="1"/>
  <c r="U620" i="1" s="1" a="1"/>
  <c r="U620" i="1" s="1"/>
  <c r="L619" i="1"/>
  <c r="U619" i="1" s="1" a="1"/>
  <c r="U619" i="1" s="1"/>
  <c r="L618" i="1"/>
  <c r="U618" i="1" s="1" a="1"/>
  <c r="U618" i="1" s="1"/>
  <c r="L617" i="1"/>
  <c r="U617" i="1" s="1" a="1"/>
  <c r="U617" i="1" s="1"/>
  <c r="L616" i="1"/>
  <c r="U616" i="1" s="1" a="1"/>
  <c r="U616" i="1" s="1"/>
  <c r="L615" i="1"/>
  <c r="U615" i="1" s="1" a="1"/>
  <c r="U615" i="1" s="1"/>
  <c r="L614" i="1"/>
  <c r="U614" i="1" s="1" a="1"/>
  <c r="U614" i="1" s="1"/>
  <c r="L613" i="1"/>
  <c r="U613" i="1" s="1" a="1"/>
  <c r="U613" i="1" s="1"/>
  <c r="L612" i="1"/>
  <c r="U612" i="1" s="1" a="1"/>
  <c r="U612" i="1" s="1"/>
  <c r="L611" i="1"/>
  <c r="U611" i="1" s="1" a="1"/>
  <c r="U611" i="1" s="1"/>
  <c r="L610" i="1"/>
  <c r="U610" i="1" s="1" a="1"/>
  <c r="U610" i="1" s="1"/>
  <c r="L609" i="1"/>
  <c r="U609" i="1" s="1" a="1"/>
  <c r="U609" i="1" s="1"/>
  <c r="L608" i="1"/>
  <c r="U608" i="1" s="1" a="1"/>
  <c r="U608" i="1" s="1"/>
  <c r="L607" i="1"/>
  <c r="U607" i="1" s="1" a="1"/>
  <c r="U607" i="1" s="1"/>
  <c r="L606" i="1"/>
  <c r="U606" i="1" s="1" a="1"/>
  <c r="U606" i="1" s="1"/>
  <c r="L605" i="1"/>
  <c r="U605" i="1" s="1" a="1"/>
  <c r="U605" i="1" s="1"/>
  <c r="L604" i="1"/>
  <c r="U604" i="1" s="1" a="1"/>
  <c r="U604" i="1" s="1"/>
  <c r="L603" i="1"/>
  <c r="U603" i="1" s="1" a="1"/>
  <c r="U603" i="1" s="1"/>
  <c r="L602" i="1"/>
  <c r="U602" i="1" s="1" a="1"/>
  <c r="U602" i="1" s="1"/>
  <c r="L601" i="1"/>
  <c r="U601" i="1" s="1" a="1"/>
  <c r="U601" i="1" s="1"/>
  <c r="L600" i="1"/>
  <c r="U600" i="1" s="1" a="1"/>
  <c r="U600" i="1" s="1"/>
  <c r="L599" i="1"/>
  <c r="U599" i="1" s="1" a="1"/>
  <c r="U599" i="1" s="1"/>
  <c r="L598" i="1"/>
  <c r="U598" i="1" s="1" a="1"/>
  <c r="U598" i="1" s="1"/>
  <c r="L597" i="1"/>
  <c r="U597" i="1" s="1" a="1"/>
  <c r="U597" i="1" s="1"/>
  <c r="L596" i="1"/>
  <c r="U596" i="1" s="1" a="1"/>
  <c r="U596" i="1" s="1"/>
  <c r="L595" i="1"/>
  <c r="U595" i="1" s="1" a="1"/>
  <c r="U595" i="1" s="1"/>
  <c r="L594" i="1"/>
  <c r="U594" i="1" s="1" a="1"/>
  <c r="U594" i="1" s="1"/>
  <c r="L593" i="1"/>
  <c r="U593" i="1" s="1" a="1"/>
  <c r="U593" i="1" s="1"/>
  <c r="L592" i="1"/>
  <c r="U592" i="1" s="1" a="1"/>
  <c r="U592" i="1" s="1"/>
  <c r="L591" i="1"/>
  <c r="U591" i="1" s="1" a="1"/>
  <c r="U591" i="1" s="1"/>
  <c r="L590" i="1"/>
  <c r="U590" i="1" s="1" a="1"/>
  <c r="U590" i="1" s="1"/>
  <c r="L589" i="1"/>
  <c r="U589" i="1" s="1" a="1"/>
  <c r="U589" i="1" s="1"/>
  <c r="L588" i="1"/>
  <c r="U588" i="1" s="1" a="1"/>
  <c r="U588" i="1" s="1"/>
  <c r="L587" i="1"/>
  <c r="U587" i="1" s="1" a="1"/>
  <c r="U587" i="1" s="1"/>
  <c r="L586" i="1"/>
  <c r="U586" i="1" s="1" a="1"/>
  <c r="U586" i="1" s="1"/>
  <c r="L585" i="1"/>
  <c r="U585" i="1" s="1" a="1"/>
  <c r="U585" i="1" s="1"/>
  <c r="L584" i="1"/>
  <c r="U584" i="1" s="1" a="1"/>
  <c r="U584" i="1" s="1"/>
  <c r="L583" i="1"/>
  <c r="U583" i="1" s="1" a="1"/>
  <c r="U583" i="1" s="1"/>
  <c r="L582" i="1"/>
  <c r="U582" i="1" s="1" a="1"/>
  <c r="U582" i="1" s="1"/>
  <c r="L581" i="1"/>
  <c r="U581" i="1" s="1" a="1"/>
  <c r="U581" i="1" s="1"/>
  <c r="L580" i="1"/>
  <c r="U580" i="1" s="1" a="1"/>
  <c r="U580" i="1" s="1"/>
  <c r="L579" i="1"/>
  <c r="U579" i="1" s="1" a="1"/>
  <c r="U579" i="1" s="1"/>
  <c r="L578" i="1"/>
  <c r="U578" i="1" s="1" a="1"/>
  <c r="U578" i="1" s="1"/>
  <c r="L577" i="1"/>
  <c r="U577" i="1" s="1" a="1"/>
  <c r="U577" i="1" s="1"/>
  <c r="L576" i="1"/>
  <c r="U576" i="1" s="1" a="1"/>
  <c r="U576" i="1" s="1"/>
  <c r="L575" i="1"/>
  <c r="U575" i="1" s="1" a="1"/>
  <c r="U575" i="1" s="1"/>
  <c r="L574" i="1"/>
  <c r="U574" i="1" s="1" a="1"/>
  <c r="U574" i="1" s="1"/>
  <c r="L573" i="1"/>
  <c r="U573" i="1" s="1" a="1"/>
  <c r="U573" i="1" s="1"/>
  <c r="L572" i="1"/>
  <c r="U572" i="1" s="1" a="1"/>
  <c r="U572" i="1" s="1"/>
  <c r="L571" i="1"/>
  <c r="U571" i="1" s="1" a="1"/>
  <c r="U571" i="1" s="1"/>
  <c r="L570" i="1"/>
  <c r="U570" i="1" s="1" a="1"/>
  <c r="U570" i="1" s="1"/>
  <c r="L569" i="1"/>
  <c r="U569" i="1" s="1" a="1"/>
  <c r="U569" i="1" s="1"/>
  <c r="L568" i="1"/>
  <c r="U568" i="1" s="1" a="1"/>
  <c r="U568" i="1" s="1"/>
  <c r="L567" i="1"/>
  <c r="U567" i="1" s="1" a="1"/>
  <c r="U567" i="1" s="1"/>
  <c r="L566" i="1"/>
  <c r="U566" i="1" s="1" a="1"/>
  <c r="U566" i="1" s="1"/>
  <c r="L565" i="1"/>
  <c r="U565" i="1" s="1" a="1"/>
  <c r="U565" i="1" s="1"/>
  <c r="L564" i="1"/>
  <c r="U564" i="1" s="1" a="1"/>
  <c r="U564" i="1" s="1"/>
  <c r="L563" i="1"/>
  <c r="U563" i="1" s="1" a="1"/>
  <c r="U563" i="1" s="1"/>
  <c r="L562" i="1"/>
  <c r="U562" i="1" s="1" a="1"/>
  <c r="U562" i="1" s="1"/>
  <c r="L561" i="1"/>
  <c r="U561" i="1" s="1" a="1"/>
  <c r="U561" i="1" s="1"/>
  <c r="L560" i="1"/>
  <c r="U560" i="1" s="1" a="1"/>
  <c r="U560" i="1" s="1"/>
  <c r="L559" i="1"/>
  <c r="U559" i="1" s="1" a="1"/>
  <c r="U559" i="1" s="1"/>
  <c r="L558" i="1"/>
  <c r="U558" i="1" s="1" a="1"/>
  <c r="U558" i="1" s="1"/>
  <c r="L557" i="1"/>
  <c r="U557" i="1" s="1" a="1"/>
  <c r="U557" i="1" s="1"/>
  <c r="L556" i="1"/>
  <c r="U556" i="1" s="1" a="1"/>
  <c r="U556" i="1" s="1"/>
  <c r="L555" i="1"/>
  <c r="U555" i="1" s="1" a="1"/>
  <c r="U555" i="1" s="1"/>
  <c r="L554" i="1"/>
  <c r="U554" i="1" s="1" a="1"/>
  <c r="U554" i="1" s="1"/>
  <c r="L553" i="1"/>
  <c r="U553" i="1" s="1" a="1"/>
  <c r="U553" i="1" s="1"/>
  <c r="L552" i="1"/>
  <c r="U552" i="1" s="1" a="1"/>
  <c r="U552" i="1" s="1"/>
  <c r="L551" i="1"/>
  <c r="U551" i="1" s="1" a="1"/>
  <c r="U551" i="1" s="1"/>
  <c r="L550" i="1"/>
  <c r="U550" i="1" s="1" a="1"/>
  <c r="U550" i="1" s="1"/>
  <c r="L549" i="1"/>
  <c r="U549" i="1" s="1" a="1"/>
  <c r="U549" i="1" s="1"/>
  <c r="L548" i="1"/>
  <c r="U548" i="1" s="1" a="1"/>
  <c r="U548" i="1" s="1"/>
  <c r="L547" i="1"/>
  <c r="U547" i="1" s="1" a="1"/>
  <c r="U547" i="1" s="1"/>
  <c r="L546" i="1"/>
  <c r="U546" i="1" s="1" a="1"/>
  <c r="U546" i="1" s="1"/>
  <c r="L545" i="1"/>
  <c r="U545" i="1" s="1" a="1"/>
  <c r="U545" i="1" s="1"/>
  <c r="L544" i="1"/>
  <c r="U544" i="1" s="1" a="1"/>
  <c r="U544" i="1" s="1"/>
  <c r="L543" i="1"/>
  <c r="U543" i="1" s="1" a="1"/>
  <c r="U543" i="1" s="1"/>
  <c r="L542" i="1"/>
  <c r="U542" i="1" s="1" a="1"/>
  <c r="U542" i="1" s="1"/>
  <c r="L541" i="1"/>
  <c r="U541" i="1" s="1" a="1"/>
  <c r="U541" i="1" s="1"/>
  <c r="L540" i="1"/>
  <c r="U540" i="1" s="1" a="1"/>
  <c r="U540" i="1" s="1"/>
  <c r="L539" i="1"/>
  <c r="U539" i="1" s="1" a="1"/>
  <c r="U539" i="1" s="1"/>
  <c r="L538" i="1"/>
  <c r="U538" i="1" s="1" a="1"/>
  <c r="U538" i="1" s="1"/>
  <c r="L537" i="1"/>
  <c r="U537" i="1" s="1" a="1"/>
  <c r="U537" i="1" s="1"/>
  <c r="L536" i="1"/>
  <c r="U536" i="1" s="1" a="1"/>
  <c r="U536" i="1" s="1"/>
  <c r="L535" i="1"/>
  <c r="U535" i="1" s="1" a="1"/>
  <c r="U535" i="1" s="1"/>
  <c r="L534" i="1"/>
  <c r="U534" i="1" s="1" a="1"/>
  <c r="U534" i="1" s="1"/>
  <c r="L533" i="1"/>
  <c r="U533" i="1" s="1" a="1"/>
  <c r="U533" i="1" s="1"/>
  <c r="L532" i="1"/>
  <c r="U532" i="1" s="1" a="1"/>
  <c r="U532" i="1" s="1"/>
  <c r="L531" i="1"/>
  <c r="U531" i="1" s="1" a="1"/>
  <c r="U531" i="1" s="1"/>
  <c r="L530" i="1"/>
  <c r="U530" i="1" s="1" a="1"/>
  <c r="U530" i="1" s="1"/>
  <c r="L529" i="1"/>
  <c r="U529" i="1" s="1" a="1"/>
  <c r="U529" i="1" s="1"/>
  <c r="L528" i="1"/>
  <c r="U528" i="1" s="1" a="1"/>
  <c r="U528" i="1" s="1"/>
  <c r="L527" i="1"/>
  <c r="U527" i="1" s="1" a="1"/>
  <c r="U527" i="1" s="1"/>
  <c r="L526" i="1"/>
  <c r="U526" i="1" s="1" a="1"/>
  <c r="U526" i="1" s="1"/>
  <c r="L525" i="1"/>
  <c r="U525" i="1" s="1" a="1"/>
  <c r="U525" i="1" s="1"/>
  <c r="L524" i="1"/>
  <c r="U524" i="1" s="1" a="1"/>
  <c r="U524" i="1" s="1"/>
  <c r="L523" i="1"/>
  <c r="U523" i="1" s="1" a="1"/>
  <c r="U523" i="1" s="1"/>
  <c r="L522" i="1"/>
  <c r="U522" i="1" s="1" a="1"/>
  <c r="U522" i="1" s="1"/>
  <c r="L521" i="1"/>
  <c r="U521" i="1" s="1" a="1"/>
  <c r="U521" i="1" s="1"/>
  <c r="L520" i="1"/>
  <c r="U520" i="1" s="1" a="1"/>
  <c r="U520" i="1" s="1"/>
  <c r="L519" i="1"/>
  <c r="U519" i="1" s="1" a="1"/>
  <c r="U519" i="1" s="1"/>
  <c r="L518" i="1"/>
  <c r="U518" i="1" s="1" a="1"/>
  <c r="U518" i="1" s="1"/>
  <c r="L517" i="1"/>
  <c r="U517" i="1" s="1" a="1"/>
  <c r="U517" i="1" s="1"/>
  <c r="L516" i="1"/>
  <c r="U516" i="1" s="1" a="1"/>
  <c r="U516" i="1" s="1"/>
  <c r="L515" i="1"/>
  <c r="U515" i="1" s="1" a="1"/>
  <c r="U515" i="1" s="1"/>
  <c r="L514" i="1"/>
  <c r="U514" i="1" s="1" a="1"/>
  <c r="U514" i="1" s="1"/>
  <c r="L513" i="1"/>
  <c r="U513" i="1" s="1" a="1"/>
  <c r="U513" i="1" s="1"/>
  <c r="L512" i="1"/>
  <c r="U512" i="1" s="1" a="1"/>
  <c r="U512" i="1" s="1"/>
  <c r="L511" i="1"/>
  <c r="U511" i="1" s="1" a="1"/>
  <c r="U511" i="1" s="1"/>
  <c r="L510" i="1"/>
  <c r="U510" i="1" s="1" a="1"/>
  <c r="U510" i="1" s="1"/>
  <c r="L509" i="1"/>
  <c r="U509" i="1" s="1" a="1"/>
  <c r="U509" i="1" s="1"/>
  <c r="L508" i="1"/>
  <c r="U508" i="1" s="1" a="1"/>
  <c r="U508" i="1" s="1"/>
  <c r="L507" i="1"/>
  <c r="U507" i="1" s="1" a="1"/>
  <c r="U507" i="1" s="1"/>
  <c r="L506" i="1"/>
  <c r="U506" i="1" s="1" a="1"/>
  <c r="U506" i="1" s="1"/>
  <c r="L505" i="1"/>
  <c r="U505" i="1" s="1" a="1"/>
  <c r="U505" i="1" s="1"/>
  <c r="L504" i="1"/>
  <c r="U504" i="1" s="1" a="1"/>
  <c r="U504" i="1" s="1"/>
  <c r="L503" i="1"/>
  <c r="U503" i="1" s="1" a="1"/>
  <c r="U503" i="1" s="1"/>
  <c r="L502" i="1"/>
  <c r="U502" i="1" s="1" a="1"/>
  <c r="U502" i="1" s="1"/>
  <c r="L501" i="1"/>
  <c r="U501" i="1" s="1" a="1"/>
  <c r="U501" i="1" s="1"/>
  <c r="L500" i="1"/>
  <c r="U500" i="1" s="1" a="1"/>
  <c r="U500" i="1" s="1"/>
  <c r="L499" i="1"/>
  <c r="U499" i="1" s="1" a="1"/>
  <c r="U499" i="1" s="1"/>
  <c r="L498" i="1"/>
  <c r="U498" i="1" s="1" a="1"/>
  <c r="U498" i="1" s="1"/>
  <c r="L497" i="1"/>
  <c r="U497" i="1" s="1" a="1"/>
  <c r="U497" i="1" s="1"/>
  <c r="L496" i="1"/>
  <c r="U496" i="1" s="1" a="1"/>
  <c r="U496" i="1" s="1"/>
  <c r="L495" i="1"/>
  <c r="U495" i="1" s="1" a="1"/>
  <c r="U495" i="1" s="1"/>
  <c r="L494" i="1"/>
  <c r="U494" i="1" s="1" a="1"/>
  <c r="U494" i="1" s="1"/>
  <c r="L493" i="1"/>
  <c r="U493" i="1" s="1" a="1"/>
  <c r="U493" i="1" s="1"/>
  <c r="L492" i="1"/>
  <c r="U492" i="1" s="1" a="1"/>
  <c r="U492" i="1" s="1"/>
  <c r="L491" i="1"/>
  <c r="U491" i="1" s="1" a="1"/>
  <c r="U491" i="1" s="1"/>
  <c r="L490" i="1"/>
  <c r="U490" i="1" s="1" a="1"/>
  <c r="U490" i="1" s="1"/>
  <c r="L489" i="1"/>
  <c r="U489" i="1" s="1" a="1"/>
  <c r="U489" i="1" s="1"/>
  <c r="L488" i="1"/>
  <c r="U488" i="1" s="1" a="1"/>
  <c r="U488" i="1" s="1"/>
  <c r="L487" i="1"/>
  <c r="U487" i="1" s="1" a="1"/>
  <c r="U487" i="1" s="1"/>
  <c r="L486" i="1"/>
  <c r="U486" i="1" s="1" a="1"/>
  <c r="U486" i="1" s="1"/>
  <c r="L485" i="1"/>
  <c r="U485" i="1" s="1" a="1"/>
  <c r="U485" i="1" s="1"/>
  <c r="L484" i="1"/>
  <c r="U484" i="1" s="1" a="1"/>
  <c r="U484" i="1" s="1"/>
  <c r="L483" i="1"/>
  <c r="U483" i="1" s="1" a="1"/>
  <c r="U483" i="1" s="1"/>
  <c r="L482" i="1"/>
  <c r="U482" i="1" s="1" a="1"/>
  <c r="U482" i="1" s="1"/>
  <c r="L481" i="1"/>
  <c r="U481" i="1" s="1" a="1"/>
  <c r="U481" i="1" s="1"/>
  <c r="L480" i="1"/>
  <c r="U480" i="1" s="1" a="1"/>
  <c r="U480" i="1" s="1"/>
  <c r="L479" i="1"/>
  <c r="U479" i="1" s="1" a="1"/>
  <c r="U479" i="1" s="1"/>
  <c r="L478" i="1"/>
  <c r="U478" i="1" s="1" a="1"/>
  <c r="U478" i="1" s="1"/>
  <c r="L477" i="1"/>
  <c r="U477" i="1" s="1" a="1"/>
  <c r="U477" i="1" s="1"/>
  <c r="L476" i="1"/>
  <c r="U476" i="1" s="1" a="1"/>
  <c r="U476" i="1" s="1"/>
  <c r="L475" i="1"/>
  <c r="U475" i="1" s="1" a="1"/>
  <c r="U475" i="1" s="1"/>
  <c r="L474" i="1"/>
  <c r="U474" i="1" s="1" a="1"/>
  <c r="U474" i="1" s="1"/>
  <c r="L473" i="1"/>
  <c r="U473" i="1" s="1" a="1"/>
  <c r="U473" i="1" s="1"/>
  <c r="L472" i="1"/>
  <c r="U472" i="1" s="1" a="1"/>
  <c r="U472" i="1" s="1"/>
  <c r="L471" i="1"/>
  <c r="U471" i="1" s="1" a="1"/>
  <c r="U471" i="1" s="1"/>
  <c r="L470" i="1"/>
  <c r="U470" i="1" s="1" a="1"/>
  <c r="U470" i="1" s="1"/>
  <c r="L469" i="1"/>
  <c r="U469" i="1" s="1" a="1"/>
  <c r="U469" i="1" s="1"/>
  <c r="L468" i="1"/>
  <c r="U468" i="1" s="1" a="1"/>
  <c r="U468" i="1" s="1"/>
  <c r="L467" i="1"/>
  <c r="U467" i="1" s="1" a="1"/>
  <c r="U467" i="1" s="1"/>
  <c r="L466" i="1"/>
  <c r="U466" i="1" s="1" a="1"/>
  <c r="U466" i="1" s="1"/>
  <c r="L465" i="1"/>
  <c r="U465" i="1" s="1" a="1"/>
  <c r="U465" i="1" s="1"/>
  <c r="L464" i="1"/>
  <c r="U464" i="1" s="1" a="1"/>
  <c r="U464" i="1" s="1"/>
  <c r="L463" i="1"/>
  <c r="U463" i="1" s="1" a="1"/>
  <c r="U463" i="1" s="1"/>
  <c r="L462" i="1"/>
  <c r="U462" i="1" s="1" a="1"/>
  <c r="U462" i="1" s="1"/>
  <c r="L461" i="1"/>
  <c r="U461" i="1" s="1" a="1"/>
  <c r="U461" i="1" s="1"/>
  <c r="L460" i="1"/>
  <c r="U460" i="1" s="1" a="1"/>
  <c r="U460" i="1" s="1"/>
  <c r="L459" i="1"/>
  <c r="U459" i="1" s="1" a="1"/>
  <c r="U459" i="1" s="1"/>
  <c r="L458" i="1"/>
  <c r="U458" i="1" s="1" a="1"/>
  <c r="U458" i="1" s="1"/>
  <c r="L457" i="1"/>
  <c r="U457" i="1" s="1" a="1"/>
  <c r="U457" i="1" s="1"/>
  <c r="L456" i="1"/>
  <c r="U456" i="1" s="1" a="1"/>
  <c r="U456" i="1" s="1"/>
  <c r="L455" i="1"/>
  <c r="U455" i="1" s="1" a="1"/>
  <c r="U455" i="1" s="1"/>
  <c r="L454" i="1"/>
  <c r="U454" i="1" s="1" a="1"/>
  <c r="U454" i="1" s="1"/>
  <c r="L453" i="1"/>
  <c r="U453" i="1" s="1" a="1"/>
  <c r="U453" i="1" s="1"/>
  <c r="L452" i="1"/>
  <c r="U452" i="1" s="1" a="1"/>
  <c r="U452" i="1" s="1"/>
  <c r="L451" i="1"/>
  <c r="U451" i="1" s="1" a="1"/>
  <c r="U451" i="1" s="1"/>
  <c r="L450" i="1"/>
  <c r="U450" i="1" s="1" a="1"/>
  <c r="U450" i="1" s="1"/>
  <c r="L449" i="1"/>
  <c r="U449" i="1" s="1" a="1"/>
  <c r="U449" i="1" s="1"/>
  <c r="L448" i="1"/>
  <c r="U448" i="1" s="1" a="1"/>
  <c r="U448" i="1" s="1"/>
  <c r="L447" i="1"/>
  <c r="U447" i="1" s="1" a="1"/>
  <c r="U447" i="1" s="1"/>
  <c r="L446" i="1"/>
  <c r="U446" i="1" s="1" a="1"/>
  <c r="U446" i="1" s="1"/>
  <c r="L445" i="1"/>
  <c r="U445" i="1" s="1" a="1"/>
  <c r="U445" i="1" s="1"/>
  <c r="L444" i="1"/>
  <c r="U444" i="1" s="1" a="1"/>
  <c r="U444" i="1" s="1"/>
  <c r="L443" i="1"/>
  <c r="U443" i="1" s="1" a="1"/>
  <c r="U443" i="1" s="1"/>
  <c r="L442" i="1"/>
  <c r="U442" i="1" s="1" a="1"/>
  <c r="U442" i="1" s="1"/>
  <c r="L441" i="1"/>
  <c r="U441" i="1" s="1" a="1"/>
  <c r="U441" i="1" s="1"/>
  <c r="L440" i="1"/>
  <c r="U440" i="1" s="1" a="1"/>
  <c r="U440" i="1" s="1"/>
  <c r="L439" i="1"/>
  <c r="U439" i="1" s="1" a="1"/>
  <c r="U439" i="1" s="1"/>
  <c r="L438" i="1"/>
  <c r="U438" i="1" s="1" a="1"/>
  <c r="U438" i="1" s="1"/>
  <c r="L437" i="1"/>
  <c r="U437" i="1" s="1" a="1"/>
  <c r="U437" i="1" s="1"/>
  <c r="L436" i="1"/>
  <c r="U436" i="1" s="1" a="1"/>
  <c r="U436" i="1" s="1"/>
  <c r="L435" i="1"/>
  <c r="U435" i="1" s="1" a="1"/>
  <c r="U435" i="1" s="1"/>
  <c r="L434" i="1"/>
  <c r="U434" i="1" s="1" a="1"/>
  <c r="U434" i="1" s="1"/>
  <c r="L433" i="1"/>
  <c r="U433" i="1" s="1" a="1"/>
  <c r="U433" i="1" s="1"/>
  <c r="L432" i="1"/>
  <c r="U432" i="1" s="1" a="1"/>
  <c r="U432" i="1" s="1"/>
  <c r="L431" i="1"/>
  <c r="U431" i="1" s="1" a="1"/>
  <c r="U431" i="1" s="1"/>
  <c r="L430" i="1"/>
  <c r="U430" i="1" s="1" a="1"/>
  <c r="U430" i="1" s="1"/>
  <c r="L429" i="1"/>
  <c r="U429" i="1" s="1" a="1"/>
  <c r="U429" i="1" s="1"/>
  <c r="L428" i="1"/>
  <c r="U428" i="1" s="1" a="1"/>
  <c r="U428" i="1" s="1"/>
  <c r="L427" i="1"/>
  <c r="U427" i="1" s="1" a="1"/>
  <c r="U427" i="1" s="1"/>
  <c r="L426" i="1"/>
  <c r="U426" i="1" s="1" a="1"/>
  <c r="U426" i="1" s="1"/>
  <c r="L425" i="1"/>
  <c r="U425" i="1" s="1" a="1"/>
  <c r="U425" i="1" s="1"/>
  <c r="L424" i="1"/>
  <c r="U424" i="1" s="1" a="1"/>
  <c r="U424" i="1" s="1"/>
  <c r="L423" i="1"/>
  <c r="U423" i="1" s="1" a="1"/>
  <c r="U423" i="1" s="1"/>
  <c r="L422" i="1"/>
  <c r="U422" i="1" s="1" a="1"/>
  <c r="U422" i="1" s="1"/>
  <c r="L421" i="1"/>
  <c r="U421" i="1" s="1" a="1"/>
  <c r="U421" i="1" s="1"/>
  <c r="L420" i="1"/>
  <c r="U420" i="1" s="1" a="1"/>
  <c r="U420" i="1" s="1"/>
  <c r="L419" i="1"/>
  <c r="U419" i="1" s="1" a="1"/>
  <c r="U419" i="1" s="1"/>
  <c r="L418" i="1"/>
  <c r="U418" i="1" s="1" a="1"/>
  <c r="U418" i="1" s="1"/>
  <c r="L417" i="1"/>
  <c r="U417" i="1" s="1" a="1"/>
  <c r="U417" i="1" s="1"/>
  <c r="L416" i="1"/>
  <c r="U416" i="1" s="1" a="1"/>
  <c r="U416" i="1" s="1"/>
  <c r="L415" i="1"/>
  <c r="U415" i="1" s="1" a="1"/>
  <c r="U415" i="1" s="1"/>
  <c r="L414" i="1"/>
  <c r="U414" i="1" s="1" a="1"/>
  <c r="U414" i="1" s="1"/>
  <c r="L413" i="1"/>
  <c r="U413" i="1" s="1" a="1"/>
  <c r="U413" i="1" s="1"/>
  <c r="L412" i="1"/>
  <c r="U412" i="1" s="1" a="1"/>
  <c r="U412" i="1" s="1"/>
  <c r="L411" i="1"/>
  <c r="U411" i="1" s="1" a="1"/>
  <c r="U411" i="1" s="1"/>
  <c r="L410" i="1"/>
  <c r="U410" i="1" s="1" a="1"/>
  <c r="U410" i="1" s="1"/>
  <c r="L409" i="1"/>
  <c r="U409" i="1" s="1" a="1"/>
  <c r="U409" i="1" s="1"/>
  <c r="L408" i="1"/>
  <c r="U408" i="1" s="1" a="1"/>
  <c r="U408" i="1" s="1"/>
  <c r="L407" i="1"/>
  <c r="U407" i="1" s="1" a="1"/>
  <c r="U407" i="1" s="1"/>
  <c r="L406" i="1"/>
  <c r="U406" i="1" s="1" a="1"/>
  <c r="U406" i="1" s="1"/>
  <c r="L405" i="1"/>
  <c r="U405" i="1" s="1" a="1"/>
  <c r="U405" i="1" s="1"/>
  <c r="L404" i="1"/>
  <c r="U404" i="1" s="1" a="1"/>
  <c r="U404" i="1" s="1"/>
  <c r="L403" i="1"/>
  <c r="U403" i="1" s="1" a="1"/>
  <c r="U403" i="1" s="1"/>
  <c r="L402" i="1"/>
  <c r="U402" i="1" s="1" a="1"/>
  <c r="U402" i="1" s="1"/>
  <c r="L401" i="1"/>
  <c r="U401" i="1" s="1" a="1"/>
  <c r="U401" i="1" s="1"/>
  <c r="L400" i="1"/>
  <c r="U400" i="1" s="1" a="1"/>
  <c r="U400" i="1" s="1"/>
  <c r="L399" i="1"/>
  <c r="U399" i="1" s="1" a="1"/>
  <c r="U399" i="1" s="1"/>
  <c r="L398" i="1"/>
  <c r="U398" i="1" s="1" a="1"/>
  <c r="U398" i="1" s="1"/>
  <c r="L397" i="1"/>
  <c r="U397" i="1" s="1" a="1"/>
  <c r="U397" i="1" s="1"/>
  <c r="L396" i="1"/>
  <c r="U396" i="1" s="1" a="1"/>
  <c r="U396" i="1" s="1"/>
  <c r="L395" i="1"/>
  <c r="U395" i="1" s="1" a="1"/>
  <c r="U395" i="1" s="1"/>
  <c r="L394" i="1"/>
  <c r="U394" i="1" s="1" a="1"/>
  <c r="U394" i="1" s="1"/>
  <c r="L393" i="1"/>
  <c r="U393" i="1" s="1" a="1"/>
  <c r="U393" i="1" s="1"/>
  <c r="L392" i="1"/>
  <c r="U392" i="1" s="1" a="1"/>
  <c r="U392" i="1" s="1"/>
  <c r="L391" i="1"/>
  <c r="U391" i="1" s="1" a="1"/>
  <c r="U391" i="1" s="1"/>
  <c r="L390" i="1"/>
  <c r="U390" i="1" s="1" a="1"/>
  <c r="U390" i="1" s="1"/>
  <c r="L389" i="1"/>
  <c r="U389" i="1" s="1" a="1"/>
  <c r="U389" i="1" s="1"/>
  <c r="L388" i="1"/>
  <c r="U388" i="1" s="1" a="1"/>
  <c r="U388" i="1" s="1"/>
  <c r="L387" i="1"/>
  <c r="U387" i="1" s="1" a="1"/>
  <c r="U387" i="1" s="1"/>
  <c r="L386" i="1"/>
  <c r="U386" i="1" s="1" a="1"/>
  <c r="U386" i="1" s="1"/>
  <c r="L385" i="1"/>
  <c r="U385" i="1" s="1" a="1"/>
  <c r="U385" i="1" s="1"/>
  <c r="L384" i="1"/>
  <c r="U384" i="1" s="1" a="1"/>
  <c r="U384" i="1" s="1"/>
  <c r="L383" i="1"/>
  <c r="U383" i="1" s="1" a="1"/>
  <c r="U383" i="1" s="1"/>
  <c r="L382" i="1"/>
  <c r="U382" i="1" s="1" a="1"/>
  <c r="U382" i="1" s="1"/>
  <c r="L381" i="1"/>
  <c r="U381" i="1" s="1" a="1"/>
  <c r="U381" i="1" s="1"/>
  <c r="L380" i="1"/>
  <c r="U380" i="1" s="1" a="1"/>
  <c r="U380" i="1" s="1"/>
  <c r="L379" i="1"/>
  <c r="U379" i="1" s="1" a="1"/>
  <c r="U379" i="1" s="1"/>
  <c r="L378" i="1"/>
  <c r="U378" i="1" s="1" a="1"/>
  <c r="U378" i="1" s="1"/>
  <c r="L377" i="1"/>
  <c r="U377" i="1" s="1" a="1"/>
  <c r="U377" i="1" s="1"/>
  <c r="L376" i="1"/>
  <c r="U376" i="1" s="1" a="1"/>
  <c r="U376" i="1" s="1"/>
  <c r="L375" i="1"/>
  <c r="U375" i="1" s="1" a="1"/>
  <c r="U375" i="1" s="1"/>
  <c r="L374" i="1"/>
  <c r="U374" i="1" s="1" a="1"/>
  <c r="U374" i="1" s="1"/>
  <c r="L373" i="1"/>
  <c r="U373" i="1" s="1" a="1"/>
  <c r="U373" i="1" s="1"/>
  <c r="L372" i="1"/>
  <c r="U372" i="1" s="1" a="1"/>
  <c r="U372" i="1" s="1"/>
  <c r="L371" i="1"/>
  <c r="U371" i="1" s="1" a="1"/>
  <c r="U371" i="1" s="1"/>
  <c r="L370" i="1"/>
  <c r="U370" i="1" s="1" a="1"/>
  <c r="U370" i="1" s="1"/>
  <c r="L369" i="1"/>
  <c r="U369" i="1" s="1" a="1"/>
  <c r="U369" i="1" s="1"/>
  <c r="L368" i="1"/>
  <c r="U368" i="1" s="1" a="1"/>
  <c r="U368" i="1" s="1"/>
  <c r="L367" i="1"/>
  <c r="U367" i="1" s="1" a="1"/>
  <c r="U367" i="1" s="1"/>
  <c r="L366" i="1"/>
  <c r="U366" i="1" s="1" a="1"/>
  <c r="U366" i="1" s="1"/>
  <c r="L365" i="1"/>
  <c r="U365" i="1" s="1" a="1"/>
  <c r="U365" i="1" s="1"/>
  <c r="L364" i="1"/>
  <c r="U364" i="1" s="1" a="1"/>
  <c r="U364" i="1" s="1"/>
  <c r="L363" i="1"/>
  <c r="U363" i="1" s="1" a="1"/>
  <c r="U363" i="1" s="1"/>
  <c r="L362" i="1"/>
  <c r="U362" i="1" s="1" a="1"/>
  <c r="U362" i="1" s="1"/>
  <c r="L361" i="1"/>
  <c r="U361" i="1" s="1" a="1"/>
  <c r="U361" i="1" s="1"/>
  <c r="L360" i="1"/>
  <c r="U360" i="1" s="1" a="1"/>
  <c r="U360" i="1" s="1"/>
  <c r="L359" i="1"/>
  <c r="U359" i="1" s="1" a="1"/>
  <c r="U359" i="1" s="1"/>
  <c r="L358" i="1"/>
  <c r="U358" i="1" s="1" a="1"/>
  <c r="U358" i="1" s="1"/>
  <c r="L357" i="1"/>
  <c r="U357" i="1" s="1" a="1"/>
  <c r="U357" i="1" s="1"/>
  <c r="L356" i="1"/>
  <c r="U356" i="1" s="1" a="1"/>
  <c r="U356" i="1" s="1"/>
  <c r="L355" i="1"/>
  <c r="U355" i="1" s="1" a="1"/>
  <c r="U355" i="1" s="1"/>
  <c r="L354" i="1"/>
  <c r="U354" i="1" s="1" a="1"/>
  <c r="U354" i="1" s="1"/>
  <c r="L353" i="1"/>
  <c r="U353" i="1" s="1" a="1"/>
  <c r="U353" i="1" s="1"/>
  <c r="L352" i="1"/>
  <c r="U352" i="1" s="1" a="1"/>
  <c r="U352" i="1" s="1"/>
  <c r="L351" i="1"/>
  <c r="U351" i="1" s="1" a="1"/>
  <c r="U351" i="1" s="1"/>
  <c r="L350" i="1"/>
  <c r="U350" i="1" s="1" a="1"/>
  <c r="U350" i="1" s="1"/>
  <c r="L349" i="1"/>
  <c r="U349" i="1" s="1" a="1"/>
  <c r="U349" i="1" s="1"/>
  <c r="L348" i="1"/>
  <c r="U348" i="1" s="1" a="1"/>
  <c r="U348" i="1" s="1"/>
  <c r="L347" i="1"/>
  <c r="U347" i="1" s="1" a="1"/>
  <c r="U347" i="1" s="1"/>
  <c r="L346" i="1"/>
  <c r="U346" i="1" s="1" a="1"/>
  <c r="U346" i="1" s="1"/>
  <c r="L345" i="1"/>
  <c r="U345" i="1" s="1" a="1"/>
  <c r="U345" i="1" s="1"/>
  <c r="L344" i="1"/>
  <c r="U344" i="1" s="1" a="1"/>
  <c r="U344" i="1" s="1"/>
  <c r="L343" i="1"/>
  <c r="U343" i="1" s="1" a="1"/>
  <c r="U343" i="1" s="1"/>
  <c r="L342" i="1"/>
  <c r="U342" i="1" s="1" a="1"/>
  <c r="U342" i="1" s="1"/>
  <c r="L341" i="1"/>
  <c r="U341" i="1" s="1" a="1"/>
  <c r="U341" i="1" s="1"/>
  <c r="L340" i="1"/>
  <c r="U340" i="1" s="1" a="1"/>
  <c r="U340" i="1" s="1"/>
  <c r="L339" i="1"/>
  <c r="U339" i="1" s="1" a="1"/>
  <c r="U339" i="1" s="1"/>
  <c r="L338" i="1"/>
  <c r="U338" i="1" s="1" a="1"/>
  <c r="U338" i="1" s="1"/>
  <c r="L337" i="1"/>
  <c r="U337" i="1" s="1" a="1"/>
  <c r="U337" i="1" s="1"/>
  <c r="L336" i="1"/>
  <c r="U336" i="1" s="1" a="1"/>
  <c r="U336" i="1" s="1"/>
  <c r="L335" i="1"/>
  <c r="U335" i="1" s="1" a="1"/>
  <c r="U335" i="1" s="1"/>
  <c r="L334" i="1"/>
  <c r="U334" i="1" s="1" a="1"/>
  <c r="U334" i="1" s="1"/>
  <c r="L333" i="1"/>
  <c r="U333" i="1" s="1" a="1"/>
  <c r="U333" i="1" s="1"/>
  <c r="L332" i="1"/>
  <c r="U332" i="1" s="1" a="1"/>
  <c r="U332" i="1" s="1"/>
  <c r="L331" i="1"/>
  <c r="U331" i="1" s="1" a="1"/>
  <c r="U331" i="1" s="1"/>
  <c r="L330" i="1"/>
  <c r="U330" i="1" s="1" a="1"/>
  <c r="U330" i="1" s="1"/>
  <c r="L329" i="1"/>
  <c r="U329" i="1" s="1" a="1"/>
  <c r="U329" i="1" s="1"/>
  <c r="L328" i="1"/>
  <c r="U328" i="1" s="1" a="1"/>
  <c r="U328" i="1" s="1"/>
  <c r="L327" i="1"/>
  <c r="U327" i="1" s="1" a="1"/>
  <c r="U327" i="1" s="1"/>
  <c r="L326" i="1"/>
  <c r="U326" i="1" s="1" a="1"/>
  <c r="U326" i="1" s="1"/>
  <c r="L325" i="1"/>
  <c r="U325" i="1" s="1" a="1"/>
  <c r="U325" i="1" s="1"/>
  <c r="L324" i="1"/>
  <c r="U324" i="1" s="1" a="1"/>
  <c r="U324" i="1" s="1"/>
  <c r="L323" i="1"/>
  <c r="U323" i="1" s="1" a="1"/>
  <c r="U323" i="1" s="1"/>
  <c r="L322" i="1"/>
  <c r="U322" i="1" s="1" a="1"/>
  <c r="U322" i="1" s="1"/>
  <c r="L321" i="1"/>
  <c r="U321" i="1" s="1" a="1"/>
  <c r="U321" i="1" s="1"/>
  <c r="L320" i="1"/>
  <c r="U320" i="1" s="1" a="1"/>
  <c r="U320" i="1" s="1"/>
  <c r="L319" i="1"/>
  <c r="U319" i="1" s="1" a="1"/>
  <c r="U319" i="1" s="1"/>
  <c r="L318" i="1"/>
  <c r="U318" i="1" s="1" a="1"/>
  <c r="U318" i="1" s="1"/>
  <c r="L317" i="1"/>
  <c r="U317" i="1" s="1" a="1"/>
  <c r="U317" i="1" s="1"/>
  <c r="L316" i="1"/>
  <c r="U316" i="1" s="1" a="1"/>
  <c r="U316" i="1" s="1"/>
  <c r="L315" i="1"/>
  <c r="U315" i="1" s="1" a="1"/>
  <c r="U315" i="1" s="1"/>
  <c r="L314" i="1"/>
  <c r="U314" i="1" s="1" a="1"/>
  <c r="U314" i="1" s="1"/>
  <c r="L313" i="1"/>
  <c r="U313" i="1" s="1" a="1"/>
  <c r="U313" i="1" s="1"/>
  <c r="L312" i="1"/>
  <c r="U312" i="1" s="1" a="1"/>
  <c r="U312" i="1" s="1"/>
  <c r="L311" i="1"/>
  <c r="U311" i="1" s="1" a="1"/>
  <c r="U311" i="1" s="1"/>
  <c r="L310" i="1"/>
  <c r="U310" i="1" s="1" a="1"/>
  <c r="U310" i="1" s="1"/>
  <c r="L309" i="1"/>
  <c r="U309" i="1" s="1" a="1"/>
  <c r="U309" i="1" s="1"/>
  <c r="L308" i="1"/>
  <c r="U308" i="1" s="1" a="1"/>
  <c r="U308" i="1" s="1"/>
  <c r="L307" i="1"/>
  <c r="U307" i="1" s="1" a="1"/>
  <c r="U307" i="1" s="1"/>
  <c r="L306" i="1"/>
  <c r="U306" i="1" s="1" a="1"/>
  <c r="U306" i="1" s="1"/>
  <c r="L305" i="1"/>
  <c r="U305" i="1" s="1" a="1"/>
  <c r="U305" i="1" s="1"/>
  <c r="L304" i="1"/>
  <c r="U304" i="1" s="1" a="1"/>
  <c r="U304" i="1" s="1"/>
  <c r="L303" i="1"/>
  <c r="U303" i="1" s="1" a="1"/>
  <c r="U303" i="1" s="1"/>
  <c r="L302" i="1"/>
  <c r="U302" i="1" s="1" a="1"/>
  <c r="U302" i="1" s="1"/>
  <c r="L301" i="1"/>
  <c r="U301" i="1" s="1" a="1"/>
  <c r="U301" i="1" s="1"/>
  <c r="L300" i="1"/>
  <c r="U300" i="1" s="1" a="1"/>
  <c r="U300" i="1" s="1"/>
  <c r="L299" i="1"/>
  <c r="U299" i="1" s="1" a="1"/>
  <c r="U299" i="1" s="1"/>
  <c r="L298" i="1"/>
  <c r="U298" i="1" s="1" a="1"/>
  <c r="U298" i="1" s="1"/>
  <c r="L297" i="1"/>
  <c r="U297" i="1" s="1" a="1"/>
  <c r="U297" i="1" s="1"/>
  <c r="L296" i="1"/>
  <c r="U296" i="1" s="1" a="1"/>
  <c r="U296" i="1" s="1"/>
  <c r="L295" i="1"/>
  <c r="U295" i="1" s="1" a="1"/>
  <c r="U295" i="1" s="1"/>
  <c r="L294" i="1"/>
  <c r="U294" i="1" s="1" a="1"/>
  <c r="U294" i="1" s="1"/>
  <c r="L293" i="1"/>
  <c r="U293" i="1" s="1" a="1"/>
  <c r="U293" i="1" s="1"/>
  <c r="L292" i="1"/>
  <c r="U292" i="1" s="1" a="1"/>
  <c r="U292" i="1" s="1"/>
  <c r="L291" i="1"/>
  <c r="U291" i="1" s="1" a="1"/>
  <c r="U291" i="1" s="1"/>
  <c r="L290" i="1"/>
  <c r="U290" i="1" s="1" a="1"/>
  <c r="U290" i="1" s="1"/>
  <c r="L289" i="1"/>
  <c r="U289" i="1" s="1" a="1"/>
  <c r="U289" i="1" s="1"/>
  <c r="L288" i="1"/>
  <c r="U288" i="1" s="1" a="1"/>
  <c r="U288" i="1" s="1"/>
  <c r="L287" i="1"/>
  <c r="U287" i="1" s="1" a="1"/>
  <c r="U287" i="1" s="1"/>
  <c r="L286" i="1"/>
  <c r="U286" i="1" s="1" a="1"/>
  <c r="U286" i="1" s="1"/>
  <c r="L285" i="1"/>
  <c r="U285" i="1" s="1" a="1"/>
  <c r="U285" i="1" s="1"/>
  <c r="L284" i="1"/>
  <c r="U284" i="1" s="1" a="1"/>
  <c r="U284" i="1" s="1"/>
  <c r="L283" i="1"/>
  <c r="U283" i="1" s="1" a="1"/>
  <c r="U283" i="1" s="1"/>
  <c r="L282" i="1"/>
  <c r="U282" i="1" s="1" a="1"/>
  <c r="U282" i="1" s="1"/>
  <c r="L281" i="1"/>
  <c r="U281" i="1" s="1" a="1"/>
  <c r="U281" i="1" s="1"/>
  <c r="L280" i="1"/>
  <c r="U280" i="1" s="1" a="1"/>
  <c r="U280" i="1" s="1"/>
  <c r="L279" i="1"/>
  <c r="U279" i="1" s="1" a="1"/>
  <c r="U279" i="1" s="1"/>
  <c r="L278" i="1"/>
  <c r="U278" i="1" s="1" a="1"/>
  <c r="U278" i="1" s="1"/>
  <c r="L277" i="1"/>
  <c r="U277" i="1" s="1" a="1"/>
  <c r="U277" i="1" s="1"/>
  <c r="L276" i="1"/>
  <c r="U276" i="1" s="1" a="1"/>
  <c r="U276" i="1" s="1"/>
  <c r="L275" i="1"/>
  <c r="U275" i="1" s="1" a="1"/>
  <c r="U275" i="1" s="1"/>
  <c r="L274" i="1"/>
  <c r="U274" i="1" s="1" a="1"/>
  <c r="U274" i="1" s="1"/>
  <c r="L273" i="1"/>
  <c r="U273" i="1" s="1" a="1"/>
  <c r="U273" i="1" s="1"/>
  <c r="L272" i="1"/>
  <c r="U272" i="1" s="1" a="1"/>
  <c r="U272" i="1" s="1"/>
  <c r="L271" i="1"/>
  <c r="U271" i="1" s="1" a="1"/>
  <c r="U271" i="1" s="1"/>
  <c r="L270" i="1"/>
  <c r="U270" i="1" s="1" a="1"/>
  <c r="U270" i="1" s="1"/>
  <c r="L269" i="1"/>
  <c r="U269" i="1" s="1" a="1"/>
  <c r="U269" i="1" s="1"/>
  <c r="L268" i="1"/>
  <c r="U268" i="1" s="1" a="1"/>
  <c r="U268" i="1" s="1"/>
  <c r="L267" i="1"/>
  <c r="U267" i="1" s="1" a="1"/>
  <c r="U267" i="1" s="1"/>
  <c r="L266" i="1"/>
  <c r="U266" i="1" s="1" a="1"/>
  <c r="U266" i="1" s="1"/>
  <c r="L265" i="1"/>
  <c r="U265" i="1" s="1" a="1"/>
  <c r="U265" i="1" s="1"/>
  <c r="L264" i="1"/>
  <c r="U264" i="1" s="1" a="1"/>
  <c r="U264" i="1" s="1"/>
  <c r="L263" i="1"/>
  <c r="U263" i="1" s="1" a="1"/>
  <c r="U263" i="1" s="1"/>
  <c r="L262" i="1"/>
  <c r="U262" i="1" s="1" a="1"/>
  <c r="U262" i="1" s="1"/>
  <c r="L261" i="1"/>
  <c r="U261" i="1" s="1" a="1"/>
  <c r="U261" i="1" s="1"/>
  <c r="L260" i="1"/>
  <c r="U260" i="1" s="1" a="1"/>
  <c r="U260" i="1" s="1"/>
  <c r="L259" i="1"/>
  <c r="U259" i="1" s="1" a="1"/>
  <c r="U259" i="1" s="1"/>
  <c r="L258" i="1"/>
  <c r="U258" i="1" s="1" a="1"/>
  <c r="U258" i="1" s="1"/>
  <c r="L257" i="1"/>
  <c r="U257" i="1" s="1" a="1"/>
  <c r="U257" i="1" s="1"/>
  <c r="L256" i="1"/>
  <c r="U256" i="1" s="1" a="1"/>
  <c r="U256" i="1" s="1"/>
  <c r="L255" i="1"/>
  <c r="U255" i="1" s="1" a="1"/>
  <c r="U255" i="1" s="1"/>
  <c r="L254" i="1"/>
  <c r="U254" i="1" s="1" a="1"/>
  <c r="U254" i="1" s="1"/>
  <c r="L253" i="1"/>
  <c r="U253" i="1" s="1" a="1"/>
  <c r="U253" i="1" s="1"/>
  <c r="L252" i="1"/>
  <c r="U252" i="1" s="1" a="1"/>
  <c r="U252" i="1" s="1"/>
  <c r="L251" i="1"/>
  <c r="U251" i="1" s="1" a="1"/>
  <c r="U251" i="1" s="1"/>
  <c r="L250" i="1"/>
  <c r="U250" i="1" s="1" a="1"/>
  <c r="U250" i="1" s="1"/>
  <c r="L249" i="1"/>
  <c r="U249" i="1" s="1" a="1"/>
  <c r="U249" i="1" s="1"/>
  <c r="L248" i="1"/>
  <c r="U248" i="1" s="1" a="1"/>
  <c r="U248" i="1" s="1"/>
  <c r="L247" i="1"/>
  <c r="U247" i="1" s="1" a="1"/>
  <c r="U247" i="1" s="1"/>
  <c r="L246" i="1"/>
  <c r="U246" i="1" s="1" a="1"/>
  <c r="U246" i="1" s="1"/>
  <c r="L245" i="1"/>
  <c r="U245" i="1" s="1" a="1"/>
  <c r="U245" i="1" s="1"/>
  <c r="L244" i="1"/>
  <c r="U244" i="1" s="1" a="1"/>
  <c r="U244" i="1" s="1"/>
  <c r="L243" i="1"/>
  <c r="U243" i="1" s="1" a="1"/>
  <c r="U243" i="1" s="1"/>
  <c r="L242" i="1"/>
  <c r="U242" i="1" s="1" a="1"/>
  <c r="U242" i="1" s="1"/>
  <c r="L241" i="1"/>
  <c r="U241" i="1" s="1" a="1"/>
  <c r="U241" i="1" s="1"/>
  <c r="L240" i="1"/>
  <c r="U240" i="1" s="1" a="1"/>
  <c r="U240" i="1" s="1"/>
  <c r="L239" i="1"/>
  <c r="U239" i="1" s="1" a="1"/>
  <c r="U239" i="1" s="1"/>
  <c r="L238" i="1"/>
  <c r="U238" i="1" s="1" a="1"/>
  <c r="U238" i="1" s="1"/>
  <c r="L237" i="1"/>
  <c r="U237" i="1" s="1" a="1"/>
  <c r="U237" i="1" s="1"/>
  <c r="L236" i="1"/>
  <c r="U236" i="1" s="1" a="1"/>
  <c r="U236" i="1" s="1"/>
  <c r="L235" i="1"/>
  <c r="U235" i="1" s="1" a="1"/>
  <c r="U235" i="1" s="1"/>
  <c r="L234" i="1"/>
  <c r="U234" i="1" s="1" a="1"/>
  <c r="U234" i="1" s="1"/>
  <c r="L233" i="1"/>
  <c r="U233" i="1" s="1" a="1"/>
  <c r="U233" i="1" s="1"/>
  <c r="L232" i="1"/>
  <c r="U232" i="1" s="1" a="1"/>
  <c r="U232" i="1" s="1"/>
  <c r="L231" i="1"/>
  <c r="U231" i="1" s="1" a="1"/>
  <c r="U231" i="1" s="1"/>
  <c r="L230" i="1"/>
  <c r="U230" i="1" s="1" a="1"/>
  <c r="U230" i="1" s="1"/>
  <c r="L229" i="1"/>
  <c r="U229" i="1" s="1" a="1"/>
  <c r="U229" i="1" s="1"/>
  <c r="L228" i="1"/>
  <c r="U228" i="1" s="1" a="1"/>
  <c r="U228" i="1" s="1"/>
  <c r="L227" i="1"/>
  <c r="U227" i="1" s="1" a="1"/>
  <c r="U227" i="1" s="1"/>
  <c r="L226" i="1"/>
  <c r="U226" i="1" s="1" a="1"/>
  <c r="U226" i="1" s="1"/>
  <c r="L225" i="1"/>
  <c r="U225" i="1" s="1" a="1"/>
  <c r="U225" i="1" s="1"/>
  <c r="L224" i="1"/>
  <c r="U224" i="1" s="1" a="1"/>
  <c r="U224" i="1" s="1"/>
  <c r="L223" i="1"/>
  <c r="U223" i="1" s="1" a="1"/>
  <c r="U223" i="1" s="1"/>
  <c r="L222" i="1"/>
  <c r="U222" i="1" s="1" a="1"/>
  <c r="U222" i="1" s="1"/>
  <c r="L221" i="1"/>
  <c r="U221" i="1" s="1" a="1"/>
  <c r="U221" i="1" s="1"/>
  <c r="L220" i="1"/>
  <c r="U220" i="1" s="1" a="1"/>
  <c r="U220" i="1" s="1"/>
  <c r="L219" i="1"/>
  <c r="U219" i="1" s="1" a="1"/>
  <c r="U219" i="1" s="1"/>
  <c r="L218" i="1"/>
  <c r="U218" i="1" s="1" a="1"/>
  <c r="U218" i="1" s="1"/>
  <c r="L217" i="1"/>
  <c r="U217" i="1" s="1" a="1"/>
  <c r="U217" i="1" s="1"/>
  <c r="L216" i="1"/>
  <c r="U216" i="1" s="1" a="1"/>
  <c r="U216" i="1" s="1"/>
  <c r="L215" i="1"/>
  <c r="U215" i="1" s="1" a="1"/>
  <c r="U215" i="1" s="1"/>
  <c r="L214" i="1"/>
  <c r="U214" i="1" s="1" a="1"/>
  <c r="U214" i="1" s="1"/>
  <c r="L213" i="1"/>
  <c r="U213" i="1" s="1" a="1"/>
  <c r="U213" i="1" s="1"/>
  <c r="L212" i="1"/>
  <c r="U212" i="1" s="1" a="1"/>
  <c r="U212" i="1" s="1"/>
  <c r="L211" i="1"/>
  <c r="U211" i="1" s="1" a="1"/>
  <c r="U211" i="1" s="1"/>
  <c r="L210" i="1"/>
  <c r="U210" i="1" s="1" a="1"/>
  <c r="U210" i="1" s="1"/>
  <c r="L209" i="1"/>
  <c r="U209" i="1" s="1" a="1"/>
  <c r="U209" i="1" s="1"/>
  <c r="L208" i="1"/>
  <c r="U208" i="1" s="1" a="1"/>
  <c r="U208" i="1" s="1"/>
  <c r="L207" i="1"/>
  <c r="U207" i="1" s="1" a="1"/>
  <c r="U207" i="1" s="1"/>
  <c r="L206" i="1"/>
  <c r="U206" i="1" s="1" a="1"/>
  <c r="U206" i="1" s="1"/>
  <c r="L205" i="1"/>
  <c r="U205" i="1" s="1" a="1"/>
  <c r="U205" i="1" s="1"/>
  <c r="L204" i="1"/>
  <c r="U204" i="1" s="1" a="1"/>
  <c r="U204" i="1" s="1"/>
  <c r="L203" i="1"/>
  <c r="U203" i="1" s="1" a="1"/>
  <c r="U203" i="1" s="1"/>
  <c r="L202" i="1"/>
  <c r="U202" i="1" s="1" a="1"/>
  <c r="U202" i="1" s="1"/>
  <c r="L201" i="1"/>
  <c r="U201" i="1" s="1" a="1"/>
  <c r="U201" i="1" s="1"/>
  <c r="L200" i="1"/>
  <c r="U200" i="1" s="1" a="1"/>
  <c r="U200" i="1" s="1"/>
  <c r="L199" i="1"/>
  <c r="U199" i="1" s="1" a="1"/>
  <c r="U199" i="1" s="1"/>
  <c r="L198" i="1"/>
  <c r="U198" i="1" s="1" a="1"/>
  <c r="U198" i="1" s="1"/>
  <c r="L197" i="1"/>
  <c r="U197" i="1" s="1" a="1"/>
  <c r="U197" i="1" s="1"/>
  <c r="L196" i="1"/>
  <c r="U196" i="1" s="1" a="1"/>
  <c r="U196" i="1" s="1"/>
  <c r="L195" i="1"/>
  <c r="U195" i="1" s="1" a="1"/>
  <c r="U195" i="1" s="1"/>
  <c r="L194" i="1"/>
  <c r="U194" i="1" s="1" a="1"/>
  <c r="U194" i="1" s="1"/>
  <c r="L193" i="1"/>
  <c r="U193" i="1" s="1" a="1"/>
  <c r="U193" i="1" s="1"/>
  <c r="L192" i="1"/>
  <c r="U192" i="1" s="1" a="1"/>
  <c r="U192" i="1" s="1"/>
  <c r="L191" i="1"/>
  <c r="U191" i="1" s="1" a="1"/>
  <c r="U191" i="1" s="1"/>
  <c r="L190" i="1"/>
  <c r="U190" i="1" s="1" a="1"/>
  <c r="U190" i="1" s="1"/>
  <c r="L189" i="1"/>
  <c r="U189" i="1" s="1" a="1"/>
  <c r="U189" i="1" s="1"/>
  <c r="L188" i="1"/>
  <c r="U188" i="1" s="1" a="1"/>
  <c r="U188" i="1" s="1"/>
  <c r="L187" i="1"/>
  <c r="U187" i="1" s="1" a="1"/>
  <c r="U187" i="1" s="1"/>
  <c r="L186" i="1"/>
  <c r="U186" i="1" s="1" a="1"/>
  <c r="U186" i="1" s="1"/>
  <c r="L185" i="1"/>
  <c r="U185" i="1" s="1" a="1"/>
  <c r="U185" i="1" s="1"/>
  <c r="L184" i="1"/>
  <c r="U184" i="1" s="1" a="1"/>
  <c r="U184" i="1" s="1"/>
  <c r="L183" i="1"/>
  <c r="U183" i="1" s="1" a="1"/>
  <c r="U183" i="1" s="1"/>
  <c r="L182" i="1"/>
  <c r="U182" i="1" s="1" a="1"/>
  <c r="U182" i="1" s="1"/>
  <c r="L181" i="1"/>
  <c r="U181" i="1" s="1" a="1"/>
  <c r="U181" i="1" s="1"/>
  <c r="L180" i="1"/>
  <c r="U180" i="1" s="1" a="1"/>
  <c r="U180" i="1" s="1"/>
  <c r="L179" i="1"/>
  <c r="U179" i="1" s="1" a="1"/>
  <c r="U179" i="1" s="1"/>
  <c r="L178" i="1"/>
  <c r="U178" i="1" s="1" a="1"/>
  <c r="U178" i="1" s="1"/>
  <c r="L177" i="1"/>
  <c r="U177" i="1" s="1" a="1"/>
  <c r="U177" i="1" s="1"/>
  <c r="L176" i="1"/>
  <c r="U176" i="1" s="1" a="1"/>
  <c r="U176" i="1" s="1"/>
  <c r="L175" i="1"/>
  <c r="U175" i="1" s="1" a="1"/>
  <c r="U175" i="1" s="1"/>
  <c r="L174" i="1"/>
  <c r="U174" i="1" s="1" a="1"/>
  <c r="U174" i="1" s="1"/>
  <c r="L173" i="1"/>
  <c r="U173" i="1" s="1" a="1"/>
  <c r="U173" i="1" s="1"/>
  <c r="L172" i="1"/>
  <c r="U172" i="1" s="1" a="1"/>
  <c r="U172" i="1" s="1"/>
  <c r="L171" i="1"/>
  <c r="U171" i="1" s="1" a="1"/>
  <c r="U171" i="1" s="1"/>
  <c r="L170" i="1"/>
  <c r="U170" i="1" s="1" a="1"/>
  <c r="U170" i="1" s="1"/>
  <c r="L169" i="1"/>
  <c r="U169" i="1" s="1" a="1"/>
  <c r="U169" i="1" s="1"/>
  <c r="L168" i="1"/>
  <c r="U168" i="1" s="1" a="1"/>
  <c r="U168" i="1" s="1"/>
  <c r="L167" i="1"/>
  <c r="U167" i="1" s="1" a="1"/>
  <c r="U167" i="1" s="1"/>
  <c r="L166" i="1"/>
  <c r="U166" i="1" s="1" a="1"/>
  <c r="U166" i="1" s="1"/>
  <c r="L165" i="1"/>
  <c r="U165" i="1" s="1" a="1"/>
  <c r="U165" i="1" s="1"/>
  <c r="L164" i="1"/>
  <c r="U164" i="1" s="1" a="1"/>
  <c r="U164" i="1" s="1"/>
  <c r="L163" i="1"/>
  <c r="U163" i="1" s="1" a="1"/>
  <c r="U163" i="1" s="1"/>
  <c r="L162" i="1"/>
  <c r="U162" i="1" s="1" a="1"/>
  <c r="U162" i="1" s="1"/>
  <c r="L161" i="1"/>
  <c r="U161" i="1" s="1" a="1"/>
  <c r="U161" i="1" s="1"/>
  <c r="L160" i="1"/>
  <c r="U160" i="1" s="1" a="1"/>
  <c r="U160" i="1" s="1"/>
  <c r="L159" i="1"/>
  <c r="U159" i="1" s="1" a="1"/>
  <c r="U159" i="1" s="1"/>
  <c r="L158" i="1"/>
  <c r="U158" i="1" s="1" a="1"/>
  <c r="U158" i="1" s="1"/>
  <c r="L157" i="1"/>
  <c r="U157" i="1" s="1" a="1"/>
  <c r="U157" i="1" s="1"/>
  <c r="L156" i="1"/>
  <c r="U156" i="1" s="1" a="1"/>
  <c r="U156" i="1" s="1"/>
  <c r="L155" i="1"/>
  <c r="U155" i="1" s="1" a="1"/>
  <c r="U155" i="1" s="1"/>
  <c r="L154" i="1"/>
  <c r="U154" i="1" s="1" a="1"/>
  <c r="U154" i="1" s="1"/>
  <c r="L153" i="1"/>
  <c r="U153" i="1" s="1" a="1"/>
  <c r="U153" i="1" s="1"/>
  <c r="L152" i="1"/>
  <c r="U152" i="1" s="1" a="1"/>
  <c r="U152" i="1" s="1"/>
  <c r="L151" i="1"/>
  <c r="U151" i="1" s="1" a="1"/>
  <c r="U151" i="1" s="1"/>
  <c r="L150" i="1"/>
  <c r="U150" i="1" s="1" a="1"/>
  <c r="U150" i="1" s="1"/>
  <c r="L149" i="1"/>
  <c r="U149" i="1" s="1" a="1"/>
  <c r="U149" i="1" s="1"/>
  <c r="L148" i="1"/>
  <c r="U148" i="1" s="1" a="1"/>
  <c r="U148" i="1" s="1"/>
  <c r="L147" i="1"/>
  <c r="U147" i="1" s="1" a="1"/>
  <c r="U147" i="1" s="1"/>
  <c r="L146" i="1"/>
  <c r="U146" i="1" s="1" a="1"/>
  <c r="U146" i="1" s="1"/>
  <c r="L145" i="1"/>
  <c r="U145" i="1" s="1" a="1"/>
  <c r="U145" i="1" s="1"/>
  <c r="L144" i="1"/>
  <c r="U144" i="1" s="1" a="1"/>
  <c r="U144" i="1" s="1"/>
  <c r="L143" i="1"/>
  <c r="U143" i="1" s="1" a="1"/>
  <c r="U143" i="1" s="1"/>
  <c r="L142" i="1"/>
  <c r="U142" i="1" s="1" a="1"/>
  <c r="U142" i="1" s="1"/>
  <c r="L141" i="1"/>
  <c r="U141" i="1" s="1" a="1"/>
  <c r="U141" i="1" s="1"/>
  <c r="L140" i="1"/>
  <c r="U140" i="1" s="1" a="1"/>
  <c r="U140" i="1" s="1"/>
  <c r="L139" i="1"/>
  <c r="U139" i="1" s="1" a="1"/>
  <c r="U139" i="1" s="1"/>
  <c r="L138" i="1"/>
  <c r="U138" i="1" s="1" a="1"/>
  <c r="U138" i="1" s="1"/>
  <c r="L137" i="1"/>
  <c r="U137" i="1" s="1" a="1"/>
  <c r="U137" i="1" s="1"/>
  <c r="L136" i="1"/>
  <c r="U136" i="1" s="1" a="1"/>
  <c r="U136" i="1" s="1"/>
  <c r="L135" i="1"/>
  <c r="U135" i="1" s="1" a="1"/>
  <c r="U135" i="1" s="1"/>
  <c r="L134" i="1"/>
  <c r="U134" i="1" s="1" a="1"/>
  <c r="U134" i="1" s="1"/>
  <c r="L133" i="1"/>
  <c r="U133" i="1" s="1" a="1"/>
  <c r="U133" i="1" s="1"/>
  <c r="L132" i="1"/>
  <c r="U132" i="1" s="1" a="1"/>
  <c r="U132" i="1" s="1"/>
  <c r="L131" i="1"/>
  <c r="U131" i="1" s="1" a="1"/>
  <c r="U131" i="1" s="1"/>
  <c r="L130" i="1"/>
  <c r="U130" i="1" s="1" a="1"/>
  <c r="U130" i="1" s="1"/>
  <c r="L129" i="1"/>
  <c r="U129" i="1" s="1" a="1"/>
  <c r="U129" i="1" s="1"/>
  <c r="L128" i="1"/>
  <c r="U128" i="1" s="1" a="1"/>
  <c r="U128" i="1" s="1"/>
  <c r="L127" i="1"/>
  <c r="U127" i="1" s="1" a="1"/>
  <c r="U127" i="1" s="1"/>
  <c r="L126" i="1"/>
  <c r="U126" i="1" s="1" a="1"/>
  <c r="U126" i="1" s="1"/>
  <c r="L125" i="1"/>
  <c r="U125" i="1" s="1" a="1"/>
  <c r="U125" i="1" s="1"/>
  <c r="L124" i="1"/>
  <c r="U124" i="1" s="1" a="1"/>
  <c r="U124" i="1" s="1"/>
  <c r="L123" i="1"/>
  <c r="U123" i="1" s="1" a="1"/>
  <c r="U123" i="1" s="1"/>
  <c r="L122" i="1"/>
  <c r="U122" i="1" s="1" a="1"/>
  <c r="U122" i="1" s="1"/>
  <c r="L121" i="1"/>
  <c r="U121" i="1" s="1" a="1"/>
  <c r="U121" i="1" s="1"/>
  <c r="L120" i="1"/>
  <c r="U120" i="1" s="1" a="1"/>
  <c r="U120" i="1" s="1"/>
  <c r="L119" i="1"/>
  <c r="U119" i="1" s="1" a="1"/>
  <c r="U119" i="1" s="1"/>
  <c r="L118" i="1"/>
  <c r="U118" i="1" s="1" a="1"/>
  <c r="U118" i="1" s="1"/>
  <c r="L117" i="1"/>
  <c r="U117" i="1" s="1" a="1"/>
  <c r="U117" i="1" s="1"/>
  <c r="L116" i="1"/>
  <c r="U116" i="1" s="1" a="1"/>
  <c r="U116" i="1" s="1"/>
  <c r="L115" i="1"/>
  <c r="U115" i="1" s="1" a="1"/>
  <c r="U115" i="1" s="1"/>
  <c r="L114" i="1"/>
  <c r="U114" i="1" s="1" a="1"/>
  <c r="U114" i="1" s="1"/>
  <c r="L113" i="1"/>
  <c r="U113" i="1" s="1" a="1"/>
  <c r="U113" i="1" s="1"/>
  <c r="L112" i="1"/>
  <c r="U112" i="1" s="1" a="1"/>
  <c r="U112" i="1" s="1"/>
  <c r="L111" i="1"/>
  <c r="U111" i="1" s="1" a="1"/>
  <c r="U111" i="1" s="1"/>
  <c r="L110" i="1"/>
  <c r="U110" i="1" s="1" a="1"/>
  <c r="U110" i="1" s="1"/>
  <c r="L109" i="1"/>
  <c r="U109" i="1" s="1" a="1"/>
  <c r="U109" i="1" s="1"/>
  <c r="L108" i="1"/>
  <c r="U108" i="1" s="1" a="1"/>
  <c r="U108" i="1" s="1"/>
  <c r="L107" i="1"/>
  <c r="U107" i="1" s="1" a="1"/>
  <c r="U107" i="1" s="1"/>
  <c r="L106" i="1"/>
  <c r="U106" i="1" s="1" a="1"/>
  <c r="U106" i="1" s="1"/>
  <c r="L105" i="1"/>
  <c r="U105" i="1" s="1" a="1"/>
  <c r="U105" i="1" s="1"/>
  <c r="L104" i="1"/>
  <c r="U104" i="1" s="1" a="1"/>
  <c r="U104" i="1" s="1"/>
  <c r="L103" i="1"/>
  <c r="U103" i="1" s="1" a="1"/>
  <c r="U103" i="1" s="1"/>
  <c r="L102" i="1"/>
  <c r="U102" i="1" s="1" a="1"/>
  <c r="U102" i="1" s="1"/>
  <c r="L101" i="1"/>
  <c r="U101" i="1" s="1" a="1"/>
  <c r="U101" i="1" s="1"/>
  <c r="L100" i="1"/>
  <c r="U100" i="1" s="1" a="1"/>
  <c r="U100" i="1" s="1"/>
  <c r="L99" i="1"/>
  <c r="U99" i="1" s="1" a="1"/>
  <c r="U99" i="1" s="1"/>
  <c r="L98" i="1"/>
  <c r="U98" i="1" s="1" a="1"/>
  <c r="U98" i="1" s="1"/>
  <c r="L97" i="1"/>
  <c r="U97" i="1" s="1" a="1"/>
  <c r="U97" i="1" s="1"/>
  <c r="L96" i="1"/>
  <c r="U96" i="1" s="1" a="1"/>
  <c r="U96" i="1" s="1"/>
  <c r="L95" i="1"/>
  <c r="U95" i="1" s="1" a="1"/>
  <c r="U95" i="1" s="1"/>
  <c r="L94" i="1"/>
  <c r="U94" i="1" s="1" a="1"/>
  <c r="U94" i="1" s="1"/>
  <c r="L93" i="1"/>
  <c r="U93" i="1" s="1" a="1"/>
  <c r="U93" i="1" s="1"/>
  <c r="L92" i="1"/>
  <c r="U92" i="1" s="1" a="1"/>
  <c r="U92" i="1" s="1"/>
  <c r="L91" i="1"/>
  <c r="U91" i="1" s="1" a="1"/>
  <c r="U91" i="1" s="1"/>
  <c r="L90" i="1"/>
  <c r="U90" i="1" s="1" a="1"/>
  <c r="U90" i="1" s="1"/>
  <c r="L89" i="1"/>
  <c r="U89" i="1" s="1" a="1"/>
  <c r="U89" i="1" s="1"/>
  <c r="L88" i="1"/>
  <c r="U88" i="1" s="1" a="1"/>
  <c r="U88" i="1" s="1"/>
  <c r="L87" i="1"/>
  <c r="U87" i="1" s="1" a="1"/>
  <c r="U87" i="1" s="1"/>
  <c r="L86" i="1"/>
  <c r="U86" i="1" s="1" a="1"/>
  <c r="U86" i="1" s="1"/>
  <c r="L85" i="1"/>
  <c r="U85" i="1" s="1" a="1"/>
  <c r="U85" i="1" s="1"/>
  <c r="L84" i="1"/>
  <c r="U84" i="1" s="1" a="1"/>
  <c r="U84" i="1" s="1"/>
  <c r="L83" i="1"/>
  <c r="U83" i="1" s="1" a="1"/>
  <c r="U83" i="1" s="1"/>
  <c r="L82" i="1"/>
  <c r="U82" i="1" s="1" a="1"/>
  <c r="U82" i="1" s="1"/>
  <c r="L81" i="1"/>
  <c r="U81" i="1" s="1" a="1"/>
  <c r="U81" i="1" s="1"/>
  <c r="L80" i="1"/>
  <c r="U80" i="1" s="1" a="1"/>
  <c r="U80" i="1" s="1"/>
  <c r="L79" i="1"/>
  <c r="U79" i="1" s="1" a="1"/>
  <c r="U79" i="1" s="1"/>
  <c r="L78" i="1"/>
  <c r="U78" i="1" s="1" a="1"/>
  <c r="U78" i="1" s="1"/>
  <c r="L77" i="1"/>
  <c r="U77" i="1" s="1" a="1"/>
  <c r="U77" i="1" s="1"/>
  <c r="L76" i="1"/>
  <c r="U76" i="1" s="1" a="1"/>
  <c r="U76" i="1" s="1"/>
  <c r="L75" i="1"/>
  <c r="U75" i="1" s="1" a="1"/>
  <c r="U75" i="1" s="1"/>
  <c r="L74" i="1"/>
  <c r="U74" i="1" s="1" a="1"/>
  <c r="U74" i="1" s="1"/>
  <c r="L73" i="1"/>
  <c r="U73" i="1" s="1" a="1"/>
  <c r="U73" i="1" s="1"/>
  <c r="L72" i="1"/>
  <c r="U72" i="1" s="1" a="1"/>
  <c r="U72" i="1" s="1"/>
  <c r="L71" i="1"/>
  <c r="U71" i="1" s="1" a="1"/>
  <c r="U71" i="1" s="1"/>
  <c r="L70" i="1"/>
  <c r="U70" i="1" s="1" a="1"/>
  <c r="U70" i="1" s="1"/>
  <c r="L69" i="1"/>
  <c r="U69" i="1" s="1" a="1"/>
  <c r="U69" i="1" s="1"/>
  <c r="L68" i="1"/>
  <c r="U68" i="1" s="1" a="1"/>
  <c r="U68" i="1" s="1"/>
  <c r="L67" i="1"/>
  <c r="U67" i="1" s="1" a="1"/>
  <c r="U67" i="1" s="1"/>
  <c r="L66" i="1"/>
  <c r="U66" i="1" s="1" a="1"/>
  <c r="U66" i="1" s="1"/>
  <c r="L65" i="1"/>
  <c r="U65" i="1" s="1" a="1"/>
  <c r="U65" i="1" s="1"/>
  <c r="L64" i="1"/>
  <c r="U64" i="1" s="1" a="1"/>
  <c r="U64" i="1" s="1"/>
  <c r="L63" i="1"/>
  <c r="U63" i="1" s="1" a="1"/>
  <c r="U63" i="1" s="1"/>
  <c r="L62" i="1"/>
  <c r="U62" i="1" s="1" a="1"/>
  <c r="U62" i="1" s="1"/>
  <c r="L61" i="1"/>
  <c r="U61" i="1" s="1" a="1"/>
  <c r="U61" i="1" s="1"/>
  <c r="L60" i="1"/>
  <c r="U60" i="1" s="1" a="1"/>
  <c r="U60" i="1" s="1"/>
  <c r="L59" i="1"/>
  <c r="U59" i="1" s="1" a="1"/>
  <c r="U59" i="1" s="1"/>
  <c r="L58" i="1"/>
  <c r="U58" i="1" s="1" a="1"/>
  <c r="U58" i="1" s="1"/>
  <c r="L57" i="1"/>
  <c r="U57" i="1" s="1" a="1"/>
  <c r="U57" i="1" s="1"/>
  <c r="L56" i="1"/>
  <c r="U56" i="1" s="1" a="1"/>
  <c r="U56" i="1" s="1"/>
  <c r="L55" i="1"/>
  <c r="U55" i="1" s="1" a="1"/>
  <c r="U55" i="1" s="1"/>
  <c r="L54" i="1"/>
  <c r="U54" i="1" s="1" a="1"/>
  <c r="U54" i="1" s="1"/>
  <c r="L53" i="1"/>
  <c r="U53" i="1" s="1" a="1"/>
  <c r="U53" i="1" s="1"/>
  <c r="L52" i="1"/>
  <c r="U52" i="1" s="1" a="1"/>
  <c r="U52" i="1" s="1"/>
  <c r="L51" i="1"/>
  <c r="U51" i="1" s="1" a="1"/>
  <c r="U51" i="1" s="1"/>
  <c r="L50" i="1"/>
  <c r="U50" i="1" s="1" a="1"/>
  <c r="U50" i="1" s="1"/>
  <c r="L49" i="1"/>
  <c r="U49" i="1" s="1" a="1"/>
  <c r="U49" i="1" s="1"/>
  <c r="L48" i="1"/>
  <c r="U48" i="1" s="1" a="1"/>
  <c r="U48" i="1" s="1"/>
  <c r="L47" i="1"/>
  <c r="U47" i="1" s="1" a="1"/>
  <c r="U47" i="1" s="1"/>
  <c r="L46" i="1"/>
  <c r="U46" i="1" s="1" a="1"/>
  <c r="U46" i="1" s="1"/>
  <c r="L45" i="1"/>
  <c r="U45" i="1" s="1" a="1"/>
  <c r="U45" i="1" s="1"/>
  <c r="L44" i="1"/>
  <c r="U44" i="1" s="1" a="1"/>
  <c r="U44" i="1" s="1"/>
  <c r="L43" i="1"/>
  <c r="U43" i="1" s="1" a="1"/>
  <c r="U43" i="1" s="1"/>
  <c r="L42" i="1"/>
  <c r="U42" i="1" s="1" a="1"/>
  <c r="U42" i="1" s="1"/>
  <c r="L41" i="1"/>
  <c r="U41" i="1" s="1" a="1"/>
  <c r="U41" i="1" s="1"/>
  <c r="L40" i="1"/>
  <c r="U40" i="1" s="1" a="1"/>
  <c r="U40" i="1" s="1"/>
  <c r="L39" i="1"/>
  <c r="U39" i="1" s="1" a="1"/>
  <c r="U39" i="1" s="1"/>
  <c r="L38" i="1"/>
  <c r="U38" i="1" s="1" a="1"/>
  <c r="U38" i="1" s="1"/>
  <c r="L37" i="1"/>
  <c r="U37" i="1" s="1" a="1"/>
  <c r="U37" i="1" s="1"/>
  <c r="L36" i="1"/>
  <c r="U36" i="1" s="1" a="1"/>
  <c r="U36" i="1" s="1"/>
  <c r="L35" i="1"/>
  <c r="U35" i="1" s="1" a="1"/>
  <c r="U35" i="1" s="1"/>
  <c r="L34" i="1"/>
  <c r="U34" i="1" s="1" a="1"/>
  <c r="U34" i="1" s="1"/>
  <c r="L33" i="1"/>
  <c r="U33" i="1" s="1" a="1"/>
  <c r="U33" i="1" s="1"/>
  <c r="L32" i="1"/>
  <c r="U32" i="1" s="1" a="1"/>
  <c r="U32" i="1" s="1"/>
  <c r="L31" i="1"/>
  <c r="U31" i="1" s="1" a="1"/>
  <c r="U31" i="1" s="1"/>
  <c r="L30" i="1"/>
  <c r="U30" i="1" s="1" a="1"/>
  <c r="U30" i="1" s="1"/>
  <c r="L29" i="1"/>
  <c r="U29" i="1" s="1" a="1"/>
  <c r="U29" i="1" s="1"/>
  <c r="L28" i="1"/>
  <c r="U28" i="1" s="1" a="1"/>
  <c r="U28" i="1" s="1"/>
  <c r="L27" i="1"/>
  <c r="U27" i="1" s="1" a="1"/>
  <c r="U27" i="1" s="1"/>
  <c r="L26" i="1"/>
  <c r="U26" i="1" s="1" a="1"/>
  <c r="U26" i="1" s="1"/>
  <c r="L25" i="1"/>
  <c r="U25" i="1" s="1" a="1"/>
  <c r="U25" i="1" s="1"/>
  <c r="L24" i="1"/>
  <c r="U24" i="1" s="1" a="1"/>
  <c r="U24" i="1" s="1"/>
  <c r="L23" i="1"/>
  <c r="U23" i="1" s="1" a="1"/>
  <c r="U23" i="1" s="1"/>
  <c r="L22" i="1"/>
  <c r="U22" i="1" s="1" a="1"/>
  <c r="U22" i="1" s="1"/>
  <c r="L21" i="1"/>
  <c r="U21" i="1" s="1" a="1"/>
  <c r="U21" i="1" s="1"/>
  <c r="L20" i="1"/>
  <c r="U20" i="1" s="1" a="1"/>
  <c r="U20" i="1" s="1"/>
  <c r="L19" i="1"/>
  <c r="U19" i="1" s="1" a="1"/>
  <c r="U19" i="1" s="1"/>
  <c r="L18" i="1"/>
  <c r="U18" i="1" s="1" a="1"/>
  <c r="U18" i="1" s="1"/>
  <c r="L17" i="1"/>
  <c r="U17" i="1" s="1" a="1"/>
  <c r="U17" i="1" s="1"/>
  <c r="L16" i="1"/>
  <c r="U16" i="1" s="1" a="1"/>
  <c r="U16" i="1" s="1"/>
  <c r="L15" i="1"/>
  <c r="U15" i="1" s="1" a="1"/>
  <c r="U15" i="1" s="1"/>
  <c r="L14" i="1"/>
  <c r="U14" i="1" s="1" a="1"/>
  <c r="U14" i="1" s="1"/>
  <c r="L13" i="1"/>
  <c r="U13" i="1" s="1" a="1"/>
  <c r="U13" i="1" s="1"/>
  <c r="L12" i="1"/>
  <c r="U12" i="1" s="1" a="1"/>
  <c r="U12" i="1" s="1"/>
  <c r="L11" i="1"/>
  <c r="U11" i="1" s="1" a="1"/>
  <c r="U11" i="1" s="1"/>
  <c r="L10" i="1"/>
  <c r="U10" i="1" s="1" a="1"/>
  <c r="U10" i="1" s="1"/>
  <c r="L9" i="1"/>
  <c r="U9" i="1" s="1" a="1"/>
  <c r="U9" i="1" s="1"/>
  <c r="L8" i="1"/>
  <c r="U8" i="1" s="1" a="1"/>
  <c r="U8" i="1" s="1"/>
  <c r="L7" i="1"/>
  <c r="U7" i="1" s="1" a="1"/>
  <c r="U7" i="1" s="1"/>
  <c r="L6" i="1"/>
  <c r="U6" i="1" s="1" a="1"/>
  <c r="U6" i="1" s="1"/>
  <c r="L5" i="1"/>
  <c r="U5" i="1" s="1" a="1"/>
  <c r="U5" i="1" s="1"/>
  <c r="L4" i="1"/>
  <c r="U4" i="1" s="1" a="1"/>
  <c r="U4" i="1" s="1"/>
  <c r="AA3" i="1" l="1"/>
  <c r="AA4" i="1"/>
  <c r="AA5" i="1"/>
  <c r="AA6" i="1"/>
  <c r="AA7" i="1"/>
  <c r="M4" i="1"/>
  <c r="O4" i="1" s="1"/>
  <c r="M5" i="1"/>
  <c r="O5" i="1" s="1"/>
  <c r="M6" i="1"/>
  <c r="O6" i="1" s="1"/>
  <c r="M7" i="1"/>
  <c r="O7" i="1" s="1"/>
  <c r="M8" i="1"/>
  <c r="O8" i="1" s="1"/>
  <c r="M9" i="1"/>
  <c r="O9" i="1" s="1"/>
  <c r="M10" i="1"/>
  <c r="O10" i="1" s="1"/>
  <c r="M11" i="1"/>
  <c r="O11" i="1" s="1"/>
  <c r="M12" i="1"/>
  <c r="O12" i="1" s="1"/>
  <c r="M13" i="1"/>
  <c r="O13" i="1" s="1"/>
  <c r="M14" i="1"/>
  <c r="O14" i="1" s="1"/>
  <c r="M15" i="1"/>
  <c r="O15" i="1" s="1"/>
  <c r="M16" i="1"/>
  <c r="O16" i="1" s="1"/>
  <c r="M17" i="1"/>
  <c r="O17" i="1" s="1"/>
  <c r="M18" i="1"/>
  <c r="O18" i="1" s="1"/>
  <c r="M19" i="1"/>
  <c r="O19" i="1" s="1"/>
  <c r="M20" i="1"/>
  <c r="O20" i="1" s="1"/>
  <c r="M21" i="1"/>
  <c r="O21" i="1" s="1"/>
  <c r="M22" i="1"/>
  <c r="O22" i="1" s="1"/>
  <c r="M23" i="1"/>
  <c r="O23" i="1" s="1"/>
  <c r="M24" i="1"/>
  <c r="O24" i="1" s="1"/>
  <c r="M25" i="1"/>
  <c r="O25" i="1" s="1"/>
  <c r="M26" i="1"/>
  <c r="O26" i="1" s="1"/>
  <c r="M27" i="1"/>
  <c r="O27" i="1" s="1"/>
  <c r="M28" i="1"/>
  <c r="O28" i="1" s="1"/>
  <c r="M29" i="1"/>
  <c r="O29" i="1" s="1"/>
  <c r="M30" i="1"/>
  <c r="O30" i="1" s="1"/>
  <c r="M31" i="1"/>
  <c r="O31" i="1" s="1"/>
  <c r="M32" i="1"/>
  <c r="O32" i="1" s="1"/>
  <c r="M33" i="1"/>
  <c r="O33" i="1" s="1"/>
  <c r="M34" i="1"/>
  <c r="O34" i="1" s="1"/>
  <c r="M35" i="1"/>
  <c r="O35" i="1" s="1"/>
  <c r="M36" i="1"/>
  <c r="O36" i="1" s="1"/>
  <c r="M37" i="1"/>
  <c r="O37" i="1" s="1"/>
  <c r="M38" i="1"/>
  <c r="O38" i="1" s="1"/>
  <c r="M39" i="1"/>
  <c r="O39" i="1" s="1"/>
  <c r="M40" i="1"/>
  <c r="O40" i="1" s="1"/>
  <c r="M41" i="1"/>
  <c r="O41" i="1" s="1"/>
  <c r="M42" i="1"/>
  <c r="O42" i="1" s="1"/>
  <c r="M43" i="1"/>
  <c r="O43" i="1" s="1"/>
  <c r="M44" i="1"/>
  <c r="O44" i="1" s="1"/>
  <c r="M45" i="1"/>
  <c r="O45" i="1" s="1"/>
  <c r="M46" i="1"/>
  <c r="O46" i="1" s="1"/>
  <c r="M47" i="1"/>
  <c r="O47" i="1" s="1"/>
  <c r="M48" i="1"/>
  <c r="O48" i="1" s="1"/>
  <c r="M49" i="1"/>
  <c r="O49" i="1" s="1"/>
  <c r="M50" i="1"/>
  <c r="O50" i="1" s="1"/>
  <c r="M51" i="1"/>
  <c r="O51" i="1" s="1"/>
  <c r="M52" i="1"/>
  <c r="O52" i="1" s="1"/>
  <c r="M53" i="1"/>
  <c r="O53" i="1" s="1"/>
  <c r="M54" i="1"/>
  <c r="O54" i="1" s="1"/>
  <c r="M55" i="1"/>
  <c r="O55" i="1" s="1"/>
  <c r="M56" i="1"/>
  <c r="O56" i="1" s="1"/>
  <c r="M57" i="1"/>
  <c r="O57" i="1" s="1"/>
  <c r="M58" i="1"/>
  <c r="O58" i="1" s="1"/>
  <c r="M59" i="1"/>
  <c r="O59" i="1" s="1"/>
  <c r="M60" i="1"/>
  <c r="O60" i="1" s="1"/>
  <c r="M61" i="1"/>
  <c r="O61" i="1" s="1"/>
  <c r="M62" i="1"/>
  <c r="O62" i="1" s="1"/>
  <c r="M63" i="1"/>
  <c r="O63" i="1" s="1"/>
  <c r="M64" i="1"/>
  <c r="O64" i="1" s="1"/>
  <c r="M65" i="1"/>
  <c r="O65" i="1" s="1"/>
  <c r="M66" i="1"/>
  <c r="O66" i="1" s="1"/>
  <c r="M67" i="1"/>
  <c r="O67" i="1" s="1"/>
  <c r="M68" i="1"/>
  <c r="O68" i="1" s="1"/>
  <c r="M69" i="1"/>
  <c r="O69" i="1" s="1"/>
  <c r="M70" i="1"/>
  <c r="O70" i="1" s="1"/>
  <c r="M71" i="1"/>
  <c r="O71" i="1" s="1"/>
  <c r="M72" i="1"/>
  <c r="O72" i="1" s="1"/>
  <c r="M73" i="1"/>
  <c r="O73" i="1" s="1"/>
  <c r="M74" i="1"/>
  <c r="O74" i="1" s="1"/>
  <c r="M75" i="1"/>
  <c r="O75" i="1" s="1"/>
  <c r="M76" i="1"/>
  <c r="O76" i="1" s="1"/>
  <c r="M77" i="1"/>
  <c r="O77" i="1" s="1"/>
  <c r="M78" i="1"/>
  <c r="O78" i="1" s="1"/>
  <c r="M79" i="1"/>
  <c r="O79" i="1" s="1"/>
  <c r="M80" i="1"/>
  <c r="O80" i="1" s="1"/>
  <c r="M81" i="1"/>
  <c r="O81" i="1" s="1"/>
  <c r="M82" i="1"/>
  <c r="O82" i="1" s="1"/>
  <c r="M83" i="1"/>
  <c r="O83" i="1" s="1"/>
  <c r="M84" i="1"/>
  <c r="O84" i="1" s="1"/>
  <c r="M85" i="1"/>
  <c r="O85" i="1" s="1"/>
  <c r="M86" i="1"/>
  <c r="O86" i="1" s="1"/>
  <c r="M87" i="1"/>
  <c r="O87" i="1" s="1"/>
  <c r="M88" i="1"/>
  <c r="O88" i="1" s="1"/>
  <c r="M89" i="1"/>
  <c r="O89" i="1" s="1"/>
  <c r="M90" i="1"/>
  <c r="O90" i="1" s="1"/>
  <c r="M91" i="1"/>
  <c r="O91" i="1" s="1"/>
  <c r="M92" i="1"/>
  <c r="O92" i="1" s="1"/>
  <c r="M93" i="1"/>
  <c r="O93" i="1" s="1"/>
  <c r="M94" i="1"/>
  <c r="O94" i="1" s="1"/>
  <c r="M95" i="1"/>
  <c r="O95" i="1" s="1"/>
  <c r="M96" i="1"/>
  <c r="O96" i="1" s="1"/>
  <c r="M97" i="1"/>
  <c r="O97" i="1" s="1"/>
  <c r="M98" i="1"/>
  <c r="O98" i="1" s="1"/>
  <c r="M99" i="1"/>
  <c r="O99" i="1" s="1"/>
  <c r="M100" i="1"/>
  <c r="O100" i="1" s="1"/>
  <c r="M101" i="1"/>
  <c r="O101" i="1" s="1"/>
  <c r="M102" i="1"/>
  <c r="O102" i="1" s="1"/>
  <c r="M103" i="1"/>
  <c r="O103" i="1" s="1"/>
  <c r="M104" i="1"/>
  <c r="O104" i="1" s="1"/>
  <c r="M105" i="1"/>
  <c r="O105" i="1" s="1"/>
  <c r="M106" i="1"/>
  <c r="O106" i="1" s="1"/>
  <c r="M107" i="1"/>
  <c r="O107" i="1" s="1"/>
  <c r="M108" i="1"/>
  <c r="O108" i="1" s="1"/>
  <c r="M109" i="1"/>
  <c r="O109" i="1" s="1"/>
  <c r="M110" i="1"/>
  <c r="O110" i="1" s="1"/>
  <c r="M111" i="1"/>
  <c r="O111" i="1" s="1"/>
  <c r="M112" i="1"/>
  <c r="O112" i="1" s="1"/>
  <c r="M113" i="1"/>
  <c r="O113" i="1" s="1"/>
  <c r="M114" i="1"/>
  <c r="O114" i="1" s="1"/>
  <c r="M115" i="1"/>
  <c r="O115" i="1" s="1"/>
  <c r="M116" i="1"/>
  <c r="O116" i="1" s="1"/>
  <c r="M117" i="1"/>
  <c r="O117" i="1" s="1"/>
  <c r="M118" i="1"/>
  <c r="O118" i="1" s="1"/>
  <c r="M119" i="1"/>
  <c r="O119" i="1" s="1"/>
  <c r="M120" i="1"/>
  <c r="O120" i="1" s="1"/>
  <c r="M121" i="1"/>
  <c r="O121" i="1" s="1"/>
  <c r="M122" i="1"/>
  <c r="O122" i="1" s="1"/>
  <c r="M123" i="1"/>
  <c r="O123" i="1" s="1"/>
  <c r="M124" i="1"/>
  <c r="O124" i="1" s="1"/>
  <c r="M125" i="1"/>
  <c r="O125" i="1" s="1"/>
  <c r="M126" i="1"/>
  <c r="O126" i="1" s="1"/>
  <c r="M127" i="1"/>
  <c r="O127" i="1" s="1"/>
  <c r="M128" i="1"/>
  <c r="O128" i="1" s="1"/>
  <c r="M129" i="1"/>
  <c r="O129" i="1" s="1"/>
  <c r="M130" i="1"/>
  <c r="O130" i="1" s="1"/>
  <c r="M131" i="1"/>
  <c r="O131" i="1" s="1"/>
  <c r="M132" i="1"/>
  <c r="O132" i="1" s="1"/>
  <c r="M133" i="1"/>
  <c r="O133" i="1" s="1"/>
  <c r="M134" i="1"/>
  <c r="O134" i="1" s="1"/>
  <c r="M135" i="1"/>
  <c r="O135" i="1" s="1"/>
  <c r="M136" i="1"/>
  <c r="O136" i="1" s="1"/>
  <c r="M137" i="1"/>
  <c r="O137" i="1" s="1"/>
  <c r="M138" i="1"/>
  <c r="O138" i="1" s="1"/>
  <c r="M139" i="1"/>
  <c r="O139" i="1" s="1"/>
  <c r="M140" i="1"/>
  <c r="O140" i="1" s="1"/>
  <c r="M141" i="1"/>
  <c r="O141" i="1" s="1"/>
  <c r="M142" i="1"/>
  <c r="O142" i="1" s="1"/>
  <c r="M143" i="1"/>
  <c r="O143" i="1" s="1"/>
  <c r="M144" i="1"/>
  <c r="O144" i="1" s="1"/>
  <c r="M145" i="1"/>
  <c r="O145" i="1" s="1"/>
  <c r="M146" i="1"/>
  <c r="O146" i="1" s="1"/>
  <c r="M147" i="1"/>
  <c r="O147" i="1" s="1"/>
  <c r="M148" i="1"/>
  <c r="O148" i="1" s="1"/>
  <c r="M149" i="1"/>
  <c r="O149" i="1" s="1"/>
  <c r="M150" i="1"/>
  <c r="O150" i="1" s="1"/>
  <c r="M151" i="1"/>
  <c r="O151" i="1" s="1"/>
  <c r="M152" i="1"/>
  <c r="O152" i="1" s="1"/>
  <c r="M153" i="1"/>
  <c r="O153" i="1" s="1"/>
  <c r="M154" i="1"/>
  <c r="O154" i="1" s="1"/>
  <c r="M155" i="1"/>
  <c r="O155" i="1" s="1"/>
  <c r="M156" i="1"/>
  <c r="O156" i="1" s="1"/>
  <c r="M157" i="1"/>
  <c r="O157" i="1" s="1"/>
  <c r="M158" i="1"/>
  <c r="O158" i="1" s="1"/>
  <c r="M159" i="1"/>
  <c r="O159" i="1" s="1"/>
  <c r="M160" i="1"/>
  <c r="O160" i="1" s="1"/>
  <c r="M161" i="1"/>
  <c r="O161" i="1" s="1"/>
  <c r="M162" i="1"/>
  <c r="O162" i="1" s="1"/>
  <c r="M163" i="1"/>
  <c r="O163" i="1" s="1"/>
  <c r="M164" i="1"/>
  <c r="O164" i="1" s="1"/>
  <c r="M165" i="1"/>
  <c r="O165" i="1" s="1"/>
  <c r="M166" i="1"/>
  <c r="O166" i="1" s="1"/>
  <c r="M167" i="1"/>
  <c r="O167" i="1" s="1"/>
  <c r="M168" i="1"/>
  <c r="O168" i="1" s="1"/>
  <c r="M169" i="1"/>
  <c r="O169" i="1" s="1"/>
  <c r="M170" i="1"/>
  <c r="O170" i="1" s="1"/>
  <c r="M171" i="1"/>
  <c r="O171" i="1" s="1"/>
  <c r="M172" i="1"/>
  <c r="O172" i="1" s="1"/>
  <c r="M173" i="1"/>
  <c r="O173" i="1" s="1"/>
  <c r="M174" i="1"/>
  <c r="O174" i="1" s="1"/>
  <c r="M175" i="1"/>
  <c r="O175" i="1" s="1"/>
  <c r="M176" i="1"/>
  <c r="O176" i="1" s="1"/>
  <c r="M177" i="1"/>
  <c r="O177" i="1" s="1"/>
  <c r="M178" i="1"/>
  <c r="O178" i="1" s="1"/>
  <c r="M179" i="1"/>
  <c r="O179" i="1" s="1"/>
  <c r="M180" i="1"/>
  <c r="O180" i="1" s="1"/>
  <c r="M181" i="1"/>
  <c r="O181" i="1" s="1"/>
  <c r="M182" i="1"/>
  <c r="O182" i="1" s="1"/>
  <c r="M183" i="1"/>
  <c r="O183" i="1" s="1"/>
  <c r="M184" i="1"/>
  <c r="O184" i="1" s="1"/>
  <c r="M185" i="1"/>
  <c r="O185" i="1" s="1"/>
  <c r="M186" i="1"/>
  <c r="O186" i="1" s="1"/>
  <c r="M187" i="1"/>
  <c r="O187" i="1" s="1"/>
  <c r="M188" i="1"/>
  <c r="O188" i="1" s="1"/>
  <c r="M189" i="1"/>
  <c r="O189" i="1" s="1"/>
  <c r="M190" i="1"/>
  <c r="O190" i="1" s="1"/>
  <c r="M191" i="1"/>
  <c r="O191" i="1" s="1"/>
  <c r="M192" i="1"/>
  <c r="O192" i="1" s="1"/>
  <c r="M193" i="1"/>
  <c r="O193" i="1" s="1"/>
  <c r="M194" i="1"/>
  <c r="O194" i="1" s="1"/>
  <c r="M195" i="1"/>
  <c r="O195" i="1" s="1"/>
  <c r="M196" i="1"/>
  <c r="O196" i="1" s="1"/>
  <c r="M197" i="1"/>
  <c r="O197" i="1" s="1"/>
  <c r="M198" i="1"/>
  <c r="O198" i="1" s="1"/>
  <c r="M199" i="1"/>
  <c r="O199" i="1" s="1"/>
  <c r="M200" i="1"/>
  <c r="O200" i="1" s="1"/>
  <c r="M201" i="1"/>
  <c r="O201" i="1" s="1"/>
  <c r="M202" i="1"/>
  <c r="O202" i="1" s="1"/>
  <c r="M203" i="1"/>
  <c r="O203" i="1" s="1"/>
  <c r="M204" i="1"/>
  <c r="O204" i="1" s="1"/>
  <c r="M205" i="1"/>
  <c r="O205" i="1" s="1"/>
  <c r="M206" i="1"/>
  <c r="O206" i="1" s="1"/>
  <c r="M207" i="1"/>
  <c r="O207" i="1" s="1"/>
  <c r="M208" i="1"/>
  <c r="O208" i="1" s="1"/>
  <c r="M209" i="1"/>
  <c r="O209" i="1" s="1"/>
  <c r="M210" i="1"/>
  <c r="O210" i="1" s="1"/>
  <c r="M211" i="1"/>
  <c r="O211" i="1" s="1"/>
  <c r="M212" i="1"/>
  <c r="O212" i="1" s="1"/>
  <c r="M213" i="1"/>
  <c r="O213" i="1" s="1"/>
  <c r="M214" i="1"/>
  <c r="O214" i="1" s="1"/>
  <c r="M215" i="1"/>
  <c r="O215" i="1" s="1"/>
  <c r="M216" i="1"/>
  <c r="O216" i="1" s="1"/>
  <c r="M217" i="1"/>
  <c r="O217" i="1" s="1"/>
  <c r="M218" i="1"/>
  <c r="O218" i="1" s="1"/>
  <c r="M219" i="1"/>
  <c r="O219" i="1" s="1"/>
  <c r="M220" i="1"/>
  <c r="O220" i="1" s="1"/>
  <c r="M221" i="1"/>
  <c r="O221" i="1" s="1"/>
  <c r="M222" i="1"/>
  <c r="O222" i="1" s="1"/>
  <c r="M223" i="1"/>
  <c r="O223" i="1" s="1"/>
  <c r="M224" i="1"/>
  <c r="O224" i="1" s="1"/>
  <c r="M225" i="1"/>
  <c r="O225" i="1" s="1"/>
  <c r="M226" i="1"/>
  <c r="O226" i="1" s="1"/>
  <c r="M227" i="1"/>
  <c r="O227" i="1" s="1"/>
  <c r="M228" i="1"/>
  <c r="O228" i="1" s="1"/>
  <c r="M229" i="1"/>
  <c r="O229" i="1" s="1"/>
  <c r="M230" i="1"/>
  <c r="O230" i="1" s="1"/>
  <c r="M231" i="1"/>
  <c r="O231" i="1" s="1"/>
  <c r="M232" i="1"/>
  <c r="O232" i="1" s="1"/>
  <c r="M233" i="1"/>
  <c r="O233" i="1" s="1"/>
  <c r="M234" i="1"/>
  <c r="O234" i="1" s="1"/>
  <c r="M235" i="1"/>
  <c r="O235" i="1" s="1"/>
  <c r="M236" i="1"/>
  <c r="O236" i="1" s="1"/>
  <c r="M237" i="1"/>
  <c r="O237" i="1" s="1"/>
  <c r="M238" i="1"/>
  <c r="O238" i="1" s="1"/>
  <c r="M239" i="1"/>
  <c r="O239" i="1" s="1"/>
  <c r="M240" i="1"/>
  <c r="O240" i="1" s="1"/>
  <c r="M241" i="1"/>
  <c r="O241" i="1" s="1"/>
  <c r="M242" i="1"/>
  <c r="O242" i="1" s="1"/>
  <c r="M243" i="1"/>
  <c r="O243" i="1" s="1"/>
  <c r="M244" i="1"/>
  <c r="O244" i="1" s="1"/>
  <c r="M245" i="1"/>
  <c r="O245" i="1" s="1"/>
  <c r="M246" i="1"/>
  <c r="O246" i="1" s="1"/>
  <c r="M247" i="1"/>
  <c r="O247" i="1" s="1"/>
  <c r="M248" i="1"/>
  <c r="O248" i="1" s="1"/>
  <c r="M249" i="1"/>
  <c r="O249" i="1" s="1"/>
  <c r="M250" i="1"/>
  <c r="O250" i="1" s="1"/>
  <c r="M251" i="1"/>
  <c r="O251" i="1" s="1"/>
  <c r="M252" i="1"/>
  <c r="O252" i="1" s="1"/>
  <c r="M253" i="1"/>
  <c r="O253" i="1" s="1"/>
  <c r="M254" i="1"/>
  <c r="O254" i="1" s="1"/>
  <c r="M255" i="1"/>
  <c r="O255" i="1" s="1"/>
  <c r="M256" i="1"/>
  <c r="O256" i="1" s="1"/>
  <c r="M257" i="1"/>
  <c r="O257" i="1" s="1"/>
  <c r="M258" i="1"/>
  <c r="O258" i="1" s="1"/>
  <c r="M259" i="1"/>
  <c r="O259" i="1" s="1"/>
  <c r="M260" i="1"/>
  <c r="O260" i="1" s="1"/>
  <c r="M261" i="1"/>
  <c r="O261" i="1" s="1"/>
  <c r="M262" i="1"/>
  <c r="O262" i="1" s="1"/>
  <c r="M263" i="1"/>
  <c r="O263" i="1" s="1"/>
  <c r="M264" i="1"/>
  <c r="O264" i="1" s="1"/>
  <c r="M265" i="1"/>
  <c r="O265" i="1" s="1"/>
  <c r="M266" i="1"/>
  <c r="O266" i="1" s="1"/>
  <c r="M267" i="1"/>
  <c r="O267" i="1" s="1"/>
  <c r="M268" i="1"/>
  <c r="O268" i="1" s="1"/>
  <c r="M269" i="1"/>
  <c r="O269" i="1" s="1"/>
  <c r="M270" i="1"/>
  <c r="O270" i="1" s="1"/>
  <c r="M271" i="1"/>
  <c r="O271" i="1" s="1"/>
  <c r="M272" i="1"/>
  <c r="O272" i="1" s="1"/>
  <c r="M273" i="1"/>
  <c r="O273" i="1" s="1"/>
  <c r="M274" i="1"/>
  <c r="O274" i="1" s="1"/>
  <c r="M275" i="1"/>
  <c r="O275" i="1" s="1"/>
  <c r="M276" i="1"/>
  <c r="O276" i="1" s="1"/>
  <c r="M277" i="1"/>
  <c r="O277" i="1" s="1"/>
  <c r="M278" i="1"/>
  <c r="O278" i="1" s="1"/>
  <c r="M279" i="1"/>
  <c r="O279" i="1" s="1"/>
  <c r="M280" i="1"/>
  <c r="O280" i="1" s="1"/>
  <c r="M281" i="1"/>
  <c r="O281" i="1" s="1"/>
  <c r="M282" i="1"/>
  <c r="O282" i="1" s="1"/>
  <c r="M283" i="1"/>
  <c r="O283" i="1" s="1"/>
  <c r="M284" i="1"/>
  <c r="O284" i="1" s="1"/>
  <c r="M285" i="1"/>
  <c r="O285" i="1" s="1"/>
  <c r="M286" i="1"/>
  <c r="O286" i="1" s="1"/>
  <c r="M287" i="1"/>
  <c r="O287" i="1" s="1"/>
  <c r="M288" i="1"/>
  <c r="O288" i="1" s="1"/>
  <c r="M289" i="1"/>
  <c r="O289" i="1" s="1"/>
  <c r="M290" i="1"/>
  <c r="O290" i="1" s="1"/>
  <c r="M291" i="1"/>
  <c r="O291" i="1" s="1"/>
  <c r="M292" i="1"/>
  <c r="O292" i="1" s="1"/>
  <c r="M293" i="1"/>
  <c r="O293" i="1" s="1"/>
  <c r="M294" i="1"/>
  <c r="O294" i="1" s="1"/>
  <c r="M295" i="1"/>
  <c r="O295" i="1" s="1"/>
  <c r="M296" i="1"/>
  <c r="O296" i="1" s="1"/>
  <c r="M297" i="1"/>
  <c r="O297" i="1" s="1"/>
  <c r="M298" i="1"/>
  <c r="O298" i="1" s="1"/>
  <c r="M299" i="1"/>
  <c r="O299" i="1" s="1"/>
  <c r="M300" i="1"/>
  <c r="O300" i="1" s="1"/>
  <c r="M301" i="1"/>
  <c r="O301" i="1" s="1"/>
  <c r="M302" i="1"/>
  <c r="O302" i="1" s="1"/>
  <c r="M303" i="1"/>
  <c r="O303" i="1" s="1"/>
  <c r="M304" i="1"/>
  <c r="O304" i="1" s="1"/>
  <c r="M305" i="1"/>
  <c r="O305" i="1" s="1"/>
  <c r="M306" i="1"/>
  <c r="O306" i="1" s="1"/>
  <c r="M307" i="1"/>
  <c r="O307" i="1" s="1"/>
  <c r="M308" i="1"/>
  <c r="O308" i="1" s="1"/>
  <c r="M309" i="1"/>
  <c r="O309" i="1" s="1"/>
  <c r="M310" i="1"/>
  <c r="O310" i="1" s="1"/>
  <c r="M311" i="1"/>
  <c r="O311" i="1" s="1"/>
  <c r="M312" i="1"/>
  <c r="O312" i="1" s="1"/>
  <c r="M313" i="1"/>
  <c r="O313" i="1" s="1"/>
  <c r="M314" i="1"/>
  <c r="O314" i="1" s="1"/>
  <c r="M315" i="1"/>
  <c r="O315" i="1" s="1"/>
  <c r="M316" i="1"/>
  <c r="O316" i="1" s="1"/>
  <c r="M317" i="1"/>
  <c r="O317" i="1" s="1"/>
  <c r="M318" i="1"/>
  <c r="O318" i="1" s="1"/>
  <c r="M319" i="1"/>
  <c r="O319" i="1" s="1"/>
  <c r="M320" i="1"/>
  <c r="O320" i="1" s="1"/>
  <c r="M321" i="1"/>
  <c r="O321" i="1" s="1"/>
  <c r="M322" i="1"/>
  <c r="O322" i="1" s="1"/>
  <c r="M323" i="1"/>
  <c r="O323" i="1" s="1"/>
  <c r="M324" i="1"/>
  <c r="O324" i="1" s="1"/>
  <c r="M325" i="1"/>
  <c r="O325" i="1" s="1"/>
  <c r="M326" i="1"/>
  <c r="O326" i="1" s="1"/>
  <c r="M327" i="1"/>
  <c r="O327" i="1" s="1"/>
  <c r="M328" i="1"/>
  <c r="O328" i="1" s="1"/>
  <c r="M329" i="1"/>
  <c r="O329" i="1" s="1"/>
  <c r="M330" i="1"/>
  <c r="O330" i="1" s="1"/>
  <c r="M331" i="1"/>
  <c r="O331" i="1" s="1"/>
  <c r="M332" i="1"/>
  <c r="O332" i="1" s="1"/>
  <c r="M333" i="1"/>
  <c r="O333" i="1" s="1"/>
  <c r="M334" i="1"/>
  <c r="O334" i="1" s="1"/>
  <c r="M335" i="1"/>
  <c r="O335" i="1" s="1"/>
  <c r="M336" i="1"/>
  <c r="O336" i="1" s="1"/>
  <c r="M337" i="1"/>
  <c r="O337" i="1" s="1"/>
  <c r="M338" i="1"/>
  <c r="O338" i="1" s="1"/>
  <c r="M339" i="1"/>
  <c r="O339" i="1" s="1"/>
  <c r="M340" i="1"/>
  <c r="O340" i="1" s="1"/>
  <c r="M341" i="1"/>
  <c r="O341" i="1" s="1"/>
  <c r="M342" i="1"/>
  <c r="O342" i="1" s="1"/>
  <c r="M343" i="1"/>
  <c r="O343" i="1" s="1"/>
  <c r="M344" i="1"/>
  <c r="O344" i="1" s="1"/>
  <c r="M345" i="1"/>
  <c r="O345" i="1" s="1"/>
  <c r="M346" i="1"/>
  <c r="O346" i="1" s="1"/>
  <c r="M347" i="1"/>
  <c r="O347" i="1" s="1"/>
  <c r="M348" i="1"/>
  <c r="O348" i="1" s="1"/>
  <c r="M349" i="1"/>
  <c r="O349" i="1" s="1"/>
  <c r="M350" i="1"/>
  <c r="O350" i="1" s="1"/>
  <c r="M351" i="1"/>
  <c r="O351" i="1" s="1"/>
  <c r="M352" i="1"/>
  <c r="O352" i="1" s="1"/>
  <c r="M353" i="1"/>
  <c r="O353" i="1" s="1"/>
  <c r="M354" i="1"/>
  <c r="O354" i="1" s="1"/>
  <c r="M355" i="1"/>
  <c r="O355" i="1" s="1"/>
  <c r="M356" i="1"/>
  <c r="O356" i="1" s="1"/>
  <c r="M357" i="1"/>
  <c r="O357" i="1" s="1"/>
  <c r="M358" i="1"/>
  <c r="O358" i="1" s="1"/>
  <c r="M359" i="1"/>
  <c r="O359" i="1" s="1"/>
  <c r="M360" i="1"/>
  <c r="O360" i="1" s="1"/>
  <c r="M361" i="1"/>
  <c r="O361" i="1" s="1"/>
  <c r="M362" i="1"/>
  <c r="O362" i="1" s="1"/>
  <c r="M363" i="1"/>
  <c r="O363" i="1" s="1"/>
  <c r="M364" i="1"/>
  <c r="O364" i="1" s="1"/>
  <c r="M365" i="1"/>
  <c r="O365" i="1" s="1"/>
  <c r="M366" i="1"/>
  <c r="O366" i="1" s="1"/>
  <c r="M367" i="1"/>
  <c r="O367" i="1" s="1"/>
  <c r="M368" i="1"/>
  <c r="O368" i="1" s="1"/>
  <c r="M369" i="1"/>
  <c r="O369" i="1" s="1"/>
  <c r="M370" i="1"/>
  <c r="O370" i="1" s="1"/>
  <c r="M371" i="1"/>
  <c r="O371" i="1" s="1"/>
  <c r="M372" i="1"/>
  <c r="O372" i="1" s="1"/>
  <c r="M373" i="1"/>
  <c r="O373" i="1" s="1"/>
  <c r="M374" i="1"/>
  <c r="O374" i="1" s="1"/>
  <c r="M375" i="1"/>
  <c r="O375" i="1" s="1"/>
  <c r="M376" i="1"/>
  <c r="O376" i="1" s="1"/>
  <c r="M377" i="1"/>
  <c r="O377" i="1" s="1"/>
  <c r="M378" i="1"/>
  <c r="O378" i="1" s="1"/>
  <c r="M379" i="1"/>
  <c r="O379" i="1" s="1"/>
  <c r="M380" i="1"/>
  <c r="O380" i="1" s="1"/>
  <c r="M381" i="1"/>
  <c r="O381" i="1" s="1"/>
  <c r="M382" i="1"/>
  <c r="O382" i="1" s="1"/>
  <c r="M383" i="1"/>
  <c r="O383" i="1" s="1"/>
  <c r="M384" i="1"/>
  <c r="O384" i="1" s="1"/>
  <c r="M385" i="1"/>
  <c r="O385" i="1" s="1"/>
  <c r="M386" i="1"/>
  <c r="O386" i="1" s="1"/>
  <c r="M387" i="1"/>
  <c r="O387" i="1" s="1"/>
  <c r="M388" i="1"/>
  <c r="O388" i="1" s="1"/>
  <c r="M389" i="1"/>
  <c r="O389" i="1" s="1"/>
  <c r="M390" i="1"/>
  <c r="O390" i="1" s="1"/>
  <c r="M391" i="1"/>
  <c r="O391" i="1" s="1"/>
  <c r="M392" i="1"/>
  <c r="O392" i="1" s="1"/>
  <c r="M393" i="1"/>
  <c r="O393" i="1" s="1"/>
  <c r="M394" i="1"/>
  <c r="O394" i="1" s="1"/>
  <c r="M395" i="1"/>
  <c r="O395" i="1" s="1"/>
  <c r="M396" i="1"/>
  <c r="O396" i="1" s="1"/>
  <c r="M397" i="1"/>
  <c r="O397" i="1" s="1"/>
  <c r="M398" i="1"/>
  <c r="O398" i="1" s="1"/>
  <c r="M399" i="1"/>
  <c r="O399" i="1" s="1"/>
  <c r="M400" i="1"/>
  <c r="O400" i="1" s="1"/>
  <c r="M401" i="1"/>
  <c r="O401" i="1" s="1"/>
  <c r="M402" i="1"/>
  <c r="O402" i="1" s="1"/>
  <c r="M403" i="1"/>
  <c r="O403" i="1" s="1"/>
  <c r="M404" i="1"/>
  <c r="O404" i="1" s="1"/>
  <c r="M405" i="1"/>
  <c r="O405" i="1" s="1"/>
  <c r="M406" i="1"/>
  <c r="O406" i="1" s="1"/>
  <c r="M407" i="1"/>
  <c r="O407" i="1" s="1"/>
  <c r="M408" i="1"/>
  <c r="O408" i="1" s="1"/>
  <c r="M409" i="1"/>
  <c r="O409" i="1" s="1"/>
  <c r="M410" i="1"/>
  <c r="O410" i="1" s="1"/>
  <c r="M411" i="1"/>
  <c r="O411" i="1" s="1"/>
  <c r="M412" i="1"/>
  <c r="O412" i="1" s="1"/>
  <c r="M413" i="1"/>
  <c r="O413" i="1" s="1"/>
  <c r="M414" i="1"/>
  <c r="O414" i="1" s="1"/>
  <c r="M415" i="1"/>
  <c r="O415" i="1" s="1"/>
  <c r="M416" i="1"/>
  <c r="O416" i="1" s="1"/>
  <c r="M417" i="1"/>
  <c r="O417" i="1" s="1"/>
  <c r="M418" i="1"/>
  <c r="O418" i="1" s="1"/>
  <c r="M419" i="1"/>
  <c r="O419" i="1" s="1"/>
  <c r="M420" i="1"/>
  <c r="O420" i="1" s="1"/>
  <c r="M421" i="1"/>
  <c r="O421" i="1" s="1"/>
  <c r="M422" i="1"/>
  <c r="O422" i="1" s="1"/>
  <c r="M423" i="1"/>
  <c r="O423" i="1" s="1"/>
  <c r="M424" i="1"/>
  <c r="O424" i="1" s="1"/>
  <c r="M425" i="1"/>
  <c r="O425" i="1" s="1"/>
  <c r="M426" i="1"/>
  <c r="O426" i="1" s="1"/>
  <c r="M427" i="1"/>
  <c r="O427" i="1" s="1"/>
  <c r="M428" i="1"/>
  <c r="O428" i="1" s="1"/>
  <c r="M429" i="1"/>
  <c r="O429" i="1" s="1"/>
  <c r="M430" i="1"/>
  <c r="O430" i="1" s="1"/>
  <c r="M431" i="1"/>
  <c r="O431" i="1" s="1"/>
  <c r="M432" i="1"/>
  <c r="O432" i="1" s="1"/>
  <c r="M433" i="1"/>
  <c r="O433" i="1" s="1"/>
  <c r="M434" i="1"/>
  <c r="O434" i="1" s="1"/>
  <c r="M435" i="1"/>
  <c r="O435" i="1" s="1"/>
  <c r="M436" i="1"/>
  <c r="O436" i="1" s="1"/>
  <c r="M437" i="1"/>
  <c r="O437" i="1" s="1"/>
  <c r="M438" i="1"/>
  <c r="O438" i="1" s="1"/>
  <c r="M439" i="1"/>
  <c r="O439" i="1" s="1"/>
  <c r="M440" i="1"/>
  <c r="O440" i="1" s="1"/>
  <c r="M441" i="1"/>
  <c r="O441" i="1" s="1"/>
  <c r="M442" i="1"/>
  <c r="O442" i="1" s="1"/>
  <c r="M443" i="1"/>
  <c r="O443" i="1" s="1"/>
  <c r="M444" i="1"/>
  <c r="O444" i="1" s="1"/>
  <c r="M445" i="1"/>
  <c r="O445" i="1" s="1"/>
  <c r="M446" i="1"/>
  <c r="O446" i="1" s="1"/>
  <c r="M447" i="1"/>
  <c r="O447" i="1" s="1"/>
  <c r="M448" i="1"/>
  <c r="O448" i="1" s="1"/>
  <c r="M449" i="1"/>
  <c r="O449" i="1" s="1"/>
  <c r="M450" i="1"/>
  <c r="O450" i="1" s="1"/>
  <c r="M451" i="1"/>
  <c r="O451" i="1" s="1"/>
  <c r="M452" i="1"/>
  <c r="O452" i="1" s="1"/>
  <c r="M453" i="1"/>
  <c r="O453" i="1" s="1"/>
  <c r="M454" i="1"/>
  <c r="O454" i="1" s="1"/>
  <c r="M455" i="1"/>
  <c r="O455" i="1" s="1"/>
  <c r="M456" i="1"/>
  <c r="O456" i="1" s="1"/>
  <c r="M457" i="1"/>
  <c r="O457" i="1" s="1"/>
  <c r="M458" i="1"/>
  <c r="O458" i="1" s="1"/>
  <c r="M459" i="1"/>
  <c r="O459" i="1" s="1"/>
  <c r="M460" i="1"/>
  <c r="O460" i="1" s="1"/>
  <c r="M461" i="1"/>
  <c r="O461" i="1" s="1"/>
  <c r="M462" i="1"/>
  <c r="O462" i="1" s="1"/>
  <c r="M463" i="1"/>
  <c r="O463" i="1" s="1"/>
  <c r="M464" i="1"/>
  <c r="O464" i="1" s="1"/>
  <c r="M465" i="1"/>
  <c r="O465" i="1" s="1"/>
  <c r="M466" i="1"/>
  <c r="O466" i="1" s="1"/>
  <c r="M467" i="1"/>
  <c r="O467" i="1" s="1"/>
  <c r="M468" i="1"/>
  <c r="O468" i="1" s="1"/>
  <c r="M469" i="1"/>
  <c r="O469" i="1" s="1"/>
  <c r="M470" i="1"/>
  <c r="O470" i="1" s="1"/>
  <c r="M471" i="1"/>
  <c r="O471" i="1" s="1"/>
  <c r="M472" i="1"/>
  <c r="O472" i="1" s="1"/>
  <c r="M473" i="1"/>
  <c r="O473" i="1" s="1"/>
  <c r="M474" i="1"/>
  <c r="O474" i="1" s="1"/>
  <c r="M475" i="1"/>
  <c r="O475" i="1" s="1"/>
  <c r="M476" i="1"/>
  <c r="O476" i="1" s="1"/>
  <c r="M477" i="1"/>
  <c r="O477" i="1" s="1"/>
  <c r="M478" i="1"/>
  <c r="O478" i="1" s="1"/>
  <c r="M479" i="1"/>
  <c r="O479" i="1" s="1"/>
  <c r="M480" i="1"/>
  <c r="O480" i="1" s="1"/>
  <c r="M481" i="1"/>
  <c r="O481" i="1" s="1"/>
  <c r="M482" i="1"/>
  <c r="O482" i="1" s="1"/>
  <c r="M483" i="1"/>
  <c r="O483" i="1" s="1"/>
  <c r="M484" i="1"/>
  <c r="O484" i="1" s="1"/>
  <c r="M485" i="1"/>
  <c r="O485" i="1" s="1"/>
  <c r="M486" i="1"/>
  <c r="O486" i="1" s="1"/>
  <c r="M487" i="1"/>
  <c r="O487" i="1" s="1"/>
  <c r="M488" i="1"/>
  <c r="O488" i="1" s="1"/>
  <c r="M489" i="1"/>
  <c r="O489" i="1" s="1"/>
  <c r="M490" i="1"/>
  <c r="O490" i="1" s="1"/>
  <c r="M491" i="1"/>
  <c r="O491" i="1" s="1"/>
  <c r="M492" i="1"/>
  <c r="O492" i="1" s="1"/>
  <c r="M493" i="1"/>
  <c r="O493" i="1" s="1"/>
  <c r="M494" i="1"/>
  <c r="O494" i="1" s="1"/>
  <c r="M495" i="1"/>
  <c r="O495" i="1" s="1"/>
  <c r="M496" i="1"/>
  <c r="O496" i="1" s="1"/>
  <c r="M497" i="1"/>
  <c r="O497" i="1" s="1"/>
  <c r="M498" i="1"/>
  <c r="O498" i="1" s="1"/>
  <c r="M499" i="1"/>
  <c r="O499" i="1" s="1"/>
  <c r="M500" i="1"/>
  <c r="O500" i="1" s="1"/>
  <c r="M501" i="1"/>
  <c r="O501" i="1" s="1"/>
  <c r="M502" i="1"/>
  <c r="O502" i="1" s="1"/>
  <c r="M503" i="1"/>
  <c r="O503" i="1" s="1"/>
  <c r="M504" i="1"/>
  <c r="O504" i="1" s="1"/>
  <c r="M505" i="1"/>
  <c r="O505" i="1" s="1"/>
  <c r="M506" i="1"/>
  <c r="O506" i="1" s="1"/>
  <c r="M507" i="1"/>
  <c r="O507" i="1" s="1"/>
  <c r="M508" i="1"/>
  <c r="O508" i="1" s="1"/>
  <c r="M509" i="1"/>
  <c r="O509" i="1" s="1"/>
  <c r="M510" i="1"/>
  <c r="O510" i="1" s="1"/>
  <c r="M511" i="1"/>
  <c r="O511" i="1" s="1"/>
  <c r="M512" i="1"/>
  <c r="O512" i="1" s="1"/>
  <c r="M513" i="1"/>
  <c r="O513" i="1" s="1"/>
  <c r="M514" i="1"/>
  <c r="O514" i="1" s="1"/>
  <c r="M515" i="1"/>
  <c r="O515" i="1" s="1"/>
  <c r="M516" i="1"/>
  <c r="O516" i="1" s="1"/>
  <c r="M517" i="1"/>
  <c r="O517" i="1" s="1"/>
  <c r="M518" i="1"/>
  <c r="O518" i="1" s="1"/>
  <c r="M519" i="1"/>
  <c r="O519" i="1" s="1"/>
  <c r="M520" i="1"/>
  <c r="O520" i="1" s="1"/>
  <c r="M521" i="1"/>
  <c r="O521" i="1" s="1"/>
  <c r="M522" i="1"/>
  <c r="O522" i="1" s="1"/>
  <c r="M523" i="1"/>
  <c r="O523" i="1" s="1"/>
  <c r="M524" i="1"/>
  <c r="O524" i="1" s="1"/>
  <c r="M525" i="1"/>
  <c r="O525" i="1" s="1"/>
  <c r="M526" i="1"/>
  <c r="O526" i="1" s="1"/>
  <c r="M527" i="1"/>
  <c r="O527" i="1" s="1"/>
  <c r="M528" i="1"/>
  <c r="O528" i="1" s="1"/>
  <c r="M529" i="1"/>
  <c r="O529" i="1" s="1"/>
  <c r="M530" i="1"/>
  <c r="O530" i="1" s="1"/>
  <c r="M531" i="1"/>
  <c r="O531" i="1" s="1"/>
  <c r="M532" i="1"/>
  <c r="O532" i="1" s="1"/>
  <c r="M533" i="1"/>
  <c r="O533" i="1" s="1"/>
  <c r="M534" i="1"/>
  <c r="O534" i="1" s="1"/>
  <c r="M535" i="1"/>
  <c r="O535" i="1" s="1"/>
  <c r="M536" i="1"/>
  <c r="O536" i="1" s="1"/>
  <c r="M537" i="1"/>
  <c r="O537" i="1" s="1"/>
  <c r="M538" i="1"/>
  <c r="O538" i="1" s="1"/>
  <c r="M539" i="1"/>
  <c r="O539" i="1" s="1"/>
  <c r="M540" i="1"/>
  <c r="O540" i="1" s="1"/>
  <c r="M541" i="1"/>
  <c r="O541" i="1" s="1"/>
  <c r="M542" i="1"/>
  <c r="O542" i="1" s="1"/>
  <c r="M543" i="1"/>
  <c r="O543" i="1" s="1"/>
  <c r="M544" i="1"/>
  <c r="O544" i="1" s="1"/>
  <c r="M545" i="1"/>
  <c r="O545" i="1" s="1"/>
  <c r="M546" i="1"/>
  <c r="O546" i="1" s="1"/>
  <c r="M547" i="1"/>
  <c r="O547" i="1" s="1"/>
  <c r="M548" i="1"/>
  <c r="O548" i="1" s="1"/>
  <c r="M549" i="1"/>
  <c r="O549" i="1" s="1"/>
  <c r="M550" i="1"/>
  <c r="O550" i="1" s="1"/>
  <c r="M551" i="1"/>
  <c r="O551" i="1" s="1"/>
  <c r="M552" i="1"/>
  <c r="O552" i="1" s="1"/>
  <c r="M553" i="1"/>
  <c r="O553" i="1" s="1"/>
  <c r="M554" i="1"/>
  <c r="O554" i="1" s="1"/>
  <c r="M555" i="1"/>
  <c r="O555" i="1" s="1"/>
  <c r="M556" i="1"/>
  <c r="O556" i="1" s="1"/>
  <c r="M557" i="1"/>
  <c r="O557" i="1" s="1"/>
  <c r="M558" i="1"/>
  <c r="O558" i="1" s="1"/>
  <c r="M559" i="1"/>
  <c r="O559" i="1" s="1"/>
  <c r="M560" i="1"/>
  <c r="O560" i="1" s="1"/>
  <c r="M561" i="1"/>
  <c r="O561" i="1" s="1"/>
  <c r="M562" i="1"/>
  <c r="O562" i="1" s="1"/>
  <c r="M563" i="1"/>
  <c r="O563" i="1" s="1"/>
  <c r="M564" i="1"/>
  <c r="O564" i="1" s="1"/>
  <c r="M565" i="1"/>
  <c r="O565" i="1" s="1"/>
  <c r="M566" i="1"/>
  <c r="O566" i="1" s="1"/>
  <c r="M567" i="1"/>
  <c r="O567" i="1" s="1"/>
  <c r="M568" i="1"/>
  <c r="O568" i="1" s="1"/>
  <c r="M569" i="1"/>
  <c r="O569" i="1" s="1"/>
  <c r="M570" i="1"/>
  <c r="O570" i="1" s="1"/>
  <c r="M571" i="1"/>
  <c r="O571" i="1" s="1"/>
  <c r="M572" i="1"/>
  <c r="O572" i="1" s="1"/>
  <c r="M573" i="1"/>
  <c r="O573" i="1" s="1"/>
  <c r="M574" i="1"/>
  <c r="O574" i="1" s="1"/>
  <c r="M575" i="1"/>
  <c r="O575" i="1" s="1"/>
  <c r="M576" i="1"/>
  <c r="O576" i="1" s="1"/>
  <c r="M577" i="1"/>
  <c r="O577" i="1" s="1"/>
  <c r="M578" i="1"/>
  <c r="O578" i="1" s="1"/>
  <c r="M579" i="1"/>
  <c r="O579" i="1" s="1"/>
  <c r="M580" i="1"/>
  <c r="O580" i="1" s="1"/>
  <c r="M581" i="1"/>
  <c r="O581" i="1" s="1"/>
  <c r="M582" i="1"/>
  <c r="O582" i="1" s="1"/>
  <c r="M583" i="1"/>
  <c r="O583" i="1" s="1"/>
  <c r="M584" i="1"/>
  <c r="O584" i="1" s="1"/>
  <c r="M585" i="1"/>
  <c r="O585" i="1" s="1"/>
  <c r="M586" i="1"/>
  <c r="O586" i="1" s="1"/>
  <c r="M587" i="1"/>
  <c r="O587" i="1" s="1"/>
  <c r="M588" i="1"/>
  <c r="O588" i="1" s="1"/>
  <c r="M589" i="1"/>
  <c r="O589" i="1" s="1"/>
  <c r="M590" i="1"/>
  <c r="O590" i="1" s="1"/>
  <c r="M591" i="1"/>
  <c r="O591" i="1" s="1"/>
  <c r="M592" i="1"/>
  <c r="O592" i="1" s="1"/>
  <c r="M593" i="1"/>
  <c r="O593" i="1" s="1"/>
  <c r="M594" i="1"/>
  <c r="O594" i="1" s="1"/>
  <c r="M595" i="1"/>
  <c r="O595" i="1" s="1"/>
  <c r="M596" i="1"/>
  <c r="O596" i="1" s="1"/>
  <c r="M597" i="1"/>
  <c r="O597" i="1" s="1"/>
  <c r="M598" i="1"/>
  <c r="O598" i="1" s="1"/>
  <c r="M599" i="1"/>
  <c r="O599" i="1" s="1"/>
  <c r="M600" i="1"/>
  <c r="O600" i="1" s="1"/>
  <c r="M601" i="1"/>
  <c r="O601" i="1" s="1"/>
  <c r="M602" i="1"/>
  <c r="O602" i="1" s="1"/>
  <c r="M603" i="1"/>
  <c r="O603" i="1" s="1"/>
  <c r="M604" i="1"/>
  <c r="O604" i="1" s="1"/>
  <c r="M605" i="1"/>
  <c r="O605" i="1" s="1"/>
  <c r="M606" i="1"/>
  <c r="O606" i="1" s="1"/>
  <c r="M607" i="1"/>
  <c r="O607" i="1" s="1"/>
  <c r="M608" i="1"/>
  <c r="O608" i="1" s="1"/>
  <c r="M609" i="1"/>
  <c r="O609" i="1" s="1"/>
  <c r="M610" i="1"/>
  <c r="O610" i="1" s="1"/>
  <c r="M611" i="1"/>
  <c r="O611" i="1" s="1"/>
  <c r="M612" i="1"/>
  <c r="O612" i="1" s="1"/>
  <c r="M613" i="1"/>
  <c r="O613" i="1" s="1"/>
  <c r="M614" i="1"/>
  <c r="O614" i="1" s="1"/>
  <c r="M615" i="1"/>
  <c r="O615" i="1" s="1"/>
  <c r="M616" i="1"/>
  <c r="O616" i="1" s="1"/>
  <c r="M617" i="1"/>
  <c r="O617" i="1" s="1"/>
  <c r="M618" i="1"/>
  <c r="O618" i="1" s="1"/>
  <c r="M619" i="1"/>
  <c r="O619" i="1" s="1"/>
  <c r="M620" i="1"/>
  <c r="O620" i="1" s="1"/>
  <c r="M621" i="1"/>
  <c r="O621" i="1" s="1"/>
  <c r="M622" i="1"/>
  <c r="O622" i="1" s="1"/>
  <c r="M623" i="1"/>
  <c r="O623" i="1" s="1"/>
  <c r="M624" i="1"/>
  <c r="O624" i="1" s="1"/>
  <c r="M625" i="1"/>
  <c r="O625" i="1" s="1"/>
  <c r="M626" i="1"/>
  <c r="O626" i="1" s="1"/>
  <c r="M627" i="1"/>
  <c r="O627" i="1" s="1"/>
  <c r="M628" i="1"/>
  <c r="O628" i="1" s="1"/>
  <c r="M629" i="1"/>
  <c r="O629" i="1" s="1"/>
  <c r="M630" i="1"/>
  <c r="O630" i="1" s="1"/>
  <c r="M631" i="1"/>
  <c r="O631" i="1" s="1"/>
  <c r="M632" i="1"/>
  <c r="O632" i="1" s="1"/>
  <c r="M633" i="1"/>
  <c r="O633" i="1" s="1"/>
  <c r="M634" i="1"/>
  <c r="O634" i="1" s="1"/>
  <c r="M635" i="1"/>
  <c r="O635" i="1" s="1"/>
  <c r="M636" i="1"/>
  <c r="O636" i="1" s="1"/>
  <c r="M637" i="1"/>
  <c r="O637" i="1" s="1"/>
  <c r="M638" i="1"/>
  <c r="O638" i="1" s="1"/>
  <c r="M639" i="1"/>
  <c r="O639" i="1" s="1"/>
  <c r="M640" i="1"/>
  <c r="O640" i="1" s="1"/>
  <c r="M641" i="1"/>
  <c r="O641" i="1" s="1"/>
  <c r="M642" i="1"/>
  <c r="O642" i="1" s="1"/>
  <c r="M643" i="1"/>
  <c r="O643" i="1" s="1"/>
  <c r="M644" i="1"/>
  <c r="O644" i="1" s="1"/>
  <c r="M645" i="1"/>
  <c r="O645" i="1" s="1"/>
  <c r="M646" i="1"/>
  <c r="O646" i="1" s="1"/>
  <c r="M647" i="1"/>
  <c r="O647" i="1" s="1"/>
  <c r="M648" i="1"/>
  <c r="O648" i="1" s="1"/>
  <c r="M649" i="1"/>
  <c r="O649" i="1" s="1"/>
  <c r="M650" i="1"/>
  <c r="O650" i="1" s="1"/>
  <c r="M651" i="1"/>
  <c r="O651" i="1" s="1"/>
  <c r="M652" i="1"/>
  <c r="O652" i="1" s="1"/>
  <c r="M653" i="1"/>
  <c r="O653" i="1" s="1"/>
  <c r="M654" i="1"/>
  <c r="O654" i="1" s="1"/>
  <c r="M655" i="1"/>
  <c r="O655" i="1" s="1"/>
  <c r="M656" i="1"/>
  <c r="O656" i="1" s="1"/>
  <c r="M657" i="1"/>
  <c r="O657" i="1" s="1"/>
  <c r="M658" i="1"/>
  <c r="O658" i="1" s="1"/>
  <c r="M659" i="1"/>
  <c r="O659" i="1" s="1"/>
  <c r="M660" i="1"/>
  <c r="O660" i="1" s="1"/>
  <c r="M661" i="1"/>
  <c r="O661" i="1" s="1"/>
  <c r="M662" i="1"/>
  <c r="O662" i="1" s="1"/>
  <c r="M663" i="1"/>
  <c r="O663" i="1" s="1"/>
  <c r="M664" i="1"/>
  <c r="O664" i="1" s="1"/>
  <c r="M665" i="1"/>
  <c r="O665" i="1" s="1"/>
  <c r="M666" i="1"/>
  <c r="O666" i="1" s="1"/>
  <c r="M667" i="1"/>
  <c r="O667" i="1" s="1"/>
  <c r="M668" i="1"/>
  <c r="O668" i="1" s="1"/>
  <c r="M669" i="1"/>
  <c r="O669" i="1" s="1"/>
  <c r="M670" i="1"/>
  <c r="O670" i="1" s="1"/>
  <c r="M671" i="1"/>
  <c r="O671" i="1" s="1"/>
  <c r="M672" i="1"/>
  <c r="O672" i="1" s="1"/>
  <c r="M673" i="1"/>
  <c r="O673" i="1" s="1"/>
  <c r="M674" i="1"/>
  <c r="O674" i="1" s="1"/>
  <c r="M675" i="1"/>
  <c r="O675" i="1" s="1"/>
  <c r="M676" i="1"/>
  <c r="O676" i="1" s="1"/>
  <c r="M677" i="1"/>
  <c r="O677" i="1" s="1"/>
  <c r="M678" i="1"/>
  <c r="O678" i="1" s="1"/>
  <c r="M679" i="1"/>
  <c r="O679" i="1" s="1"/>
  <c r="M680" i="1"/>
  <c r="O680" i="1" s="1"/>
  <c r="M681" i="1"/>
  <c r="O681" i="1" s="1"/>
  <c r="M682" i="1"/>
  <c r="O682" i="1" s="1"/>
  <c r="M683" i="1"/>
  <c r="O683" i="1" s="1"/>
  <c r="M684" i="1"/>
  <c r="O684" i="1" s="1"/>
  <c r="M685" i="1"/>
  <c r="O685" i="1" s="1"/>
  <c r="M686" i="1"/>
  <c r="O686" i="1" s="1"/>
  <c r="M687" i="1"/>
  <c r="O687" i="1" s="1"/>
  <c r="M688" i="1"/>
  <c r="O688" i="1" s="1"/>
  <c r="M689" i="1"/>
  <c r="O689" i="1" s="1"/>
  <c r="M690" i="1"/>
  <c r="O690" i="1" s="1"/>
  <c r="M691" i="1"/>
  <c r="O691" i="1" s="1"/>
  <c r="M692" i="1"/>
  <c r="O692" i="1" s="1"/>
  <c r="M693" i="1"/>
  <c r="O693" i="1" s="1"/>
  <c r="M694" i="1"/>
  <c r="O694" i="1" s="1"/>
  <c r="M695" i="1"/>
  <c r="O695" i="1" s="1"/>
  <c r="M696" i="1"/>
  <c r="O696" i="1" s="1"/>
  <c r="M697" i="1"/>
  <c r="O697" i="1" s="1"/>
  <c r="M698" i="1"/>
  <c r="O698" i="1" s="1"/>
  <c r="M699" i="1"/>
  <c r="O699" i="1" s="1"/>
  <c r="M700" i="1"/>
  <c r="O700" i="1" s="1"/>
  <c r="M701" i="1"/>
  <c r="O701" i="1" s="1"/>
  <c r="M702" i="1"/>
  <c r="O702" i="1" s="1"/>
  <c r="M703" i="1"/>
  <c r="O703" i="1" s="1"/>
  <c r="M704" i="1"/>
  <c r="O704" i="1" s="1"/>
  <c r="M705" i="1"/>
  <c r="O705" i="1" s="1"/>
  <c r="M706" i="1"/>
  <c r="O706" i="1" s="1"/>
  <c r="M707" i="1"/>
  <c r="O707" i="1" s="1"/>
  <c r="M708" i="1"/>
  <c r="O708" i="1" s="1"/>
  <c r="M709" i="1"/>
  <c r="O709" i="1" s="1"/>
  <c r="M710" i="1"/>
  <c r="O710" i="1" s="1"/>
  <c r="M711" i="1"/>
  <c r="O711" i="1" s="1"/>
  <c r="M712" i="1"/>
  <c r="O712" i="1" s="1"/>
  <c r="M713" i="1"/>
  <c r="O713" i="1" s="1"/>
  <c r="M714" i="1"/>
  <c r="O714" i="1" s="1"/>
  <c r="M715" i="1"/>
  <c r="O715" i="1" s="1"/>
  <c r="M716" i="1"/>
  <c r="O716" i="1" s="1"/>
  <c r="M717" i="1"/>
  <c r="O717" i="1" s="1"/>
  <c r="M718" i="1"/>
  <c r="O718" i="1" s="1"/>
  <c r="M719" i="1"/>
  <c r="O719" i="1" s="1"/>
  <c r="M720" i="1"/>
  <c r="O720" i="1" s="1"/>
  <c r="M721" i="1"/>
  <c r="O721" i="1" s="1"/>
  <c r="M722" i="1"/>
  <c r="O722" i="1" s="1"/>
  <c r="M723" i="1"/>
  <c r="O723" i="1" s="1"/>
  <c r="M724" i="1"/>
  <c r="O724" i="1" s="1"/>
  <c r="M725" i="1"/>
  <c r="O725" i="1" s="1"/>
  <c r="M726" i="1"/>
  <c r="O726" i="1" s="1"/>
  <c r="M727" i="1"/>
  <c r="O727" i="1" s="1"/>
  <c r="M728" i="1"/>
  <c r="O728" i="1" s="1"/>
  <c r="M729" i="1"/>
  <c r="O729" i="1" s="1"/>
  <c r="M730" i="1"/>
  <c r="O730" i="1" s="1"/>
  <c r="M731" i="1"/>
  <c r="O731" i="1" s="1"/>
  <c r="M732" i="1"/>
  <c r="O732" i="1" s="1"/>
  <c r="M733" i="1"/>
  <c r="O733" i="1" s="1"/>
  <c r="M734" i="1"/>
  <c r="O734" i="1" s="1"/>
  <c r="M735" i="1"/>
  <c r="O735" i="1" s="1"/>
  <c r="M736" i="1"/>
  <c r="O736" i="1" s="1"/>
  <c r="M737" i="1"/>
  <c r="O737" i="1" s="1"/>
  <c r="M738" i="1"/>
  <c r="O738" i="1" s="1"/>
  <c r="M739" i="1"/>
  <c r="O739" i="1" s="1"/>
  <c r="M740" i="1"/>
  <c r="O740" i="1" s="1"/>
  <c r="M741" i="1"/>
  <c r="O741" i="1" s="1"/>
  <c r="M742" i="1"/>
  <c r="O742" i="1" s="1"/>
  <c r="M743" i="1"/>
  <c r="O743" i="1" s="1"/>
  <c r="M744" i="1"/>
  <c r="O744" i="1" s="1"/>
  <c r="M745" i="1"/>
  <c r="O745" i="1" s="1"/>
  <c r="M746" i="1"/>
  <c r="O746" i="1" s="1"/>
  <c r="M747" i="1"/>
  <c r="O747" i="1" s="1"/>
  <c r="M748" i="1"/>
  <c r="O748" i="1" s="1"/>
  <c r="M749" i="1"/>
  <c r="O749" i="1" s="1"/>
  <c r="M750" i="1"/>
  <c r="O750" i="1" s="1"/>
  <c r="M751" i="1"/>
  <c r="O751" i="1" s="1"/>
  <c r="M752" i="1"/>
  <c r="O752" i="1" s="1"/>
  <c r="M753" i="1"/>
  <c r="O753" i="1" s="1"/>
  <c r="M754" i="1"/>
  <c r="O754" i="1" s="1"/>
  <c r="M755" i="1"/>
  <c r="O755" i="1" s="1"/>
  <c r="M756" i="1"/>
  <c r="O756" i="1" s="1"/>
  <c r="M757" i="1"/>
  <c r="O757" i="1" s="1"/>
  <c r="M758" i="1"/>
  <c r="O758" i="1" s="1"/>
  <c r="M759" i="1"/>
  <c r="O759" i="1" s="1"/>
  <c r="M760" i="1"/>
  <c r="O760" i="1" s="1"/>
  <c r="M761" i="1"/>
  <c r="O761" i="1" s="1"/>
  <c r="M762" i="1"/>
  <c r="O762" i="1" s="1"/>
  <c r="M763" i="1"/>
  <c r="O763" i="1" s="1"/>
  <c r="M764" i="1"/>
  <c r="O764" i="1" s="1"/>
  <c r="M765" i="1"/>
  <c r="O765" i="1" s="1"/>
  <c r="M766" i="1"/>
  <c r="O766" i="1" s="1"/>
  <c r="M767" i="1"/>
  <c r="O767" i="1" s="1"/>
  <c r="M768" i="1"/>
  <c r="O768" i="1" s="1"/>
  <c r="M769" i="1"/>
  <c r="O769" i="1" s="1"/>
  <c r="M770" i="1"/>
  <c r="O770" i="1" s="1"/>
  <c r="M771" i="1"/>
  <c r="O771" i="1" s="1"/>
  <c r="M772" i="1"/>
  <c r="O772" i="1" s="1"/>
  <c r="M773" i="1"/>
  <c r="O773" i="1" s="1"/>
  <c r="M774" i="1"/>
  <c r="O774" i="1" s="1"/>
  <c r="M775" i="1"/>
  <c r="O775" i="1" s="1"/>
  <c r="M776" i="1"/>
  <c r="O776" i="1" s="1"/>
  <c r="M777" i="1"/>
  <c r="O777" i="1" s="1"/>
  <c r="M778" i="1"/>
  <c r="O778" i="1" s="1"/>
  <c r="M779" i="1"/>
  <c r="O779" i="1" s="1"/>
  <c r="M780" i="1"/>
  <c r="O780" i="1" s="1"/>
  <c r="M781" i="1"/>
  <c r="O781" i="1" s="1"/>
  <c r="M782" i="1"/>
  <c r="O782" i="1" s="1"/>
  <c r="M783" i="1"/>
  <c r="O783" i="1" s="1"/>
  <c r="M784" i="1"/>
  <c r="O784" i="1" s="1"/>
  <c r="M785" i="1"/>
  <c r="O785" i="1" s="1"/>
  <c r="M786" i="1"/>
  <c r="O786" i="1" s="1"/>
  <c r="M787" i="1"/>
  <c r="O787" i="1" s="1"/>
  <c r="M788" i="1"/>
  <c r="O788" i="1" s="1"/>
  <c r="M789" i="1"/>
  <c r="O789" i="1" s="1"/>
  <c r="M790" i="1"/>
  <c r="O790" i="1" s="1"/>
  <c r="M791" i="1"/>
  <c r="O791" i="1" s="1"/>
  <c r="M792" i="1"/>
  <c r="O792" i="1" s="1"/>
  <c r="M793" i="1"/>
  <c r="O793" i="1" s="1"/>
  <c r="M794" i="1"/>
  <c r="O794" i="1" s="1"/>
  <c r="M795" i="1"/>
  <c r="O795" i="1" s="1"/>
  <c r="M796" i="1"/>
  <c r="O796" i="1" s="1"/>
  <c r="M797" i="1"/>
  <c r="O797" i="1" s="1"/>
  <c r="M798" i="1"/>
  <c r="O798" i="1" s="1"/>
  <c r="M799" i="1"/>
  <c r="O799" i="1" s="1"/>
  <c r="M800" i="1"/>
  <c r="O800" i="1" s="1"/>
  <c r="M801" i="1"/>
  <c r="O801" i="1" s="1"/>
  <c r="M802" i="1"/>
  <c r="O802" i="1" s="1"/>
  <c r="M803" i="1"/>
  <c r="O803" i="1" s="1"/>
  <c r="M804" i="1"/>
  <c r="O804" i="1" s="1"/>
  <c r="M805" i="1"/>
  <c r="O805" i="1" s="1"/>
  <c r="M806" i="1"/>
  <c r="O806" i="1" s="1"/>
  <c r="M807" i="1"/>
  <c r="O807" i="1" s="1"/>
  <c r="M808" i="1"/>
  <c r="O808" i="1" s="1"/>
  <c r="M809" i="1"/>
  <c r="O809" i="1" s="1"/>
  <c r="M810" i="1"/>
  <c r="O810" i="1" s="1"/>
  <c r="M811" i="1"/>
  <c r="O811" i="1" s="1"/>
  <c r="M812" i="1"/>
  <c r="O812" i="1" s="1"/>
  <c r="M813" i="1"/>
  <c r="O813" i="1" s="1"/>
  <c r="M814" i="1"/>
  <c r="O814" i="1" s="1"/>
  <c r="M815" i="1"/>
  <c r="O815" i="1" s="1"/>
  <c r="M816" i="1"/>
  <c r="O816" i="1" s="1"/>
  <c r="M817" i="1"/>
  <c r="O817" i="1" s="1"/>
  <c r="M818" i="1"/>
  <c r="O818" i="1" s="1"/>
  <c r="M819" i="1"/>
  <c r="O819" i="1" s="1"/>
  <c r="M820" i="1"/>
  <c r="O820" i="1" s="1"/>
  <c r="M821" i="1"/>
  <c r="O821" i="1" s="1"/>
  <c r="M822" i="1"/>
  <c r="O822" i="1" s="1"/>
  <c r="M823" i="1"/>
  <c r="O823" i="1" s="1"/>
  <c r="M824" i="1"/>
  <c r="O824" i="1" s="1"/>
  <c r="M825" i="1"/>
  <c r="O825" i="1" s="1"/>
  <c r="M826" i="1"/>
  <c r="O826" i="1" s="1"/>
  <c r="M827" i="1"/>
  <c r="O827" i="1" s="1"/>
  <c r="M828" i="1"/>
  <c r="O828" i="1" s="1"/>
  <c r="M829" i="1"/>
  <c r="O829" i="1" s="1"/>
  <c r="M830" i="1"/>
  <c r="O830" i="1" s="1"/>
  <c r="M831" i="1"/>
  <c r="O831" i="1" s="1"/>
  <c r="M832" i="1"/>
  <c r="O832" i="1" s="1"/>
  <c r="M833" i="1"/>
  <c r="O833" i="1" s="1"/>
  <c r="M834" i="1"/>
  <c r="O834" i="1" s="1"/>
  <c r="M835" i="1"/>
  <c r="O835" i="1" s="1"/>
  <c r="M836" i="1"/>
  <c r="O836" i="1" s="1"/>
  <c r="M837" i="1"/>
  <c r="O837" i="1" s="1"/>
  <c r="M838" i="1"/>
  <c r="O838" i="1" s="1"/>
  <c r="M839" i="1"/>
  <c r="O839" i="1" s="1"/>
  <c r="M840" i="1"/>
  <c r="O840" i="1" s="1"/>
  <c r="M841" i="1"/>
  <c r="O841" i="1" s="1"/>
  <c r="M842" i="1"/>
  <c r="O842" i="1" s="1"/>
  <c r="M843" i="1"/>
  <c r="O843" i="1" s="1"/>
  <c r="M844" i="1"/>
  <c r="O844" i="1" s="1"/>
  <c r="M845" i="1"/>
  <c r="O845" i="1" s="1"/>
  <c r="M846" i="1"/>
  <c r="O846" i="1" s="1"/>
  <c r="M847" i="1"/>
  <c r="O847" i="1" s="1"/>
  <c r="M848" i="1"/>
  <c r="O848" i="1" s="1"/>
  <c r="M849" i="1"/>
  <c r="O849" i="1" s="1"/>
  <c r="M850" i="1"/>
  <c r="O850" i="1" s="1"/>
  <c r="M851" i="1"/>
  <c r="O851" i="1" s="1"/>
  <c r="M852" i="1"/>
  <c r="O852" i="1" s="1"/>
  <c r="M853" i="1"/>
  <c r="O853" i="1" s="1"/>
  <c r="M854" i="1"/>
  <c r="O854" i="1" s="1"/>
  <c r="M855" i="1"/>
  <c r="O855" i="1" s="1"/>
  <c r="M856" i="1"/>
  <c r="O856" i="1" s="1"/>
  <c r="M857" i="1"/>
  <c r="O857" i="1" s="1"/>
  <c r="M858" i="1"/>
  <c r="O858" i="1" s="1"/>
  <c r="M859" i="1"/>
  <c r="O859" i="1" s="1"/>
  <c r="M860" i="1"/>
  <c r="O860" i="1" s="1"/>
  <c r="M861" i="1"/>
  <c r="O861" i="1" s="1"/>
  <c r="M862" i="1"/>
  <c r="O862" i="1" s="1"/>
  <c r="M863" i="1"/>
  <c r="O863" i="1" s="1"/>
  <c r="M864" i="1"/>
  <c r="O864" i="1" s="1"/>
  <c r="M865" i="1"/>
  <c r="O865" i="1" s="1"/>
  <c r="M866" i="1"/>
  <c r="O866" i="1" s="1"/>
  <c r="M867" i="1"/>
  <c r="O867" i="1" s="1"/>
  <c r="M868" i="1"/>
  <c r="O868" i="1" s="1"/>
  <c r="M869" i="1"/>
  <c r="O869" i="1" s="1"/>
  <c r="M870" i="1"/>
  <c r="O870" i="1" s="1"/>
  <c r="M871" i="1"/>
  <c r="O871" i="1" s="1"/>
  <c r="M872" i="1"/>
  <c r="O872" i="1" s="1"/>
  <c r="M873" i="1"/>
  <c r="O873" i="1" s="1"/>
  <c r="M874" i="1"/>
  <c r="O874" i="1" s="1"/>
  <c r="M875" i="1"/>
  <c r="O875" i="1" s="1"/>
  <c r="M876" i="1"/>
  <c r="O876" i="1" s="1"/>
  <c r="M877" i="1"/>
  <c r="O877" i="1" s="1"/>
  <c r="M878" i="1"/>
  <c r="O878" i="1" s="1"/>
  <c r="M879" i="1"/>
  <c r="O879" i="1" s="1"/>
  <c r="M880" i="1"/>
  <c r="O880" i="1" s="1"/>
  <c r="M881" i="1"/>
  <c r="O881" i="1" s="1"/>
  <c r="M882" i="1"/>
  <c r="O882" i="1" s="1"/>
  <c r="M883" i="1"/>
  <c r="O883" i="1" s="1"/>
  <c r="M884" i="1"/>
  <c r="O884" i="1" s="1"/>
  <c r="M885" i="1"/>
  <c r="O885" i="1" s="1"/>
  <c r="M886" i="1"/>
  <c r="O886" i="1" s="1"/>
  <c r="M887" i="1"/>
  <c r="O887" i="1" s="1"/>
  <c r="M888" i="1"/>
  <c r="O888" i="1" s="1"/>
  <c r="M889" i="1"/>
  <c r="O889" i="1" s="1"/>
  <c r="M890" i="1"/>
  <c r="O890" i="1" s="1"/>
  <c r="M891" i="1"/>
  <c r="O891" i="1" s="1"/>
  <c r="M892" i="1"/>
  <c r="O892" i="1" s="1"/>
  <c r="M893" i="1"/>
  <c r="O893" i="1" s="1"/>
  <c r="M894" i="1"/>
  <c r="O894" i="1" s="1"/>
  <c r="M895" i="1"/>
  <c r="O895" i="1" s="1"/>
  <c r="M896" i="1"/>
  <c r="O896" i="1" s="1"/>
  <c r="M897" i="1"/>
  <c r="O897" i="1" s="1"/>
  <c r="M898" i="1"/>
  <c r="O898" i="1" s="1"/>
  <c r="M899" i="1"/>
  <c r="O899" i="1" s="1"/>
  <c r="M900" i="1"/>
  <c r="O900" i="1" s="1"/>
  <c r="M901" i="1"/>
  <c r="O901" i="1" s="1"/>
  <c r="M902" i="1"/>
  <c r="O902" i="1" s="1"/>
  <c r="M903" i="1"/>
  <c r="O903" i="1" s="1"/>
  <c r="M904" i="1"/>
  <c r="O904" i="1" s="1"/>
  <c r="M905" i="1"/>
  <c r="O905" i="1" s="1"/>
  <c r="M906" i="1"/>
  <c r="O906" i="1" s="1"/>
  <c r="M907" i="1"/>
  <c r="O907" i="1" s="1"/>
  <c r="M908" i="1"/>
  <c r="O908" i="1" s="1"/>
  <c r="M909" i="1"/>
  <c r="O909" i="1" s="1"/>
  <c r="M910" i="1"/>
  <c r="O910" i="1" s="1"/>
  <c r="M911" i="1"/>
  <c r="O911" i="1" s="1"/>
  <c r="M912" i="1"/>
  <c r="O912" i="1" s="1"/>
  <c r="M913" i="1"/>
  <c r="O913" i="1" s="1"/>
  <c r="M914" i="1"/>
  <c r="O914" i="1" s="1"/>
  <c r="M915" i="1"/>
  <c r="O915" i="1" s="1"/>
  <c r="M916" i="1"/>
  <c r="O916" i="1" s="1"/>
  <c r="M917" i="1"/>
  <c r="O917" i="1" s="1"/>
  <c r="M918" i="1"/>
  <c r="O918" i="1" s="1"/>
  <c r="M919" i="1"/>
  <c r="O919" i="1" s="1"/>
  <c r="M920" i="1"/>
  <c r="O920" i="1" s="1"/>
  <c r="M921" i="1"/>
  <c r="O921" i="1" s="1"/>
  <c r="M922" i="1"/>
  <c r="O922" i="1" s="1"/>
  <c r="M923" i="1"/>
  <c r="O923" i="1" s="1"/>
  <c r="M924" i="1"/>
  <c r="O924" i="1" s="1"/>
  <c r="M925" i="1"/>
  <c r="O925" i="1" s="1"/>
  <c r="M926" i="1"/>
  <c r="O926" i="1" s="1"/>
  <c r="M927" i="1"/>
  <c r="O927" i="1" s="1"/>
  <c r="M928" i="1"/>
  <c r="O928" i="1" s="1"/>
  <c r="M929" i="1"/>
  <c r="O929" i="1" s="1"/>
  <c r="M930" i="1"/>
  <c r="O930" i="1" s="1"/>
  <c r="M931" i="1"/>
  <c r="O931" i="1" s="1"/>
  <c r="M932" i="1"/>
  <c r="O932" i="1" s="1"/>
  <c r="M933" i="1"/>
  <c r="O933" i="1" s="1"/>
  <c r="M934" i="1"/>
  <c r="O934" i="1" s="1"/>
  <c r="M935" i="1"/>
  <c r="O935" i="1" s="1"/>
  <c r="M936" i="1"/>
  <c r="O936" i="1" s="1"/>
  <c r="M937" i="1"/>
  <c r="O937" i="1" s="1"/>
  <c r="M938" i="1"/>
  <c r="O938" i="1" s="1"/>
  <c r="M939" i="1"/>
  <c r="O939" i="1" s="1"/>
  <c r="M940" i="1"/>
  <c r="O940" i="1" s="1"/>
  <c r="M941" i="1"/>
  <c r="O941" i="1" s="1"/>
  <c r="M942" i="1"/>
  <c r="O942" i="1" s="1"/>
  <c r="M943" i="1"/>
  <c r="O943" i="1" s="1"/>
  <c r="M944" i="1"/>
  <c r="O944" i="1" s="1"/>
  <c r="M945" i="1"/>
  <c r="O945" i="1" s="1"/>
  <c r="M946" i="1"/>
  <c r="O946" i="1" s="1"/>
  <c r="M947" i="1"/>
  <c r="O947" i="1" s="1"/>
  <c r="M948" i="1"/>
  <c r="O948" i="1" s="1"/>
  <c r="M949" i="1"/>
  <c r="O949" i="1" s="1"/>
  <c r="M950" i="1"/>
  <c r="O950" i="1" s="1"/>
  <c r="M951" i="1"/>
  <c r="O951" i="1" s="1"/>
  <c r="M952" i="1"/>
  <c r="O952" i="1" s="1"/>
  <c r="M953" i="1"/>
  <c r="O953" i="1" s="1"/>
  <c r="M954" i="1"/>
  <c r="O954" i="1" s="1"/>
  <c r="M955" i="1"/>
  <c r="O955" i="1" s="1"/>
  <c r="M956" i="1"/>
  <c r="O956" i="1" s="1"/>
  <c r="M957" i="1"/>
  <c r="O957" i="1" s="1"/>
  <c r="M958" i="1"/>
  <c r="O958" i="1" s="1"/>
  <c r="M959" i="1"/>
  <c r="O959" i="1" s="1"/>
  <c r="M960" i="1"/>
  <c r="O960" i="1" s="1"/>
  <c r="M961" i="1"/>
  <c r="O961" i="1" s="1"/>
  <c r="M962" i="1"/>
  <c r="O962" i="1" s="1"/>
  <c r="M963" i="1"/>
  <c r="O963" i="1" s="1"/>
  <c r="M964" i="1"/>
  <c r="O964" i="1" s="1"/>
  <c r="M965" i="1"/>
  <c r="O965" i="1" s="1"/>
  <c r="M966" i="1"/>
  <c r="O966" i="1" s="1"/>
  <c r="M967" i="1"/>
  <c r="O967" i="1" s="1"/>
  <c r="M968" i="1"/>
  <c r="O968" i="1" s="1"/>
  <c r="M969" i="1"/>
  <c r="O969" i="1" s="1"/>
  <c r="M970" i="1"/>
  <c r="O970" i="1" s="1"/>
  <c r="M971" i="1"/>
  <c r="O971" i="1" s="1"/>
  <c r="M972" i="1"/>
  <c r="O972" i="1" s="1"/>
  <c r="M973" i="1"/>
  <c r="O973" i="1" s="1"/>
  <c r="M974" i="1"/>
  <c r="O974" i="1" s="1"/>
  <c r="M975" i="1"/>
  <c r="O975" i="1" s="1"/>
  <c r="M976" i="1"/>
  <c r="O976" i="1" s="1"/>
  <c r="M977" i="1"/>
  <c r="O977" i="1" s="1"/>
  <c r="M978" i="1"/>
  <c r="O978" i="1" s="1"/>
  <c r="M979" i="1"/>
  <c r="O979" i="1" s="1"/>
  <c r="M980" i="1"/>
  <c r="O980" i="1" s="1"/>
  <c r="M981" i="1"/>
  <c r="O981" i="1" s="1"/>
  <c r="M982" i="1"/>
  <c r="O982" i="1" s="1"/>
  <c r="M983" i="1"/>
  <c r="O983" i="1" s="1"/>
  <c r="M984" i="1"/>
  <c r="O984" i="1" s="1"/>
  <c r="M985" i="1"/>
  <c r="O985" i="1" s="1"/>
  <c r="M986" i="1"/>
  <c r="O986" i="1" s="1"/>
  <c r="M987" i="1"/>
  <c r="O987" i="1" s="1"/>
  <c r="M988" i="1"/>
  <c r="O988" i="1" s="1"/>
  <c r="M989" i="1"/>
  <c r="O989" i="1" s="1"/>
  <c r="M990" i="1"/>
  <c r="O990" i="1" s="1"/>
  <c r="M991" i="1"/>
  <c r="O991" i="1" s="1"/>
  <c r="M992" i="1"/>
  <c r="O992" i="1" s="1"/>
  <c r="M993" i="1"/>
  <c r="O993" i="1" s="1"/>
  <c r="M994" i="1"/>
  <c r="O994" i="1" s="1"/>
  <c r="M995" i="1"/>
  <c r="O995" i="1" s="1"/>
  <c r="M996" i="1"/>
  <c r="O996" i="1" s="1"/>
  <c r="M997" i="1"/>
  <c r="O997" i="1" s="1"/>
  <c r="M998" i="1"/>
  <c r="O998" i="1" s="1"/>
  <c r="M999" i="1"/>
  <c r="O999" i="1" s="1"/>
  <c r="M1000" i="1"/>
  <c r="O1000" i="1" s="1"/>
  <c r="M1001" i="1"/>
  <c r="O1001" i="1" s="1"/>
  <c r="M1002" i="1"/>
  <c r="O1002" i="1" s="1"/>
  <c r="M1003" i="1"/>
  <c r="O1003" i="1" s="1"/>
  <c r="M1004" i="1"/>
  <c r="O1004" i="1" s="1"/>
  <c r="M1005" i="1"/>
  <c r="O1005" i="1" s="1"/>
  <c r="M1006" i="1"/>
  <c r="O1006" i="1" s="1"/>
  <c r="M1007" i="1"/>
  <c r="O1007" i="1" s="1"/>
  <c r="M1008" i="1"/>
  <c r="O1008" i="1" s="1"/>
  <c r="M1009" i="1"/>
  <c r="O1009" i="1" s="1"/>
  <c r="M1010" i="1"/>
  <c r="O1010" i="1" s="1"/>
  <c r="M1011" i="1"/>
  <c r="O1011" i="1" s="1"/>
  <c r="M1012" i="1"/>
  <c r="O1012" i="1" s="1"/>
  <c r="M1013" i="1"/>
  <c r="O1013" i="1" s="1"/>
  <c r="M1014" i="1"/>
  <c r="O1014" i="1" s="1"/>
  <c r="M1015" i="1"/>
  <c r="O1015" i="1" s="1"/>
  <c r="M1016" i="1"/>
  <c r="O1016" i="1" s="1"/>
  <c r="M1017" i="1"/>
  <c r="O1017" i="1" s="1"/>
  <c r="M1018" i="1"/>
  <c r="O1018" i="1" s="1"/>
  <c r="M1019" i="1"/>
  <c r="O1019" i="1" s="1"/>
  <c r="M1020" i="1"/>
  <c r="O1020" i="1" s="1"/>
  <c r="M1021" i="1"/>
  <c r="O1021" i="1" s="1"/>
  <c r="M1022" i="1"/>
  <c r="O1022" i="1" s="1"/>
  <c r="M1023" i="1"/>
  <c r="O1023" i="1" s="1"/>
  <c r="M1024" i="1"/>
  <c r="O1024" i="1" s="1"/>
  <c r="M1025" i="1"/>
  <c r="O1025" i="1" s="1"/>
  <c r="M1026" i="1"/>
  <c r="O1026" i="1" s="1"/>
  <c r="M1027" i="1"/>
  <c r="O1027" i="1" s="1"/>
  <c r="M1028" i="1"/>
  <c r="O1028" i="1" s="1"/>
  <c r="M1029" i="1"/>
  <c r="O1029" i="1" s="1"/>
  <c r="M1030" i="1"/>
  <c r="O1030" i="1" s="1"/>
  <c r="M1031" i="1"/>
  <c r="O1031" i="1" s="1"/>
  <c r="M1032" i="1"/>
  <c r="O1032" i="1" s="1"/>
  <c r="M1033" i="1"/>
  <c r="O1033" i="1" s="1"/>
  <c r="M1034" i="1"/>
  <c r="O1034" i="1" s="1"/>
  <c r="M1035" i="1"/>
  <c r="O1035" i="1" s="1"/>
  <c r="M1036" i="1"/>
  <c r="O1036" i="1" s="1"/>
  <c r="M1037" i="1"/>
  <c r="O1037" i="1" s="1"/>
  <c r="M1038" i="1"/>
  <c r="O1038" i="1" s="1"/>
  <c r="M1039" i="1"/>
  <c r="O1039" i="1" s="1"/>
  <c r="M1040" i="1"/>
  <c r="O1040" i="1" s="1"/>
  <c r="M1041" i="1"/>
  <c r="O1041" i="1" s="1"/>
  <c r="M1042" i="1"/>
  <c r="O1042" i="1" s="1"/>
  <c r="M1043" i="1"/>
  <c r="O1043" i="1" s="1"/>
  <c r="M1044" i="1"/>
  <c r="O1044" i="1" s="1"/>
  <c r="M1045" i="1"/>
  <c r="O1045" i="1" s="1"/>
  <c r="M1046" i="1"/>
  <c r="O1046" i="1" s="1"/>
  <c r="M1047" i="1"/>
  <c r="O1047" i="1" s="1"/>
  <c r="M1048" i="1"/>
  <c r="O1048" i="1" s="1"/>
  <c r="M1049" i="1"/>
  <c r="O1049" i="1" s="1"/>
  <c r="M1050" i="1"/>
  <c r="O1050" i="1" s="1"/>
  <c r="M1051" i="1"/>
  <c r="O1051" i="1" s="1"/>
  <c r="M1052" i="1"/>
  <c r="O1052" i="1" s="1"/>
  <c r="M1053" i="1"/>
  <c r="O1053" i="1" s="1"/>
  <c r="M1054" i="1"/>
  <c r="O1054" i="1" s="1"/>
  <c r="M1055" i="1"/>
  <c r="O1055" i="1" s="1"/>
  <c r="M1056" i="1"/>
  <c r="O1056" i="1" s="1"/>
  <c r="M1057" i="1"/>
  <c r="O1057" i="1" s="1"/>
  <c r="M1058" i="1"/>
  <c r="O1058" i="1" s="1"/>
  <c r="M1059" i="1"/>
  <c r="O1059" i="1" s="1"/>
  <c r="M1060" i="1"/>
  <c r="O1060" i="1" s="1"/>
  <c r="M1061" i="1"/>
  <c r="O1061" i="1" s="1"/>
  <c r="M1062" i="1"/>
  <c r="O1062" i="1" s="1"/>
  <c r="M1063" i="1"/>
  <c r="O1063" i="1" s="1"/>
  <c r="M1064" i="1"/>
  <c r="O1064" i="1" s="1"/>
  <c r="M1065" i="1"/>
  <c r="O1065" i="1" s="1"/>
  <c r="M1066" i="1"/>
  <c r="O1066" i="1" s="1"/>
  <c r="M1067" i="1"/>
  <c r="O1067" i="1" s="1"/>
  <c r="M1068" i="1"/>
  <c r="O1068" i="1" s="1"/>
  <c r="M1069" i="1"/>
  <c r="O1069" i="1" s="1"/>
  <c r="M1070" i="1"/>
  <c r="O1070" i="1" s="1"/>
  <c r="M1071" i="1"/>
  <c r="O1071" i="1" s="1"/>
  <c r="M1072" i="1"/>
  <c r="O1072" i="1" s="1"/>
  <c r="M1073" i="1"/>
  <c r="O1073" i="1" s="1"/>
  <c r="M1074" i="1"/>
  <c r="O1074" i="1" s="1"/>
  <c r="M1075" i="1"/>
  <c r="O1075" i="1" s="1"/>
  <c r="M1076" i="1"/>
  <c r="O1076" i="1" s="1"/>
  <c r="M1077" i="1"/>
  <c r="O1077" i="1" s="1"/>
  <c r="M1078" i="1"/>
  <c r="O1078" i="1" s="1"/>
  <c r="M1079" i="1"/>
  <c r="O1079" i="1" s="1"/>
  <c r="M1080" i="1"/>
  <c r="O1080" i="1" s="1"/>
  <c r="M1081" i="1"/>
  <c r="O1081" i="1" s="1"/>
  <c r="M1082" i="1"/>
  <c r="O1082" i="1" s="1"/>
  <c r="M1083" i="1"/>
  <c r="O1083" i="1" s="1"/>
  <c r="M1084" i="1"/>
  <c r="O1084" i="1" s="1"/>
  <c r="M1085" i="1"/>
  <c r="O1085" i="1" s="1"/>
  <c r="M1086" i="1"/>
  <c r="O1086" i="1" s="1"/>
  <c r="M1087" i="1"/>
  <c r="O1087" i="1" s="1"/>
  <c r="M1088" i="1"/>
  <c r="O1088" i="1" s="1"/>
  <c r="M1089" i="1"/>
  <c r="O1089" i="1" s="1"/>
  <c r="M1090" i="1"/>
  <c r="O1090" i="1" s="1"/>
  <c r="M1091" i="1"/>
  <c r="O1091" i="1" s="1"/>
  <c r="M1092" i="1"/>
  <c r="O1092" i="1" s="1"/>
  <c r="M1093" i="1"/>
  <c r="O1093" i="1" s="1"/>
  <c r="M1094" i="1"/>
  <c r="O1094" i="1" s="1"/>
  <c r="M1095" i="1"/>
  <c r="O1095" i="1" s="1"/>
  <c r="M1096" i="1"/>
  <c r="O1096" i="1" s="1"/>
  <c r="M1097" i="1"/>
  <c r="O1097" i="1" s="1"/>
  <c r="M1098" i="1"/>
  <c r="O1098" i="1" s="1"/>
  <c r="M1099" i="1"/>
  <c r="O1099" i="1" s="1"/>
  <c r="M1100" i="1"/>
  <c r="O1100" i="1" s="1"/>
  <c r="M1101" i="1"/>
  <c r="O1101" i="1" s="1"/>
  <c r="M1102" i="1"/>
  <c r="O1102" i="1" s="1"/>
  <c r="M1103" i="1"/>
  <c r="O1103" i="1" s="1"/>
  <c r="M1104" i="1"/>
  <c r="O1104" i="1" s="1"/>
  <c r="M1105" i="1"/>
  <c r="O1105" i="1" s="1"/>
  <c r="M1106" i="1"/>
  <c r="O1106" i="1" s="1"/>
  <c r="M1107" i="1"/>
  <c r="O1107" i="1" s="1"/>
  <c r="M1108" i="1"/>
  <c r="O1108" i="1" s="1"/>
  <c r="M1109" i="1"/>
  <c r="O1109" i="1" s="1"/>
  <c r="M1110" i="1"/>
  <c r="O1110" i="1" s="1"/>
  <c r="M1111" i="1"/>
  <c r="O1111" i="1" s="1"/>
  <c r="M1112" i="1"/>
  <c r="O1112" i="1" s="1"/>
  <c r="M1113" i="1"/>
  <c r="O1113" i="1" s="1"/>
  <c r="M1114" i="1"/>
  <c r="O1114" i="1" s="1"/>
  <c r="M1115" i="1"/>
  <c r="O1115" i="1" s="1"/>
  <c r="M1116" i="1"/>
  <c r="O1116" i="1" s="1"/>
  <c r="M1117" i="1"/>
  <c r="O1117" i="1" s="1"/>
  <c r="M1118" i="1"/>
  <c r="O1118" i="1" s="1"/>
  <c r="M1119" i="1"/>
  <c r="O1119" i="1" s="1"/>
  <c r="M1120" i="1"/>
  <c r="O1120" i="1" s="1"/>
  <c r="M1121" i="1"/>
  <c r="O1121" i="1" s="1"/>
  <c r="M1122" i="1"/>
  <c r="O1122" i="1" s="1"/>
  <c r="M1123" i="1"/>
  <c r="O1123" i="1" s="1"/>
  <c r="M1124" i="1"/>
  <c r="O1124" i="1" s="1"/>
  <c r="M1125" i="1"/>
  <c r="O1125" i="1" s="1"/>
  <c r="M1126" i="1"/>
  <c r="O1126" i="1" s="1"/>
  <c r="M1127" i="1"/>
  <c r="O1127" i="1" s="1"/>
  <c r="M1128" i="1"/>
  <c r="O1128" i="1" s="1"/>
  <c r="M1129" i="1"/>
  <c r="O1129" i="1" s="1"/>
  <c r="M1130" i="1"/>
  <c r="O1130" i="1" s="1"/>
  <c r="M1131" i="1"/>
  <c r="O1131" i="1" s="1"/>
  <c r="M1132" i="1"/>
  <c r="O1132" i="1" s="1"/>
  <c r="M1133" i="1"/>
  <c r="O1133" i="1" s="1"/>
  <c r="M1134" i="1"/>
  <c r="O1134" i="1" s="1"/>
  <c r="M1135" i="1"/>
  <c r="O1135" i="1" s="1"/>
  <c r="M1136" i="1"/>
  <c r="O1136" i="1" s="1"/>
  <c r="M1137" i="1"/>
  <c r="O1137" i="1" s="1"/>
  <c r="M1138" i="1"/>
  <c r="O1138" i="1" s="1"/>
  <c r="M1139" i="1"/>
  <c r="O1139" i="1" s="1"/>
  <c r="M1140" i="1"/>
  <c r="O1140" i="1" s="1"/>
  <c r="M1141" i="1"/>
  <c r="O1141" i="1" s="1"/>
  <c r="M1142" i="1"/>
  <c r="O1142" i="1" s="1"/>
  <c r="M1143" i="1"/>
  <c r="O1143" i="1" s="1"/>
  <c r="M1144" i="1"/>
  <c r="O1144" i="1" s="1"/>
  <c r="M1145" i="1"/>
  <c r="O1145" i="1" s="1"/>
  <c r="M1146" i="1"/>
  <c r="O1146" i="1" s="1"/>
  <c r="M1147" i="1"/>
  <c r="O1147" i="1" s="1"/>
  <c r="M1148" i="1"/>
  <c r="O1148" i="1" s="1"/>
  <c r="M1149" i="1"/>
  <c r="O1149" i="1" s="1"/>
  <c r="M1150" i="1"/>
  <c r="O1150" i="1" s="1"/>
  <c r="M1151" i="1"/>
  <c r="O1151" i="1" s="1"/>
  <c r="M1152" i="1"/>
  <c r="O1152" i="1" s="1"/>
  <c r="M1153" i="1"/>
  <c r="O1153" i="1" s="1"/>
  <c r="M1154" i="1"/>
  <c r="O1154" i="1" s="1"/>
  <c r="M1155" i="1"/>
  <c r="O1155" i="1" s="1"/>
  <c r="M1156" i="1"/>
  <c r="O1156" i="1" s="1"/>
  <c r="M1157" i="1"/>
  <c r="O1157" i="1" s="1"/>
  <c r="M1158" i="1"/>
  <c r="O1158" i="1" s="1"/>
  <c r="M1159" i="1"/>
  <c r="O1159" i="1" s="1"/>
  <c r="M1160" i="1"/>
  <c r="O1160" i="1" s="1"/>
  <c r="M1161" i="1"/>
  <c r="O1161" i="1" s="1"/>
  <c r="M1162" i="1"/>
  <c r="O1162" i="1" s="1"/>
  <c r="M1163" i="1"/>
  <c r="O1163" i="1" s="1"/>
  <c r="M1164" i="1"/>
  <c r="O1164" i="1" s="1"/>
  <c r="M1165" i="1"/>
  <c r="O1165" i="1" s="1"/>
  <c r="M1166" i="1"/>
  <c r="O1166" i="1" s="1"/>
  <c r="M1167" i="1"/>
  <c r="O1167" i="1" s="1"/>
  <c r="M1168" i="1"/>
  <c r="O1168" i="1" s="1"/>
  <c r="M1169" i="1"/>
  <c r="O1169" i="1" s="1"/>
  <c r="M1170" i="1"/>
  <c r="O1170" i="1" s="1"/>
  <c r="M1171" i="1"/>
  <c r="O1171" i="1" s="1"/>
  <c r="M1172" i="1"/>
  <c r="O1172" i="1" s="1"/>
  <c r="M1173" i="1"/>
  <c r="O1173" i="1" s="1"/>
  <c r="M1174" i="1"/>
  <c r="O1174" i="1" s="1"/>
  <c r="M1175" i="1"/>
  <c r="O1175" i="1" s="1"/>
  <c r="M1176" i="1"/>
  <c r="O1176" i="1" s="1"/>
  <c r="M1177" i="1"/>
  <c r="O1177" i="1" s="1"/>
  <c r="M1178" i="1"/>
  <c r="O1178" i="1" s="1"/>
  <c r="M1179" i="1"/>
  <c r="O1179" i="1" s="1"/>
  <c r="M1180" i="1"/>
  <c r="O1180" i="1" s="1"/>
  <c r="M1181" i="1"/>
  <c r="O1181" i="1" s="1"/>
  <c r="M1182" i="1"/>
  <c r="O1182" i="1" s="1"/>
  <c r="M1183" i="1"/>
  <c r="O1183" i="1" s="1"/>
  <c r="M1184" i="1"/>
  <c r="O1184" i="1" s="1"/>
  <c r="M1185" i="1"/>
  <c r="O1185" i="1" s="1"/>
  <c r="M1186" i="1"/>
  <c r="O1186" i="1" s="1"/>
  <c r="M1187" i="1"/>
  <c r="O1187" i="1" s="1"/>
  <c r="M1188" i="1"/>
  <c r="O1188" i="1" s="1"/>
  <c r="M1189" i="1"/>
  <c r="O1189" i="1" s="1"/>
  <c r="M1190" i="1"/>
  <c r="O1190" i="1" s="1"/>
  <c r="M1191" i="1"/>
  <c r="O1191" i="1" s="1"/>
  <c r="M1192" i="1"/>
  <c r="O1192" i="1" s="1"/>
  <c r="M1193" i="1"/>
  <c r="O1193" i="1" s="1"/>
  <c r="M1194" i="1"/>
  <c r="O1194" i="1" s="1"/>
  <c r="M1195" i="1"/>
  <c r="O1195" i="1" s="1"/>
  <c r="M1196" i="1"/>
  <c r="O1196" i="1" s="1"/>
  <c r="M1197" i="1"/>
  <c r="O1197" i="1" s="1"/>
  <c r="M1198" i="1"/>
  <c r="O1198" i="1" s="1"/>
  <c r="M1199" i="1"/>
  <c r="O1199" i="1" s="1"/>
  <c r="M1200" i="1"/>
  <c r="O1200" i="1" s="1"/>
  <c r="M1201" i="1"/>
  <c r="O1201" i="1" s="1"/>
  <c r="M1202" i="1"/>
  <c r="O1202" i="1" s="1"/>
  <c r="M1203" i="1"/>
  <c r="O1203" i="1" s="1"/>
  <c r="M1204" i="1"/>
  <c r="O1204" i="1" s="1"/>
  <c r="M1205" i="1"/>
  <c r="O1205" i="1" s="1"/>
  <c r="M1206" i="1"/>
  <c r="O1206" i="1" s="1"/>
  <c r="M1207" i="1"/>
  <c r="O1207" i="1" s="1"/>
  <c r="M1208" i="1"/>
  <c r="O1208" i="1" s="1"/>
  <c r="M1209" i="1"/>
  <c r="O1209" i="1" s="1"/>
  <c r="M1210" i="1"/>
  <c r="O1210" i="1" s="1"/>
  <c r="M1211" i="1"/>
  <c r="O1211" i="1" s="1"/>
  <c r="M1212" i="1"/>
  <c r="O1212" i="1" s="1"/>
  <c r="M1213" i="1"/>
  <c r="O1213" i="1" s="1"/>
  <c r="M1214" i="1"/>
  <c r="O1214" i="1" s="1"/>
  <c r="M1215" i="1"/>
  <c r="O1215" i="1" s="1"/>
  <c r="M1216" i="1"/>
  <c r="O1216" i="1" s="1"/>
  <c r="M1217" i="1"/>
  <c r="O1217" i="1" s="1"/>
  <c r="M1218" i="1"/>
  <c r="O1218" i="1" s="1"/>
  <c r="M1219" i="1"/>
  <c r="O1219" i="1" s="1"/>
  <c r="M1220" i="1"/>
  <c r="O1220" i="1" s="1"/>
  <c r="M1221" i="1"/>
  <c r="O1221" i="1" s="1"/>
  <c r="M1222" i="1"/>
  <c r="O1222" i="1" s="1"/>
  <c r="M1223" i="1"/>
  <c r="O1223" i="1" s="1"/>
  <c r="M1224" i="1"/>
  <c r="O1224" i="1" s="1"/>
  <c r="M1225" i="1"/>
  <c r="O1225" i="1" s="1"/>
  <c r="M1226" i="1"/>
  <c r="O1226" i="1" s="1"/>
  <c r="M1227" i="1"/>
  <c r="O1227" i="1" s="1"/>
  <c r="M1228" i="1"/>
  <c r="O1228" i="1" s="1"/>
  <c r="M1229" i="1"/>
  <c r="O1229" i="1" s="1"/>
  <c r="M1230" i="1"/>
  <c r="O1230" i="1" s="1"/>
  <c r="M1231" i="1"/>
  <c r="O1231" i="1" s="1"/>
  <c r="M1232" i="1"/>
  <c r="O1232" i="1" s="1"/>
  <c r="M1233" i="1"/>
  <c r="O1233" i="1" s="1"/>
  <c r="M1234" i="1"/>
  <c r="O1234" i="1" s="1"/>
  <c r="M1235" i="1"/>
  <c r="O1235" i="1" s="1"/>
  <c r="M1236" i="1"/>
  <c r="O1236" i="1" s="1"/>
  <c r="M1237" i="1"/>
  <c r="O1237" i="1" s="1"/>
  <c r="M1238" i="1"/>
  <c r="O1238" i="1" s="1"/>
  <c r="M1239" i="1"/>
  <c r="O1239" i="1" s="1"/>
  <c r="M1240" i="1"/>
  <c r="O1240" i="1" s="1"/>
  <c r="M1241" i="1"/>
  <c r="O1241" i="1" s="1"/>
  <c r="M1242" i="1"/>
  <c r="O1242" i="1" s="1"/>
  <c r="M1243" i="1"/>
  <c r="O1243" i="1" s="1"/>
  <c r="M1244" i="1"/>
  <c r="O1244" i="1" s="1"/>
  <c r="M1245" i="1"/>
  <c r="O1245" i="1" s="1"/>
  <c r="M1246" i="1"/>
  <c r="O1246" i="1" s="1"/>
  <c r="M1247" i="1"/>
  <c r="O1247" i="1" s="1"/>
  <c r="M1248" i="1"/>
  <c r="O1248" i="1" s="1"/>
  <c r="M1249" i="1"/>
  <c r="O1249" i="1" s="1"/>
  <c r="M1250" i="1"/>
  <c r="O1250" i="1" s="1"/>
  <c r="M1251" i="1"/>
  <c r="O1251" i="1" s="1"/>
  <c r="M1252" i="1"/>
  <c r="O1252" i="1" s="1"/>
  <c r="M1253" i="1"/>
  <c r="O1253" i="1" s="1"/>
  <c r="M1254" i="1"/>
  <c r="O1254" i="1" s="1"/>
  <c r="M1255" i="1"/>
  <c r="O1255" i="1" s="1"/>
  <c r="M1256" i="1"/>
  <c r="O1256" i="1" s="1"/>
  <c r="M1257" i="1"/>
  <c r="O1257" i="1" s="1"/>
  <c r="M1258" i="1"/>
  <c r="O1258" i="1" s="1"/>
  <c r="M1259" i="1"/>
  <c r="O1259" i="1" s="1"/>
  <c r="M1260" i="1"/>
  <c r="O1260" i="1" s="1"/>
  <c r="M1261" i="1"/>
  <c r="O1261" i="1" s="1"/>
  <c r="M1262" i="1"/>
  <c r="O1262" i="1" s="1"/>
  <c r="M1263" i="1"/>
  <c r="O1263" i="1" s="1"/>
  <c r="M1264" i="1"/>
  <c r="O1264" i="1" s="1"/>
  <c r="M1265" i="1"/>
  <c r="O1265" i="1" s="1"/>
  <c r="M1266" i="1"/>
  <c r="O1266" i="1" s="1"/>
  <c r="M1267" i="1"/>
  <c r="O1267" i="1" s="1"/>
  <c r="M1268" i="1"/>
  <c r="O1268" i="1" s="1"/>
  <c r="M1269" i="1"/>
  <c r="O1269" i="1" s="1"/>
  <c r="M1270" i="1"/>
  <c r="O1270" i="1" s="1"/>
  <c r="M1271" i="1"/>
  <c r="O1271" i="1" s="1"/>
  <c r="M1272" i="1"/>
  <c r="O1272" i="1" s="1"/>
  <c r="M1273" i="1"/>
  <c r="O1273" i="1" s="1"/>
  <c r="M1274" i="1"/>
  <c r="O1274" i="1" s="1"/>
  <c r="M1275" i="1"/>
  <c r="O1275" i="1" s="1"/>
  <c r="M1276" i="1"/>
  <c r="O1276" i="1" s="1"/>
  <c r="M1277" i="1"/>
  <c r="O1277" i="1" s="1"/>
  <c r="M1278" i="1"/>
  <c r="O1278" i="1" s="1"/>
  <c r="M1279" i="1"/>
  <c r="O1279" i="1" s="1"/>
  <c r="M1280" i="1"/>
  <c r="O1280" i="1" s="1"/>
  <c r="M1281" i="1"/>
  <c r="O1281" i="1" s="1"/>
  <c r="M1282" i="1"/>
  <c r="O1282" i="1" s="1"/>
  <c r="M1283" i="1"/>
  <c r="O1283" i="1" s="1"/>
  <c r="M1284" i="1"/>
  <c r="O1284" i="1" s="1"/>
  <c r="M1285" i="1"/>
  <c r="O1285" i="1" s="1"/>
  <c r="M1286" i="1"/>
  <c r="O1286" i="1" s="1"/>
  <c r="M1287" i="1"/>
  <c r="O1287" i="1" s="1"/>
  <c r="M1288" i="1"/>
  <c r="O1288" i="1" s="1"/>
  <c r="M1289" i="1"/>
  <c r="O1289" i="1" s="1"/>
  <c r="M1290" i="1"/>
  <c r="O1290" i="1" s="1"/>
  <c r="M1291" i="1"/>
  <c r="O1291" i="1" s="1"/>
  <c r="M1292" i="1"/>
  <c r="O1292" i="1" s="1"/>
  <c r="M1293" i="1"/>
  <c r="O1293" i="1" s="1"/>
  <c r="M1294" i="1"/>
  <c r="O1294" i="1" s="1"/>
  <c r="M1295" i="1"/>
  <c r="O1295" i="1" s="1"/>
  <c r="M1296" i="1"/>
  <c r="O1296" i="1" s="1"/>
  <c r="M1297" i="1"/>
  <c r="O1297" i="1" s="1"/>
  <c r="M1298" i="1"/>
  <c r="O1298" i="1" s="1"/>
  <c r="M1299" i="1"/>
  <c r="O1299" i="1" s="1"/>
  <c r="M1300" i="1"/>
  <c r="O1300" i="1" s="1"/>
  <c r="M1301" i="1"/>
  <c r="O1301" i="1" s="1"/>
  <c r="M1302" i="1"/>
  <c r="O1302" i="1" s="1"/>
  <c r="M1303" i="1"/>
  <c r="O1303" i="1" s="1"/>
  <c r="M1304" i="1"/>
  <c r="O1304" i="1" s="1"/>
  <c r="M1305" i="1"/>
  <c r="O1305" i="1" s="1"/>
  <c r="M1306" i="1"/>
  <c r="O1306" i="1" s="1"/>
  <c r="M1307" i="1"/>
  <c r="O1307" i="1" s="1"/>
  <c r="M1308" i="1"/>
  <c r="O1308" i="1" s="1"/>
  <c r="M1309" i="1"/>
  <c r="O1309" i="1" s="1"/>
  <c r="M1310" i="1"/>
  <c r="O1310" i="1" s="1"/>
  <c r="M1311" i="1"/>
  <c r="O1311" i="1" s="1"/>
  <c r="M1312" i="1"/>
  <c r="O1312" i="1" s="1"/>
  <c r="M1313" i="1"/>
  <c r="O1313" i="1" s="1"/>
  <c r="M1314" i="1"/>
  <c r="O1314" i="1" s="1"/>
  <c r="M1315" i="1"/>
  <c r="O1315" i="1" s="1"/>
  <c r="M1316" i="1"/>
  <c r="O1316" i="1" s="1"/>
  <c r="M1317" i="1"/>
  <c r="O1317" i="1" s="1"/>
  <c r="M1318" i="1"/>
  <c r="O1318" i="1" s="1"/>
  <c r="M1319" i="1"/>
  <c r="O1319" i="1" s="1"/>
  <c r="M1320" i="1"/>
  <c r="O1320" i="1" s="1"/>
  <c r="M1321" i="1"/>
  <c r="O1321" i="1" s="1"/>
  <c r="M1322" i="1"/>
  <c r="O1322" i="1" s="1"/>
  <c r="M1323" i="1"/>
  <c r="O1323" i="1" s="1"/>
  <c r="M1324" i="1"/>
  <c r="O1324" i="1" s="1"/>
  <c r="M1325" i="1"/>
  <c r="O1325" i="1" s="1"/>
  <c r="M1326" i="1"/>
  <c r="O1326" i="1" s="1"/>
  <c r="M1327" i="1"/>
  <c r="O1327" i="1" s="1"/>
  <c r="M1328" i="1"/>
  <c r="O1328" i="1" s="1"/>
  <c r="M1329" i="1"/>
  <c r="O1329" i="1" s="1"/>
  <c r="M1330" i="1"/>
  <c r="O1330" i="1" s="1"/>
  <c r="M1331" i="1"/>
  <c r="O1331" i="1" s="1"/>
  <c r="M1332" i="1"/>
  <c r="O1332" i="1" s="1"/>
  <c r="M1333" i="1"/>
  <c r="O1333" i="1" s="1"/>
  <c r="M1334" i="1"/>
  <c r="O1334" i="1" s="1"/>
  <c r="M1335" i="1"/>
  <c r="O1335" i="1" s="1"/>
  <c r="M1336" i="1"/>
  <c r="O1336" i="1" s="1"/>
  <c r="M1337" i="1"/>
  <c r="O1337" i="1" s="1"/>
  <c r="M1338" i="1"/>
  <c r="O1338" i="1" s="1"/>
  <c r="M1339" i="1"/>
  <c r="O1339" i="1" s="1"/>
  <c r="M1340" i="1"/>
  <c r="O1340" i="1" s="1"/>
  <c r="M1341" i="1"/>
  <c r="O1341" i="1" s="1"/>
  <c r="M1342" i="1"/>
  <c r="O1342" i="1" s="1"/>
  <c r="M1343" i="1"/>
  <c r="O1343" i="1" s="1"/>
  <c r="M1344" i="1"/>
  <c r="O1344" i="1" s="1"/>
  <c r="M1345" i="1"/>
  <c r="O1345" i="1" s="1"/>
  <c r="M1346" i="1"/>
  <c r="O1346" i="1" s="1"/>
  <c r="M1347" i="1"/>
  <c r="O1347" i="1" s="1"/>
  <c r="M1348" i="1"/>
  <c r="O1348" i="1" s="1"/>
  <c r="M1349" i="1"/>
  <c r="O1349" i="1" s="1"/>
  <c r="M1350" i="1"/>
  <c r="O1350" i="1" s="1"/>
  <c r="M1351" i="1"/>
  <c r="O1351" i="1" s="1"/>
  <c r="M1352" i="1"/>
  <c r="O1352" i="1" s="1"/>
  <c r="M1353" i="1"/>
  <c r="O1353" i="1" s="1"/>
  <c r="M1354" i="1"/>
  <c r="O1354" i="1" s="1"/>
  <c r="M1355" i="1"/>
  <c r="O1355" i="1" s="1"/>
  <c r="M1356" i="1"/>
  <c r="O1356" i="1" s="1"/>
  <c r="M1357" i="1"/>
  <c r="O1357" i="1" s="1"/>
  <c r="M1358" i="1"/>
  <c r="O1358" i="1" s="1"/>
  <c r="M1359" i="1"/>
  <c r="O1359" i="1" s="1"/>
  <c r="M1360" i="1"/>
  <c r="O1360" i="1" s="1"/>
  <c r="M1361" i="1"/>
  <c r="O1361" i="1" s="1"/>
  <c r="M1362" i="1"/>
  <c r="O1362" i="1" s="1"/>
  <c r="M1363" i="1"/>
  <c r="O1363" i="1" s="1"/>
  <c r="M1364" i="1"/>
  <c r="O1364" i="1" s="1"/>
  <c r="M1365" i="1"/>
  <c r="O1365" i="1" s="1"/>
  <c r="M1366" i="1"/>
  <c r="O1366" i="1" s="1"/>
  <c r="M1367" i="1"/>
  <c r="O1367" i="1" s="1"/>
  <c r="M1368" i="1"/>
  <c r="O1368" i="1" s="1"/>
  <c r="M1369" i="1"/>
  <c r="O1369" i="1" s="1"/>
  <c r="M1370" i="1"/>
  <c r="O1370" i="1" s="1"/>
  <c r="M1371" i="1"/>
  <c r="O1371" i="1" s="1"/>
  <c r="M1372" i="1"/>
  <c r="O1372" i="1" s="1"/>
  <c r="M1373" i="1"/>
  <c r="O1373" i="1" s="1"/>
  <c r="M1374" i="1"/>
  <c r="O1374" i="1" s="1"/>
  <c r="M1375" i="1"/>
  <c r="O1375" i="1" s="1"/>
  <c r="M1376" i="1"/>
  <c r="O1376" i="1" s="1"/>
  <c r="M1377" i="1"/>
  <c r="O1377" i="1" s="1"/>
  <c r="M1378" i="1"/>
  <c r="O1378" i="1" s="1"/>
  <c r="M1379" i="1"/>
  <c r="O1379" i="1" s="1"/>
  <c r="M1380" i="1"/>
  <c r="O1380" i="1" s="1"/>
  <c r="M1381" i="1"/>
  <c r="O1381" i="1" s="1"/>
  <c r="M1382" i="1"/>
  <c r="O1382" i="1" s="1"/>
  <c r="M1383" i="1"/>
  <c r="O1383" i="1" s="1"/>
  <c r="M1384" i="1"/>
  <c r="O1384" i="1" s="1"/>
  <c r="M1385" i="1"/>
  <c r="O1385" i="1" s="1"/>
  <c r="M1386" i="1"/>
  <c r="O1386" i="1" s="1"/>
  <c r="M1387" i="1"/>
  <c r="O1387" i="1" s="1"/>
  <c r="M1388" i="1"/>
  <c r="O1388" i="1" s="1"/>
  <c r="M1389" i="1"/>
  <c r="O1389" i="1" s="1"/>
  <c r="M1390" i="1"/>
  <c r="O1390" i="1" s="1"/>
  <c r="M1391" i="1"/>
  <c r="O1391" i="1" s="1"/>
  <c r="M1392" i="1"/>
  <c r="O1392" i="1" s="1"/>
  <c r="M1393" i="1"/>
  <c r="O1393" i="1" s="1"/>
  <c r="M1394" i="1"/>
  <c r="O1394" i="1" s="1"/>
  <c r="M1395" i="1"/>
  <c r="O1395" i="1" s="1"/>
  <c r="M1396" i="1"/>
  <c r="O1396" i="1" s="1"/>
  <c r="M1397" i="1"/>
  <c r="O1397" i="1" s="1"/>
  <c r="M1398" i="1"/>
  <c r="O1398" i="1" s="1"/>
  <c r="M1399" i="1"/>
  <c r="O1399" i="1" s="1"/>
  <c r="M1400" i="1"/>
  <c r="O1400" i="1" s="1"/>
  <c r="M1401" i="1"/>
  <c r="O1401" i="1" s="1"/>
  <c r="M1402" i="1"/>
  <c r="O1402" i="1" s="1"/>
  <c r="M1403" i="1"/>
  <c r="O1403" i="1" s="1"/>
  <c r="M1404" i="1"/>
  <c r="O1404" i="1" s="1"/>
  <c r="M1405" i="1"/>
  <c r="O1405" i="1" s="1"/>
  <c r="M1406" i="1"/>
  <c r="O1406" i="1" s="1"/>
  <c r="M1407" i="1"/>
  <c r="O1407" i="1" s="1"/>
  <c r="M1408" i="1"/>
  <c r="O1408" i="1" s="1"/>
  <c r="M1409" i="1"/>
  <c r="O1409" i="1" s="1"/>
  <c r="M1410" i="1"/>
  <c r="O1410" i="1" s="1"/>
  <c r="M1411" i="1"/>
  <c r="O1411" i="1" s="1"/>
  <c r="M1412" i="1"/>
  <c r="O1412" i="1" s="1"/>
  <c r="M1413" i="1"/>
  <c r="O1413" i="1" s="1"/>
  <c r="M1414" i="1"/>
  <c r="O1414" i="1" s="1"/>
  <c r="M1415" i="1"/>
  <c r="O1415" i="1" s="1"/>
  <c r="M1416" i="1"/>
  <c r="O1416" i="1" s="1"/>
  <c r="M1417" i="1"/>
  <c r="O1417" i="1" s="1"/>
  <c r="M1418" i="1"/>
  <c r="O1418" i="1" s="1"/>
  <c r="M1419" i="1"/>
  <c r="O1419" i="1" s="1"/>
  <c r="M1420" i="1"/>
  <c r="O1420" i="1" s="1"/>
  <c r="M1421" i="1"/>
  <c r="O1421" i="1" s="1"/>
  <c r="M1422" i="1"/>
  <c r="O1422" i="1" s="1"/>
  <c r="M1423" i="1"/>
  <c r="O1423" i="1" s="1"/>
  <c r="M1424" i="1"/>
  <c r="O1424" i="1" s="1"/>
  <c r="M1425" i="1"/>
  <c r="O1425" i="1" s="1"/>
  <c r="M1426" i="1"/>
  <c r="O1426" i="1" s="1"/>
  <c r="M1427" i="1"/>
  <c r="O1427" i="1" s="1"/>
  <c r="M1428" i="1"/>
  <c r="O1428" i="1" s="1"/>
  <c r="M1429" i="1"/>
  <c r="O1429" i="1" s="1"/>
  <c r="M1430" i="1"/>
  <c r="O1430" i="1" s="1"/>
  <c r="M1431" i="1"/>
  <c r="O1431" i="1" s="1"/>
  <c r="M1432" i="1"/>
  <c r="O1432" i="1" s="1"/>
  <c r="M1433" i="1"/>
  <c r="O1433" i="1" s="1"/>
  <c r="M1434" i="1"/>
  <c r="O1434" i="1" s="1"/>
  <c r="M1435" i="1"/>
  <c r="O1435" i="1" s="1"/>
  <c r="M1436" i="1"/>
  <c r="O1436" i="1" s="1"/>
  <c r="M1437" i="1"/>
  <c r="O1437" i="1" s="1"/>
  <c r="M1438" i="1"/>
  <c r="O1438" i="1" s="1"/>
  <c r="M1439" i="1"/>
  <c r="O1439" i="1" s="1"/>
  <c r="M1440" i="1"/>
  <c r="O1440" i="1" s="1"/>
  <c r="M1441" i="1"/>
  <c r="O1441" i="1" s="1"/>
  <c r="M1442" i="1"/>
  <c r="O1442" i="1" s="1"/>
  <c r="M1443" i="1"/>
  <c r="O1443" i="1" s="1"/>
  <c r="M1444" i="1"/>
  <c r="O1444" i="1" s="1"/>
  <c r="M1445" i="1"/>
  <c r="O1445" i="1" s="1"/>
  <c r="M1446" i="1"/>
  <c r="O1446" i="1" s="1"/>
  <c r="M1447" i="1"/>
  <c r="O1447" i="1" s="1"/>
  <c r="M1448" i="1"/>
  <c r="O1448" i="1" s="1"/>
  <c r="M1449" i="1"/>
  <c r="O1449" i="1" s="1"/>
  <c r="M1450" i="1"/>
  <c r="O1450" i="1" s="1"/>
  <c r="M1451" i="1"/>
  <c r="O1451" i="1" s="1"/>
  <c r="M1452" i="1"/>
  <c r="O1452" i="1" s="1"/>
  <c r="M1453" i="1"/>
  <c r="O1453" i="1" s="1"/>
  <c r="M1454" i="1"/>
  <c r="O1454" i="1" s="1"/>
  <c r="M1455" i="1"/>
  <c r="O1455" i="1" s="1"/>
  <c r="M1456" i="1"/>
  <c r="O1456" i="1" s="1"/>
  <c r="M1457" i="1"/>
  <c r="O1457" i="1" s="1"/>
  <c r="M1458" i="1"/>
  <c r="O1458" i="1" s="1"/>
  <c r="M1459" i="1"/>
  <c r="O1459" i="1" s="1"/>
  <c r="M1460" i="1"/>
  <c r="O1460" i="1" s="1"/>
  <c r="M1461" i="1"/>
  <c r="O1461" i="1" s="1"/>
  <c r="M1462" i="1"/>
  <c r="O1462" i="1" s="1"/>
  <c r="M1463" i="1"/>
  <c r="O1463" i="1" s="1"/>
  <c r="M1464" i="1"/>
  <c r="O1464" i="1" s="1"/>
  <c r="M1465" i="1"/>
  <c r="O1465" i="1" s="1"/>
  <c r="M1466" i="1"/>
  <c r="O1466" i="1" s="1"/>
  <c r="M1467" i="1"/>
  <c r="O1467" i="1" s="1"/>
  <c r="M1468" i="1"/>
  <c r="O1468" i="1" s="1"/>
  <c r="M1469" i="1"/>
  <c r="O1469" i="1" s="1"/>
  <c r="M1470" i="1"/>
  <c r="O1470" i="1" s="1"/>
  <c r="M1471" i="1"/>
  <c r="O1471" i="1" s="1"/>
  <c r="M1472" i="1"/>
  <c r="O1472" i="1" s="1"/>
  <c r="M1473" i="1"/>
  <c r="O1473" i="1" s="1"/>
  <c r="M1474" i="1"/>
  <c r="O1474" i="1" s="1"/>
  <c r="M1475" i="1"/>
  <c r="O1475" i="1" s="1"/>
  <c r="M1476" i="1"/>
  <c r="O1476" i="1" s="1"/>
  <c r="M1477" i="1"/>
  <c r="O1477" i="1" s="1"/>
  <c r="M1478" i="1"/>
  <c r="O1478" i="1" s="1"/>
  <c r="M1479" i="1"/>
  <c r="O1479" i="1" s="1"/>
  <c r="M1480" i="1"/>
  <c r="O1480" i="1" s="1"/>
  <c r="M1481" i="1"/>
  <c r="O1481" i="1" s="1"/>
  <c r="M1482" i="1"/>
  <c r="O1482" i="1" s="1"/>
  <c r="M1483" i="1"/>
  <c r="O1483" i="1" s="1"/>
  <c r="M1484" i="1"/>
  <c r="O1484" i="1" s="1"/>
  <c r="M1485" i="1"/>
  <c r="O1485" i="1" s="1"/>
  <c r="M1486" i="1"/>
  <c r="O1486" i="1" s="1"/>
  <c r="M1487" i="1"/>
  <c r="O1487" i="1" s="1"/>
  <c r="M1488" i="1"/>
  <c r="O1488" i="1" s="1"/>
  <c r="M1489" i="1"/>
  <c r="O1489" i="1" s="1"/>
  <c r="M1490" i="1"/>
  <c r="O1490" i="1" s="1"/>
  <c r="M1491" i="1"/>
  <c r="O1491" i="1" s="1"/>
  <c r="M1492" i="1"/>
  <c r="O1492" i="1" s="1"/>
  <c r="M1493" i="1"/>
  <c r="O1493" i="1" s="1"/>
  <c r="M1494" i="1"/>
  <c r="O1494" i="1" s="1"/>
  <c r="M1495" i="1"/>
  <c r="O1495" i="1" s="1"/>
  <c r="M1496" i="1"/>
  <c r="O1496" i="1" s="1"/>
  <c r="M1497" i="1"/>
  <c r="O1497" i="1" s="1"/>
  <c r="M1498" i="1"/>
  <c r="O1498" i="1" s="1"/>
  <c r="M1499" i="1"/>
  <c r="O1499" i="1" s="1"/>
  <c r="M1500" i="1"/>
  <c r="O1500" i="1" s="1"/>
  <c r="M1501" i="1"/>
  <c r="O1501" i="1" s="1"/>
  <c r="M1502" i="1"/>
  <c r="O1502" i="1" s="1"/>
  <c r="M1503" i="1"/>
  <c r="O1503" i="1" s="1"/>
  <c r="M1504" i="1"/>
  <c r="O1504" i="1" s="1"/>
  <c r="M1505" i="1"/>
  <c r="O1505" i="1" s="1"/>
  <c r="M1506" i="1"/>
  <c r="O1506" i="1" s="1"/>
  <c r="M1507" i="1"/>
  <c r="O1507" i="1" s="1"/>
  <c r="M1508" i="1"/>
  <c r="O1508" i="1" s="1"/>
  <c r="M1509" i="1"/>
  <c r="O1509" i="1" s="1"/>
  <c r="M1510" i="1"/>
  <c r="O1510" i="1" s="1"/>
  <c r="M1511" i="1"/>
  <c r="O1511" i="1" s="1"/>
  <c r="M1512" i="1"/>
  <c r="O1512" i="1" s="1"/>
  <c r="M1513" i="1"/>
  <c r="O1513" i="1" s="1"/>
  <c r="M1514" i="1"/>
  <c r="O1514" i="1" s="1"/>
  <c r="M1515" i="1"/>
  <c r="O1515" i="1" s="1"/>
  <c r="M1516" i="1"/>
  <c r="O1516" i="1" s="1"/>
  <c r="M1517" i="1"/>
  <c r="O1517" i="1" s="1"/>
  <c r="M1518" i="1"/>
  <c r="O1518" i="1" s="1"/>
  <c r="M1519" i="1"/>
  <c r="O1519" i="1" s="1"/>
  <c r="M1520" i="1"/>
  <c r="O1520" i="1" s="1"/>
  <c r="M1521" i="1"/>
  <c r="O1521" i="1" s="1"/>
  <c r="M1522" i="1"/>
  <c r="O1522" i="1" s="1"/>
  <c r="M1523" i="1"/>
  <c r="O1523" i="1" s="1"/>
  <c r="M1524" i="1"/>
  <c r="O1524" i="1" s="1"/>
  <c r="M1525" i="1"/>
  <c r="O1525" i="1" s="1"/>
  <c r="M1526" i="1"/>
  <c r="O1526" i="1" s="1"/>
  <c r="M1527" i="1"/>
  <c r="O1527" i="1" s="1"/>
  <c r="M1528" i="1"/>
  <c r="O1528" i="1" s="1"/>
  <c r="M1529" i="1"/>
  <c r="O1529" i="1" s="1"/>
  <c r="M1530" i="1"/>
  <c r="O1530" i="1" s="1"/>
  <c r="M1531" i="1"/>
  <c r="O1531" i="1" s="1"/>
  <c r="M1532" i="1"/>
  <c r="O1532" i="1" s="1"/>
  <c r="M1533" i="1"/>
  <c r="O1533" i="1" s="1"/>
  <c r="M1534" i="1"/>
  <c r="O1534" i="1" s="1"/>
  <c r="M1535" i="1"/>
  <c r="O1535" i="1" s="1"/>
  <c r="M1536" i="1"/>
  <c r="O1536" i="1" s="1"/>
  <c r="M1537" i="1"/>
  <c r="O1537" i="1" s="1"/>
  <c r="M1538" i="1"/>
  <c r="O1538" i="1" s="1"/>
  <c r="M1539" i="1"/>
  <c r="O1539" i="1" s="1"/>
  <c r="M1540" i="1"/>
  <c r="O1540" i="1" s="1"/>
  <c r="M1541" i="1"/>
  <c r="O1541" i="1" s="1"/>
  <c r="M1542" i="1"/>
  <c r="O1542" i="1" s="1"/>
  <c r="M1543" i="1"/>
  <c r="O1543" i="1" s="1"/>
  <c r="M1544" i="1"/>
  <c r="O1544" i="1" s="1"/>
  <c r="M1545" i="1"/>
  <c r="O1545" i="1" s="1"/>
  <c r="M1546" i="1"/>
  <c r="O1546" i="1" s="1"/>
  <c r="M1547" i="1"/>
  <c r="O1547" i="1" s="1"/>
  <c r="M1548" i="1"/>
  <c r="O1548" i="1" s="1"/>
  <c r="M1549" i="1"/>
  <c r="O1549" i="1" s="1"/>
  <c r="M1550" i="1"/>
  <c r="O1550" i="1" s="1"/>
  <c r="M1551" i="1"/>
  <c r="O1551" i="1" s="1"/>
  <c r="M1552" i="1"/>
  <c r="O1552" i="1" s="1"/>
  <c r="M1553" i="1"/>
  <c r="O1553" i="1" s="1"/>
  <c r="M1554" i="1"/>
  <c r="O1554" i="1" s="1"/>
  <c r="M1555" i="1"/>
  <c r="O1555" i="1" s="1"/>
  <c r="M1556" i="1"/>
  <c r="O1556" i="1" s="1"/>
  <c r="M1557" i="1"/>
  <c r="O1557" i="1" s="1"/>
  <c r="M1558" i="1"/>
  <c r="O1558" i="1" s="1"/>
  <c r="M1559" i="1"/>
  <c r="O1559" i="1" s="1"/>
  <c r="M1560" i="1"/>
  <c r="O1560" i="1" s="1"/>
  <c r="M1561" i="1"/>
  <c r="O1561" i="1" s="1"/>
  <c r="M1562" i="1"/>
  <c r="O1562" i="1" s="1"/>
  <c r="M1563" i="1"/>
  <c r="O1563" i="1" s="1"/>
  <c r="M1564" i="1"/>
  <c r="O1564" i="1" s="1"/>
  <c r="M1565" i="1"/>
  <c r="O1565" i="1" s="1"/>
  <c r="M1566" i="1"/>
  <c r="O1566" i="1" s="1"/>
  <c r="M1567" i="1"/>
  <c r="O1567" i="1" s="1"/>
  <c r="M1568" i="1"/>
  <c r="O1568" i="1" s="1"/>
  <c r="M1569" i="1"/>
  <c r="O1569" i="1" s="1"/>
  <c r="M1570" i="1"/>
  <c r="O1570" i="1" s="1"/>
  <c r="M1571" i="1"/>
  <c r="O1571" i="1" s="1"/>
  <c r="M1572" i="1"/>
  <c r="O1572" i="1" s="1"/>
  <c r="M1573" i="1"/>
  <c r="O1573" i="1" s="1"/>
  <c r="M1574" i="1"/>
  <c r="O1574" i="1" s="1"/>
  <c r="M1575" i="1"/>
  <c r="O1575" i="1" s="1"/>
  <c r="M1576" i="1"/>
  <c r="O1576" i="1" s="1"/>
  <c r="M1577" i="1"/>
  <c r="O1577" i="1" s="1"/>
  <c r="M1578" i="1"/>
  <c r="O1578" i="1" s="1"/>
  <c r="M1579" i="1"/>
  <c r="O1579" i="1" s="1"/>
  <c r="M1580" i="1"/>
  <c r="O1580" i="1" s="1"/>
  <c r="M1581" i="1"/>
  <c r="O1581" i="1" s="1"/>
  <c r="M1582" i="1"/>
  <c r="O1582" i="1" s="1"/>
  <c r="M1583" i="1"/>
  <c r="O1583" i="1" s="1"/>
  <c r="M1584" i="1"/>
  <c r="O1584" i="1" s="1"/>
  <c r="M1585" i="1"/>
  <c r="O1585" i="1" s="1"/>
  <c r="M1586" i="1"/>
  <c r="O1586" i="1" s="1"/>
  <c r="M1587" i="1"/>
  <c r="O1587" i="1" s="1"/>
  <c r="M1588" i="1"/>
  <c r="O1588" i="1" s="1"/>
  <c r="M1589" i="1"/>
  <c r="O1589" i="1" s="1"/>
  <c r="M1590" i="1"/>
  <c r="O1590" i="1" s="1"/>
  <c r="M1591" i="1"/>
  <c r="O1591" i="1" s="1"/>
  <c r="M1592" i="1"/>
  <c r="O1592" i="1" s="1"/>
  <c r="M1593" i="1"/>
  <c r="O1593" i="1" s="1"/>
  <c r="M1594" i="1"/>
  <c r="O1594" i="1" s="1"/>
  <c r="M1595" i="1"/>
  <c r="O1595" i="1" s="1"/>
  <c r="M1596" i="1"/>
  <c r="O1596" i="1" s="1"/>
  <c r="M1597" i="1"/>
  <c r="O1597" i="1" s="1"/>
  <c r="M1598" i="1"/>
  <c r="O1598" i="1" s="1"/>
  <c r="M1599" i="1"/>
  <c r="O1599" i="1" s="1"/>
  <c r="M1600" i="1"/>
  <c r="O1600" i="1" s="1"/>
  <c r="M1601" i="1"/>
  <c r="O1601" i="1" s="1"/>
  <c r="M1602" i="1"/>
  <c r="O1602" i="1" s="1"/>
  <c r="M1603" i="1"/>
  <c r="O1603" i="1" s="1"/>
  <c r="M1604" i="1"/>
  <c r="O1604" i="1" s="1"/>
  <c r="M1605" i="1"/>
  <c r="O1605" i="1" s="1"/>
  <c r="M1606" i="1"/>
  <c r="O1606" i="1" s="1"/>
  <c r="M1607" i="1"/>
  <c r="O1607" i="1" s="1"/>
  <c r="M1608" i="1"/>
  <c r="O1608" i="1" s="1"/>
  <c r="M1609" i="1"/>
  <c r="O1609" i="1" s="1"/>
  <c r="M1610" i="1"/>
  <c r="O1610" i="1" s="1"/>
  <c r="M1611" i="1"/>
  <c r="O1611" i="1" s="1"/>
  <c r="M1612" i="1"/>
  <c r="O1612" i="1" s="1"/>
  <c r="M1613" i="1"/>
  <c r="O1613" i="1" s="1"/>
  <c r="M1614" i="1"/>
  <c r="O1614" i="1" s="1"/>
  <c r="M1615" i="1"/>
  <c r="O1615" i="1" s="1"/>
  <c r="M1616" i="1"/>
  <c r="O1616" i="1" s="1"/>
  <c r="M1617" i="1"/>
  <c r="O1617" i="1" s="1"/>
  <c r="M1618" i="1"/>
  <c r="O1618" i="1" s="1"/>
  <c r="M1619" i="1"/>
  <c r="O1619" i="1" s="1"/>
  <c r="M1620" i="1"/>
  <c r="O1620" i="1" s="1"/>
  <c r="M1621" i="1"/>
  <c r="O1621" i="1" s="1"/>
  <c r="M1622" i="1"/>
  <c r="O1622" i="1" s="1"/>
  <c r="M1623" i="1"/>
  <c r="O1623" i="1" s="1"/>
  <c r="M1624" i="1"/>
  <c r="O1624" i="1" s="1"/>
  <c r="M1625" i="1"/>
  <c r="O1625" i="1" s="1"/>
  <c r="M1626" i="1"/>
  <c r="O1626" i="1" s="1"/>
  <c r="M1627" i="1"/>
  <c r="O1627" i="1" s="1"/>
  <c r="M1628" i="1"/>
  <c r="O1628" i="1" s="1"/>
  <c r="M1629" i="1"/>
  <c r="O1629" i="1" s="1"/>
  <c r="M1630" i="1"/>
  <c r="O1630" i="1" s="1"/>
  <c r="M1631" i="1"/>
  <c r="O1631" i="1" s="1"/>
  <c r="M1632" i="1"/>
  <c r="O1632" i="1" s="1"/>
  <c r="M1633" i="1"/>
  <c r="O1633" i="1" s="1"/>
  <c r="M1634" i="1"/>
  <c r="O1634" i="1" s="1"/>
  <c r="M1635" i="1"/>
  <c r="O1635" i="1" s="1"/>
  <c r="M1636" i="1"/>
  <c r="O1636" i="1" s="1"/>
  <c r="M1637" i="1"/>
  <c r="O1637" i="1" s="1"/>
  <c r="M1638" i="1"/>
  <c r="O1638" i="1" s="1"/>
  <c r="M1639" i="1"/>
  <c r="O1639" i="1" s="1"/>
  <c r="M1640" i="1"/>
  <c r="O1640" i="1" s="1"/>
  <c r="M1641" i="1"/>
  <c r="O1641" i="1" s="1"/>
  <c r="M1642" i="1"/>
  <c r="O1642" i="1" s="1"/>
  <c r="M1643" i="1"/>
  <c r="O1643" i="1" s="1"/>
  <c r="M1644" i="1"/>
  <c r="O1644" i="1" s="1"/>
  <c r="M1645" i="1"/>
  <c r="O1645" i="1" s="1"/>
  <c r="M1646" i="1"/>
  <c r="O1646" i="1" s="1"/>
  <c r="M1647" i="1"/>
  <c r="O1647" i="1" s="1"/>
  <c r="M1648" i="1"/>
  <c r="O1648" i="1" s="1"/>
  <c r="M1649" i="1"/>
  <c r="O1649" i="1" s="1"/>
  <c r="M1650" i="1"/>
  <c r="O1650" i="1" s="1"/>
  <c r="M1651" i="1"/>
  <c r="O1651" i="1" s="1"/>
  <c r="M1652" i="1"/>
  <c r="O1652" i="1" s="1"/>
  <c r="M1653" i="1"/>
  <c r="O1653" i="1" s="1"/>
  <c r="M1654" i="1"/>
  <c r="O1654" i="1" s="1"/>
  <c r="M1655" i="1"/>
  <c r="O1655" i="1" s="1"/>
  <c r="M1656" i="1"/>
  <c r="O1656" i="1" s="1"/>
  <c r="M1657" i="1"/>
  <c r="O1657" i="1" s="1"/>
  <c r="M1658" i="1"/>
  <c r="O1658" i="1" s="1"/>
  <c r="M1659" i="1"/>
  <c r="O1659" i="1" s="1"/>
  <c r="M1660" i="1"/>
  <c r="O1660" i="1" s="1"/>
  <c r="M1661" i="1"/>
  <c r="O1661" i="1" s="1"/>
  <c r="M1662" i="1"/>
  <c r="O1662" i="1" s="1"/>
  <c r="M1663" i="1"/>
  <c r="O1663" i="1" s="1"/>
  <c r="M1664" i="1"/>
  <c r="O1664" i="1" s="1"/>
  <c r="M1665" i="1"/>
  <c r="O1665" i="1" s="1"/>
  <c r="M1666" i="1"/>
  <c r="O1666" i="1" s="1"/>
  <c r="M1667" i="1"/>
  <c r="O1667" i="1" s="1"/>
  <c r="M1668" i="1"/>
  <c r="O1668" i="1" s="1"/>
  <c r="M1669" i="1"/>
  <c r="O1669" i="1" s="1"/>
  <c r="M1670" i="1"/>
  <c r="O1670" i="1" s="1"/>
  <c r="M1671" i="1"/>
  <c r="O1671" i="1" s="1"/>
  <c r="M1672" i="1"/>
  <c r="O1672" i="1" s="1"/>
  <c r="M1673" i="1"/>
  <c r="O1673" i="1" s="1"/>
  <c r="M1674" i="1"/>
  <c r="O1674" i="1" s="1"/>
  <c r="M1675" i="1"/>
  <c r="O1675" i="1" s="1"/>
  <c r="M1676" i="1"/>
  <c r="O1676" i="1" s="1"/>
  <c r="M1677" i="1"/>
  <c r="O1677" i="1" s="1"/>
  <c r="M1678" i="1"/>
  <c r="O1678" i="1" s="1"/>
  <c r="M1679" i="1"/>
  <c r="O1679" i="1" s="1"/>
  <c r="M1680" i="1"/>
  <c r="O1680" i="1" s="1"/>
  <c r="M1681" i="1"/>
  <c r="O1681" i="1" s="1"/>
  <c r="M1682" i="1"/>
  <c r="O1682" i="1" s="1"/>
  <c r="M1683" i="1"/>
  <c r="O1683" i="1" s="1"/>
  <c r="M1684" i="1"/>
  <c r="O1684" i="1" s="1"/>
  <c r="M1685" i="1"/>
  <c r="O1685" i="1" s="1"/>
  <c r="M1686" i="1"/>
  <c r="O1686" i="1" s="1"/>
  <c r="M1687" i="1"/>
  <c r="O1687" i="1" s="1"/>
  <c r="M1688" i="1"/>
  <c r="O1688" i="1" s="1"/>
  <c r="M1689" i="1"/>
  <c r="O1689" i="1" s="1"/>
  <c r="M1690" i="1"/>
  <c r="O1690" i="1" s="1"/>
  <c r="M1691" i="1"/>
  <c r="O1691" i="1" s="1"/>
  <c r="M1692" i="1"/>
  <c r="O1692" i="1" s="1"/>
  <c r="M1693" i="1"/>
  <c r="O1693" i="1" s="1"/>
  <c r="M1694" i="1"/>
  <c r="O1694" i="1" s="1"/>
  <c r="M1695" i="1"/>
  <c r="O1695" i="1" s="1"/>
  <c r="M1696" i="1"/>
  <c r="O1696" i="1" s="1"/>
  <c r="M1697" i="1"/>
  <c r="O1697" i="1" s="1"/>
  <c r="M1698" i="1"/>
  <c r="O1698" i="1" s="1"/>
  <c r="M1699" i="1"/>
  <c r="O1699" i="1" s="1"/>
  <c r="M1700" i="1"/>
  <c r="O1700" i="1" s="1"/>
  <c r="M1701" i="1"/>
  <c r="O1701" i="1" s="1"/>
  <c r="M1702" i="1"/>
  <c r="O1702" i="1" s="1"/>
  <c r="M1703" i="1"/>
  <c r="O1703" i="1" s="1"/>
  <c r="M1704" i="1"/>
  <c r="O1704" i="1" s="1"/>
  <c r="M1705" i="1"/>
  <c r="O1705" i="1" s="1"/>
  <c r="M1706" i="1"/>
  <c r="O1706" i="1" s="1"/>
  <c r="M1707" i="1"/>
  <c r="O1707" i="1" s="1"/>
  <c r="M1708" i="1"/>
  <c r="O1708" i="1" s="1"/>
  <c r="M1709" i="1"/>
  <c r="O1709" i="1" s="1"/>
  <c r="M1710" i="1"/>
  <c r="O1710" i="1" s="1"/>
  <c r="M1711" i="1"/>
  <c r="O1711" i="1" s="1"/>
  <c r="M1712" i="1"/>
  <c r="O1712" i="1" s="1"/>
  <c r="M1713" i="1"/>
  <c r="O1713" i="1" s="1"/>
  <c r="M1714" i="1"/>
  <c r="O1714" i="1" s="1"/>
  <c r="M1715" i="1"/>
  <c r="O1715" i="1" s="1"/>
  <c r="M1716" i="1"/>
  <c r="O1716" i="1" s="1"/>
  <c r="M1717" i="1"/>
  <c r="O1717" i="1" s="1"/>
  <c r="M1718" i="1"/>
  <c r="O1718" i="1" s="1"/>
  <c r="M1719" i="1"/>
  <c r="O1719" i="1" s="1"/>
  <c r="M1720" i="1"/>
  <c r="O1720" i="1" s="1"/>
  <c r="M1721" i="1"/>
  <c r="O1721" i="1" s="1"/>
  <c r="M1722" i="1"/>
  <c r="O1722" i="1" s="1"/>
  <c r="M1723" i="1"/>
  <c r="O1723" i="1" s="1"/>
  <c r="M1724" i="1"/>
  <c r="O1724" i="1" s="1"/>
  <c r="M1725" i="1"/>
  <c r="O1725" i="1" s="1"/>
  <c r="M1726" i="1"/>
  <c r="O1726" i="1" s="1"/>
  <c r="M1727" i="1"/>
  <c r="O1727" i="1" s="1"/>
  <c r="M1728" i="1"/>
  <c r="O1728" i="1" s="1"/>
  <c r="M1729" i="1"/>
  <c r="O1729" i="1" s="1"/>
  <c r="M1730" i="1"/>
  <c r="O1730" i="1" s="1"/>
  <c r="M1731" i="1"/>
  <c r="O1731" i="1" s="1"/>
  <c r="M1732" i="1"/>
  <c r="O1732" i="1" s="1"/>
  <c r="M1733" i="1"/>
  <c r="O1733" i="1" s="1"/>
  <c r="M1734" i="1"/>
  <c r="O1734" i="1" s="1"/>
  <c r="M1735" i="1"/>
  <c r="O1735" i="1" s="1"/>
  <c r="M1736" i="1"/>
  <c r="O1736" i="1" s="1"/>
  <c r="M1737" i="1"/>
  <c r="O1737" i="1" s="1"/>
  <c r="M1738" i="1"/>
  <c r="O1738" i="1" s="1"/>
  <c r="M1739" i="1"/>
  <c r="O1739" i="1" s="1"/>
  <c r="M1740" i="1"/>
  <c r="O1740" i="1" s="1"/>
  <c r="M1741" i="1"/>
  <c r="O1741" i="1" s="1"/>
  <c r="M1742" i="1"/>
  <c r="O1742" i="1" s="1"/>
  <c r="M1743" i="1"/>
  <c r="O1743" i="1" s="1"/>
  <c r="M1744" i="1"/>
  <c r="O1744" i="1" s="1"/>
  <c r="M1745" i="1"/>
  <c r="O1745" i="1" s="1"/>
  <c r="M1746" i="1"/>
  <c r="O1746" i="1" s="1"/>
  <c r="M1747" i="1"/>
  <c r="O1747" i="1" s="1"/>
  <c r="M1748" i="1"/>
  <c r="O1748" i="1" s="1"/>
  <c r="M1749" i="1"/>
  <c r="O1749" i="1" s="1"/>
  <c r="M1750" i="1"/>
  <c r="O1750" i="1" s="1"/>
  <c r="M1751" i="1"/>
  <c r="O1751" i="1" s="1"/>
  <c r="M1752" i="1"/>
  <c r="O1752" i="1" s="1"/>
  <c r="M1753" i="1"/>
  <c r="O1753" i="1" s="1"/>
  <c r="M1754" i="1"/>
  <c r="O1754" i="1" s="1"/>
  <c r="M1755" i="1"/>
  <c r="O1755" i="1" s="1"/>
  <c r="M1756" i="1"/>
  <c r="O1756" i="1" s="1"/>
  <c r="M1757" i="1"/>
  <c r="O1757" i="1" s="1"/>
  <c r="M1758" i="1"/>
  <c r="O1758" i="1" s="1"/>
  <c r="M1759" i="1"/>
  <c r="O1759" i="1" s="1"/>
  <c r="M1760" i="1"/>
  <c r="O1760" i="1" s="1"/>
  <c r="M1761" i="1"/>
  <c r="O1761" i="1" s="1"/>
  <c r="M1762" i="1"/>
  <c r="O1762" i="1" s="1"/>
  <c r="M1763" i="1"/>
  <c r="O1763" i="1" s="1"/>
  <c r="M1764" i="1"/>
  <c r="O1764" i="1" s="1"/>
  <c r="M1765" i="1"/>
  <c r="O1765" i="1" s="1"/>
  <c r="M1766" i="1"/>
  <c r="O1766" i="1" s="1"/>
  <c r="M1767" i="1"/>
  <c r="O1767" i="1" s="1"/>
  <c r="M1768" i="1"/>
  <c r="O1768" i="1" s="1"/>
  <c r="M1769" i="1"/>
  <c r="O1769" i="1" s="1"/>
  <c r="M1770" i="1"/>
  <c r="O1770" i="1" s="1"/>
  <c r="M1771" i="1"/>
  <c r="O1771" i="1" s="1"/>
  <c r="M1772" i="1"/>
  <c r="O1772" i="1" s="1"/>
  <c r="M1773" i="1"/>
  <c r="O1773" i="1" s="1"/>
  <c r="M1774" i="1"/>
  <c r="O1774" i="1" s="1"/>
  <c r="M1775" i="1"/>
  <c r="O1775" i="1" s="1"/>
  <c r="M1776" i="1"/>
  <c r="O1776" i="1" s="1"/>
  <c r="M1777" i="1"/>
  <c r="O1777" i="1" s="1"/>
  <c r="M1778" i="1"/>
  <c r="O1778" i="1" s="1"/>
  <c r="M1779" i="1"/>
  <c r="O1779" i="1" s="1"/>
  <c r="M1780" i="1"/>
  <c r="O1780" i="1" s="1"/>
  <c r="M1781" i="1"/>
  <c r="O1781" i="1" s="1"/>
  <c r="M1782" i="1"/>
  <c r="O1782" i="1" s="1"/>
  <c r="M1783" i="1"/>
  <c r="O1783" i="1" s="1"/>
  <c r="M1784" i="1"/>
  <c r="O1784" i="1" s="1"/>
  <c r="M1785" i="1"/>
  <c r="O1785" i="1" s="1"/>
  <c r="M1786" i="1"/>
  <c r="O1786" i="1" s="1"/>
  <c r="M1787" i="1"/>
  <c r="O1787" i="1" s="1"/>
  <c r="M1788" i="1"/>
  <c r="O1788" i="1" s="1"/>
  <c r="M1789" i="1"/>
  <c r="O1789" i="1" s="1"/>
  <c r="M1790" i="1"/>
  <c r="O1790" i="1" s="1"/>
  <c r="M1791" i="1"/>
  <c r="O1791" i="1" s="1"/>
  <c r="M1792" i="1"/>
  <c r="O1792" i="1" s="1"/>
  <c r="M1793" i="1"/>
  <c r="O1793" i="1" s="1"/>
  <c r="M1794" i="1"/>
  <c r="O1794" i="1" s="1"/>
  <c r="M1795" i="1"/>
  <c r="O1795" i="1" s="1"/>
  <c r="M1796" i="1"/>
  <c r="O1796" i="1" s="1"/>
  <c r="M1797" i="1"/>
  <c r="O1797" i="1" s="1"/>
  <c r="M1798" i="1"/>
  <c r="O1798" i="1" s="1"/>
  <c r="M1799" i="1"/>
  <c r="O1799" i="1" s="1"/>
  <c r="M1800" i="1"/>
  <c r="O1800" i="1" s="1"/>
  <c r="M1801" i="1"/>
  <c r="O1801" i="1" s="1"/>
  <c r="M1802" i="1"/>
  <c r="O1802" i="1" s="1"/>
  <c r="M1803" i="1"/>
  <c r="O1803" i="1" s="1"/>
  <c r="M1804" i="1"/>
  <c r="O1804" i="1" s="1"/>
  <c r="M1805" i="1"/>
  <c r="O1805" i="1" s="1"/>
  <c r="M1806" i="1"/>
  <c r="O1806" i="1" s="1"/>
  <c r="M1807" i="1"/>
  <c r="O1807" i="1" s="1"/>
  <c r="M1808" i="1"/>
  <c r="O1808" i="1" s="1"/>
  <c r="M1809" i="1"/>
  <c r="O1809" i="1" s="1"/>
  <c r="M1810" i="1"/>
  <c r="O1810" i="1" s="1"/>
  <c r="M1811" i="1"/>
  <c r="O1811" i="1" s="1"/>
  <c r="M1812" i="1"/>
  <c r="O1812" i="1" s="1"/>
  <c r="M1813" i="1"/>
  <c r="O1813" i="1" s="1"/>
  <c r="M1814" i="1"/>
  <c r="O1814" i="1" s="1"/>
  <c r="M1815" i="1"/>
  <c r="O1815" i="1" s="1"/>
  <c r="M1816" i="1"/>
  <c r="O1816" i="1" s="1"/>
  <c r="M1817" i="1"/>
  <c r="O1817" i="1" s="1"/>
  <c r="M1818" i="1"/>
  <c r="O1818" i="1" s="1"/>
  <c r="M1819" i="1"/>
  <c r="O1819" i="1" s="1"/>
  <c r="M1820" i="1"/>
  <c r="O1820" i="1" s="1"/>
  <c r="M1821" i="1"/>
  <c r="O1821" i="1" s="1"/>
  <c r="M1822" i="1"/>
  <c r="O1822" i="1" s="1"/>
  <c r="M1823" i="1"/>
  <c r="O1823" i="1" s="1"/>
  <c r="M1824" i="1"/>
  <c r="O1824" i="1" s="1"/>
  <c r="M1825" i="1"/>
  <c r="O1825" i="1" s="1"/>
  <c r="M1826" i="1"/>
  <c r="O1826" i="1" s="1"/>
  <c r="M1827" i="1"/>
  <c r="O1827" i="1" s="1"/>
  <c r="M1828" i="1"/>
  <c r="O1828" i="1" s="1"/>
  <c r="M1829" i="1"/>
  <c r="O1829" i="1" s="1"/>
  <c r="M1830" i="1"/>
  <c r="O1830" i="1" s="1"/>
  <c r="M1831" i="1"/>
  <c r="O1831" i="1" s="1"/>
  <c r="M1832" i="1"/>
  <c r="O1832" i="1" s="1"/>
  <c r="M1833" i="1"/>
  <c r="O1833" i="1" s="1"/>
  <c r="M1834" i="1"/>
  <c r="O1834" i="1" s="1"/>
  <c r="M1835" i="1"/>
  <c r="O1835" i="1" s="1"/>
  <c r="M1836" i="1"/>
  <c r="O1836" i="1" s="1"/>
  <c r="M1837" i="1"/>
  <c r="O1837" i="1" s="1"/>
  <c r="M1838" i="1"/>
  <c r="O1838" i="1" s="1"/>
  <c r="M1839" i="1"/>
  <c r="O1839" i="1" s="1"/>
  <c r="M1840" i="1"/>
  <c r="O1840" i="1" s="1"/>
  <c r="M1841" i="1"/>
  <c r="O1841" i="1" s="1"/>
  <c r="M1842" i="1"/>
  <c r="O1842" i="1" s="1"/>
  <c r="M1843" i="1"/>
  <c r="O1843" i="1" s="1"/>
  <c r="M1844" i="1"/>
  <c r="O1844" i="1" s="1"/>
  <c r="M1845" i="1"/>
  <c r="O1845" i="1" s="1"/>
  <c r="M1846" i="1"/>
  <c r="O1846" i="1" s="1"/>
  <c r="M1847" i="1"/>
  <c r="O1847" i="1" s="1"/>
  <c r="M1848" i="1"/>
  <c r="O1848" i="1" s="1"/>
  <c r="M1849" i="1"/>
  <c r="O1849" i="1" s="1"/>
  <c r="M1850" i="1"/>
  <c r="O1850" i="1" s="1"/>
  <c r="M1851" i="1"/>
  <c r="O1851" i="1" s="1"/>
  <c r="M1852" i="1"/>
  <c r="O1852" i="1" s="1"/>
  <c r="M1853" i="1"/>
  <c r="O1853" i="1" s="1"/>
  <c r="M1854" i="1"/>
  <c r="O1854" i="1" s="1"/>
  <c r="M1855" i="1"/>
  <c r="O1855" i="1" s="1"/>
  <c r="M1856" i="1"/>
  <c r="O1856" i="1" s="1"/>
  <c r="M1857" i="1"/>
  <c r="O1857" i="1" s="1"/>
  <c r="M1858" i="1"/>
  <c r="O1858" i="1" s="1"/>
  <c r="M1859" i="1"/>
  <c r="O1859" i="1" s="1"/>
  <c r="M1860" i="1"/>
  <c r="O1860" i="1" s="1"/>
  <c r="M1861" i="1"/>
  <c r="O1861" i="1" s="1"/>
  <c r="M1862" i="1"/>
  <c r="O1862" i="1" s="1"/>
  <c r="M1863" i="1"/>
  <c r="O1863" i="1" s="1"/>
  <c r="M1864" i="1"/>
  <c r="O1864" i="1" s="1"/>
  <c r="M1865" i="1"/>
  <c r="O1865" i="1" s="1"/>
  <c r="M1866" i="1"/>
  <c r="O1866" i="1" s="1"/>
  <c r="M1867" i="1"/>
  <c r="O1867" i="1" s="1"/>
  <c r="M1868" i="1"/>
  <c r="O1868" i="1" s="1"/>
  <c r="M1869" i="1"/>
  <c r="O1869" i="1" s="1"/>
  <c r="M1870" i="1"/>
  <c r="O1870" i="1" s="1"/>
  <c r="M1871" i="1"/>
  <c r="O1871" i="1" s="1"/>
  <c r="M1872" i="1"/>
  <c r="O1872" i="1" s="1"/>
  <c r="M1873" i="1"/>
  <c r="O1873" i="1" s="1"/>
  <c r="M1874" i="1"/>
  <c r="O1874" i="1" s="1"/>
  <c r="M1875" i="1"/>
  <c r="O1875" i="1" s="1"/>
  <c r="M1876" i="1"/>
  <c r="O1876" i="1" s="1"/>
  <c r="M1877" i="1"/>
  <c r="O1877" i="1" s="1"/>
  <c r="M1878" i="1"/>
  <c r="O1878" i="1" s="1"/>
  <c r="M1879" i="1"/>
  <c r="O1879" i="1" s="1"/>
  <c r="M1880" i="1"/>
  <c r="O1880" i="1" s="1"/>
  <c r="M1881" i="1"/>
  <c r="O1881" i="1" s="1"/>
  <c r="M1882" i="1"/>
  <c r="O1882" i="1" s="1"/>
  <c r="M1883" i="1"/>
  <c r="O1883" i="1" s="1"/>
  <c r="M1884" i="1"/>
  <c r="O1884" i="1" s="1"/>
  <c r="M1885" i="1"/>
  <c r="O1885" i="1" s="1"/>
  <c r="M1886" i="1"/>
  <c r="O1886" i="1" s="1"/>
  <c r="M1887" i="1"/>
  <c r="O1887" i="1" s="1"/>
  <c r="M1888" i="1"/>
  <c r="O1888" i="1" s="1"/>
  <c r="M1889" i="1"/>
  <c r="O1889" i="1" s="1"/>
  <c r="M1890" i="1"/>
  <c r="O1890" i="1" s="1"/>
  <c r="M1891" i="1"/>
  <c r="O1891" i="1" s="1"/>
  <c r="M1892" i="1"/>
  <c r="O1892" i="1" s="1"/>
  <c r="M1893" i="1"/>
  <c r="O1893" i="1" s="1"/>
  <c r="M1894" i="1"/>
  <c r="O1894" i="1" s="1"/>
  <c r="M1895" i="1"/>
  <c r="O1895" i="1" s="1"/>
  <c r="M1896" i="1"/>
  <c r="O1896" i="1" s="1"/>
  <c r="M1897" i="1"/>
  <c r="O1897" i="1" s="1"/>
  <c r="M1898" i="1"/>
  <c r="O1898" i="1" s="1"/>
  <c r="M1899" i="1"/>
  <c r="O1899" i="1" s="1"/>
  <c r="M1900" i="1"/>
  <c r="O1900" i="1" s="1"/>
  <c r="M1901" i="1"/>
  <c r="O1901" i="1" s="1"/>
  <c r="M1902" i="1"/>
  <c r="O1902" i="1" s="1"/>
  <c r="M1903" i="1"/>
  <c r="O1903" i="1" s="1"/>
  <c r="M1904" i="1"/>
  <c r="O1904" i="1" s="1"/>
  <c r="M1905" i="1"/>
  <c r="O1905" i="1" s="1"/>
  <c r="M1906" i="1"/>
  <c r="O1906" i="1" s="1"/>
  <c r="M1907" i="1"/>
  <c r="O1907" i="1" s="1"/>
  <c r="M1908" i="1"/>
  <c r="O1908" i="1" s="1"/>
  <c r="M1909" i="1"/>
  <c r="O1909" i="1" s="1"/>
  <c r="M1910" i="1"/>
  <c r="O1910" i="1" s="1"/>
  <c r="M1911" i="1"/>
  <c r="O1911" i="1" s="1"/>
  <c r="M1912" i="1"/>
  <c r="O1912" i="1" s="1"/>
  <c r="M1913" i="1"/>
  <c r="O1913" i="1" s="1"/>
  <c r="M1914" i="1"/>
  <c r="O1914" i="1" s="1"/>
  <c r="M1915" i="1"/>
  <c r="O1915" i="1" s="1"/>
  <c r="M1916" i="1"/>
  <c r="O1916" i="1" s="1"/>
  <c r="M1917" i="1"/>
  <c r="O1917" i="1" s="1"/>
  <c r="M1918" i="1"/>
  <c r="O1918" i="1" s="1"/>
  <c r="M1919" i="1"/>
  <c r="O1919" i="1" s="1"/>
  <c r="M1920" i="1"/>
  <c r="O1920" i="1" s="1"/>
  <c r="M1921" i="1"/>
  <c r="O1921" i="1" s="1"/>
  <c r="M1922" i="1"/>
  <c r="O1922" i="1" s="1"/>
  <c r="M1923" i="1"/>
  <c r="O1923" i="1" s="1"/>
  <c r="M1924" i="1"/>
  <c r="O1924" i="1" s="1"/>
  <c r="M1925" i="1"/>
  <c r="O1925" i="1" s="1"/>
  <c r="M1926" i="1"/>
  <c r="O1926" i="1" s="1"/>
  <c r="M1927" i="1"/>
  <c r="O1927" i="1" s="1"/>
  <c r="M1928" i="1"/>
  <c r="O1928" i="1" s="1"/>
  <c r="M1929" i="1"/>
  <c r="O1929" i="1" s="1"/>
  <c r="M1930" i="1"/>
  <c r="O1930" i="1" s="1"/>
  <c r="M1931" i="1"/>
  <c r="O1931" i="1" s="1"/>
  <c r="M1932" i="1"/>
  <c r="O1932" i="1" s="1"/>
  <c r="M1933" i="1"/>
  <c r="O1933" i="1" s="1"/>
  <c r="M1934" i="1"/>
  <c r="O1934" i="1" s="1"/>
  <c r="M1935" i="1"/>
  <c r="O1935" i="1" s="1"/>
  <c r="M1936" i="1"/>
  <c r="O1936" i="1" s="1"/>
  <c r="M1937" i="1"/>
  <c r="O1937" i="1" s="1"/>
  <c r="M1938" i="1"/>
  <c r="O1938" i="1" s="1"/>
  <c r="M1939" i="1"/>
  <c r="O1939" i="1" s="1"/>
  <c r="M1940" i="1"/>
  <c r="O1940" i="1" s="1"/>
  <c r="M1941" i="1"/>
  <c r="O1941" i="1" s="1"/>
  <c r="M1942" i="1"/>
  <c r="O1942" i="1" s="1"/>
  <c r="M1943" i="1"/>
  <c r="O1943" i="1" s="1"/>
  <c r="M1944" i="1"/>
  <c r="O1944" i="1" s="1"/>
  <c r="M1945" i="1"/>
  <c r="O1945" i="1" s="1"/>
  <c r="M1946" i="1"/>
  <c r="O1946" i="1" s="1"/>
  <c r="M1947" i="1"/>
  <c r="O1947" i="1" s="1"/>
  <c r="M1948" i="1"/>
  <c r="O1948" i="1" s="1"/>
  <c r="M1949" i="1"/>
  <c r="O1949" i="1" s="1"/>
  <c r="M1950" i="1"/>
  <c r="O1950" i="1" s="1"/>
  <c r="M1951" i="1"/>
  <c r="O1951" i="1" s="1"/>
  <c r="M1952" i="1"/>
  <c r="O1952" i="1" s="1"/>
  <c r="M1953" i="1"/>
  <c r="O1953" i="1" s="1"/>
  <c r="M1954" i="1"/>
  <c r="O1954" i="1" s="1"/>
  <c r="M1955" i="1"/>
  <c r="O1955" i="1" s="1"/>
  <c r="M1956" i="1"/>
  <c r="O1956" i="1" s="1"/>
  <c r="M1957" i="1"/>
  <c r="O1957" i="1" s="1"/>
  <c r="M1958" i="1"/>
  <c r="O1958" i="1" s="1"/>
  <c r="M1959" i="1"/>
  <c r="O1959" i="1" s="1"/>
  <c r="M1960" i="1"/>
  <c r="O1960" i="1" s="1"/>
  <c r="M1961" i="1"/>
  <c r="O1961" i="1" s="1"/>
  <c r="M1962" i="1"/>
  <c r="O1962" i="1" s="1"/>
  <c r="M1963" i="1"/>
  <c r="O1963" i="1" s="1"/>
  <c r="M1964" i="1"/>
  <c r="O1964" i="1" s="1"/>
  <c r="M1965" i="1"/>
  <c r="O1965" i="1" s="1"/>
  <c r="M1966" i="1"/>
  <c r="O1966" i="1" s="1"/>
  <c r="M1967" i="1"/>
  <c r="O1967" i="1" s="1"/>
  <c r="M1968" i="1"/>
  <c r="O1968" i="1" s="1"/>
  <c r="M1969" i="1"/>
  <c r="O1969" i="1" s="1"/>
  <c r="M1970" i="1"/>
  <c r="O1970" i="1" s="1"/>
  <c r="M1971" i="1"/>
  <c r="O1971" i="1" s="1"/>
  <c r="M1972" i="1"/>
  <c r="O1972" i="1" s="1"/>
  <c r="M1973" i="1"/>
  <c r="O1973" i="1" s="1"/>
  <c r="M1974" i="1"/>
  <c r="O1974" i="1" s="1"/>
  <c r="M1975" i="1"/>
  <c r="O1975" i="1" s="1"/>
  <c r="M1976" i="1"/>
  <c r="O1976" i="1" s="1"/>
  <c r="M1977" i="1"/>
  <c r="O1977" i="1" s="1"/>
  <c r="M1978" i="1"/>
  <c r="O1978" i="1" s="1"/>
  <c r="M1979" i="1"/>
  <c r="O1979" i="1" s="1"/>
  <c r="M1980" i="1"/>
  <c r="O1980" i="1" s="1"/>
  <c r="M1981" i="1"/>
  <c r="O1981" i="1" s="1"/>
  <c r="M1982" i="1"/>
  <c r="O1982" i="1" s="1"/>
  <c r="M1983" i="1"/>
  <c r="O1983" i="1" s="1"/>
  <c r="M1984" i="1"/>
  <c r="O1984" i="1" s="1"/>
  <c r="M1985" i="1"/>
  <c r="O1985" i="1" s="1"/>
  <c r="M1986" i="1"/>
  <c r="O1986" i="1" s="1"/>
  <c r="M1987" i="1"/>
  <c r="O1987" i="1" s="1"/>
  <c r="M1988" i="1"/>
  <c r="O1988" i="1" s="1"/>
  <c r="M1989" i="1"/>
  <c r="O1989" i="1" s="1"/>
  <c r="M1990" i="1"/>
  <c r="O1990" i="1" s="1"/>
  <c r="M1991" i="1"/>
  <c r="O1991" i="1" s="1"/>
  <c r="M1992" i="1"/>
  <c r="O1992" i="1" s="1"/>
  <c r="M1993" i="1"/>
  <c r="O1993" i="1" s="1"/>
  <c r="M1994" i="1"/>
  <c r="O1994" i="1" s="1"/>
  <c r="M1995" i="1"/>
  <c r="O1995" i="1" s="1"/>
  <c r="M1996" i="1"/>
  <c r="O1996" i="1" s="1"/>
  <c r="M1997" i="1"/>
  <c r="O1997" i="1" s="1"/>
  <c r="M1998" i="1"/>
  <c r="O1998" i="1" s="1"/>
  <c r="M1999" i="1"/>
  <c r="O1999" i="1" s="1"/>
  <c r="M2000" i="1"/>
  <c r="O2000" i="1" s="1"/>
  <c r="M2001" i="1"/>
  <c r="O2001" i="1" s="1"/>
  <c r="M2002" i="1"/>
  <c r="O2002" i="1" s="1"/>
  <c r="AB7" i="1" l="1"/>
  <c r="AC7" i="1" s="1" a="1"/>
  <c r="AC7" i="1" s="1"/>
  <c r="AB6" i="1"/>
  <c r="AC6" i="1" s="1" a="1"/>
  <c r="AC6" i="1" s="1"/>
  <c r="AB5" i="1"/>
  <c r="AC5" i="1" s="1" a="1"/>
  <c r="AC5" i="1" s="1"/>
  <c r="AB4" i="1"/>
  <c r="AC4" i="1" s="1" a="1"/>
  <c r="AC4" i="1" s="1"/>
  <c r="O3" i="1"/>
  <c r="AB3" i="1" s="1"/>
  <c r="AC3" i="1" s="1" a="1"/>
  <c r="AC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<sst xmlns="http://schemas.openxmlformats.org/spreadsheetml/2006/main" count="17913" uniqueCount="2429">
  <si>
    <t>Order ID</t>
  </si>
  <si>
    <t>Order Date</t>
  </si>
  <si>
    <t>Customer Name</t>
  </si>
  <si>
    <t>City</t>
  </si>
  <si>
    <t>Product Name</t>
  </si>
  <si>
    <t>Unit Price</t>
  </si>
  <si>
    <t>Quantity</t>
  </si>
  <si>
    <t>Discount (%)</t>
  </si>
  <si>
    <t>Subtotal</t>
  </si>
  <si>
    <t>Discount Amount</t>
  </si>
  <si>
    <t>Total Sales</t>
  </si>
  <si>
    <t>Shipping Fee</t>
  </si>
  <si>
    <t>Grand Total</t>
  </si>
  <si>
    <t>Payment Method</t>
  </si>
  <si>
    <t>Order Status</t>
  </si>
  <si>
    <t>Platform</t>
  </si>
  <si>
    <t>Customer Rating</t>
  </si>
  <si>
    <t>Jenis Kelamin</t>
  </si>
  <si>
    <t>ORD01855</t>
  </si>
  <si>
    <t>Zahra Kurniawan</t>
  </si>
  <si>
    <t>Wamena</t>
  </si>
  <si>
    <t>Daging Ayam - Brand C</t>
  </si>
  <si>
    <t>Kartu Kredit</t>
  </si>
  <si>
    <t>Toko Hijau</t>
  </si>
  <si>
    <t>Perempuan</t>
  </si>
  <si>
    <t>ORD01741</t>
  </si>
  <si>
    <t>Yani Pradipta</t>
  </si>
  <si>
    <t>Palembang</t>
  </si>
  <si>
    <t>Garam - Brand B</t>
  </si>
  <si>
    <t>Transfer Bank</t>
  </si>
  <si>
    <t>Toko Ungu</t>
  </si>
  <si>
    <t>ORD00016</t>
  </si>
  <si>
    <t>Indra Syahputra</t>
  </si>
  <si>
    <t>Semarang</t>
  </si>
  <si>
    <t>Minyak Goreng - Brand A</t>
  </si>
  <si>
    <t>COD</t>
  </si>
  <si>
    <t>Toko Orange</t>
  </si>
  <si>
    <t>Laki-laki</t>
  </si>
  <si>
    <t>Telur Ayam - Brand C</t>
  </si>
  <si>
    <t>ORD00411</t>
  </si>
  <si>
    <t>Yani Nugroho</t>
  </si>
  <si>
    <t>Garam - Brand A</t>
  </si>
  <si>
    <t>ORD00326</t>
  </si>
  <si>
    <t>Lestari Utami</t>
  </si>
  <si>
    <t>Manado</t>
  </si>
  <si>
    <t>Daging Ayam - Brand B</t>
  </si>
  <si>
    <t>TokTok</t>
  </si>
  <si>
    <t>ORD01208</t>
  </si>
  <si>
    <t>Erna Santoso</t>
  </si>
  <si>
    <t>Samarinda</t>
  </si>
  <si>
    <t>Tepung Terigu - Brand C</t>
  </si>
  <si>
    <t>ORD01664</t>
  </si>
  <si>
    <t>Erna Rahmawati</t>
  </si>
  <si>
    <t>Banda Aceh</t>
  </si>
  <si>
    <t>Beras - Brand C</t>
  </si>
  <si>
    <t>ORD00644</t>
  </si>
  <si>
    <t>Erna Setiawan</t>
  </si>
  <si>
    <t>Denpasar</t>
  </si>
  <si>
    <t>Gula Pasir - Brand A</t>
  </si>
  <si>
    <t>ORD00628</t>
  </si>
  <si>
    <t>Bella Santoso</t>
  </si>
  <si>
    <t>Tanjung Selor</t>
  </si>
  <si>
    <t>Susu Bubuk - Brand B</t>
  </si>
  <si>
    <t>e-Wallet</t>
  </si>
  <si>
    <t>ORD00049</t>
  </si>
  <si>
    <t>Joko Halim</t>
  </si>
  <si>
    <t>Kendari</t>
  </si>
  <si>
    <t>Beras - Brand B</t>
  </si>
  <si>
    <t>ORD00634</t>
  </si>
  <si>
    <t>Fajar Budiman</t>
  </si>
  <si>
    <t>Nabire</t>
  </si>
  <si>
    <t>Bawang Merah - Brand C</t>
  </si>
  <si>
    <t>ORD00954</t>
  </si>
  <si>
    <t>Vina Ramadhani</t>
  </si>
  <si>
    <t>Jambi</t>
  </si>
  <si>
    <t>Susu Bubuk - Brand C</t>
  </si>
  <si>
    <t>ORD00844</t>
  </si>
  <si>
    <t>Lestari Setiawan</t>
  </si>
  <si>
    <t>ORD00946</t>
  </si>
  <si>
    <t>Aulia Iskandar</t>
  </si>
  <si>
    <t>Surabaya</t>
  </si>
  <si>
    <t>Minyak Goreng - Brand B</t>
  </si>
  <si>
    <t>Toko Biru</t>
  </si>
  <si>
    <t>ORD00051</t>
  </si>
  <si>
    <t>Made Setiawan</t>
  </si>
  <si>
    <t>Daging Ayam - Brand A</t>
  </si>
  <si>
    <t>ORD00559</t>
  </si>
  <si>
    <t>Qori Fauziah</t>
  </si>
  <si>
    <t>Beras - Brand A</t>
  </si>
  <si>
    <t>ORD01530</t>
  </si>
  <si>
    <t>ORD01160</t>
  </si>
  <si>
    <t>Yani Saputra</t>
  </si>
  <si>
    <t>Jayapura</t>
  </si>
  <si>
    <t>Telur Ayam - Brand B</t>
  </si>
  <si>
    <t>ORD01060</t>
  </si>
  <si>
    <t>Qori Halim</t>
  </si>
  <si>
    <t>Pekanbaru</t>
  </si>
  <si>
    <t>ORD00181</t>
  </si>
  <si>
    <t>Gita Hidayat</t>
  </si>
  <si>
    <t>ORD01730</t>
  </si>
  <si>
    <t>Bella Rahmawati</t>
  </si>
  <si>
    <t>ORD01668</t>
  </si>
  <si>
    <t>Bella Ramadhani</t>
  </si>
  <si>
    <t>Pontianak</t>
  </si>
  <si>
    <t>Bawang Merah - Brand A</t>
  </si>
  <si>
    <t>ORD01529</t>
  </si>
  <si>
    <t>Hana Budiman</t>
  </si>
  <si>
    <t>Jakarta</t>
  </si>
  <si>
    <t>ORD01671</t>
  </si>
  <si>
    <t>Vina Budiman</t>
  </si>
  <si>
    <t>Garam - Brand C</t>
  </si>
  <si>
    <t>ORD00239</t>
  </si>
  <si>
    <t>Vina Puspita</t>
  </si>
  <si>
    <t>Manokwari</t>
  </si>
  <si>
    <t>ORD00403</t>
  </si>
  <si>
    <t>Zahra Rahmawati</t>
  </si>
  <si>
    <t>Bengkulu</t>
  </si>
  <si>
    <t>ORD00933</t>
  </si>
  <si>
    <t>Lestari Wijaya</t>
  </si>
  <si>
    <t>Bandung</t>
  </si>
  <si>
    <t>ORD01507</t>
  </si>
  <si>
    <t>Vina Kurniawan</t>
  </si>
  <si>
    <t>Yogyakarta</t>
  </si>
  <si>
    <t>Telur Ayam - Brand A</t>
  </si>
  <si>
    <t>ORD01414</t>
  </si>
  <si>
    <t>Eka Ananda</t>
  </si>
  <si>
    <t>Makassar</t>
  </si>
  <si>
    <t>ORD00811</t>
  </si>
  <si>
    <t>Nanda Iskandar</t>
  </si>
  <si>
    <t>ORD01550</t>
  </si>
  <si>
    <t>Dina Budiman</t>
  </si>
  <si>
    <t>Merauke</t>
  </si>
  <si>
    <t>ORD00179</t>
  </si>
  <si>
    <t>Sari Hidayat</t>
  </si>
  <si>
    <t>ORD00189</t>
  </si>
  <si>
    <t>Fitri Ananda</t>
  </si>
  <si>
    <t>Tepung Terigu - Brand B</t>
  </si>
  <si>
    <t>ORD00390</t>
  </si>
  <si>
    <t>Gula Pasir - Brand B</t>
  </si>
  <si>
    <t>ORD01128</t>
  </si>
  <si>
    <t>Putri Wijaya</t>
  </si>
  <si>
    <t>ORD01559</t>
  </si>
  <si>
    <t>Citra Iskandar</t>
  </si>
  <si>
    <t>Palangka Raya</t>
  </si>
  <si>
    <t>Gula Pasir - Brand C</t>
  </si>
  <si>
    <t>ORD01454</t>
  </si>
  <si>
    <t>Hendra Ramadhani</t>
  </si>
  <si>
    <t>ORD00452</t>
  </si>
  <si>
    <t>Aulia Rahmawati</t>
  </si>
  <si>
    <t>ORD00543</t>
  </si>
  <si>
    <t>Yoga Utami</t>
  </si>
  <si>
    <t>Banjarbaru</t>
  </si>
  <si>
    <t>ORD01693</t>
  </si>
  <si>
    <t>Andi Setiawan</t>
  </si>
  <si>
    <t>ORD00633</t>
  </si>
  <si>
    <t>Qori Syahputra</t>
  </si>
  <si>
    <t>ORD00695</t>
  </si>
  <si>
    <t>Dina Halim</t>
  </si>
  <si>
    <t>ORD00857</t>
  </si>
  <si>
    <t>Aulia Fauziah</t>
  </si>
  <si>
    <t>Padang</t>
  </si>
  <si>
    <t>ORD00498</t>
  </si>
  <si>
    <t>Citra Rahmawati</t>
  </si>
  <si>
    <t>Sofifi</t>
  </si>
  <si>
    <t>ORD01047</t>
  </si>
  <si>
    <t>Gita Ramadhani</t>
  </si>
  <si>
    <t>ORD00218</t>
  </si>
  <si>
    <t>Eka Halim</t>
  </si>
  <si>
    <t>ORD01560</t>
  </si>
  <si>
    <t>Dewi Santoso</t>
  </si>
  <si>
    <t>Mamuju</t>
  </si>
  <si>
    <t>ORD00369</t>
  </si>
  <si>
    <t>Eka Puspita</t>
  </si>
  <si>
    <t>Ambon</t>
  </si>
  <si>
    <t>Tepung Terigu - Brand A</t>
  </si>
  <si>
    <t>ORD01190</t>
  </si>
  <si>
    <t>Dina Syahputra</t>
  </si>
  <si>
    <t>Mataram</t>
  </si>
  <si>
    <t>ORD00958</t>
  </si>
  <si>
    <t>Bella Iskandar</t>
  </si>
  <si>
    <t>ORD00689</t>
  </si>
  <si>
    <t>Ani Wijaya</t>
  </si>
  <si>
    <t>Tanjungpinang</t>
  </si>
  <si>
    <t>ORD01145</t>
  </si>
  <si>
    <t>Lestari Budiman</t>
  </si>
  <si>
    <t>ORD01796</t>
  </si>
  <si>
    <t>Susu Bubuk - Brand A</t>
  </si>
  <si>
    <t>ORD01763</t>
  </si>
  <si>
    <t>Fitri Wijaya</t>
  </si>
  <si>
    <t>Serang</t>
  </si>
  <si>
    <t>Bawang Merah - Brand B</t>
  </si>
  <si>
    <t>ORD00562</t>
  </si>
  <si>
    <t>Sari Puspita</t>
  </si>
  <si>
    <t>ORD01716</t>
  </si>
  <si>
    <t>Hana Halim</t>
  </si>
  <si>
    <t>Sorong</t>
  </si>
  <si>
    <t>ORD01646</t>
  </si>
  <si>
    <t>Dimas Utami</t>
  </si>
  <si>
    <t>ORD01197</t>
  </si>
  <si>
    <t>Fitri Maulana</t>
  </si>
  <si>
    <t>ORD00619</t>
  </si>
  <si>
    <t>Ani Fauziah</t>
  </si>
  <si>
    <t>ORD00465</t>
  </si>
  <si>
    <t>Vina Maulana</t>
  </si>
  <si>
    <t>ORD01356</t>
  </si>
  <si>
    <t>Bella Maulana</t>
  </si>
  <si>
    <t>ORD01042</t>
  </si>
  <si>
    <t>Vina Syahputra</t>
  </si>
  <si>
    <t>ORD00013</t>
  </si>
  <si>
    <t>Arif Rahmawati</t>
  </si>
  <si>
    <t>ORD00600</t>
  </si>
  <si>
    <t>Kartika Nugroho</t>
  </si>
  <si>
    <t>ORD00433</t>
  </si>
  <si>
    <t>ORD01113</t>
  </si>
  <si>
    <t>Citra Kurniawan</t>
  </si>
  <si>
    <t>ORD00701</t>
  </si>
  <si>
    <t>Lestari Kusuma</t>
  </si>
  <si>
    <t>ORD01151</t>
  </si>
  <si>
    <t>Dina Setiawan</t>
  </si>
  <si>
    <t>ORD00686</t>
  </si>
  <si>
    <t>Lestari Ramadhani</t>
  </si>
  <si>
    <t>ORD00862</t>
  </si>
  <si>
    <t>Eka Hidayat</t>
  </si>
  <si>
    <t>ORD00193</t>
  </si>
  <si>
    <t>ORD01059</t>
  </si>
  <si>
    <t>Tono Saputra</t>
  </si>
  <si>
    <t>ORD01576</t>
  </si>
  <si>
    <t>Putri Kurniawan</t>
  </si>
  <si>
    <t>ORD00503</t>
  </si>
  <si>
    <t>Dina Kurniawan</t>
  </si>
  <si>
    <t>ORD01395</t>
  </si>
  <si>
    <t>Putri Puspita</t>
  </si>
  <si>
    <t>ORD00022</t>
  </si>
  <si>
    <t>Arif Santoso</t>
  </si>
  <si>
    <t>ORD00521</t>
  </si>
  <si>
    <t>Tono Fauziah</t>
  </si>
  <si>
    <t>ORD01377</t>
  </si>
  <si>
    <t>Aulia Santoso</t>
  </si>
  <si>
    <t>Bandar Lampung</t>
  </si>
  <si>
    <t>ORD01726</t>
  </si>
  <si>
    <t>Arif Iskandar</t>
  </si>
  <si>
    <t>ORD01283</t>
  </si>
  <si>
    <t>ORD00828</t>
  </si>
  <si>
    <t>Budi Wijaya</t>
  </si>
  <si>
    <t>Gorontalo</t>
  </si>
  <si>
    <t>ORD01079</t>
  </si>
  <si>
    <t>Erna Hidayat</t>
  </si>
  <si>
    <t>ORD01481</t>
  </si>
  <si>
    <t>ORD01084</t>
  </si>
  <si>
    <t>Dewi Fauziah</t>
  </si>
  <si>
    <t>Minyak Goreng - Brand C</t>
  </si>
  <si>
    <t>ORD00104</t>
  </si>
  <si>
    <t>Sari Syahputra</t>
  </si>
  <si>
    <t>ORD01233</t>
  </si>
  <si>
    <t>Putri Ananda</t>
  </si>
  <si>
    <t>ORD01169</t>
  </si>
  <si>
    <t>Clara Kusuma</t>
  </si>
  <si>
    <t>ORD00624</t>
  </si>
  <si>
    <t>Clara Budiman</t>
  </si>
  <si>
    <t>ORD00062</t>
  </si>
  <si>
    <t>ORD00928</t>
  </si>
  <si>
    <t>Clara Utami</t>
  </si>
  <si>
    <t>Pangkalpinang</t>
  </si>
  <si>
    <t>ORD01420</t>
  </si>
  <si>
    <t>ORD00885</t>
  </si>
  <si>
    <t>Citra Budiman</t>
  </si>
  <si>
    <t>ORD00197</t>
  </si>
  <si>
    <t>Vina Fauziah</t>
  </si>
  <si>
    <t>ORD01781</t>
  </si>
  <si>
    <t>Galih Iskandar</t>
  </si>
  <si>
    <t>ORD00741</t>
  </si>
  <si>
    <t>Bella Ananda</t>
  </si>
  <si>
    <t>ORD01544</t>
  </si>
  <si>
    <t>Hana Wijaya</t>
  </si>
  <si>
    <t>ORD00800</t>
  </si>
  <si>
    <t>Kartika Ananda</t>
  </si>
  <si>
    <t>ORD00237</t>
  </si>
  <si>
    <t>Clara Ananda</t>
  </si>
  <si>
    <t>ORD00632</t>
  </si>
  <si>
    <t>ORD01455</t>
  </si>
  <si>
    <t>ORD00198</t>
  </si>
  <si>
    <t>Zahra Setiawan</t>
  </si>
  <si>
    <t>ORD01556</t>
  </si>
  <si>
    <t>Dewi Puspita</t>
  </si>
  <si>
    <t>ORD01643</t>
  </si>
  <si>
    <t>Budi Hidayat</t>
  </si>
  <si>
    <t>ORD00422</t>
  </si>
  <si>
    <t>Gita Utami</t>
  </si>
  <si>
    <t>ORD00200</t>
  </si>
  <si>
    <t>Zahra Maulana</t>
  </si>
  <si>
    <t>ORD00029</t>
  </si>
  <si>
    <t>Galih Halim</t>
  </si>
  <si>
    <t>ORD00612</t>
  </si>
  <si>
    <t>ORD01558</t>
  </si>
  <si>
    <t>ORD00874</t>
  </si>
  <si>
    <t>Bella Hidayat</t>
  </si>
  <si>
    <t>Medan</t>
  </si>
  <si>
    <t>ORD01816</t>
  </si>
  <si>
    <t>ORD01610</t>
  </si>
  <si>
    <t>Ani Ramadhani</t>
  </si>
  <si>
    <t>ORD01163</t>
  </si>
  <si>
    <t>ORD00114</t>
  </si>
  <si>
    <t>Vina Halim</t>
  </si>
  <si>
    <t>ORD00679</t>
  </si>
  <si>
    <t>ORD00186</t>
  </si>
  <si>
    <t>Dewi Ananda</t>
  </si>
  <si>
    <t>ORD00699</t>
  </si>
  <si>
    <t>Ani Maulana</t>
  </si>
  <si>
    <t>ORD01751</t>
  </si>
  <si>
    <t>Dimas Budiman</t>
  </si>
  <si>
    <t>ORD01833</t>
  </si>
  <si>
    <t>Citra Maulana</t>
  </si>
  <si>
    <t>ORD00378</t>
  </si>
  <si>
    <t>ORD00215</t>
  </si>
  <si>
    <t>Dewi Hidayat</t>
  </si>
  <si>
    <t>ORD00336</t>
  </si>
  <si>
    <t>Vina Saputra</t>
  </si>
  <si>
    <t>ORD01674</t>
  </si>
  <si>
    <t>Rizky Budiman</t>
  </si>
  <si>
    <t>ORD00533</t>
  </si>
  <si>
    <t>ORD00128</t>
  </si>
  <si>
    <t>Fitri Ramadhani</t>
  </si>
  <si>
    <t>ORD00956</t>
  </si>
  <si>
    <t>Dewi Pradipta</t>
  </si>
  <si>
    <t>ORD01063</t>
  </si>
  <si>
    <t>ORD01770</t>
  </si>
  <si>
    <t>Rizky Ramadhani</t>
  </si>
  <si>
    <t>ORD00455</t>
  </si>
  <si>
    <t>ORD01052</t>
  </si>
  <si>
    <t>ORD00155</t>
  </si>
  <si>
    <t>ORD00716</t>
  </si>
  <si>
    <t>Hendra Wijaya</t>
  </si>
  <si>
    <t>ORD01014</t>
  </si>
  <si>
    <t>Wahyu Pradipta</t>
  </si>
  <si>
    <t>ORD01308</t>
  </si>
  <si>
    <t>Bayu Fauziah</t>
  </si>
  <si>
    <t>ORD00585</t>
  </si>
  <si>
    <t>Gita Syahputra</t>
  </si>
  <si>
    <t>ORD01638</t>
  </si>
  <si>
    <t>ORD01844</t>
  </si>
  <si>
    <t>Joko Ananda</t>
  </si>
  <si>
    <t>ORD00023</t>
  </si>
  <si>
    <t>Nanda Fauziah</t>
  </si>
  <si>
    <t>ORD01723</t>
  </si>
  <si>
    <t>Gita Wijaya</t>
  </si>
  <si>
    <t>ORD00286</t>
  </si>
  <si>
    <t>Fitri Rahmawati</t>
  </si>
  <si>
    <t>ORD00927</t>
  </si>
  <si>
    <t>ORD00754</t>
  </si>
  <si>
    <t>ORD00014</t>
  </si>
  <si>
    <t>Nanda Setiawan</t>
  </si>
  <si>
    <t>ORD00746</t>
  </si>
  <si>
    <t>ORD00229</t>
  </si>
  <si>
    <t>Fitri Iskandar</t>
  </si>
  <si>
    <t>ORD01201</t>
  </si>
  <si>
    <t>Gita Saputra</t>
  </si>
  <si>
    <t>ORD00156</t>
  </si>
  <si>
    <t>ORD00640</t>
  </si>
  <si>
    <t>ORD01106</t>
  </si>
  <si>
    <t>Vina Hidayat</t>
  </si>
  <si>
    <t>ORD01630</t>
  </si>
  <si>
    <t>Bayu Maulana</t>
  </si>
  <si>
    <t>ORD01485</t>
  </si>
  <si>
    <t>Ani Ananda</t>
  </si>
  <si>
    <t>ORD00868</t>
  </si>
  <si>
    <t>Eka Wijaya</t>
  </si>
  <si>
    <t>ORD01149</t>
  </si>
  <si>
    <t>ORD01707</t>
  </si>
  <si>
    <t>Oka Santoso</t>
  </si>
  <si>
    <t>ORD01697</t>
  </si>
  <si>
    <t>ORD00483</t>
  </si>
  <si>
    <t>Bella Budiman</t>
  </si>
  <si>
    <t>ORD00272</t>
  </si>
  <si>
    <t>ORD01104</t>
  </si>
  <si>
    <t>Andi Wijaya</t>
  </si>
  <si>
    <t>Kupang</t>
  </si>
  <si>
    <t>ORD00522</t>
  </si>
  <si>
    <t>Dewi Halim</t>
  </si>
  <si>
    <t>ORD00807</t>
  </si>
  <si>
    <t>Qori Saputra</t>
  </si>
  <si>
    <t>ORD00269</t>
  </si>
  <si>
    <t>Yani Santoso</t>
  </si>
  <si>
    <t>ORD00733</t>
  </si>
  <si>
    <t>Aulia Utami</t>
  </si>
  <si>
    <t>ORD00544</t>
  </si>
  <si>
    <t>Dewi Budiman</t>
  </si>
  <si>
    <t>ORD00910</t>
  </si>
  <si>
    <t>Eko Pradipta</t>
  </si>
  <si>
    <t>ORD00305</t>
  </si>
  <si>
    <t>Dina Kusuma</t>
  </si>
  <si>
    <t>ORD01334</t>
  </si>
  <si>
    <t>Fitri Puspita</t>
  </si>
  <si>
    <t>ORD00383</t>
  </si>
  <si>
    <t>ORD01601</t>
  </si>
  <si>
    <t>Bella Saputra</t>
  </si>
  <si>
    <t>ORD01477</t>
  </si>
  <si>
    <t>Made Fauziah</t>
  </si>
  <si>
    <t>ORD01232</t>
  </si>
  <si>
    <t>Eka Saputra</t>
  </si>
  <si>
    <t>ORD01409</t>
  </si>
  <si>
    <t>Yani Puspita</t>
  </si>
  <si>
    <t>ORD01435</t>
  </si>
  <si>
    <t>Ani Halim</t>
  </si>
  <si>
    <t>ORD01804</t>
  </si>
  <si>
    <t>Dimas Maulana</t>
  </si>
  <si>
    <t>ORD01156</t>
  </si>
  <si>
    <t>ORD00747</t>
  </si>
  <si>
    <t>ORD00278</t>
  </si>
  <si>
    <t>Qori Setiawan</t>
  </si>
  <si>
    <t>ORD00111</t>
  </si>
  <si>
    <t>Sari Halim</t>
  </si>
  <si>
    <t>ORD00987</t>
  </si>
  <si>
    <t>Zahra Santoso</t>
  </si>
  <si>
    <t>ORD00131</t>
  </si>
  <si>
    <t>ORD00995</t>
  </si>
  <si>
    <t>ORD00230</t>
  </si>
  <si>
    <t>Citra Halim</t>
  </si>
  <si>
    <t>ORD00307</t>
  </si>
  <si>
    <t>ORD01202</t>
  </si>
  <si>
    <t>Iwan Maulana</t>
  </si>
  <si>
    <t>ORD00649</t>
  </si>
  <si>
    <t>Citra Santoso</t>
  </si>
  <si>
    <t>ORD00024</t>
  </si>
  <si>
    <t>ORD01739</t>
  </si>
  <si>
    <t>ORD00660</t>
  </si>
  <si>
    <t>Nanda Utami</t>
  </si>
  <si>
    <t>ORD00959</t>
  </si>
  <si>
    <t>Clara Maulana</t>
  </si>
  <si>
    <t>ORD00801</t>
  </si>
  <si>
    <t>Budi Saputra</t>
  </si>
  <si>
    <t>ORD00143</t>
  </si>
  <si>
    <t>Bella Halim</t>
  </si>
  <si>
    <t>ORD00219</t>
  </si>
  <si>
    <t>ORD00228</t>
  </si>
  <si>
    <t>Dina Wijaya</t>
  </si>
  <si>
    <t>Palu</t>
  </si>
  <si>
    <t>ORD01030</t>
  </si>
  <si>
    <t>Bella Setiawan</t>
  </si>
  <si>
    <t>ORD00037</t>
  </si>
  <si>
    <t>Galih Kusuma</t>
  </si>
  <si>
    <t>ORD01263</t>
  </si>
  <si>
    <t>Umar Setiawan</t>
  </si>
  <si>
    <t>ORD00782</t>
  </si>
  <si>
    <t>Sari Pradipta</t>
  </si>
  <si>
    <t>ORD01565</t>
  </si>
  <si>
    <t>ORD01280</t>
  </si>
  <si>
    <t>Wahyu Fauziah</t>
  </si>
  <si>
    <t>ORD00277</t>
  </si>
  <si>
    <t>ORD01543</t>
  </si>
  <si>
    <t>Bella Pradipta</t>
  </si>
  <si>
    <t>ORD01046</t>
  </si>
  <si>
    <t>Ani Budiman</t>
  </si>
  <si>
    <t>ORD01708</t>
  </si>
  <si>
    <t>Oka Kusuma</t>
  </si>
  <si>
    <t>ORD00225</t>
  </si>
  <si>
    <t>Yani Setiawan</t>
  </si>
  <si>
    <t>ORD00796</t>
  </si>
  <si>
    <t>Yani Wijaya</t>
  </si>
  <si>
    <t>ORD01720</t>
  </si>
  <si>
    <t>Dewi Rahmawati</t>
  </si>
  <si>
    <t>ORD00034</t>
  </si>
  <si>
    <t>Bayu Nugroho</t>
  </si>
  <si>
    <t>ORD01547</t>
  </si>
  <si>
    <t>ORD00519</t>
  </si>
  <si>
    <t>Made Santoso</t>
  </si>
  <si>
    <t>ORD01088</t>
  </si>
  <si>
    <t>Qori Ramadhani</t>
  </si>
  <si>
    <t>ORD00905</t>
  </si>
  <si>
    <t>Zahra Utami</t>
  </si>
  <si>
    <t>ORD00589</t>
  </si>
  <si>
    <t>Sari Iskandar</t>
  </si>
  <si>
    <t>ORD00328</t>
  </si>
  <si>
    <t>ORD00510</t>
  </si>
  <si>
    <t>Zahra Nugroho</t>
  </si>
  <si>
    <t>ORD01325</t>
  </si>
  <si>
    <t>ORD00096</t>
  </si>
  <si>
    <t>ORD00835</t>
  </si>
  <si>
    <t>Qori Budiman</t>
  </si>
  <si>
    <t>ORD00859</t>
  </si>
  <si>
    <t>Bayu Syahputra</t>
  </si>
  <si>
    <t>ORD00238</t>
  </si>
  <si>
    <t>ORD00735</t>
  </si>
  <si>
    <t>ORD01712</t>
  </si>
  <si>
    <t>Citra Syahputra</t>
  </si>
  <si>
    <t>ORD00696</t>
  </si>
  <si>
    <t>ORD01323</t>
  </si>
  <si>
    <t>Dina Pradipta</t>
  </si>
  <si>
    <t>ORD00952</t>
  </si>
  <si>
    <t>Ani Hidayat</t>
  </si>
  <si>
    <t>ORD01585</t>
  </si>
  <si>
    <t>ORD01822</t>
  </si>
  <si>
    <t>ORD00069</t>
  </si>
  <si>
    <t>Oka Ramadhani</t>
  </si>
  <si>
    <t>ORD01347</t>
  </si>
  <si>
    <t>ORD00993</t>
  </si>
  <si>
    <t>Fajar Kurniawan</t>
  </si>
  <si>
    <t>ORD01105</t>
  </si>
  <si>
    <t>Joko Maulana</t>
  </si>
  <si>
    <t>ORD01853</t>
  </si>
  <si>
    <t>Dina Rahmawati</t>
  </si>
  <si>
    <t>ORD00012</t>
  </si>
  <si>
    <t>ORD00836</t>
  </si>
  <si>
    <t>Clara Pradipta</t>
  </si>
  <si>
    <t>ORD00575</t>
  </si>
  <si>
    <t>Erna Maulana</t>
  </si>
  <si>
    <t>ORD00816</t>
  </si>
  <si>
    <t>ORD00909</t>
  </si>
  <si>
    <t>ORD01328</t>
  </si>
  <si>
    <t>Yoga Saputra</t>
  </si>
  <si>
    <t>ORD01259</t>
  </si>
  <si>
    <t>Dina Hidayat</t>
  </si>
  <si>
    <t>ORD00681</t>
  </si>
  <si>
    <t>ORD00972</t>
  </si>
  <si>
    <t>Ani Kusuma</t>
  </si>
  <si>
    <t>ORD01206</t>
  </si>
  <si>
    <t>Clara Ramadhani</t>
  </si>
  <si>
    <t>ORD01050</t>
  </si>
  <si>
    <t>ORD01422</t>
  </si>
  <si>
    <t>ORD00653</t>
  </si>
  <si>
    <t>ORD01732</t>
  </si>
  <si>
    <t>Aulia Ananda</t>
  </si>
  <si>
    <t>ORD01700</t>
  </si>
  <si>
    <t>ORD01410</t>
  </si>
  <si>
    <t>Zahra Iskandar</t>
  </si>
  <si>
    <t>ORD00821</t>
  </si>
  <si>
    <t>Fitri Setiawan</t>
  </si>
  <si>
    <t>ORD01835</t>
  </si>
  <si>
    <t>Citra Fauziah</t>
  </si>
  <si>
    <t>ORD01124</t>
  </si>
  <si>
    <t>ORD00753</t>
  </si>
  <si>
    <t>Lestari Fauziah</t>
  </si>
  <si>
    <t>ORD00391</t>
  </si>
  <si>
    <t>Clara Iskandar</t>
  </si>
  <si>
    <t>ORD01125</t>
  </si>
  <si>
    <t>ORD01218</t>
  </si>
  <si>
    <t>ORD01307</t>
  </si>
  <si>
    <t>ORD01554</t>
  </si>
  <si>
    <t>Fajar Puspita</t>
  </si>
  <si>
    <t>ORD00795</t>
  </si>
  <si>
    <t>ORD01775</t>
  </si>
  <si>
    <t>ORD01293</t>
  </si>
  <si>
    <t>ORD00939</t>
  </si>
  <si>
    <t>Zahra Puspita</t>
  </si>
  <si>
    <t>ORD00794</t>
  </si>
  <si>
    <t>Dina Ramadhani</t>
  </si>
  <si>
    <t>ORD01316</t>
  </si>
  <si>
    <t>ORD00967</t>
  </si>
  <si>
    <t>Iwan Rahmawati</t>
  </si>
  <si>
    <t>ORD01003</t>
  </si>
  <si>
    <t>Dewi Setiawan</t>
  </si>
  <si>
    <t>ORD00058</t>
  </si>
  <si>
    <t>Dimas Puspita</t>
  </si>
  <si>
    <t>ORD00674</t>
  </si>
  <si>
    <t>Dina Nugroho</t>
  </si>
  <si>
    <t>ORD00697</t>
  </si>
  <si>
    <t>ORD01101</t>
  </si>
  <si>
    <t>ORD01119</t>
  </si>
  <si>
    <t>Zahra Budiman</t>
  </si>
  <si>
    <t>ORD00627</t>
  </si>
  <si>
    <t>ORD00072</t>
  </si>
  <si>
    <t>ORD01677</t>
  </si>
  <si>
    <t>ORD01327</t>
  </si>
  <si>
    <t>ORD00930</t>
  </si>
  <si>
    <t>ORD00088</t>
  </si>
  <si>
    <t>ORD01200</t>
  </si>
  <si>
    <t>Yani Budiman</t>
  </si>
  <si>
    <t>ORD01619</t>
  </si>
  <si>
    <t>ORD00827</t>
  </si>
  <si>
    <t>Clara Santoso</t>
  </si>
  <si>
    <t>ORD00781</t>
  </si>
  <si>
    <t>Hana Nugroho</t>
  </si>
  <si>
    <t>ORD00904</t>
  </si>
  <si>
    <t>Lestari Ananda</t>
  </si>
  <si>
    <t>ORD00334</t>
  </si>
  <si>
    <t>ORD00438</t>
  </si>
  <si>
    <t>ORD00875</t>
  </si>
  <si>
    <t>Arif Fauziah</t>
  </si>
  <si>
    <t>ORD01116</t>
  </si>
  <si>
    <t>ORD01672</t>
  </si>
  <si>
    <t>ORD00908</t>
  </si>
  <si>
    <t>ORD00453</t>
  </si>
  <si>
    <t>ORD01340</t>
  </si>
  <si>
    <t>Kartika Saputra</t>
  </si>
  <si>
    <t>ORD01851</t>
  </si>
  <si>
    <t>Hana Pradipta</t>
  </si>
  <si>
    <t>ORD00576</t>
  </si>
  <si>
    <t>ORD00541</t>
  </si>
  <si>
    <t>ORD00661</t>
  </si>
  <si>
    <t>ORD00684</t>
  </si>
  <si>
    <t>Wahyu Santoso</t>
  </si>
  <si>
    <t>ORD01413</t>
  </si>
  <si>
    <t>ORD01605</t>
  </si>
  <si>
    <t>ORD01704</t>
  </si>
  <si>
    <t>Erna Budiman</t>
  </si>
  <si>
    <t>ORD00471</t>
  </si>
  <si>
    <t>ORD01177</t>
  </si>
  <si>
    <t>Zahra Pradipta</t>
  </si>
  <si>
    <t>ORD00870</t>
  </si>
  <si>
    <t>Zahra Kusuma</t>
  </si>
  <si>
    <t>ORD01057</t>
  </si>
  <si>
    <t>ORD00144</t>
  </si>
  <si>
    <t>Erna Kusuma</t>
  </si>
  <si>
    <t>ORD00706</t>
  </si>
  <si>
    <t>Dewi Iskandar</t>
  </si>
  <si>
    <t>ORD00297</t>
  </si>
  <si>
    <t>Ani Utami</t>
  </si>
  <si>
    <t>ORD00513</t>
  </si>
  <si>
    <t>ORD01798</t>
  </si>
  <si>
    <t>ORD01505</t>
  </si>
  <si>
    <t>Aulia Kusuma</t>
  </si>
  <si>
    <t>ORD00618</t>
  </si>
  <si>
    <t>ORD00366</t>
  </si>
  <si>
    <t>ORD00428</t>
  </si>
  <si>
    <t>Yani Ramadhani</t>
  </si>
  <si>
    <t>ORD01725</t>
  </si>
  <si>
    <t>Dewi Wijaya</t>
  </si>
  <si>
    <t>ORD01108</t>
  </si>
  <si>
    <t>ORD00380</t>
  </si>
  <si>
    <t>ORD01214</t>
  </si>
  <si>
    <t>Gita Puspita</t>
  </si>
  <si>
    <t>ORD00358</t>
  </si>
  <si>
    <t>ORD01580</t>
  </si>
  <si>
    <t>ORD01460</t>
  </si>
  <si>
    <t>ORD00162</t>
  </si>
  <si>
    <t>ORD00843</t>
  </si>
  <si>
    <t>ORD01584</t>
  </si>
  <si>
    <t>Sari Kurniawan</t>
  </si>
  <si>
    <t>ORD00657</t>
  </si>
  <si>
    <t>ORD01438</t>
  </si>
  <si>
    <t>ORD00409</t>
  </si>
  <si>
    <t>ORD01353</t>
  </si>
  <si>
    <t>Tono Syahputra</t>
  </si>
  <si>
    <t>ORD00511</t>
  </si>
  <si>
    <t>ORD00548</t>
  </si>
  <si>
    <t>ORD00504</t>
  </si>
  <si>
    <t>Hana Fauziah</t>
  </si>
  <si>
    <t>ORD00832</t>
  </si>
  <si>
    <t>ORD00090</t>
  </si>
  <si>
    <t>Rizky Fauziah</t>
  </si>
  <si>
    <t>ORD00346</t>
  </si>
  <si>
    <t>ORD01768</t>
  </si>
  <si>
    <t>ORD00662</t>
  </si>
  <si>
    <t>Putri Halim</t>
  </si>
  <si>
    <t>ORD00888</t>
  </si>
  <si>
    <t>Yani Hidayat</t>
  </si>
  <si>
    <t>ORD00444</t>
  </si>
  <si>
    <t>ORD01769</t>
  </si>
  <si>
    <t>ORD01636</t>
  </si>
  <si>
    <t>ORD00376</t>
  </si>
  <si>
    <t>Yani Ananda</t>
  </si>
  <si>
    <t>ORD00646</t>
  </si>
  <si>
    <t>Wahyu Budiman</t>
  </si>
  <si>
    <t>ORD00580</t>
  </si>
  <si>
    <t>ORD00535</t>
  </si>
  <si>
    <t>Dina Maulana</t>
  </si>
  <si>
    <t>ORD01406</t>
  </si>
  <si>
    <t>Oka Kurniawan</t>
  </si>
  <si>
    <t>ORD00213</t>
  </si>
  <si>
    <t>ORD00394</t>
  </si>
  <si>
    <t>ORD00379</t>
  </si>
  <si>
    <t>ORD00397</t>
  </si>
  <si>
    <t>Lestari Nugroho</t>
  </si>
  <si>
    <t>ORD00249</t>
  </si>
  <si>
    <t>ORD01403</t>
  </si>
  <si>
    <t>ORD01579</t>
  </si>
  <si>
    <t>ORD00191</t>
  </si>
  <si>
    <t>Sari Utami</t>
  </si>
  <si>
    <t>ORD01667</t>
  </si>
  <si>
    <t>ORD00515</t>
  </si>
  <si>
    <t>Bella Nugroho</t>
  </si>
  <si>
    <t>ORD00402</t>
  </si>
  <si>
    <t>Fitri Utami</t>
  </si>
  <si>
    <t>ORD00105</t>
  </si>
  <si>
    <t>ORD01205</t>
  </si>
  <si>
    <t>ORD00538</t>
  </si>
  <si>
    <t>ORD00761</t>
  </si>
  <si>
    <t>ORD01616</t>
  </si>
  <si>
    <t>ORD00220</t>
  </si>
  <si>
    <t>ORD01539</t>
  </si>
  <si>
    <t>ORD00879</t>
  </si>
  <si>
    <t>ORD01198</t>
  </si>
  <si>
    <t>Putri Ramadhani</t>
  </si>
  <si>
    <t>ORD00038</t>
  </si>
  <si>
    <t>Galih Budiman</t>
  </si>
  <si>
    <t>ORD00903</t>
  </si>
  <si>
    <t>ORD01827</t>
  </si>
  <si>
    <t>ORD00084</t>
  </si>
  <si>
    <t>ORD00780</t>
  </si>
  <si>
    <t>Vina Ananda</t>
  </si>
  <si>
    <t>ORD00059</t>
  </si>
  <si>
    <t>Indra Puspita</t>
  </si>
  <si>
    <t>ORD00451</t>
  </si>
  <si>
    <t>ORD00404</t>
  </si>
  <si>
    <t>Eka Pradipta</t>
  </si>
  <si>
    <t>ORD01506</t>
  </si>
  <si>
    <t>Vina Setiawan</t>
  </si>
  <si>
    <t>ORD00025</t>
  </si>
  <si>
    <t>Dimas Halim</t>
  </si>
  <si>
    <t>ORD01439</t>
  </si>
  <si>
    <t>Joko Nugroho</t>
  </si>
  <si>
    <t>ORD01586</t>
  </si>
  <si>
    <t>ORD01330</t>
  </si>
  <si>
    <t>ORD00789</t>
  </si>
  <si>
    <t>Dewi Ramadhani</t>
  </si>
  <si>
    <t>ORD00273</t>
  </si>
  <si>
    <t>Yani Syahputra</t>
  </si>
  <si>
    <t>ORD01109</t>
  </si>
  <si>
    <t>ORD01857</t>
  </si>
  <si>
    <t>Erna Iskandar</t>
  </si>
  <si>
    <t>ORD00458</t>
  </si>
  <si>
    <t>ORD00330</t>
  </si>
  <si>
    <t>Hana Setiawan</t>
  </si>
  <si>
    <t>ORD01495</t>
  </si>
  <si>
    <t>ORD00175</t>
  </si>
  <si>
    <t>Dewi Nugroho</t>
  </si>
  <si>
    <t>ORD00645</t>
  </si>
  <si>
    <t>Yani Kusuma</t>
  </si>
  <si>
    <t>ORD01123</t>
  </si>
  <si>
    <t>ORD00365</t>
  </si>
  <si>
    <t>ORD01670</t>
  </si>
  <si>
    <t>ORD00017</t>
  </si>
  <si>
    <t>ORD01511</t>
  </si>
  <si>
    <t>Fitri Halim</t>
  </si>
  <si>
    <t>ORD00315</t>
  </si>
  <si>
    <t>Erna Syahputra</t>
  </si>
  <si>
    <t>ORD01131</t>
  </si>
  <si>
    <t>Yoga Nugroho</t>
  </si>
  <si>
    <t>ORD01711</t>
  </si>
  <si>
    <t>ORD00539</t>
  </si>
  <si>
    <t>Kartika Santoso</t>
  </si>
  <si>
    <t>ORD01659</t>
  </si>
  <si>
    <t>ORD01278</t>
  </si>
  <si>
    <t>Ani Setiawan</t>
  </si>
  <si>
    <t>ORD01773</t>
  </si>
  <si>
    <t>ORD01695</t>
  </si>
  <si>
    <t>ORD01193</t>
  </si>
  <si>
    <t>ORD00386</t>
  </si>
  <si>
    <t>ORD01304</t>
  </si>
  <si>
    <t>ORD01710</t>
  </si>
  <si>
    <t>Erna Fauziah</t>
  </si>
  <si>
    <t>ORD01519</t>
  </si>
  <si>
    <t>Qori Utami</t>
  </si>
  <si>
    <t>ORD00167</t>
  </si>
  <si>
    <t>ORD01246</t>
  </si>
  <si>
    <t>Kartika Halim</t>
  </si>
  <si>
    <t>ORD01607</t>
  </si>
  <si>
    <t>ORD00261</t>
  </si>
  <si>
    <t>ORD00542</t>
  </si>
  <si>
    <t>Bella Utami</t>
  </si>
  <si>
    <t>ORD01498</t>
  </si>
  <si>
    <t>ORD01464</t>
  </si>
  <si>
    <t>Lestari Hidayat</t>
  </si>
  <si>
    <t>ORD00932</t>
  </si>
  <si>
    <t>ORD00028</t>
  </si>
  <si>
    <t>Andi Utami</t>
  </si>
  <si>
    <t>ORD00876</t>
  </si>
  <si>
    <t>ORD00678</t>
  </si>
  <si>
    <t>ORD01535</t>
  </si>
  <si>
    <t>Erna Wijaya</t>
  </si>
  <si>
    <t>ORD00566</t>
  </si>
  <si>
    <t>ORD01212</t>
  </si>
  <si>
    <t>ORD00918</t>
  </si>
  <si>
    <t>ORD00536</t>
  </si>
  <si>
    <t>Yani Utami</t>
  </si>
  <si>
    <t>ORD01192</t>
  </si>
  <si>
    <t>ORD01010</t>
  </si>
  <si>
    <t>ORD00439</t>
  </si>
  <si>
    <t>ORD01514</t>
  </si>
  <si>
    <t>ORD01375</t>
  </si>
  <si>
    <t>ORD00431</t>
  </si>
  <si>
    <t>ORD00940</t>
  </si>
  <si>
    <t>ORD00779</t>
  </si>
  <si>
    <t>Fitri Budiman</t>
  </si>
  <si>
    <t>ORD01099</t>
  </si>
  <si>
    <t>Lestari Santoso</t>
  </si>
  <si>
    <t>ORD01767</t>
  </si>
  <si>
    <t>Putri Saputra</t>
  </si>
  <si>
    <t>ORD01006</t>
  </si>
  <si>
    <t>ORD01815</t>
  </si>
  <si>
    <t>ORD01678</t>
  </si>
  <si>
    <t>Clara Setiawan</t>
  </si>
  <si>
    <t>ORD01658</t>
  </si>
  <si>
    <t>Kartika Fauziah</t>
  </si>
  <si>
    <t>ORD01428</t>
  </si>
  <si>
    <t>Hana Saputra</t>
  </si>
  <si>
    <t>ORD01138</t>
  </si>
  <si>
    <t>Aulia Budiman</t>
  </si>
  <si>
    <t>ORD00564</t>
  </si>
  <si>
    <t>ORD01649</t>
  </si>
  <si>
    <t>ORD01561</t>
  </si>
  <si>
    <t>ORD00762</t>
  </si>
  <si>
    <t>ORD00871</t>
  </si>
  <si>
    <t>ORD00887</t>
  </si>
  <si>
    <t>ORD00991</t>
  </si>
  <si>
    <t>Indra Halim</t>
  </si>
  <si>
    <t>ORD00808</t>
  </si>
  <si>
    <t>Zahra Ananda</t>
  </si>
  <si>
    <t>ORD01538</t>
  </si>
  <si>
    <t>ORD00584</t>
  </si>
  <si>
    <t>ORD01655</t>
  </si>
  <si>
    <t>ORD00320</t>
  </si>
  <si>
    <t>ORD01373</t>
  </si>
  <si>
    <t>Kartika Hidayat</t>
  </si>
  <si>
    <t>ORD01582</t>
  </si>
  <si>
    <t>Eka Rahmawati</t>
  </si>
  <si>
    <t>ORD00922</t>
  </si>
  <si>
    <t>ORD00936</t>
  </si>
  <si>
    <t>ORD00289</t>
  </si>
  <si>
    <t>Erna Kurniawan</t>
  </si>
  <si>
    <t>ORD01404</t>
  </si>
  <si>
    <t>ORD01574</t>
  </si>
  <si>
    <t>ORD00591</t>
  </si>
  <si>
    <t>Eka Maulana</t>
  </si>
  <si>
    <t>ORD01248</t>
  </si>
  <si>
    <t>ORD00573</t>
  </si>
  <si>
    <t>ORD01044</t>
  </si>
  <si>
    <t>ORD01644</t>
  </si>
  <si>
    <t>ORD00372</t>
  </si>
  <si>
    <t>ORD00300</t>
  </si>
  <si>
    <t>Hana Syahputra</t>
  </si>
  <si>
    <t>ORD01187</t>
  </si>
  <si>
    <t>Citra Hidayat</t>
  </si>
  <si>
    <t>ORD00355</t>
  </si>
  <si>
    <t>ORD00400</t>
  </si>
  <si>
    <t>ORD00638</t>
  </si>
  <si>
    <t>ORD01036</t>
  </si>
  <si>
    <t>ORD01661</t>
  </si>
  <si>
    <t>Qori Santoso</t>
  </si>
  <si>
    <t>ORD00352</t>
  </si>
  <si>
    <t>ORD00030</t>
  </si>
  <si>
    <t>ORD01078</t>
  </si>
  <si>
    <t>ORD01290</t>
  </si>
  <si>
    <t>Putri Setiawan</t>
  </si>
  <si>
    <t>ORD01380</t>
  </si>
  <si>
    <t>Indra Setiawan</t>
  </si>
  <si>
    <t>ORD00667</t>
  </si>
  <si>
    <t>Iwan Budiman</t>
  </si>
  <si>
    <t>ORD01487</t>
  </si>
  <si>
    <t>ORD01600</t>
  </si>
  <si>
    <t>ORD01146</t>
  </si>
  <si>
    <t>ORD00234</t>
  </si>
  <si>
    <t>ORD00943</t>
  </si>
  <si>
    <t>ORD01017</t>
  </si>
  <si>
    <t>ORD01045</t>
  </si>
  <si>
    <t>Dewi Utami</t>
  </si>
  <si>
    <t>ORD00214</t>
  </si>
  <si>
    <t>Eka Syahputra</t>
  </si>
  <si>
    <t>ORD01831</t>
  </si>
  <si>
    <t>ORD01753</t>
  </si>
  <si>
    <t>ORD01345</t>
  </si>
  <si>
    <t>ORD01310</t>
  </si>
  <si>
    <t>Tono Ananda</t>
  </si>
  <si>
    <t>ORD00361</t>
  </si>
  <si>
    <t>Gita Iskandar</t>
  </si>
  <si>
    <t>ORD00098</t>
  </si>
  <si>
    <t>ORD01001</t>
  </si>
  <si>
    <t>Sari Saputra</t>
  </si>
  <si>
    <t>ORD01497</t>
  </si>
  <si>
    <t>ORD01023</t>
  </si>
  <si>
    <t>ORD00031</t>
  </si>
  <si>
    <t>Budi Fauziah</t>
  </si>
  <si>
    <t>ORD00512</t>
  </si>
  <si>
    <t>ORD01515</t>
  </si>
  <si>
    <t>ORD01449</t>
  </si>
  <si>
    <t>ORD01144</t>
  </si>
  <si>
    <t>ORD00520</t>
  </si>
  <si>
    <t>ORD00865</t>
  </si>
  <si>
    <t>Wahyu Hidayat</t>
  </si>
  <si>
    <t>ORD01034</t>
  </si>
  <si>
    <t>ORD00725</t>
  </si>
  <si>
    <t>ORD00989</t>
  </si>
  <si>
    <t>ORD01265</t>
  </si>
  <si>
    <t>ORD00434</t>
  </si>
  <si>
    <t>ORD00823</t>
  </si>
  <si>
    <t>ORD00493</t>
  </si>
  <si>
    <t>Putri Syahputra</t>
  </si>
  <si>
    <t>ORD01465</t>
  </si>
  <si>
    <t>Fitri Saputra</t>
  </si>
  <si>
    <t>ORD00882</t>
  </si>
  <si>
    <t>ORD01357</t>
  </si>
  <si>
    <t>ORD00316</t>
  </si>
  <si>
    <t>ORD00475</t>
  </si>
  <si>
    <t>ORD00071</t>
  </si>
  <si>
    <t>Galih Puspita</t>
  </si>
  <si>
    <t>ORD01139</t>
  </si>
  <si>
    <t>ORD00120</t>
  </si>
  <si>
    <t>ORD01813</t>
  </si>
  <si>
    <t>ORD00710</t>
  </si>
  <si>
    <t>ORD00509</t>
  </si>
  <si>
    <t>ORD00996</t>
  </si>
  <si>
    <t>ORD00663</t>
  </si>
  <si>
    <t>Made Kusuma</t>
  </si>
  <si>
    <t>ORD00508</t>
  </si>
  <si>
    <t>ORD00824</t>
  </si>
  <si>
    <t>ORD00916</t>
  </si>
  <si>
    <t>ORD01728</t>
  </si>
  <si>
    <t>ORD00861</t>
  </si>
  <si>
    <t>ORD00108</t>
  </si>
  <si>
    <t>Sari Budiman</t>
  </si>
  <si>
    <t>ORD00785</t>
  </si>
  <si>
    <t>Qori Hidayat</t>
  </si>
  <si>
    <t>ORD00145</t>
  </si>
  <si>
    <t>ORD01652</t>
  </si>
  <si>
    <t>ORD00086</t>
  </si>
  <si>
    <t>Yoga Wijaya</t>
  </si>
  <si>
    <t>ORD01029</t>
  </si>
  <si>
    <t>ORD00748</t>
  </si>
  <si>
    <t>ORD00044</t>
  </si>
  <si>
    <t>ORD00961</t>
  </si>
  <si>
    <t>ORD00262</t>
  </si>
  <si>
    <t>ORD01764</t>
  </si>
  <si>
    <t>ORD00406</t>
  </si>
  <si>
    <t>ORD00233</t>
  </si>
  <si>
    <t>ORD01065</t>
  </si>
  <si>
    <t>ORD01491</t>
  </si>
  <si>
    <t>ORD00442</t>
  </si>
  <si>
    <t>Gita Kusuma</t>
  </si>
  <si>
    <t>ORD00223</t>
  </si>
  <si>
    <t>Aulia Syahputra</t>
  </si>
  <si>
    <t>ORD00724</t>
  </si>
  <si>
    <t>ORD01549</t>
  </si>
  <si>
    <t>ORD01854</t>
  </si>
  <si>
    <t>Tono Kurniawan</t>
  </si>
  <si>
    <t>ORD00642</t>
  </si>
  <si>
    <t>Hendra Syahputra</t>
  </si>
  <si>
    <t>ORD01352</t>
  </si>
  <si>
    <t>ORD00616</t>
  </si>
  <si>
    <t>ORD00528</t>
  </si>
  <si>
    <t>ORD00809</t>
  </si>
  <si>
    <t>ORD00413</t>
  </si>
  <si>
    <t>ORD00677</t>
  </si>
  <si>
    <t>ORD00212</t>
  </si>
  <si>
    <t>ORD00670</t>
  </si>
  <si>
    <t>ORD00556</t>
  </si>
  <si>
    <t>ORD00221</t>
  </si>
  <si>
    <t>ORD01121</t>
  </si>
  <si>
    <t>ORD01394</t>
  </si>
  <si>
    <t>ORD01758</t>
  </si>
  <si>
    <t>ORD00184</t>
  </si>
  <si>
    <t>ORD00656</t>
  </si>
  <si>
    <t>ORD01520</t>
  </si>
  <si>
    <t>ORD00851</t>
  </si>
  <si>
    <t>ORD01433</t>
  </si>
  <si>
    <t>ORD01803</t>
  </si>
  <si>
    <t>ORD00081</t>
  </si>
  <si>
    <t>ORD00430</t>
  </si>
  <si>
    <t>ORD01337</t>
  </si>
  <si>
    <t>ORD00951</t>
  </si>
  <si>
    <t>ORD00009</t>
  </si>
  <si>
    <t>ORD01054</t>
  </si>
  <si>
    <t>ORD01071</t>
  </si>
  <si>
    <t>ORD00331</t>
  </si>
  <si>
    <t>ORD00704</t>
  </si>
  <si>
    <t>ORD00445</t>
  </si>
  <si>
    <t>Citra Kusuma</t>
  </si>
  <si>
    <t>ORD01051</t>
  </si>
  <si>
    <t>ORD00590</t>
  </si>
  <si>
    <t>ORD00063</t>
  </si>
  <si>
    <t>ORD00845</t>
  </si>
  <si>
    <t>Aulia Puspita</t>
  </si>
  <si>
    <t>ORD01022</t>
  </si>
  <si>
    <t>ORD00601</t>
  </si>
  <si>
    <t>ORD00974</t>
  </si>
  <si>
    <t>ORD00393</t>
  </si>
  <si>
    <t>ORD00960</t>
  </si>
  <si>
    <t>ORD01133</t>
  </si>
  <si>
    <t>ORD01821</t>
  </si>
  <si>
    <t>ORD01675</t>
  </si>
  <si>
    <t>ORD00169</t>
  </si>
  <si>
    <t>Dewi Maulana</t>
  </si>
  <si>
    <t>ORD00395</t>
  </si>
  <si>
    <t>ORD01291</t>
  </si>
  <si>
    <t>ORD00546</t>
  </si>
  <si>
    <t>ORD00362</t>
  </si>
  <si>
    <t>ORD01182</t>
  </si>
  <si>
    <t>ORD01066</t>
  </si>
  <si>
    <t>Putri Iskandar</t>
  </si>
  <si>
    <t>ORD00421</t>
  </si>
  <si>
    <t>ORD00641</t>
  </si>
  <si>
    <t>Sari Wijaya</t>
  </si>
  <si>
    <t>ORD00977</t>
  </si>
  <si>
    <t>ORD01848</t>
  </si>
  <si>
    <t>ORD00035</t>
  </si>
  <si>
    <t>Tono Hidayat</t>
  </si>
  <si>
    <t>ORD01251</t>
  </si>
  <si>
    <t>Lestari Syahputra</t>
  </si>
  <si>
    <t>ORD01639</t>
  </si>
  <si>
    <t>ORD01451</t>
  </si>
  <si>
    <t>ORD00148</t>
  </si>
  <si>
    <t>ORD00207</t>
  </si>
  <si>
    <t>Yani Rahmawati</t>
  </si>
  <si>
    <t>ORD00569</t>
  </si>
  <si>
    <t>ORD01805</t>
  </si>
  <si>
    <t>ORD00599</t>
  </si>
  <si>
    <t>ORD01518</t>
  </si>
  <si>
    <t>ORD00199</t>
  </si>
  <si>
    <t>ORD00005</t>
  </si>
  <si>
    <t>ORD00173</t>
  </si>
  <si>
    <t>ORD01715</t>
  </si>
  <si>
    <t>ORD01234</t>
  </si>
  <si>
    <t>ORD00410</t>
  </si>
  <si>
    <t>ORD00623</t>
  </si>
  <si>
    <t>ORD00980</t>
  </si>
  <si>
    <t>Hana Puspita</t>
  </si>
  <si>
    <t>ORD00226</t>
  </si>
  <si>
    <t>Aulia Pradipta</t>
  </si>
  <si>
    <t>ORD00371</t>
  </si>
  <si>
    <t>ORD00830</t>
  </si>
  <si>
    <t>ORD00925</t>
  </si>
  <si>
    <t>ORD00658</t>
  </si>
  <si>
    <t>ORD00170</t>
  </si>
  <si>
    <t>ORD00006</t>
  </si>
  <si>
    <t>Eko Iskandar</t>
  </si>
  <si>
    <t>ORD01850</t>
  </si>
  <si>
    <t>ORD01424</t>
  </si>
  <si>
    <t>ORD01500</t>
  </si>
  <si>
    <t>ORD00050</t>
  </si>
  <si>
    <t>ORD01342</t>
  </si>
  <si>
    <t>ORD00256</t>
  </si>
  <si>
    <t>ORD01292</t>
  </si>
  <si>
    <t>ORD00026</t>
  </si>
  <si>
    <t>ORD00812</t>
  </si>
  <si>
    <t>Lestari Pradipta</t>
  </si>
  <si>
    <t>ORD01062</t>
  </si>
  <si>
    <t>ORD01461</t>
  </si>
  <si>
    <t>Dina Puspita</t>
  </si>
  <si>
    <t>ORD00931</t>
  </si>
  <si>
    <t>ORD01702</t>
  </si>
  <si>
    <t>ORD01369</t>
  </si>
  <si>
    <t>ORD00523</t>
  </si>
  <si>
    <t>ORD00763</t>
  </si>
  <si>
    <t>ORD00534</t>
  </si>
  <si>
    <t>ORD00281</t>
  </si>
  <si>
    <t>Lestari Puspita</t>
  </si>
  <si>
    <t>ORD00102</t>
  </si>
  <si>
    <t>Aulia Saputra</t>
  </si>
  <si>
    <t>ORD01681</t>
  </si>
  <si>
    <t>ORD01729</t>
  </si>
  <si>
    <t>Qori Maulana</t>
  </si>
  <si>
    <t>ORD00187</t>
  </si>
  <si>
    <t>Qori Pradipta</t>
  </si>
  <si>
    <t>ORD00614</t>
  </si>
  <si>
    <t>ORD00337</t>
  </si>
  <si>
    <t>ORD00419</t>
  </si>
  <si>
    <t>ORD00749</t>
  </si>
  <si>
    <t>ORD01817</t>
  </si>
  <si>
    <t>ORD00712</t>
  </si>
  <si>
    <t>Putri Hidayat</t>
  </si>
  <si>
    <t>ORD00531</t>
  </si>
  <si>
    <t>ORD00185</t>
  </si>
  <si>
    <t>Zahra Halim</t>
  </si>
  <si>
    <t>ORD00948</t>
  </si>
  <si>
    <t>ORD00480</t>
  </si>
  <si>
    <t>Eka Iskandar</t>
  </si>
  <si>
    <t>ORD00129</t>
  </si>
  <si>
    <t>Hana Kusuma</t>
  </si>
  <si>
    <t>ORD01320</t>
  </si>
  <si>
    <t>ORD01673</t>
  </si>
  <si>
    <t>ORD01053</t>
  </si>
  <si>
    <t>ORD01516</t>
  </si>
  <si>
    <t>ORD01569</t>
  </si>
  <si>
    <t>Bayu Ananda</t>
  </si>
  <si>
    <t>ORD00204</t>
  </si>
  <si>
    <t>Hana Ramadhani</t>
  </si>
  <si>
    <t>ORD01363</t>
  </si>
  <si>
    <t>ORD01008</t>
  </si>
  <si>
    <t>Dewi Syahputra</t>
  </si>
  <si>
    <t>ORD00968</t>
  </si>
  <si>
    <t>ORD01239</t>
  </si>
  <si>
    <t>Fitri Kurniawan</t>
  </si>
  <si>
    <t>ORD01127</t>
  </si>
  <si>
    <t>ORD00592</t>
  </si>
  <si>
    <t>ORD00872</t>
  </si>
  <si>
    <t>Zahra Saputra</t>
  </si>
  <si>
    <t>ORD00479</t>
  </si>
  <si>
    <t>ORD00477</t>
  </si>
  <si>
    <t>ORD01288</t>
  </si>
  <si>
    <t>ORD00124</t>
  </si>
  <si>
    <t>ORD01782</t>
  </si>
  <si>
    <t>ORD01077</t>
  </si>
  <si>
    <t>ORD01567</t>
  </si>
  <si>
    <t>ORD01238</t>
  </si>
  <si>
    <t>ORD01489</t>
  </si>
  <si>
    <t>Clara Hidayat</t>
  </si>
  <si>
    <t>ORD01240</t>
  </si>
  <si>
    <t>ORD01235</t>
  </si>
  <si>
    <t>ORD01371</t>
  </si>
  <si>
    <t>Aulia Wijaya</t>
  </si>
  <si>
    <t>ORD01606</t>
  </si>
  <si>
    <t>ORD01376</t>
  </si>
  <si>
    <t>ORD00061</t>
  </si>
  <si>
    <t>Fajar Fauziah</t>
  </si>
  <si>
    <t>ORD01318</t>
  </si>
  <si>
    <t>ORD00773</t>
  </si>
  <si>
    <t>ORD00254</t>
  </si>
  <si>
    <t>ORD00999</t>
  </si>
  <si>
    <t>ORD00586</t>
  </si>
  <si>
    <t>ORD01335</t>
  </si>
  <si>
    <t>Indra Ananda</t>
  </si>
  <si>
    <t>ORD00082</t>
  </si>
  <si>
    <t>ORD00462</t>
  </si>
  <si>
    <t>ORD01180</t>
  </si>
  <si>
    <t>ORD00803</t>
  </si>
  <si>
    <t>ORD01091</t>
  </si>
  <si>
    <t>ORD01762</t>
  </si>
  <si>
    <t>ORD00166</t>
  </si>
  <si>
    <t>Hana Maulana</t>
  </si>
  <si>
    <t>ORD00609</t>
  </si>
  <si>
    <t>ORD00264</t>
  </si>
  <si>
    <t>ORD00976</t>
  </si>
  <si>
    <t>ORD00045</t>
  </si>
  <si>
    <t>Budi Puspita</t>
  </si>
  <si>
    <t>ORD00206</t>
  </si>
  <si>
    <t>ORD01407</t>
  </si>
  <si>
    <t>ORD01168</t>
  </si>
  <si>
    <t>ORD01691</t>
  </si>
  <si>
    <t>ORD00494</t>
  </si>
  <si>
    <t>Fitri Kusuma</t>
  </si>
  <si>
    <t>ORD01341</t>
  </si>
  <si>
    <t>ORD01189</t>
  </si>
  <si>
    <t>Fitri Nugroho</t>
  </si>
  <si>
    <t>ORD00464</t>
  </si>
  <si>
    <t>Aulia Ramadhani</t>
  </si>
  <si>
    <t>ORD00988</t>
  </si>
  <si>
    <t>ORD00224</t>
  </si>
  <si>
    <t>Hana Utami</t>
  </si>
  <si>
    <t>ORD01504</t>
  </si>
  <si>
    <t>ORD00574</t>
  </si>
  <si>
    <t>Vina Iskandar</t>
  </si>
  <si>
    <t>ORD01480</t>
  </si>
  <si>
    <t>Yani Maulana</t>
  </si>
  <si>
    <t>ORD01778</t>
  </si>
  <si>
    <t>ORD00311</t>
  </si>
  <si>
    <t>Gita Ananda</t>
  </si>
  <si>
    <t>ORD01266</t>
  </si>
  <si>
    <t>ORD01573</t>
  </si>
  <si>
    <t>Clara Halim</t>
  </si>
  <si>
    <t>ORD00244</t>
  </si>
  <si>
    <t>ORD00675</t>
  </si>
  <si>
    <t>Andi Syahputra</t>
  </si>
  <si>
    <t>ORD01081</t>
  </si>
  <si>
    <t>ORD01126</t>
  </si>
  <si>
    <t>ORD00486</t>
  </si>
  <si>
    <t>ORD01476</t>
  </si>
  <si>
    <t>ORD00043</t>
  </si>
  <si>
    <t>ORD01541</t>
  </si>
  <si>
    <t>Fitri Hidayat</t>
  </si>
  <si>
    <t>ORD01300</t>
  </si>
  <si>
    <t>ORD01548</t>
  </si>
  <si>
    <t>ORD00826</t>
  </si>
  <si>
    <t>ORD00854</t>
  </si>
  <si>
    <t>ORD01447</t>
  </si>
  <si>
    <t>ORD01706</t>
  </si>
  <si>
    <t>ORD01653</t>
  </si>
  <si>
    <t>ORD01095</t>
  </si>
  <si>
    <t>ORD00907</t>
  </si>
  <si>
    <t>ORD01810</t>
  </si>
  <si>
    <t>ORD01173</t>
  </si>
  <si>
    <t>ORD01430</t>
  </si>
  <si>
    <t>ORD01306</t>
  </si>
  <si>
    <t>Fitri Santoso</t>
  </si>
  <si>
    <t>ORD01823</t>
  </si>
  <si>
    <t>ORD00291</t>
  </si>
  <si>
    <t>ORD00526</t>
  </si>
  <si>
    <t>ORD01832</t>
  </si>
  <si>
    <t>ORD00248</t>
  </si>
  <si>
    <t>ORD01660</t>
  </si>
  <si>
    <t>ORD01521</t>
  </si>
  <si>
    <t>ORD01171</t>
  </si>
  <si>
    <t>ORD00110</t>
  </si>
  <si>
    <t>ORD01191</t>
  </si>
  <si>
    <t>ORD00551</t>
  </si>
  <si>
    <t>ORD00375</t>
  </si>
  <si>
    <t>Sari Ramadhani</t>
  </si>
  <si>
    <t>ORD00975</t>
  </si>
  <si>
    <t>ORD00427</t>
  </si>
  <si>
    <t>ORD00919</t>
  </si>
  <si>
    <t>ORD00138</t>
  </si>
  <si>
    <t>ORD00517</t>
  </si>
  <si>
    <t>Gita Santoso</t>
  </si>
  <si>
    <t>ORD00727</t>
  </si>
  <si>
    <t>ORD00588</t>
  </si>
  <si>
    <t>ORD00702</t>
  </si>
  <si>
    <t>ORD00276</t>
  </si>
  <si>
    <t>ORD01223</t>
  </si>
  <si>
    <t>ORD00107</t>
  </si>
  <si>
    <t>ORD00432</t>
  </si>
  <si>
    <t>ORD00133</t>
  </si>
  <si>
    <t>ORD01004</t>
  </si>
  <si>
    <t>ORD01475</t>
  </si>
  <si>
    <t>ORD01761</t>
  </si>
  <si>
    <t>ORD00775</t>
  </si>
  <si>
    <t>ORD00734</t>
  </si>
  <si>
    <t>ORD01557</t>
  </si>
  <si>
    <t>ORD00895</t>
  </si>
  <si>
    <t>ORD00015</t>
  </si>
  <si>
    <t>ORD00850</t>
  </si>
  <si>
    <t>ORD00074</t>
  </si>
  <si>
    <t>ORD00152</t>
  </si>
  <si>
    <t>Kartika Pradipta</t>
  </si>
  <si>
    <t>ORD01122</t>
  </si>
  <si>
    <t>ORD00525</t>
  </si>
  <si>
    <t>ORD00837</t>
  </si>
  <si>
    <t>ORD00235</t>
  </si>
  <si>
    <t>ORD00443</t>
  </si>
  <si>
    <t>ORD01626</t>
  </si>
  <si>
    <t>ORD01540</t>
  </si>
  <si>
    <t>ORD01067</t>
  </si>
  <si>
    <t>ORD01349</t>
  </si>
  <si>
    <t>ORD00457</t>
  </si>
  <si>
    <t>Erna Ananda</t>
  </si>
  <si>
    <t>ORD00507</t>
  </si>
  <si>
    <t>ORD00353</t>
  </si>
  <si>
    <t>ORD00643</t>
  </si>
  <si>
    <t>ORD00966</t>
  </si>
  <si>
    <t>ORD00075</t>
  </si>
  <si>
    <t>ORD01596</t>
  </si>
  <si>
    <t>ORD01311</t>
  </si>
  <si>
    <t>ORD01735</t>
  </si>
  <si>
    <t>ORD01799</t>
  </si>
  <si>
    <t>ORD00149</t>
  </si>
  <si>
    <t>ORD00042</t>
  </si>
  <si>
    <t>ORD00449</t>
  </si>
  <si>
    <t>ORD01657</t>
  </si>
  <si>
    <t>ORD01471</t>
  </si>
  <si>
    <t>ORD01281</t>
  </si>
  <si>
    <t>ORD01617</t>
  </si>
  <si>
    <t>ORD01662</t>
  </si>
  <si>
    <t>Gita Nugroho</t>
  </si>
  <si>
    <t>ORD01087</t>
  </si>
  <si>
    <t>ORD01244</t>
  </si>
  <si>
    <t>ORD01209</t>
  </si>
  <si>
    <t>ORD00450</t>
  </si>
  <si>
    <t>ORD00926</t>
  </si>
  <si>
    <t>ORD01575</t>
  </si>
  <si>
    <t>ORD01731</t>
  </si>
  <si>
    <t>ORD01275</t>
  </si>
  <si>
    <t>Zahra Wijaya</t>
  </si>
  <si>
    <t>ORD01462</t>
  </si>
  <si>
    <t>ORD01545</t>
  </si>
  <si>
    <t>ORD00217</t>
  </si>
  <si>
    <t>Citra Saputra</t>
  </si>
  <si>
    <t>ORD00793</t>
  </si>
  <si>
    <t>ORD00435</t>
  </si>
  <si>
    <t>ORD00153</t>
  </si>
  <si>
    <t>ORD00420</t>
  </si>
  <si>
    <t>ORD01147</t>
  </si>
  <si>
    <t>ORD00405</t>
  </si>
  <si>
    <t>ORD00474</t>
  </si>
  <si>
    <t>ORD01829</t>
  </si>
  <si>
    <t>Eka Ramadhani</t>
  </si>
  <si>
    <t>ORD00889</t>
  </si>
  <si>
    <t>ORD01696</t>
  </si>
  <si>
    <t>ORD00892</t>
  </si>
  <si>
    <t>ORD01073</t>
  </si>
  <si>
    <t>ORD01493</t>
  </si>
  <si>
    <t>ORD00524</t>
  </si>
  <si>
    <t>ORD00287</t>
  </si>
  <si>
    <t>ORD01282</t>
  </si>
  <si>
    <t>Arif Maulana</t>
  </si>
  <si>
    <t>ORD01055</t>
  </si>
  <si>
    <t>ORD00313</t>
  </si>
  <si>
    <t>ORD01389</t>
  </si>
  <si>
    <t>Eka Kurniawan</t>
  </si>
  <si>
    <t>ORD01427</t>
  </si>
  <si>
    <t>ORD00970</t>
  </si>
  <si>
    <t>ORD00982</t>
  </si>
  <si>
    <t>ORD01220</t>
  </si>
  <si>
    <t>ORD00011</t>
  </si>
  <si>
    <t>ORD01789</t>
  </si>
  <si>
    <t>Citra Utami</t>
  </si>
  <si>
    <t>ORD00174</t>
  </si>
  <si>
    <t>ORD01392</t>
  </si>
  <si>
    <t>ORD01633</t>
  </si>
  <si>
    <t>ORD01401</t>
  </si>
  <si>
    <t>ORD00094</t>
  </si>
  <si>
    <t>ORD00302</t>
  </si>
  <si>
    <t>ORD01647</t>
  </si>
  <si>
    <t>Erna Utami</t>
  </si>
  <si>
    <t>ORD00900</t>
  </si>
  <si>
    <t>ORD01154</t>
  </si>
  <si>
    <t>ORD01490</t>
  </si>
  <si>
    <t>ORD01572</t>
  </si>
  <si>
    <t>ORD00260</t>
  </si>
  <si>
    <t>ORD00283</t>
  </si>
  <si>
    <t>Qori Ananda</t>
  </si>
  <si>
    <t>ORD01237</t>
  </si>
  <si>
    <t>ORD01819</t>
  </si>
  <si>
    <t>ORD01669</t>
  </si>
  <si>
    <t>ORD00496</t>
  </si>
  <si>
    <t>ORD01583</t>
  </si>
  <si>
    <t>ORD00798</t>
  </si>
  <si>
    <t>ORD01415</t>
  </si>
  <si>
    <t>Bella Fauziah</t>
  </si>
  <si>
    <t>ORD00327</t>
  </si>
  <si>
    <t>ORD00441</t>
  </si>
  <si>
    <t>ORD01453</t>
  </si>
  <si>
    <t>ORD00495</t>
  </si>
  <si>
    <t>ORD00529</t>
  </si>
  <si>
    <t>ORD00139</t>
  </si>
  <si>
    <t>Aulia Maulana</t>
  </si>
  <si>
    <t>ORD00231</t>
  </si>
  <si>
    <t>ORD01437</t>
  </si>
  <si>
    <t>ORD00514</t>
  </si>
  <si>
    <t>ORD00777</t>
  </si>
  <si>
    <t>ORD00799</t>
  </si>
  <si>
    <t>ORD01135</t>
  </si>
  <si>
    <t>ORD01537</t>
  </si>
  <si>
    <t>ORD00964</t>
  </si>
  <si>
    <t>ORD01028</t>
  </si>
  <si>
    <t>ORD00788</t>
  </si>
  <si>
    <t>Erna Halim</t>
  </si>
  <si>
    <t>ORD01738</t>
  </si>
  <si>
    <t>Kartika Kusuma</t>
  </si>
  <si>
    <t>ORD01118</t>
  </si>
  <si>
    <t>ORD01058</t>
  </si>
  <si>
    <t>ORD00008</t>
  </si>
  <si>
    <t>Indra Rahmawati</t>
  </si>
  <si>
    <t>ORD00713</t>
  </si>
  <si>
    <t>ORD00500</t>
  </si>
  <si>
    <t>ORD01734</t>
  </si>
  <si>
    <t>Citra Ananda</t>
  </si>
  <si>
    <t>ORD00208</t>
  </si>
  <si>
    <t>Dewi Saputra</t>
  </si>
  <si>
    <t>ORD00068</t>
  </si>
  <si>
    <t>ORD00866</t>
  </si>
  <si>
    <t>ORD00222</t>
  </si>
  <si>
    <t>ORD01581</t>
  </si>
  <si>
    <t>ORD00605</t>
  </si>
  <si>
    <t>ORD00211</t>
  </si>
  <si>
    <t>ORD01703</t>
  </si>
  <si>
    <t>ORD00957</t>
  </si>
  <si>
    <t>ORD00171</t>
  </si>
  <si>
    <t>ORD00398</t>
  </si>
  <si>
    <t>ORD01603</t>
  </si>
  <si>
    <t>ORD00083</t>
  </si>
  <si>
    <t>Nanda Halim</t>
  </si>
  <si>
    <t>ORD01483</t>
  </si>
  <si>
    <t>ORD00790</t>
  </si>
  <si>
    <t>ORD00994</t>
  </si>
  <si>
    <t>ORD00095</t>
  </si>
  <si>
    <t>Galih Saputra</t>
  </si>
  <si>
    <t>ORD01536</t>
  </si>
  <si>
    <t>ORD01271</t>
  </si>
  <si>
    <t>ORD00194</t>
  </si>
  <si>
    <t>ORD01795</t>
  </si>
  <si>
    <t>ORD01578</t>
  </si>
  <si>
    <t>ORD00275</t>
  </si>
  <si>
    <t>Sari Kusuma</t>
  </si>
  <si>
    <t>ORD00053</t>
  </si>
  <si>
    <t>ORD01132</t>
  </si>
  <si>
    <t>ORD00040</t>
  </si>
  <si>
    <t>ORD00893</t>
  </si>
  <si>
    <t>ORD00232</t>
  </si>
  <si>
    <t>ORD01374</t>
  </si>
  <si>
    <t>ORD00240</t>
  </si>
  <si>
    <t>ORD01361</t>
  </si>
  <si>
    <t>ORD01364</t>
  </si>
  <si>
    <t>ORD00182</t>
  </si>
  <si>
    <t>Fitri Syahputra</t>
  </si>
  <si>
    <t>ORD01025</t>
  </si>
  <si>
    <t>ORD00620</t>
  </si>
  <si>
    <t>ORD00412</t>
  </si>
  <si>
    <t>ORD00077</t>
  </si>
  <si>
    <t>ORD00805</t>
  </si>
  <si>
    <t>ORD00759</t>
  </si>
  <si>
    <t>Clara Syahputra</t>
  </si>
  <si>
    <t>ORD01794</t>
  </si>
  <si>
    <t>ORD00151</t>
  </si>
  <si>
    <t>ORD01226</t>
  </si>
  <si>
    <t>ORD00216</t>
  </si>
  <si>
    <t>ORD01255</t>
  </si>
  <si>
    <t>ORD00473</t>
  </si>
  <si>
    <t>ORD01178</t>
  </si>
  <si>
    <t>ORD01175</t>
  </si>
  <si>
    <t>ORD00021</t>
  </si>
  <si>
    <t>ORD00915</t>
  </si>
  <si>
    <t>ORD01834</t>
  </si>
  <si>
    <t>ORD01849</t>
  </si>
  <si>
    <t>ORD01841</t>
  </si>
  <si>
    <t>ORD00608</t>
  </si>
  <si>
    <t>ORD01568</t>
  </si>
  <si>
    <t>Gita Pradipta</t>
  </si>
  <si>
    <t>ORD00141</t>
  </si>
  <si>
    <t>ORD00784</t>
  </si>
  <si>
    <t>ORD01656</t>
  </si>
  <si>
    <t>ORD00565</t>
  </si>
  <si>
    <t>ORD01217</t>
  </si>
  <si>
    <t>ORD00265</t>
  </si>
  <si>
    <t>ORD00003</t>
  </si>
  <si>
    <t>ORD00651</t>
  </si>
  <si>
    <t>ORD00955</t>
  </si>
  <si>
    <t>ORD00196</t>
  </si>
  <si>
    <t>ORD01459</t>
  </si>
  <si>
    <t>ORD00414</t>
  </si>
  <si>
    <t>ORD01488</t>
  </si>
  <si>
    <t>Ani Puspita</t>
  </si>
  <si>
    <t>ORD00172</t>
  </si>
  <si>
    <t>ORD01388</t>
  </si>
  <si>
    <t>ORD00323</t>
  </si>
  <si>
    <t>ORD01016</t>
  </si>
  <si>
    <t>ORD01806</t>
  </si>
  <si>
    <t>ORD01776</t>
  </si>
  <si>
    <t>ORD00306</t>
  </si>
  <si>
    <t>ORD01211</t>
  </si>
  <si>
    <t>ORD01254</t>
  </si>
  <si>
    <t>ORD00537</t>
  </si>
  <si>
    <t>ORD01009</t>
  </si>
  <si>
    <t>ORD01502</t>
  </si>
  <si>
    <t>ORD00856</t>
  </si>
  <si>
    <t>ORD01188</t>
  </si>
  <si>
    <t>ORD01040</t>
  </si>
  <si>
    <t>ORD01721</t>
  </si>
  <si>
    <t>ORD00163</t>
  </si>
  <si>
    <t>ORD01843</t>
  </si>
  <si>
    <t>ORD00886</t>
  </si>
  <si>
    <t>ORD01478</t>
  </si>
  <si>
    <t>ORD01150</t>
  </si>
  <si>
    <t>Aulia Hidayat</t>
  </si>
  <si>
    <t>ORD00596</t>
  </si>
  <si>
    <t>ORD01276</t>
  </si>
  <si>
    <t>ORD01632</t>
  </si>
  <si>
    <t>ORD00813</t>
  </si>
  <si>
    <t>ORD01301</t>
  </si>
  <si>
    <t>Clara Puspita</t>
  </si>
  <si>
    <t>ORD01402</t>
  </si>
  <si>
    <t>ORD00750</t>
  </si>
  <si>
    <t>ORD01317</t>
  </si>
  <si>
    <t>ORD01279</t>
  </si>
  <si>
    <t>ORD01083</t>
  </si>
  <si>
    <t>ORD00341</t>
  </si>
  <si>
    <t>ORD00363</t>
  </si>
  <si>
    <t>ORD01348</t>
  </si>
  <si>
    <t>ORD00436</t>
  </si>
  <si>
    <t>ORD01076</t>
  </si>
  <si>
    <t>ORD00160</t>
  </si>
  <si>
    <t>Erna Pradipta</t>
  </si>
  <si>
    <t>ORD00806</t>
  </si>
  <si>
    <t>ORD00470</t>
  </si>
  <si>
    <t>ORD01274</t>
  </si>
  <si>
    <t>ORD01527</t>
  </si>
  <si>
    <t>ORD01219</t>
  </si>
  <si>
    <t>ORD01445</t>
  </si>
  <si>
    <t>ORD00349</t>
  </si>
  <si>
    <t>ORD01450</t>
  </si>
  <si>
    <t>Rizky Puspita</t>
  </si>
  <si>
    <t>ORD01577</t>
  </si>
  <si>
    <t>ORD01772</t>
  </si>
  <si>
    <t>ORD01484</t>
  </si>
  <si>
    <t>ORD01416</t>
  </si>
  <si>
    <t>ORD00949</t>
  </si>
  <si>
    <t>ORD01818</t>
  </si>
  <si>
    <t>ORD01021</t>
  </si>
  <si>
    <t>ORD00606</t>
  </si>
  <si>
    <t>ORD01296</t>
  </si>
  <si>
    <t>ORD00838</t>
  </si>
  <si>
    <t>ORD01194</t>
  </si>
  <si>
    <t>ORD00728</t>
  </si>
  <si>
    <t>ORD01608</t>
  </si>
  <si>
    <t>ORD00603</t>
  </si>
  <si>
    <t>ORD00251</t>
  </si>
  <si>
    <t>ORD00787</t>
  </si>
  <si>
    <t>ORD01107</t>
  </si>
  <si>
    <t>ORD00159</t>
  </si>
  <si>
    <t>ORD00296</t>
  </si>
  <si>
    <t>ORD00841</t>
  </si>
  <si>
    <t>ORD01258</t>
  </si>
  <si>
    <t>ORD00625</t>
  </si>
  <si>
    <t>ORD01355</t>
  </si>
  <si>
    <t>ORD01759</t>
  </si>
  <si>
    <t>ORD01686</t>
  </si>
  <si>
    <t>ORD00772</t>
  </si>
  <si>
    <t>ORD01705</t>
  </si>
  <si>
    <t>ORD01024</t>
  </si>
  <si>
    <t>ORD01563</t>
  </si>
  <si>
    <t>ORD00085</t>
  </si>
  <si>
    <t>ORD01526</t>
  </si>
  <si>
    <t>ORD01752</t>
  </si>
  <si>
    <t>ORD01269</t>
  </si>
  <si>
    <t>ORD01336</t>
  </si>
  <si>
    <t>ORD01473</t>
  </si>
  <si>
    <t>ORD01792</t>
  </si>
  <si>
    <t>ORD00549</t>
  </si>
  <si>
    <t>ORD01499</t>
  </si>
  <si>
    <t>ORD00530</t>
  </si>
  <si>
    <t>ORD01221</t>
  </si>
  <si>
    <t>ORD00354</t>
  </si>
  <si>
    <t>ORD01074</t>
  </si>
  <si>
    <t>ORD00852</t>
  </si>
  <si>
    <t>ORD01141</t>
  </si>
  <si>
    <t>ORD00971</t>
  </si>
  <si>
    <t>ORD00834</t>
  </si>
  <si>
    <t>ORD00257</t>
  </si>
  <si>
    <t>ORD01774</t>
  </si>
  <si>
    <t>ORD00374</t>
  </si>
  <si>
    <t>ORD01692</t>
  </si>
  <si>
    <t>ORD01313</t>
  </si>
  <si>
    <t>ORD00771</t>
  </si>
  <si>
    <t>ORD01552</t>
  </si>
  <si>
    <t>ORD01383</t>
  </si>
  <si>
    <t>ORD01102</t>
  </si>
  <si>
    <t>ORD01172</t>
  </si>
  <si>
    <t>ORD00921</t>
  </si>
  <si>
    <t>ORD01294</t>
  </si>
  <si>
    <t>ORD01072</t>
  </si>
  <si>
    <t>ORD00744</t>
  </si>
  <si>
    <t>ORD00202</t>
  </si>
  <si>
    <t>ORD01005</t>
  </si>
  <si>
    <t>ORD00497</t>
  </si>
  <si>
    <t>Putri Santoso</t>
  </si>
  <si>
    <t>ORD00992</t>
  </si>
  <si>
    <t>ORD01847</t>
  </si>
  <si>
    <t>ORD00227</t>
  </si>
  <si>
    <t>ORD01319</t>
  </si>
  <si>
    <t>ORD01746</t>
  </si>
  <si>
    <t>ORD01286</t>
  </si>
  <si>
    <t>ORD00973</t>
  </si>
  <si>
    <t>ORD00280</t>
  </si>
  <si>
    <t>ORD01417</t>
  </si>
  <si>
    <t>ORD00891</t>
  </si>
  <si>
    <t>ORD01826</t>
  </si>
  <si>
    <t>ORD01015</t>
  </si>
  <si>
    <t>ORD01512</t>
  </si>
  <si>
    <t>Aulia Setiawan</t>
  </si>
  <si>
    <t>ORD00969</t>
  </si>
  <si>
    <t>ORD00407</t>
  </si>
  <si>
    <t>ORD00831</t>
  </si>
  <si>
    <t>ORD01592</t>
  </si>
  <si>
    <t>ORD00855</t>
  </si>
  <si>
    <t>ORD01441</t>
  </si>
  <si>
    <t>Gita Kurniawan</t>
  </si>
  <si>
    <t>ORD00985</t>
  </si>
  <si>
    <t>ORD01020</t>
  </si>
  <si>
    <t>ORD00157</t>
  </si>
  <si>
    <t>ORD01534</t>
  </si>
  <si>
    <t>ORD01448</t>
  </si>
  <si>
    <t>ORD00437</t>
  </si>
  <si>
    <t>ORD01452</t>
  </si>
  <si>
    <t>ORD00941</t>
  </si>
  <si>
    <t>ORD00983</t>
  </si>
  <si>
    <t>ORD01372</t>
  </si>
  <si>
    <t>ORD00840</t>
  </si>
  <si>
    <t>ORD00714</t>
  </si>
  <si>
    <t>ORD01679</t>
  </si>
  <si>
    <t>ORD01509</t>
  </si>
  <si>
    <t>ORD00109</t>
  </si>
  <si>
    <t>ORD00666</t>
  </si>
  <si>
    <t>ORD01069</t>
  </si>
  <si>
    <t>ORD01090</t>
  </si>
  <si>
    <t>ORD00729</t>
  </si>
  <si>
    <t>ORD01650</t>
  </si>
  <si>
    <t>ORD00883</t>
  </si>
  <si>
    <t>ORD01562</t>
  </si>
  <si>
    <t>ORD01370</t>
  </si>
  <si>
    <t>ORD00250</t>
  </si>
  <si>
    <t>ORD01492</t>
  </si>
  <si>
    <t>ORD01312</t>
  </si>
  <si>
    <t>ORD01165</t>
  </si>
  <si>
    <t>ORD01755</t>
  </si>
  <si>
    <t>ORD01524</t>
  </si>
  <si>
    <t>ORD01793</t>
  </si>
  <si>
    <t>Gita Budiman</t>
  </si>
  <si>
    <t>ORD00364</t>
  </si>
  <si>
    <t>ORD00945</t>
  </si>
  <si>
    <t>ORD00705</t>
  </si>
  <si>
    <t>ORD00461</t>
  </si>
  <si>
    <t>ORD00388</t>
  </si>
  <si>
    <t>ORD00901</t>
  </si>
  <si>
    <t>ORD01800</t>
  </si>
  <si>
    <t>ORD01611</t>
  </si>
  <si>
    <t>ORD00732</t>
  </si>
  <si>
    <t>ORD00532</t>
  </si>
  <si>
    <t>ORD01640</t>
  </si>
  <si>
    <t>ORD01157</t>
  </si>
  <si>
    <t>Dewi Kurniawan</t>
  </si>
  <si>
    <t>ORD00210</t>
  </si>
  <si>
    <t>ORD00979</t>
  </si>
  <si>
    <t>ORD00099</t>
  </si>
  <si>
    <t>ORD00942</t>
  </si>
  <si>
    <t>ORD01170</t>
  </si>
  <si>
    <t>ORD00817</t>
  </si>
  <si>
    <t>ORD00764</t>
  </si>
  <si>
    <t>Dewi Kusuma</t>
  </si>
  <si>
    <t>ORD00751</t>
  </si>
  <si>
    <t>ORD01859</t>
  </si>
  <si>
    <t>ORD00137</t>
  </si>
  <si>
    <t>ORD01757</t>
  </si>
  <si>
    <t>ORD00325</t>
  </si>
  <si>
    <t>ORD01302</t>
  </si>
  <si>
    <t>ORD01431</t>
  </si>
  <si>
    <t>ORD00897</t>
  </si>
  <si>
    <t>ORD01714</t>
  </si>
  <si>
    <t>ORD00073</t>
  </si>
  <si>
    <t>ORD00730</t>
  </si>
  <si>
    <t>ORD00743</t>
  </si>
  <si>
    <t>ORD01594</t>
  </si>
  <si>
    <t>ORD00132</t>
  </si>
  <si>
    <t>ORD01830</t>
  </si>
  <si>
    <t>ORD01303</t>
  </si>
  <si>
    <t>ORD00487</t>
  </si>
  <si>
    <t>ORD01295</t>
  </si>
  <si>
    <t>ORD00709</t>
  </si>
  <si>
    <t>ORD00698</t>
  </si>
  <si>
    <t>ORD00177</t>
  </si>
  <si>
    <t>ORD00863</t>
  </si>
  <si>
    <t>ORD00127</t>
  </si>
  <si>
    <t>ORD00489</t>
  </si>
  <si>
    <t>ORD01161</t>
  </si>
  <si>
    <t>ORD01379</t>
  </si>
  <si>
    <t>ORD01111</t>
  </si>
  <si>
    <t>ORD01164</t>
  </si>
  <si>
    <t>ORD00396</t>
  </si>
  <si>
    <t>ORD01629</t>
  </si>
  <si>
    <t>ORD00079</t>
  </si>
  <si>
    <t>ORD00965</t>
  </si>
  <si>
    <t>ORD00492</t>
  </si>
  <si>
    <t>ORD01378</t>
  </si>
  <si>
    <t>ORD00639</t>
  </si>
  <si>
    <t>ORD01339</t>
  </si>
  <si>
    <t>ORD00368</t>
  </si>
  <si>
    <t>Sari Setiawan</t>
  </si>
  <si>
    <t>ORD00351</t>
  </si>
  <si>
    <t>ORD01719</t>
  </si>
  <si>
    <t>ORD00896</t>
  </si>
  <si>
    <t>Dina Ananda</t>
  </si>
  <si>
    <t>ORD01687</t>
  </si>
  <si>
    <t>ORD00505</t>
  </si>
  <si>
    <t>ORD01204</t>
  </si>
  <si>
    <t>ORD00502</t>
  </si>
  <si>
    <t>ORD00258</t>
  </si>
  <si>
    <t>ORD00881</t>
  </si>
  <si>
    <t>ORD00899</t>
  </si>
  <si>
    <t>ORD00456</t>
  </si>
  <si>
    <t>ORD00688</t>
  </si>
  <si>
    <t>ORD00329</t>
  </si>
  <si>
    <t>ORD00797</t>
  </si>
  <si>
    <t>ORD00032</t>
  </si>
  <si>
    <t>ORD00579</t>
  </si>
  <si>
    <t>ORD01862</t>
  </si>
  <si>
    <t>ORD01812</t>
  </si>
  <si>
    <t>ORD00385</t>
  </si>
  <si>
    <t>ORD01446</t>
  </si>
  <si>
    <t>ORD00384</t>
  </si>
  <si>
    <t>ORD00630</t>
  </si>
  <si>
    <t>ORD00848</t>
  </si>
  <si>
    <t>ORD01663</t>
  </si>
  <si>
    <t>ORD01486</t>
  </si>
  <si>
    <t>ORD00673</t>
  </si>
  <si>
    <t>ORD00491</t>
  </si>
  <si>
    <t>ORD00672</t>
  </si>
  <si>
    <t>ORD01779</t>
  </si>
  <si>
    <t>ORD00060</t>
  </si>
  <si>
    <t>ORD00990</t>
  </si>
  <si>
    <t>ORD00648</t>
  </si>
  <si>
    <t>Andi Iskandar</t>
  </si>
  <si>
    <t>ORD01140</t>
  </si>
  <si>
    <t>ORD01333</t>
  </si>
  <si>
    <t>ORD00582</t>
  </si>
  <si>
    <t>ORD00209</t>
  </si>
  <si>
    <t>ORD00802</t>
  </si>
  <si>
    <t>ORD00350</t>
  </si>
  <si>
    <t>ORD01362</t>
  </si>
  <si>
    <t>ORD01408</t>
  </si>
  <si>
    <t>ORD01075</t>
  </si>
  <si>
    <t>ORD00309</t>
  </si>
  <si>
    <t>ORD00742</t>
  </si>
  <si>
    <t>Indra Maulana</t>
  </si>
  <si>
    <t>ORD00195</t>
  </si>
  <si>
    <t>ORD01112</t>
  </si>
  <si>
    <t>ORD01354</t>
  </si>
  <si>
    <t>ORD00048</t>
  </si>
  <si>
    <t>ORD00998</t>
  </si>
  <si>
    <t>ORD01203</t>
  </si>
  <si>
    <t>ORD01130</t>
  </si>
  <si>
    <t>ORD01784</t>
  </si>
  <si>
    <t>ORD01080</t>
  </si>
  <si>
    <t>ORD01717</t>
  </si>
  <si>
    <t>ORD00417</t>
  </si>
  <si>
    <t>ORD00158</t>
  </si>
  <si>
    <t>ORD00924</t>
  </si>
  <si>
    <t>ORD00122</t>
  </si>
  <si>
    <t>ORD01393</t>
  </si>
  <si>
    <t>ORD01469</t>
  </si>
  <si>
    <t>ORD01195</t>
  </si>
  <si>
    <t>ORD01754</t>
  </si>
  <si>
    <t>ORD01609</t>
  </si>
  <si>
    <t>ORD00877</t>
  </si>
  <si>
    <t>ORD00707</t>
  </si>
  <si>
    <t>ORD00554</t>
  </si>
  <si>
    <t>ORD00484</t>
  </si>
  <si>
    <t>ORD00097</t>
  </si>
  <si>
    <t>ORD00804</t>
  </si>
  <si>
    <t>ORD01733</t>
  </si>
  <si>
    <t>ORD01839</t>
  </si>
  <si>
    <t>ORD01425</t>
  </si>
  <si>
    <t>ORD01174</t>
  </si>
  <si>
    <t>ORD00778</t>
  </si>
  <si>
    <t>ORD00637</t>
  </si>
  <si>
    <t>ORD01411</t>
  </si>
  <si>
    <t>ORD00116</t>
  </si>
  <si>
    <t>ORD00459</t>
  </si>
  <si>
    <t>ORD01326</t>
  </si>
  <si>
    <t>ORD00066</t>
  </si>
  <si>
    <t>ORD00501</t>
  </si>
  <si>
    <t>ORD01421</t>
  </si>
  <si>
    <t>ORD00317</t>
  </si>
  <si>
    <t>ORD01068</t>
  </si>
  <si>
    <t>ORD01747</t>
  </si>
  <si>
    <t>ORD01641</t>
  </si>
  <si>
    <t>ORD00130</t>
  </si>
  <si>
    <t>ORD00423</t>
  </si>
  <si>
    <t>ORD00774</t>
  </si>
  <si>
    <t>ORD01709</t>
  </si>
  <si>
    <t>ORD00636</t>
  </si>
  <si>
    <t>ORD00259</t>
  </si>
  <si>
    <t>ORD01213</t>
  </si>
  <si>
    <t>ORD00319</t>
  </si>
  <si>
    <t>ORD01227</t>
  </si>
  <si>
    <t>ORD01210</t>
  </si>
  <si>
    <t>ORD01167</t>
  </si>
  <si>
    <t>ORD01231</t>
  </si>
  <si>
    <t>ORD01351</t>
  </si>
  <si>
    <t>ORD00685</t>
  </si>
  <si>
    <t>ORD00595</t>
  </si>
  <si>
    <t>ORD00518</t>
  </si>
  <si>
    <t>ORD00752</t>
  </si>
  <si>
    <t>ORD01532</t>
  </si>
  <si>
    <t>ORD00343</t>
  </si>
  <si>
    <t>ORD00682</t>
  </si>
  <si>
    <t>ORD01064</t>
  </si>
  <si>
    <t>ORD00057</t>
  </si>
  <si>
    <t>ORD00135</t>
  </si>
  <si>
    <t>ORD01267</t>
  </si>
  <si>
    <t>ORD00247</t>
  </si>
  <si>
    <t>ORD01086</t>
  </si>
  <si>
    <t>ORD01155</t>
  </si>
  <si>
    <t>ORD01595</t>
  </si>
  <si>
    <t>ORD00267</t>
  </si>
  <si>
    <t>ORD00570</t>
  </si>
  <si>
    <t>ORD01682</t>
  </si>
  <si>
    <t>ORD01419</t>
  </si>
  <si>
    <t>Eka Budiman</t>
  </si>
  <si>
    <t>ORD00864</t>
  </si>
  <si>
    <t>ORD01426</t>
  </si>
  <si>
    <t>ORD01604</t>
  </si>
  <si>
    <t>ORD01152</t>
  </si>
  <si>
    <t>ORD00092</t>
  </si>
  <si>
    <t>ORD01750</t>
  </si>
  <si>
    <t>ORD01665</t>
  </si>
  <si>
    <t>ORD01713</t>
  </si>
  <si>
    <t>ORD00934</t>
  </si>
  <si>
    <t>ORD00165</t>
  </si>
  <si>
    <t>ORD01272</t>
  </si>
  <si>
    <t>ORD01082</t>
  </si>
  <si>
    <t>ORD01457</t>
  </si>
  <si>
    <t>ORD01602</t>
  </si>
  <si>
    <t>ORD01474</t>
  </si>
  <si>
    <t>Rizky Ananda</t>
  </si>
  <si>
    <t>ORD01807</t>
  </si>
  <si>
    <t>ORD00065</t>
  </si>
  <si>
    <t>ORD01179</t>
  </si>
  <si>
    <t>ORD00715</t>
  </si>
  <si>
    <t>ORD00188</t>
  </si>
  <si>
    <t>ORD00766</t>
  </si>
  <si>
    <t>ORD01264</t>
  </si>
  <si>
    <t>ORD01027</t>
  </si>
  <si>
    <t>ORD01252</t>
  </si>
  <si>
    <t>ORD01865</t>
  </si>
  <si>
    <t>ORD00161</t>
  </si>
  <si>
    <t>ORD00571</t>
  </si>
  <si>
    <t>ORD01225</t>
  </si>
  <si>
    <t>ORD01134</t>
  </si>
  <si>
    <t>ORD00019</t>
  </si>
  <si>
    <t>ORD01777</t>
  </si>
  <si>
    <t>ORD00348</t>
  </si>
  <si>
    <t>ORD01722</t>
  </si>
  <si>
    <t>ORD01780</t>
  </si>
  <si>
    <t>ORD00819</t>
  </si>
  <si>
    <t>ORD01418</t>
  </si>
  <si>
    <t>ORD01866</t>
  </si>
  <si>
    <t>ORD00758</t>
  </si>
  <si>
    <t>ORD01224</t>
  </si>
  <si>
    <t>ORD01387</t>
  </si>
  <si>
    <t>ORD01531</t>
  </si>
  <si>
    <t>ORD01654</t>
  </si>
  <si>
    <t>ORD01026</t>
  </si>
  <si>
    <t>ORD00488</t>
  </si>
  <si>
    <t>ORD01698</t>
  </si>
  <si>
    <t>ORD01620</t>
  </si>
  <si>
    <t>ORD01635</t>
  </si>
  <si>
    <t>ORD01861</t>
  </si>
  <si>
    <t>ORD00607</t>
  </si>
  <si>
    <t>Andi Budiman</t>
  </si>
  <si>
    <t>ORD00055</t>
  </si>
  <si>
    <t>Bayu Ramadhani</t>
  </si>
  <si>
    <t>ORD00635</t>
  </si>
  <si>
    <t>ORD01396</t>
  </si>
  <si>
    <t>ORD01247</t>
  </si>
  <si>
    <t>ORD00253</t>
  </si>
  <si>
    <t>ORD01623</t>
  </si>
  <si>
    <t>ORD00950</t>
  </si>
  <si>
    <t>ORD00415</t>
  </si>
  <si>
    <t>ORD00314</t>
  </si>
  <si>
    <t>ORD00056</t>
  </si>
  <si>
    <t>ORD01110</t>
  </si>
  <si>
    <t>ORD01838</t>
  </si>
  <si>
    <t>ORD00690</t>
  </si>
  <si>
    <t>ORD00468</t>
  </si>
  <si>
    <t>Qori Iskandar</t>
  </si>
  <si>
    <t>ORD00252</t>
  </si>
  <si>
    <t>ORD01744</t>
  </si>
  <si>
    <t>ORD00440</t>
  </si>
  <si>
    <t>ORD01181</t>
  </si>
  <si>
    <t>ORD01115</t>
  </si>
  <si>
    <t>ORD00693</t>
  </si>
  <si>
    <t>ORD01384</t>
  </si>
  <si>
    <t>ORD00768</t>
  </si>
  <si>
    <t>ORD00917</t>
  </si>
  <si>
    <t>ORD00683</t>
  </si>
  <si>
    <t>ORD01651</t>
  </si>
  <si>
    <t>ORD01207</t>
  </si>
  <si>
    <t>ORD00101</t>
  </si>
  <si>
    <t>ORD00290</t>
  </si>
  <si>
    <t>ORD01100</t>
  </si>
  <si>
    <t>ORD00318</t>
  </si>
  <si>
    <t>ORD00829</t>
  </si>
  <si>
    <t>ORD01523</t>
  </si>
  <si>
    <t>ORD00692</t>
  </si>
  <si>
    <t>ORD01176</t>
  </si>
  <si>
    <t>ORD01570</t>
  </si>
  <si>
    <t>ORD00002</t>
  </si>
  <si>
    <t>ORD01038</t>
  </si>
  <si>
    <t>ORD01517</t>
  </si>
  <si>
    <t>ORD00947</t>
  </si>
  <si>
    <t>ORD01740</t>
  </si>
  <si>
    <t>ORD01000</t>
  </si>
  <si>
    <t>ORD01766</t>
  </si>
  <si>
    <t>ORD01382</t>
  </si>
  <si>
    <t>ORD01423</t>
  </si>
  <si>
    <t>ORD01148</t>
  </si>
  <si>
    <t>ORD00694</t>
  </si>
  <si>
    <t>ORD00890</t>
  </si>
  <si>
    <t>ORD01590</t>
  </si>
  <si>
    <t>ORD01230</t>
  </si>
  <si>
    <t>ORD01463</t>
  </si>
  <si>
    <t>ORD00740</t>
  </si>
  <si>
    <t>ORD01018</t>
  </si>
  <si>
    <t>ORD01621</t>
  </si>
  <si>
    <t>ORD00242</t>
  </si>
  <si>
    <t>Sari Fauziah</t>
  </si>
  <si>
    <t>ORD00426</t>
  </si>
  <si>
    <t>ORD01039</t>
  </si>
  <si>
    <t>ORD00825</t>
  </si>
  <si>
    <t>ORD01041</t>
  </si>
  <si>
    <t>ORD01513</t>
  </si>
  <si>
    <t>ORD00115</t>
  </si>
  <si>
    <t>ORD01466</t>
  </si>
  <si>
    <t>ORD00613</t>
  </si>
  <si>
    <t>ORD01689</t>
  </si>
  <si>
    <t>ORD01277</t>
  </si>
  <si>
    <t>ORD00241</t>
  </si>
  <si>
    <t>ORD00091</t>
  </si>
  <si>
    <t>ORD00847</t>
  </si>
  <si>
    <t>ORD01229</t>
  </si>
  <si>
    <t>ORD00650</t>
  </si>
  <si>
    <t>ORD01443</t>
  </si>
  <si>
    <t>ORD01432</t>
  </si>
  <si>
    <t>ORD00146</t>
  </si>
  <si>
    <t>ORD00719</t>
  </si>
  <si>
    <t>ORD01033</t>
  </si>
  <si>
    <t>ORD00944</t>
  </si>
  <si>
    <t>ORD01801</t>
  </si>
  <si>
    <t>ORD00578</t>
  </si>
  <si>
    <t>ORD00769</t>
  </si>
  <si>
    <t>ORD00190</t>
  </si>
  <si>
    <t>ORD01137</t>
  </si>
  <si>
    <t>ORD00818</t>
  </si>
  <si>
    <t>ORD00463</t>
  </si>
  <si>
    <t>ORD00310</t>
  </si>
  <si>
    <t>ORD00929</t>
  </si>
  <si>
    <t>ORD00691</t>
  </si>
  <si>
    <t>ORD01397</t>
  </si>
  <si>
    <t>ORD00382</t>
  </si>
  <si>
    <t>ORD00490</t>
  </si>
  <si>
    <t>ORD00671</t>
  </si>
  <si>
    <t>ORD01591</t>
  </si>
  <si>
    <t>ORD00136</t>
  </si>
  <si>
    <t>Kartika Utami</t>
  </si>
  <si>
    <t>ORD01790</t>
  </si>
  <si>
    <t>ORD01727</t>
  </si>
  <si>
    <t>ORD00076</t>
  </si>
  <si>
    <t>ORD01756</t>
  </si>
  <si>
    <t>ORD00894</t>
  </si>
  <si>
    <t>ORD00288</t>
  </si>
  <si>
    <t>ORD01358</t>
  </si>
  <si>
    <t>ORD00849</t>
  </si>
  <si>
    <t>ORD01331</t>
  </si>
  <si>
    <t>ORD01864</t>
  </si>
  <si>
    <t>ORD00594</t>
  </si>
  <si>
    <t>ORD01737</t>
  </si>
  <si>
    <t>ORD00878</t>
  </si>
  <si>
    <t>ORD01840</t>
  </si>
  <si>
    <t>ORD01593</t>
  </si>
  <si>
    <t>ORD00737</t>
  </si>
  <si>
    <t>ORD00770</t>
  </si>
  <si>
    <t>ORD01186</t>
  </si>
  <si>
    <t>ORD00997</t>
  </si>
  <si>
    <t>ORD01824</t>
  </si>
  <si>
    <t>ORD01522</t>
  </si>
  <si>
    <t>ORD00668</t>
  </si>
  <si>
    <t>ORD01788</t>
  </si>
  <si>
    <t>ORD01359</t>
  </si>
  <si>
    <t>ORD01442</t>
  </si>
  <si>
    <t>ORD00560</t>
  </si>
  <si>
    <t>ORD00342</t>
  </si>
  <si>
    <t>ORD00335</t>
  </si>
  <si>
    <t>ORD01184</t>
  </si>
  <si>
    <t>ORD00482</t>
  </si>
  <si>
    <t>ORD01852</t>
  </si>
  <si>
    <t>ORD01142</t>
  </si>
  <si>
    <t>ORD01196</t>
  </si>
  <si>
    <t>ORD00121</t>
  </si>
  <si>
    <t>ORD01749</t>
  </si>
  <si>
    <t>ORD00080</t>
  </si>
  <si>
    <t>ORD00292</t>
  </si>
  <si>
    <t>ORD00425</t>
  </si>
  <si>
    <t>ORD01245</t>
  </si>
  <si>
    <t>ORD01458</t>
  </si>
  <si>
    <t>ORD01470</t>
  </si>
  <si>
    <t>ORD00301</t>
  </si>
  <si>
    <t>ORD01845</t>
  </si>
  <si>
    <t>ORD00962</t>
  </si>
  <si>
    <t>ORD01533</t>
  </si>
  <si>
    <t>ORD01297</t>
  </si>
  <si>
    <t>ORD00164</t>
  </si>
  <si>
    <t>ORD01684</t>
  </si>
  <si>
    <t>ORD01809</t>
  </si>
  <si>
    <t>ORD01360</t>
  </si>
  <si>
    <t>ORD01315</t>
  </si>
  <si>
    <t>ORD00387</t>
  </si>
  <si>
    <t>ORD01786</t>
  </si>
  <si>
    <t>ORD00446</t>
  </si>
  <si>
    <t>ORD01228</t>
  </si>
  <si>
    <t>ORD01648</t>
  </si>
  <si>
    <t>ORD00041</t>
  </si>
  <si>
    <t>ORD00923</t>
  </si>
  <si>
    <t>ORD01366</t>
  </si>
  <si>
    <t>ORD00472</t>
  </si>
  <si>
    <t>ORD00736</t>
  </si>
  <si>
    <t>ORD01103</t>
  </si>
  <si>
    <t>ORD00344</t>
  </si>
  <si>
    <t>ORD01013</t>
  </si>
  <si>
    <t>ORD00621</t>
  </si>
  <si>
    <t>ORD00118</t>
  </si>
  <si>
    <t>ORD00134</t>
  </si>
  <si>
    <t>ORD00126</t>
  </si>
  <si>
    <t>ORD01061</t>
  </si>
  <si>
    <t>ORD00308</t>
  </si>
  <si>
    <t>ORD01645</t>
  </si>
  <si>
    <t>ORD00469</t>
  </si>
  <si>
    <t>ORD00516</t>
  </si>
  <si>
    <t>ORD01035</t>
  </si>
  <si>
    <t>ORD01012</t>
  </si>
  <si>
    <t>ORD01261</t>
  </si>
  <si>
    <t>ORD00448</t>
  </si>
  <si>
    <t>ORD01216</t>
  </si>
  <si>
    <t>ORD01222</t>
  </si>
  <si>
    <t>ORD01787</t>
  </si>
  <si>
    <t>ORD01624</t>
  </si>
  <si>
    <t>ORD00312</t>
  </si>
  <si>
    <t>Zahra Hidayat</t>
  </si>
  <si>
    <t>ORD00978</t>
  </si>
  <si>
    <t>ORD01836</t>
  </si>
  <si>
    <t>ORD01631</t>
  </si>
  <si>
    <t>ORD01031</t>
  </si>
  <si>
    <t>ORD01615</t>
  </si>
  <si>
    <t>ORD01365</t>
  </si>
  <si>
    <t>ORD01129</t>
  </si>
  <si>
    <t>ORD00370</t>
  </si>
  <si>
    <t>Eka Kusuma</t>
  </si>
  <si>
    <t>ORD00587</t>
  </si>
  <si>
    <t>Gita Halim</t>
  </si>
  <si>
    <t>ORD01825</t>
  </si>
  <si>
    <t>ORD00424</t>
  </si>
  <si>
    <t>ORD01019</t>
  </si>
  <si>
    <t>Hana Santoso</t>
  </si>
  <si>
    <t>ORD01253</t>
  </si>
  <si>
    <t>ORD00089</t>
  </si>
  <si>
    <t>ORD00550</t>
  </si>
  <si>
    <t>ORD01143</t>
  </si>
  <si>
    <t>ORD00321</t>
  </si>
  <si>
    <t>ORD00010</t>
  </si>
  <si>
    <t>ORD01564</t>
  </si>
  <si>
    <t>ORD01694</t>
  </si>
  <si>
    <t>ORD00340</t>
  </si>
  <si>
    <t>ORD00205</t>
  </si>
  <si>
    <t>ORD01257</t>
  </si>
  <si>
    <t>ORD00268</t>
  </si>
  <si>
    <t>ORD00547</t>
  </si>
  <si>
    <t>ORD00203</t>
  </si>
  <si>
    <t>ORD01136</t>
  </si>
  <si>
    <t>ORD01863</t>
  </si>
  <si>
    <t>ORD01676</t>
  </si>
  <si>
    <t>ORD01399</t>
  </si>
  <si>
    <t>ORD01092</t>
  </si>
  <si>
    <t>ORD01628</t>
  </si>
  <si>
    <t>ORD00279</t>
  </si>
  <si>
    <t>ORD01612</t>
  </si>
  <si>
    <t>ORD00201</t>
  </si>
  <si>
    <t>Qori Wijaya</t>
  </si>
  <si>
    <t>ORD01597</t>
  </si>
  <si>
    <t>ORD00284</t>
  </si>
  <si>
    <t>ORD00298</t>
  </si>
  <si>
    <t>ORD01096</t>
  </si>
  <si>
    <t>ORD00963</t>
  </si>
  <si>
    <t>ORD01329</t>
  </si>
  <si>
    <t>ORD01736</t>
  </si>
  <si>
    <t>ORD00481</t>
  </si>
  <si>
    <t>ORD01117</t>
  </si>
  <si>
    <t>ORD00047</t>
  </si>
  <si>
    <t>ORD00270</t>
  </si>
  <si>
    <t>ORD00786</t>
  </si>
  <si>
    <t>ORD00654</t>
  </si>
  <si>
    <t>ORD00263</t>
  </si>
  <si>
    <t>ORD01724</t>
  </si>
  <si>
    <t>ORD00604</t>
  </si>
  <si>
    <t>ORD00282</t>
  </si>
  <si>
    <t>ORD00018</t>
  </si>
  <si>
    <t>Tono Puspita</t>
  </si>
  <si>
    <t>ORD01367</t>
  </si>
  <si>
    <t>ORD01007</t>
  </si>
  <si>
    <t>ORD00986</t>
  </si>
  <si>
    <t>ORD01856</t>
  </si>
  <si>
    <t>ORD00476</t>
  </si>
  <si>
    <t>ORD01467</t>
  </si>
  <si>
    <t>ORD00064</t>
  </si>
  <si>
    <t>ORD00416</t>
  </si>
  <si>
    <t>ORD00703</t>
  </si>
  <si>
    <t>ORD00914</t>
  </si>
  <si>
    <t>ORD01368</t>
  </si>
  <si>
    <t>ORD01250</t>
  </si>
  <si>
    <t>ORD01344</t>
  </si>
  <si>
    <t>ORD00087</t>
  </si>
  <si>
    <t>ORD00429</t>
  </si>
  <si>
    <t>ORD00033</t>
  </si>
  <si>
    <t>ORD00485</t>
  </si>
  <si>
    <t>ORD00103</t>
  </si>
  <si>
    <t>ORD01262</t>
  </si>
  <si>
    <t>ORD00858</t>
  </si>
  <si>
    <t>ORD01284</t>
  </si>
  <si>
    <t>ORD01056</t>
  </si>
  <si>
    <t>ORD01528</t>
  </si>
  <si>
    <t>ORD00324</t>
  </si>
  <si>
    <t>ORD00067</t>
  </si>
  <si>
    <t>ORD01765</t>
  </si>
  <si>
    <t>ORD00765</t>
  </si>
  <si>
    <t>ORD00568</t>
  </si>
  <si>
    <t>ORD01642</t>
  </si>
  <si>
    <t>ORD00776</t>
  </si>
  <si>
    <t>ORD01508</t>
  </si>
  <si>
    <t>ORD01381</t>
  </si>
  <si>
    <t>ORD00884</t>
  </si>
  <si>
    <t>ORD00792</t>
  </si>
  <si>
    <t>ORD01390</t>
  </si>
  <si>
    <t>ORD01093</t>
  </si>
  <si>
    <t>ORD01860</t>
  </si>
  <si>
    <t>ORD00721</t>
  </si>
  <si>
    <t>ORD01637</t>
  </si>
  <si>
    <t>ORD00577</t>
  </si>
  <si>
    <t>ORD01305</t>
  </si>
  <si>
    <t>ORD00054</t>
  </si>
  <si>
    <t>ORD00052</t>
  </si>
  <si>
    <t>Made Budiman</t>
  </si>
  <si>
    <t>ORD01070</t>
  </si>
  <si>
    <t>ORD00665</t>
  </si>
  <si>
    <t>ORD00722</t>
  </si>
  <si>
    <t>ORD00418</t>
  </si>
  <si>
    <t>ORD01785</t>
  </si>
  <si>
    <t>ORD01837</t>
  </si>
  <si>
    <t>ORD00293</t>
  </si>
  <si>
    <t>Sari Ananda</t>
  </si>
  <si>
    <t>ORD01436</t>
  </si>
  <si>
    <t>ORD01094</t>
  </si>
  <si>
    <t>ORD01162</t>
  </si>
  <si>
    <t>ORD01745</t>
  </si>
  <si>
    <t>ORD00506</t>
  </si>
  <si>
    <t>ORD00597</t>
  </si>
  <si>
    <t>ORD00617</t>
  </si>
  <si>
    <t>ORD01510</t>
  </si>
  <si>
    <t>ORD00113</t>
  </si>
  <si>
    <t>ORD01098</t>
  </si>
  <si>
    <t>ORD00767</t>
  </si>
  <si>
    <t>ORD01808</t>
  </si>
  <si>
    <t>ORD00745</t>
  </si>
  <si>
    <t>ORD01783</t>
  </si>
  <si>
    <t>ORD00046</t>
  </si>
  <si>
    <t>ORD00183</t>
  </si>
  <si>
    <t>Aulia Nugroho</t>
  </si>
  <si>
    <t>ORD00842</t>
  </si>
  <si>
    <t>ORD00399</t>
  </si>
  <si>
    <t>ORD00561</t>
  </si>
  <si>
    <t>ORD00360</t>
  </si>
  <si>
    <t>ORD01412</t>
  </si>
  <si>
    <t>ORD00123</t>
  </si>
  <si>
    <t>ORD01400</t>
  </si>
  <si>
    <t>ORD00938</t>
  </si>
  <si>
    <t>ORD01268</t>
  </si>
  <si>
    <t>ORD01405</t>
  </si>
  <si>
    <t>ORD01771</t>
  </si>
  <si>
    <t>ORD00381</t>
  </si>
  <si>
    <t>ORD00920</t>
  </si>
  <si>
    <t>ORD01037</t>
  </si>
  <si>
    <t>ORD00717</t>
  </si>
  <si>
    <t>ORD00295</t>
  </si>
  <si>
    <t>ORD00913</t>
  </si>
  <si>
    <t>ORD00333</t>
  </si>
  <si>
    <t>ORD01546</t>
  </si>
  <si>
    <t>ORD00004</t>
  </si>
  <si>
    <t>ORD01858</t>
  </si>
  <si>
    <t>ORD00669</t>
  </si>
  <si>
    <t>ORD00720</t>
  </si>
  <si>
    <t>ORD01625</t>
  </si>
  <si>
    <t>ORD00583</t>
  </si>
  <si>
    <t>ORD00020</t>
  </si>
  <si>
    <t>Rizky Saputra</t>
  </si>
  <si>
    <t>ORD01114</t>
  </si>
  <si>
    <t>ORD00499</t>
  </si>
  <si>
    <t>ORD00572</t>
  </si>
  <si>
    <t>ORD00558</t>
  </si>
  <si>
    <t>ORD01690</t>
  </si>
  <si>
    <t>ORD00898</t>
  </si>
  <si>
    <t>ORD00338</t>
  </si>
  <si>
    <t>ORD00285</t>
  </si>
  <si>
    <t>ORD00631</t>
  </si>
  <si>
    <t>ORD01440</t>
  </si>
  <si>
    <t>ORD00454</t>
  </si>
  <si>
    <t>ORD00711</t>
  </si>
  <si>
    <t>ORD00984</t>
  </si>
  <si>
    <t>ORD01718</t>
  </si>
  <si>
    <t>ORD00738</t>
  </si>
  <si>
    <t>ORD00602</t>
  </si>
  <si>
    <t>ORD01501</t>
  </si>
  <si>
    <t>ORD00839</t>
  </si>
  <si>
    <t>ORD00125</t>
  </si>
  <si>
    <t>ORD00756</t>
  </si>
  <si>
    <t>ORD00359</t>
  </si>
  <si>
    <t>ORD00557</t>
  </si>
  <si>
    <t>ORD00652</t>
  </si>
  <si>
    <t>ORD01343</t>
  </si>
  <si>
    <t>ORD00460</t>
  </si>
  <si>
    <t>ORD01215</t>
  </si>
  <si>
    <t>ORD01627</t>
  </si>
  <si>
    <t>ORD00833</t>
  </si>
  <si>
    <t>ORD01683</t>
  </si>
  <si>
    <t>ORD00880</t>
  </si>
  <si>
    <t>ORD00274</t>
  </si>
  <si>
    <t>ORD01811</t>
  </si>
  <si>
    <t>ORD01613</t>
  </si>
  <si>
    <t>ORD01742</t>
  </si>
  <si>
    <t>ORD01273</t>
  </si>
  <si>
    <t>ORD01321</t>
  </si>
  <si>
    <t>ORD00408</t>
  </si>
  <si>
    <t>ORD00626</t>
  </si>
  <si>
    <t>ORD01386</t>
  </si>
  <si>
    <t>ORD01256</t>
  </si>
  <si>
    <t>ORD00373</t>
  </si>
  <si>
    <t>ORD00615</t>
  </si>
  <si>
    <t>ORD01159</t>
  </si>
  <si>
    <t>ORD01338</t>
  </si>
  <si>
    <t>ORD01166</t>
  </si>
  <si>
    <t>ORD01185</t>
  </si>
  <si>
    <t>ORD01285</t>
  </si>
  <si>
    <t>ORD01542</t>
  </si>
  <si>
    <t>ORD01666</t>
  </si>
  <si>
    <t>ORD00757</t>
  </si>
  <si>
    <t>ORD01236</t>
  </si>
  <si>
    <t>ORD01153</t>
  </si>
  <si>
    <t>ORD01429</t>
  </si>
  <si>
    <t>ORD00356</t>
  </si>
  <si>
    <t>ORD00611</t>
  </si>
  <si>
    <t>ORD01680</t>
  </si>
  <si>
    <t>ORD00117</t>
  </si>
  <si>
    <t>ORD00339</t>
  </si>
  <si>
    <t>ORD01324</t>
  </si>
  <si>
    <t>ORD00726</t>
  </si>
  <si>
    <t>ORD01614</t>
  </si>
  <si>
    <t>ORD00377</t>
  </si>
  <si>
    <t>ORD01496</t>
  </si>
  <si>
    <t>ORD00119</t>
  </si>
  <si>
    <t>ORD01802</t>
  </si>
  <si>
    <t>ORD01598</t>
  </si>
  <si>
    <t>ORD00664</t>
  </si>
  <si>
    <t>ORD00622</t>
  </si>
  <si>
    <t>ORD00912</t>
  </si>
  <si>
    <t>ORD00112</t>
  </si>
  <si>
    <t>Kartika Ramadhani</t>
  </si>
  <si>
    <t>ORD01494</t>
  </si>
  <si>
    <t>ORD01828</t>
  </si>
  <si>
    <t>ORD00598</t>
  </si>
  <si>
    <t>ORD01241</t>
  </si>
  <si>
    <t>ORD00255</t>
  </si>
  <si>
    <t>ORD00078</t>
  </si>
  <si>
    <t>ORD00246</t>
  </si>
  <si>
    <t>ORD00106</t>
  </si>
  <si>
    <t>ORD01551</t>
  </si>
  <si>
    <t>ORD00545</t>
  </si>
  <si>
    <t>ORD01748</t>
  </si>
  <si>
    <t>ORD00357</t>
  </si>
  <si>
    <t>ORD00822</t>
  </si>
  <si>
    <t>ORD00567</t>
  </si>
  <si>
    <t>Zahra Ramadhani</t>
  </si>
  <si>
    <t>ORD01043</t>
  </si>
  <si>
    <t>ORD01322</t>
  </si>
  <si>
    <t>ORD01120</t>
  </si>
  <si>
    <t>ORD01289</t>
  </si>
  <si>
    <t>ORD00245</t>
  </si>
  <si>
    <t>ORD00911</t>
  </si>
  <si>
    <t>ORD00345</t>
  </si>
  <si>
    <t>ORD01699</t>
  </si>
  <si>
    <t>ORD00093</t>
  </si>
  <si>
    <t>ORD00070</t>
  </si>
  <si>
    <t>ORD01270</t>
  </si>
  <si>
    <t>ORD00271</t>
  </si>
  <si>
    <t>ORD01760</t>
  </si>
  <si>
    <t>ORD00655</t>
  </si>
  <si>
    <t>ORD01242</t>
  </si>
  <si>
    <t>ORD00036</t>
  </si>
  <si>
    <t>ORD00680</t>
  </si>
  <si>
    <t>ORD00718</t>
  </si>
  <si>
    <t>ORD01599</t>
  </si>
  <si>
    <t>ORD01685</t>
  </si>
  <si>
    <t>ORD01791</t>
  </si>
  <si>
    <t>ORD00581</t>
  </si>
  <si>
    <t>ORD00540</t>
  </si>
  <si>
    <t>ORD01350</t>
  </si>
  <si>
    <t>ORD01398</t>
  </si>
  <si>
    <t>ORD00007</t>
  </si>
  <si>
    <t>ORD00815</t>
  </si>
  <si>
    <t>ORD00401</t>
  </si>
  <si>
    <t>ORD00563</t>
  </si>
  <si>
    <t>ORD00347</t>
  </si>
  <si>
    <t>ORD01456</t>
  </si>
  <si>
    <t>ORD00367</t>
  </si>
  <si>
    <t>ORD01332</t>
  </si>
  <si>
    <t>ORD01525</t>
  </si>
  <si>
    <t>ORD00001</t>
  </si>
  <si>
    <t>ORD00552</t>
  </si>
  <si>
    <t>ORD01085</t>
  </si>
  <si>
    <t>ORD00953</t>
  </si>
  <si>
    <t>ORD01243</t>
  </si>
  <si>
    <t>ORD01618</t>
  </si>
  <si>
    <t>ORD01287</t>
  </si>
  <si>
    <t>ORD01589</t>
  </si>
  <si>
    <t>ORD00935</t>
  </si>
  <si>
    <t>ORD01158</t>
  </si>
  <si>
    <t>ORD00180</t>
  </si>
  <si>
    <t>ORD00873</t>
  </si>
  <si>
    <t>ORD00820</t>
  </si>
  <si>
    <t>ORD01622</t>
  </si>
  <si>
    <t>ORD01814</t>
  </si>
  <si>
    <t>ORD01553</t>
  </si>
  <si>
    <t>ORD01503</t>
  </si>
  <si>
    <t>ORD00100</t>
  </si>
  <si>
    <t>ORD00294</t>
  </si>
  <si>
    <t>ORD01199</t>
  </si>
  <si>
    <t>ORD01309</t>
  </si>
  <si>
    <t>ORD00392</t>
  </si>
  <si>
    <t>ORD01820</t>
  </si>
  <si>
    <t>ORD01032</t>
  </si>
  <si>
    <t>ORD00723</t>
  </si>
  <si>
    <t>ORD01260</t>
  </si>
  <si>
    <t>ORD01571</t>
  </si>
  <si>
    <t>ORD01385</t>
  </si>
  <si>
    <t>ORD01634</t>
  </si>
  <si>
    <t>ORD01555</t>
  </si>
  <si>
    <t>ORD01434</t>
  </si>
  <si>
    <t>ORD00467</t>
  </si>
  <si>
    <t>ORD00846</t>
  </si>
  <si>
    <t>ORD00322</t>
  </si>
  <si>
    <t>ORD00140</t>
  </si>
  <si>
    <t>ORD01444</t>
  </si>
  <si>
    <t>ORD01468</t>
  </si>
  <si>
    <t>ORD00739</t>
  </si>
  <si>
    <t>ORD00783</t>
  </si>
  <si>
    <t>ORD00150</t>
  </si>
  <si>
    <t>ORD00178</t>
  </si>
  <si>
    <t>ORD00791</t>
  </si>
  <si>
    <t>ORD01842</t>
  </si>
  <si>
    <t>ORD00981</t>
  </si>
  <si>
    <t>ORD01089</t>
  </si>
  <si>
    <t>ORD00867</t>
  </si>
  <si>
    <t>ORD00906</t>
  </si>
  <si>
    <t>ORD00478</t>
  </si>
  <si>
    <t>ORD01048</t>
  </si>
  <si>
    <t>ORD01391</t>
  </si>
  <si>
    <t>ORD00814</t>
  </si>
  <si>
    <t>ORD00937</t>
  </si>
  <si>
    <t>ORD01743</t>
  </si>
  <si>
    <t>ORD00236</t>
  </si>
  <si>
    <t>ORD01298</t>
  </si>
  <si>
    <t>ORD00869</t>
  </si>
  <si>
    <t>ORD01097</t>
  </si>
  <si>
    <t>ORD00760</t>
  </si>
  <si>
    <t>ORD01299</t>
  </si>
  <si>
    <t>ORD00142</t>
  </si>
  <si>
    <t>ORD00332</t>
  </si>
  <si>
    <t>ORD01249</t>
  </si>
  <si>
    <t>ORD01472</t>
  </si>
  <si>
    <t>ORD00266</t>
  </si>
  <si>
    <t>ORD01846</t>
  </si>
  <si>
    <t>ORD00810</t>
  </si>
  <si>
    <t>ORD00853</t>
  </si>
  <si>
    <t>ORD01688</t>
  </si>
  <si>
    <t>ORD01011</t>
  </si>
  <si>
    <t>ORD01482</t>
  </si>
  <si>
    <t>ORD00647</t>
  </si>
  <si>
    <t>ORD00243</t>
  </si>
  <si>
    <t>ORD01346</t>
  </si>
  <si>
    <t>ORD01588</t>
  </si>
  <si>
    <t>ORD00555</t>
  </si>
  <si>
    <t>ORD01479</t>
  </si>
  <si>
    <t>ORD01183</t>
  </si>
  <si>
    <t>ORD00902</t>
  </si>
  <si>
    <t>ORD00154</t>
  </si>
  <si>
    <t>ORD00176</t>
  </si>
  <si>
    <t>ORD00527</t>
  </si>
  <si>
    <t>ORD00731</t>
  </si>
  <si>
    <t>ORD00629</t>
  </si>
  <si>
    <t>ORD01049</t>
  </si>
  <si>
    <t>ORD00389</t>
  </si>
  <si>
    <t>ORD00708</t>
  </si>
  <si>
    <t>ORD01002</t>
  </si>
  <si>
    <t>ORD00610</t>
  </si>
  <si>
    <t>ORD00466</t>
  </si>
  <si>
    <t>ORD00659</t>
  </si>
  <si>
    <t>ORD00168</t>
  </si>
  <si>
    <t>ORD01701</t>
  </si>
  <si>
    <t>ORD01587</t>
  </si>
  <si>
    <t>ORD00027</t>
  </si>
  <si>
    <t>ORD00303</t>
  </si>
  <si>
    <t>ORD00192</t>
  </si>
  <si>
    <t>ORD00299</t>
  </si>
  <si>
    <t>ORD00147</t>
  </si>
  <si>
    <t>ORD00304</t>
  </si>
  <si>
    <t>ORD00860</t>
  </si>
  <si>
    <t>ORD00447</t>
  </si>
  <si>
    <t>ORD00039</t>
  </si>
  <si>
    <t>ORD01314</t>
  </si>
  <si>
    <t>ORD01797</t>
  </si>
  <si>
    <t>ORD00676</t>
  </si>
  <si>
    <t>ORD00593</t>
  </si>
  <si>
    <t>ORD00755</t>
  </si>
  <si>
    <t>ORD00687</t>
  </si>
  <si>
    <t>ORD01566</t>
  </si>
  <si>
    <t>ORD00700</t>
  </si>
  <si>
    <t>ORD00553</t>
  </si>
  <si>
    <t>Returned</t>
  </si>
  <si>
    <t>Completed</t>
  </si>
  <si>
    <t>Shipped</t>
  </si>
  <si>
    <t>Cancelled</t>
  </si>
  <si>
    <t>Pending</t>
  </si>
  <si>
    <t>Discout Account</t>
  </si>
  <si>
    <t>Discount Kategori</t>
  </si>
  <si>
    <t>Range Discount</t>
  </si>
  <si>
    <t>&gt;</t>
  </si>
  <si>
    <t>Sangat Rendah</t>
  </si>
  <si>
    <t>Rendah</t>
  </si>
  <si>
    <t>Tinggi</t>
  </si>
  <si>
    <t>AllOut</t>
  </si>
  <si>
    <t>Disc Kategori</t>
  </si>
  <si>
    <t>Normal</t>
  </si>
  <si>
    <t>Frekuensi</t>
  </si>
  <si>
    <t>Total Grand</t>
  </si>
  <si>
    <t>Terbilang</t>
  </si>
  <si>
    <t>Row Labels</t>
  </si>
  <si>
    <t>Sum of Grand Total</t>
  </si>
  <si>
    <t>GROCERY SALES DATA</t>
  </si>
  <si>
    <t>Sum of Total Sales</t>
  </si>
  <si>
    <t>Sum of Grand Total2</t>
  </si>
  <si>
    <t>TOTAL OF TOP 3</t>
  </si>
  <si>
    <t>TOTAL % OF TOP 3</t>
  </si>
  <si>
    <t>/5</t>
  </si>
  <si>
    <t>Count of Jenis Kelamin</t>
  </si>
  <si>
    <t>Sum of Shipping Fee</t>
  </si>
  <si>
    <t>Count of Order Status</t>
  </si>
  <si>
    <t>year</t>
  </si>
  <si>
    <t>Count of Payment Method</t>
  </si>
  <si>
    <t>Days (Order Date)</t>
  </si>
  <si>
    <t>scrol value</t>
  </si>
  <si>
    <t>spin value</t>
  </si>
  <si>
    <t>Pivot!F36:F52</t>
  </si>
  <si>
    <t>Count of Shipping Fee2</t>
  </si>
  <si>
    <t>jumlah transaksi</t>
  </si>
  <si>
    <t>rata rata diskon</t>
  </si>
  <si>
    <t>rata rata costumer rating</t>
  </si>
  <si>
    <t>total sales</t>
  </si>
  <si>
    <t>jumla grand total</t>
  </si>
  <si>
    <t>Tabel top 3</t>
  </si>
  <si>
    <t>Diagram  lingkaran orders status</t>
  </si>
  <si>
    <t>diagram lingkaran paymen method</t>
  </si>
  <si>
    <t>Jenis kelaim</t>
  </si>
  <si>
    <t>diagram total sales bt paymen method</t>
  </si>
  <si>
    <t>tabel count of paymen method</t>
  </si>
  <si>
    <t>diagram top 3</t>
  </si>
  <si>
    <t>diagram grand total by disc kategori</t>
  </si>
  <si>
    <t>tabel count order status</t>
  </si>
  <si>
    <t>Shipping fee by order status</t>
  </si>
  <si>
    <t>Total Transaksi</t>
  </si>
  <si>
    <t>Secara Keseluruhan Menunjukkan transaksi sebanyak 2.000 Transaksi</t>
  </si>
  <si>
    <t>Rata-rata diskon</t>
  </si>
  <si>
    <t>Persentase diskon yang diberikan kepelanggan, yaitu 9,71%</t>
  </si>
  <si>
    <t>Rata-rata Rating</t>
  </si>
  <si>
    <t>Total sales</t>
  </si>
  <si>
    <t>Tingkat ulasan Pelanggang terhadap kualitas Penjualan sembako secara keseluruhan sebesar 2,98/5 (59,6% dari 100%)</t>
  </si>
  <si>
    <t>Total Penjualan Sembako mencpai nominal sebesar IDR 128.487.050</t>
  </si>
  <si>
    <t>Jenis Kelamin Pelanggan</t>
  </si>
  <si>
    <t>Jumlah proporsi pelanggan laki laki sebanyak 399 orang (19,95%), sedangkan pelanggan perempuan mencapai 1601 orang (80,05%) dari total pelanggan</t>
  </si>
  <si>
    <t>Top Produk</t>
  </si>
  <si>
    <t>3  Produk dengan grand total tertinggi secara keseluruhan penjualan : Susu Bubuk- Brand C (34,02%), Daging Ayam - Brand C (33,54%), dan Susu Bubuk - Brand B (32,45%)</t>
  </si>
  <si>
    <t>Persentase Order Status</t>
  </si>
  <si>
    <t>Distribusi Order Status : Completed Sebanyak 1495 transaksi (74,65%), Returned 277 Transaksi (13,85%), Cancelled 108 transaksi (5,4%), Pending 65 transaksi (3,35%), dan Shipped 53 Transaksi (53%)</t>
  </si>
  <si>
    <t>Total Sales Berdasarkan Payment Method</t>
  </si>
  <si>
    <t>Persentase Payment Method</t>
  </si>
  <si>
    <t>Distribusi Payment Method : Kartu Kredit sebanyak  519 (25,95%), Transfer Bank 515 (25,75%), COD 499 (24,95%), dan e Wallet 467 (23,35%)</t>
  </si>
  <si>
    <t>Kategori Payment : e-wallet (29,51Juta), Kartu Kredit (32,25Juta), COD (32,88Juta), dan Transfer Bank (33,86Juta)</t>
  </si>
  <si>
    <t>Grand Total Berdasarkan Kategori Diskon</t>
  </si>
  <si>
    <t>Kategori Diskon : All out (0,44Juta), Tinggi (8,15Juta), Norman (26,86Juta), Rendah (43,05Juta), dan Sangat Rendah (49,98Juta)</t>
  </si>
  <si>
    <t>Shipping fee berdasarkan order status</t>
  </si>
  <si>
    <t>Kategori Order Status : Completed (75,64Juta), Returned  (15.18Juta), Cancelled (5,82Juta), Pending (3,67Juta), dan Shipped  (2,75Juta)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</si>
</sst>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_(* \(#,##0\);_(* &quot;-&quot;_);_(@_)"/>
    <numFmt numFmtId="44" formatCode="_(&quot;$&quot;* #,##0.00_);_(&quot;$&quot;* \(#,##0.00\);_(&quot;$&quot;* &quot;-&quot;??_);_(@_)"/>
    <numFmt numFmtId="164" formatCode="yyyy\-mm\-dd\ hh:mm:ss"/>
    <numFmt numFmtId="165" formatCode="_([$IDR]\ * #,##0.00_);_([$IDR]\ * \(#,##0.00\);_([$IDR]\ * &quot;-&quot;??_);_(@_)"/>
    <numFmt numFmtId="166" formatCode="[$IDR]\ #,##0.00"/>
    <numFmt numFmtId="167" formatCode="#,##0.00,,"/>
    <numFmt numFmtId="168" formatCode="#,##0.00,,&quot;M&quot;"/>
    <numFmt numFmtId="169" formatCode="[$-409]m/d/yy\ h:mm\ AM/PM;@"/>
    <numFmt numFmtId="170" formatCode="#,##0.00,,&quot;Juta&quot;"/>
    <numFmt numFmtId="171" formatCode="#,##0.00,,\J\u\t\a"/>
  </numFmts>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font>
    <font>
      <sz val="11"/>
      <color theme="1"/>
      <name val="Calibri"/>
      <family val="2"/>
      <scheme val="minor"/>
    </font>
    <font>
      <sz val="11"/>
      <color theme="1"/>
      <name val="Calibri"/>
      <family val="2"/>
    </font>
    <font>
      <sz val="11"/>
      <color theme="1"/>
      <name val="Calibri"/>
      <family val="2"/>
      <scheme val="minor"/>
    </font>
    <font>
      <b/>
      <sz val="11"/>
      <color theme="1"/>
      <name val="Calibri"/>
      <family val="2"/>
      <scheme val="minor"/>
    </font>
    <font>
      <sz val="48"/>
      <color theme="6" tint="-0.499984740745262"/>
      <name val="Calibri"/>
      <family val="2"/>
      <scheme val="minor"/>
    </font>
    <font>
      <b/>
      <sz val="11"/>
      <color theme="6"/>
      <name val="Arial Black"/>
      <family val="2"/>
    </font>
    <font>
      <sz val="11"/>
      <color theme="6"/>
      <name val="Arial Black"/>
      <family val="2"/>
    </font>
  </fonts>
  <fills count="6">
    <fill>
      <patternFill patternType="none"/>
    </fill>
    <fill>
      <patternFill patternType="gray125"/>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theme="6" tint="0.39997558519241921"/>
        <bgColor indexed="64"/>
      </patternFill>
    </fill>
  </fills>
  <borders count="6">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s>
  <cellStyleXfs count="2">
    <xf numFmtId="0" fontId="0" fillId="0" borderId="0"/>
    <xf numFmtId="44" fontId="8" fillId="0" borderId="0" applyFont="0" applyFill="0" applyBorder="0" applyAlignment="0" applyProtection="0"/>
  </cellStyleXfs>
  <cellXfs count="66">
    <xf numFmtId="0" fontId="0" fillId="0" borderId="0" xfId="0"/>
    <xf numFmtId="0" fontId="5" fillId="0" borderId="1" xfId="0" applyFont="1" applyBorder="1" applyAlignment="1">
      <alignment horizontal="center" vertical="top"/>
    </xf>
    <xf numFmtId="0" fontId="6" fillId="0" borderId="0" xfId="0" applyFont="1"/>
    <xf numFmtId="165" fontId="0" fillId="0" borderId="0" xfId="1" applyNumberFormat="1" applyFont="1"/>
    <xf numFmtId="0" fontId="5" fillId="0" borderId="0" xfId="0" applyFont="1" applyAlignment="1">
      <alignment horizontal="center" vertical="top"/>
    </xf>
    <xf numFmtId="0" fontId="4" fillId="0" borderId="0" xfId="0" applyFont="1"/>
    <xf numFmtId="44" fontId="4" fillId="0" borderId="0" xfId="1" applyFont="1" applyFill="1"/>
    <xf numFmtId="165" fontId="0" fillId="0" borderId="0" xfId="1" applyNumberFormat="1" applyFont="1" applyFill="1"/>
    <xf numFmtId="0" fontId="6" fillId="0" borderId="0" xfId="0" applyFont="1" applyAlignment="1">
      <alignment horizontal="center" vertical="center"/>
    </xf>
    <xf numFmtId="0" fontId="0" fillId="0" borderId="0" xfId="0" applyAlignment="1">
      <alignment horizontal="center" vertical="center"/>
    </xf>
    <xf numFmtId="165" fontId="5" fillId="0" borderId="0" xfId="1" applyNumberFormat="1" applyFont="1" applyBorder="1" applyAlignment="1">
      <alignment horizontal="center" vertical="top"/>
    </xf>
    <xf numFmtId="0" fontId="5" fillId="0" borderId="0" xfId="0" applyFont="1" applyAlignment="1">
      <alignment horizontal="center" vertical="center"/>
    </xf>
    <xf numFmtId="165" fontId="6" fillId="0" borderId="0" xfId="1" applyNumberFormat="1" applyFont="1" applyBorder="1"/>
    <xf numFmtId="165" fontId="0" fillId="0" borderId="0" xfId="1" applyNumberFormat="1" applyFont="1" applyBorder="1"/>
    <xf numFmtId="0" fontId="2" fillId="0" borderId="0" xfId="0" applyFont="1"/>
    <xf numFmtId="0" fontId="0" fillId="0" borderId="0" xfId="0" pivotButton="1"/>
    <xf numFmtId="0" fontId="0" fillId="0" borderId="0" xfId="0" applyAlignment="1">
      <alignment horizontal="left"/>
    </xf>
    <xf numFmtId="165" fontId="0" fillId="0" borderId="0" xfId="0" applyNumberFormat="1"/>
    <xf numFmtId="166" fontId="2" fillId="0" borderId="0" xfId="1" applyNumberFormat="1" applyFont="1" applyFill="1" applyAlignment="1">
      <alignment horizontal="left"/>
    </xf>
    <xf numFmtId="0" fontId="2" fillId="0" borderId="0" xfId="0" applyFont="1" applyAlignment="1">
      <alignment horizontal="center"/>
    </xf>
    <xf numFmtId="2" fontId="0" fillId="0" borderId="0" xfId="0" applyNumberFormat="1"/>
    <xf numFmtId="0" fontId="9" fillId="0" borderId="0" xfId="0" applyFont="1"/>
    <xf numFmtId="165" fontId="5" fillId="0" borderId="0" xfId="1" applyNumberFormat="1" applyFont="1" applyFill="1" applyBorder="1" applyAlignment="1">
      <alignment horizontal="center" vertical="top"/>
    </xf>
    <xf numFmtId="165" fontId="6" fillId="0" borderId="0" xfId="1" applyNumberFormat="1" applyFont="1" applyFill="1"/>
    <xf numFmtId="165" fontId="6" fillId="0" borderId="0" xfId="1" applyNumberFormat="1" applyFont="1" applyFill="1" applyBorder="1"/>
    <xf numFmtId="0" fontId="7" fillId="0" borderId="0" xfId="0" applyFont="1" applyAlignment="1">
      <alignment horizontal="left" vertical="top"/>
    </xf>
    <xf numFmtId="0" fontId="0" fillId="2" borderId="0" xfId="0" applyFill="1"/>
    <xf numFmtId="0" fontId="5" fillId="0" borderId="3" xfId="0" applyFont="1" applyBorder="1" applyAlignment="1">
      <alignment horizontal="center" vertical="top"/>
    </xf>
    <xf numFmtId="165" fontId="5" fillId="0" borderId="3" xfId="1" applyNumberFormat="1" applyFont="1" applyFill="1" applyBorder="1" applyAlignment="1">
      <alignment horizontal="center" vertical="top"/>
    </xf>
    <xf numFmtId="0" fontId="5" fillId="0" borderId="3" xfId="0" applyFont="1" applyBorder="1" applyAlignment="1">
      <alignment horizontal="center" vertical="center"/>
    </xf>
    <xf numFmtId="0" fontId="5" fillId="0" borderId="4" xfId="0" applyFont="1" applyBorder="1" applyAlignment="1">
      <alignment horizontal="center" vertical="top"/>
    </xf>
    <xf numFmtId="0" fontId="6" fillId="0" borderId="0" xfId="0" applyFont="1" applyAlignment="1">
      <alignment horizontal="center"/>
    </xf>
    <xf numFmtId="164" fontId="7" fillId="0" borderId="0" xfId="0" applyNumberFormat="1" applyFont="1" applyAlignment="1">
      <alignment horizontal="center" vertical="center"/>
    </xf>
    <xf numFmtId="0" fontId="0" fillId="4" borderId="0" xfId="0" applyFill="1"/>
    <xf numFmtId="0" fontId="5" fillId="4" borderId="0" xfId="0" applyFont="1" applyFill="1" applyAlignment="1">
      <alignment horizontal="center" vertical="top"/>
    </xf>
    <xf numFmtId="0" fontId="9" fillId="4" borderId="0" xfId="0" applyFont="1" applyFill="1" applyAlignment="1">
      <alignment horizontal="center"/>
    </xf>
    <xf numFmtId="0" fontId="9" fillId="4" borderId="0" xfId="0" applyFont="1" applyFill="1"/>
    <xf numFmtId="0" fontId="6" fillId="4" borderId="0" xfId="0" applyFont="1" applyFill="1"/>
    <xf numFmtId="166" fontId="6" fillId="4" borderId="0" xfId="1" applyNumberFormat="1" applyFont="1" applyFill="1" applyAlignment="1">
      <alignment horizontal="left"/>
    </xf>
    <xf numFmtId="41" fontId="3" fillId="4" borderId="0" xfId="0" applyNumberFormat="1" applyFont="1" applyFill="1" applyAlignment="1">
      <alignment horizontal="center" vertical="center"/>
    </xf>
    <xf numFmtId="0" fontId="3" fillId="4" borderId="0" xfId="0" applyFont="1" applyFill="1" applyAlignment="1">
      <alignment horizontal="center"/>
    </xf>
    <xf numFmtId="165" fontId="0" fillId="4" borderId="0" xfId="1" applyNumberFormat="1" applyFont="1" applyFill="1"/>
    <xf numFmtId="166" fontId="3" fillId="4" borderId="0" xfId="1" applyNumberFormat="1" applyFont="1" applyFill="1" applyAlignment="1">
      <alignment horizontal="left"/>
    </xf>
    <xf numFmtId="0" fontId="4" fillId="4" borderId="0" xfId="0" applyFont="1" applyFill="1"/>
    <xf numFmtId="0" fontId="0" fillId="5" borderId="0" xfId="0" applyFill="1"/>
    <xf numFmtId="0" fontId="10" fillId="5" borderId="2" xfId="0" applyFont="1" applyFill="1" applyBorder="1" applyAlignment="1">
      <alignment vertical="center"/>
    </xf>
    <xf numFmtId="0" fontId="9" fillId="3" borderId="5" xfId="0" applyFont="1" applyFill="1" applyBorder="1"/>
    <xf numFmtId="4" fontId="0" fillId="0" borderId="0" xfId="0" applyNumberFormat="1"/>
    <xf numFmtId="10" fontId="0" fillId="0" borderId="0" xfId="0" applyNumberFormat="1"/>
    <xf numFmtId="167" fontId="0" fillId="0" borderId="0" xfId="0" applyNumberFormat="1"/>
    <xf numFmtId="0" fontId="1" fillId="0" borderId="0" xfId="0" applyFont="1"/>
    <xf numFmtId="168" fontId="0" fillId="0" borderId="0" xfId="0" applyNumberFormat="1"/>
    <xf numFmtId="4" fontId="1" fillId="0" borderId="0" xfId="0" applyNumberFormat="1" applyFont="1"/>
    <xf numFmtId="0" fontId="7" fillId="0" borderId="0" xfId="0" applyFont="1" applyAlignment="1">
      <alignment horizontal="center" vertical="center"/>
    </xf>
    <xf numFmtId="169" fontId="0" fillId="0" borderId="0" xfId="0" applyNumberFormat="1"/>
    <xf numFmtId="169" fontId="1" fillId="0" borderId="0" xfId="0" applyNumberFormat="1" applyFont="1"/>
    <xf numFmtId="169" fontId="9" fillId="3" borderId="5" xfId="0" applyNumberFormat="1" applyFont="1" applyFill="1" applyBorder="1"/>
    <xf numFmtId="0" fontId="1" fillId="4" borderId="0" xfId="0" applyFont="1" applyFill="1"/>
    <xf numFmtId="0" fontId="11" fillId="4" borderId="0" xfId="0" applyFont="1" applyFill="1"/>
    <xf numFmtId="0" fontId="12" fillId="4" borderId="0" xfId="0" applyFont="1" applyFill="1"/>
    <xf numFmtId="170" fontId="0" fillId="0" borderId="0" xfId="0" applyNumberFormat="1"/>
    <xf numFmtId="171" fontId="0" fillId="0" borderId="0" xfId="0" applyNumberFormat="1"/>
    <xf numFmtId="0" fontId="0" fillId="2" borderId="0" xfId="0" applyFill="1" applyAlignment="1">
      <alignment horizontal="left"/>
    </xf>
    <xf numFmtId="0" fontId="4" fillId="0" borderId="0" xfId="0" applyFont="1" applyAlignment="1">
      <alignment horizontal="center"/>
    </xf>
    <xf numFmtId="0" fontId="0" fillId="0" borderId="0" xfId="0" applyAlignment="1">
      <alignment horizontal="center"/>
    </xf>
    <xf numFmtId="0" fontId="9" fillId="4" borderId="0" xfId="0" applyFont="1" applyFill="1" applyAlignment="1">
      <alignment horizontal="center"/>
    </xf>
  </cellXfs>
  <cellStyles count="2">
    <cellStyle name="Currency" xfId="1" builtinId="4"/>
    <cellStyle name="Normal" xfId="0" builtinId="0"/>
  </cellStyles>
  <dxfs count="95">
    <dxf>
      <numFmt numFmtId="170" formatCode="#,##0.00,,&quot;Juta&quot;"/>
    </dxf>
    <dxf>
      <numFmt numFmtId="0" formatCode="General"/>
    </dxf>
    <dxf>
      <numFmt numFmtId="168" formatCode="#,##0.00,,&quot;M&quot;"/>
    </dxf>
    <dxf>
      <numFmt numFmtId="167" formatCode="#,##0.00,,"/>
    </dxf>
    <dxf>
      <numFmt numFmtId="168" formatCode="#,##0.00,,&quot;M&quot;"/>
    </dxf>
    <dxf>
      <numFmt numFmtId="14" formatCode="0.00%"/>
    </dxf>
    <dxf>
      <numFmt numFmtId="3" formatCode="#,##0"/>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9" formatCode="[$-409]m/d/yy\ h:mm\ AM/PM;@"/>
    </dxf>
    <dxf>
      <numFmt numFmtId="168" formatCode="#,##0.00,,&quot;M&quot;"/>
    </dxf>
    <dxf>
      <numFmt numFmtId="171" formatCode="#,##0.00,,\J\u\t\a"/>
    </dxf>
    <dxf>
      <numFmt numFmtId="171" formatCode="#,##0.00,,\J\u\t\a"/>
    </dxf>
    <dxf>
      <numFmt numFmtId="0" formatCode="General"/>
    </dxf>
    <dxf>
      <numFmt numFmtId="168" formatCode="#,##0.00,,&quot;M&quot;"/>
    </dxf>
    <dxf>
      <numFmt numFmtId="165" formatCode="_([$IDR]\ * #,##0.00_);_([$IDR]\ * \(#,##0.00\);_([$IDR]\ * &quot;-&quot;??_);_(@_)"/>
    </dxf>
    <dxf>
      <numFmt numFmtId="4" formatCode="#,##0.00"/>
    </dxf>
    <dxf>
      <numFmt numFmtId="0" formatCode="General"/>
    </dxf>
    <dxf>
      <numFmt numFmtId="171" formatCode="#,##0.00,,\J\u\t\a"/>
    </dxf>
    <dxf>
      <numFmt numFmtId="0" formatCode="General"/>
    </dxf>
    <dxf>
      <numFmt numFmtId="165" formatCode="_([$IDR]\ * #,##0.00_);_([$IDR]\ * \(#,##0.00\);_([$IDR]\ * &quot;-&quot;??_);_(@_)"/>
    </dxf>
    <dxf>
      <numFmt numFmtId="0" formatCode="General"/>
    </dxf>
    <dxf>
      <numFmt numFmtId="165" formatCode="_([$IDR]\ * #,##0.00_);_([$IDR]\ * \(#,##0.00\);_([$IDR]\ * &quot;-&quot;??_);_(@_)"/>
    </dxf>
    <dxf>
      <numFmt numFmtId="14" formatCode="0.00%"/>
    </dxf>
    <dxf>
      <numFmt numFmtId="165" formatCode="_([$IDR]\ * #,##0.00_);_([$IDR]\ * \(#,##0.00\);_([$IDR]\ * &quot;-&quot;??_);_(@_)"/>
    </dxf>
    <dxf>
      <numFmt numFmtId="0" formatCode="General"/>
    </dxf>
    <dxf>
      <numFmt numFmtId="165" formatCode="_([$IDR]\ * #,##0.00_);_([$IDR]\ * \(#,##0.00\);_([$IDR]\ * &quot;-&quot;??_);_(@_)"/>
    </dxf>
    <dxf>
      <numFmt numFmtId="165" formatCode="_([$IDR]\ * #,##0.00_);_([$IDR]\ * \(#,##0.00\);_([$IDR]\ * &quot;-&quot;??_);_(@_)"/>
    </dxf>
    <dxf>
      <numFmt numFmtId="171" formatCode="#,##0.00,,\J\u\t\a"/>
    </dxf>
    <dxf>
      <numFmt numFmtId="171" formatCode="#,##0.00,,\J\u\t\a"/>
    </dxf>
    <dxf>
      <numFmt numFmtId="167" formatCode="#,##0.00,,"/>
    </dxf>
    <dxf>
      <numFmt numFmtId="14" formatCode="0.00%"/>
    </dxf>
    <dxf>
      <numFmt numFmtId="3" formatCode="#,##0"/>
    </dxf>
    <dxf>
      <numFmt numFmtId="14" formatCode="0.00%"/>
    </dxf>
    <dxf>
      <numFmt numFmtId="168" formatCode="#,##0.00,,&quot;M&quot;"/>
    </dxf>
    <dxf>
      <numFmt numFmtId="4" formatCode="#,##0.0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65" formatCode="_([$IDR]\ * #,##0.00_);_([$IDR]\ * \(#,##0.00\);_([$IDR]\ *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5" formatCode="_([$IDR]\ * #,##0.00_);_([$IDR]\ * \(#,##0.00\);_([$IDR]\ * &quot;-&quot;??_);_(@_)"/>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65" formatCode="_([$IDR]\ * #,##0.00_);_([$IDR]\ * \(#,##0.00\);_([$IDR]\ * &quot;-&quot;??_);_(@_)"/>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65" formatCode="_([$IDR]\ * #,##0.00_);_([$IDR]\ * \(#,##0.00\);_([$IDR]\ * &quot;-&quot;??_);_(@_)"/>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65" formatCode="_([$IDR]\ * #,##0.00_);_([$IDR]\ * \(#,##0.00\);_([$IDR]\ *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5" formatCode="_([$IDR]\ * #,##0.00_);_([$IDR]\ * \(#,##0.00\);_([$IDR]\ *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4" formatCode="yyyy\-mm\-dd\ hh:mm:ss"/>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00F26D"/>
      <color rgb="FF00D0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chartUserShapes" Target="../drawings/drawing2.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Grocery Sales.xlsm]Pivot!PivotTable14</c:name>
    <c:fmtId val="12"/>
  </c:pivotSource>
  <c:chart>
    <c:title>
      <c:tx>
        <c:rich>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r>
              <a:rPr lang="en-US" b="1">
                <a:solidFill>
                  <a:schemeClr val="accent3"/>
                </a:solidFill>
              </a:rPr>
              <a:t>Grand Total Berdasarkan Diskon Kategori</a:t>
            </a:r>
          </a:p>
        </c:rich>
      </c:tx>
      <c:layout>
        <c:manualLayout>
          <c:xMode val="edge"/>
          <c:yMode val="edge"/>
          <c:x val="2.5312993081105038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93044046350103"/>
          <c:y val="0.18518518518518517"/>
          <c:w val="0.84455401590085077"/>
          <c:h val="0.60151210265383492"/>
        </c:manualLayout>
      </c:layout>
      <c:areaChart>
        <c:grouping val="stacked"/>
        <c:varyColors val="0"/>
        <c:ser>
          <c:idx val="1"/>
          <c:order val="1"/>
          <c:tx>
            <c:strRef>
              <c:f>Pivot!$M$10</c:f>
              <c:strCache>
                <c:ptCount val="1"/>
                <c:pt idx="0">
                  <c:v>Count of Order Status</c:v>
                </c:pt>
              </c:strCache>
            </c:strRef>
          </c:tx>
          <c:spPr>
            <a:solidFill>
              <a:schemeClr val="accent3">
                <a:lumMod val="40000"/>
                <a:lumOff val="60000"/>
              </a:schemeClr>
            </a:solidFill>
            <a:ln>
              <a:noFill/>
            </a:ln>
            <a:effectLst/>
          </c:spPr>
          <c:cat>
            <c:strRef>
              <c:f>Pivot!$K$11:$K$14</c:f>
              <c:strCache>
                <c:ptCount val="4"/>
                <c:pt idx="0">
                  <c:v>Sangat Rendah</c:v>
                </c:pt>
                <c:pt idx="1">
                  <c:v>Rendah</c:v>
                </c:pt>
                <c:pt idx="2">
                  <c:v>Normal</c:v>
                </c:pt>
                <c:pt idx="3">
                  <c:v>Tinggi</c:v>
                </c:pt>
              </c:strCache>
            </c:strRef>
          </c:cat>
          <c:val>
            <c:numRef>
              <c:f>Pivot!$M$11:$M$14</c:f>
              <c:numCache>
                <c:formatCode>General</c:formatCode>
                <c:ptCount val="4"/>
                <c:pt idx="0">
                  <c:v>159</c:v>
                </c:pt>
                <c:pt idx="1">
                  <c:v>77</c:v>
                </c:pt>
                <c:pt idx="2">
                  <c:v>48</c:v>
                </c:pt>
                <c:pt idx="3">
                  <c:v>4</c:v>
                </c:pt>
              </c:numCache>
            </c:numRef>
          </c:val>
          <c:extLst>
            <c:ext xmlns:c16="http://schemas.microsoft.com/office/drawing/2014/chart" uri="{C3380CC4-5D6E-409C-BE32-E72D297353CC}">
              <c16:uniqueId val="{00000000-7E80-4338-B6D6-E47F7B8D3E77}"/>
            </c:ext>
          </c:extLst>
        </c:ser>
        <c:dLbls>
          <c:showLegendKey val="0"/>
          <c:showVal val="0"/>
          <c:showCatName val="0"/>
          <c:showSerName val="0"/>
          <c:showPercent val="0"/>
          <c:showBubbleSize val="0"/>
        </c:dLbls>
        <c:axId val="734208095"/>
        <c:axId val="734196095"/>
      </c:areaChart>
      <c:barChart>
        <c:barDir val="col"/>
        <c:grouping val="clustered"/>
        <c:varyColors val="0"/>
        <c:ser>
          <c:idx val="0"/>
          <c:order val="0"/>
          <c:tx>
            <c:strRef>
              <c:f>Pivot!$L$10</c:f>
              <c:strCache>
                <c:ptCount val="1"/>
                <c:pt idx="0">
                  <c:v>Sum of Total Sales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Pivot!$K$11:$K$14</c:f>
              <c:strCache>
                <c:ptCount val="4"/>
                <c:pt idx="0">
                  <c:v>Sangat Rendah</c:v>
                </c:pt>
                <c:pt idx="1">
                  <c:v>Rendah</c:v>
                </c:pt>
                <c:pt idx="2">
                  <c:v>Normal</c:v>
                </c:pt>
                <c:pt idx="3">
                  <c:v>Tinggi</c:v>
                </c:pt>
              </c:strCache>
            </c:strRef>
          </c:cat>
          <c:val>
            <c:numRef>
              <c:f>Pivot!$L$11:$L$14</c:f>
              <c:numCache>
                <c:formatCode>#,##0.00,,\J\u\t\a</c:formatCode>
                <c:ptCount val="4"/>
                <c:pt idx="0">
                  <c:v>6810850</c:v>
                </c:pt>
                <c:pt idx="1">
                  <c:v>6036700</c:v>
                </c:pt>
                <c:pt idx="2">
                  <c:v>5637100</c:v>
                </c:pt>
                <c:pt idx="3">
                  <c:v>741000</c:v>
                </c:pt>
              </c:numCache>
            </c:numRef>
          </c:val>
          <c:extLst>
            <c:ext xmlns:c16="http://schemas.microsoft.com/office/drawing/2014/chart" uri="{C3380CC4-5D6E-409C-BE32-E72D297353CC}">
              <c16:uniqueId val="{00000001-7E80-4338-B6D6-E47F7B8D3E77}"/>
            </c:ext>
          </c:extLst>
        </c:ser>
        <c:dLbls>
          <c:showLegendKey val="0"/>
          <c:showVal val="0"/>
          <c:showCatName val="0"/>
          <c:showSerName val="0"/>
          <c:showPercent val="0"/>
          <c:showBubbleSize val="0"/>
        </c:dLbls>
        <c:gapWidth val="219"/>
        <c:overlap val="-27"/>
        <c:axId val="733949855"/>
        <c:axId val="733967135"/>
      </c:barChart>
      <c:catAx>
        <c:axId val="7339498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3967135"/>
        <c:crosses val="autoZero"/>
        <c:auto val="1"/>
        <c:lblAlgn val="ctr"/>
        <c:lblOffset val="100"/>
        <c:noMultiLvlLbl val="0"/>
      </c:catAx>
      <c:valAx>
        <c:axId val="733967135"/>
        <c:scaling>
          <c:orientation val="minMax"/>
        </c:scaling>
        <c:delete val="0"/>
        <c:axPos val="l"/>
        <c:numFmt formatCode="#,##0,,\ &quot;Juta&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3949855"/>
        <c:crosses val="autoZero"/>
        <c:crossBetween val="between"/>
      </c:valAx>
      <c:valAx>
        <c:axId val="73419609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34208095"/>
        <c:crosses val="max"/>
        <c:crossBetween val="between"/>
      </c:valAx>
      <c:catAx>
        <c:axId val="734208095"/>
        <c:scaling>
          <c:orientation val="minMax"/>
        </c:scaling>
        <c:delete val="1"/>
        <c:axPos val="b"/>
        <c:numFmt formatCode="General" sourceLinked="1"/>
        <c:majorTickMark val="out"/>
        <c:minorTickMark val="none"/>
        <c:tickLblPos val="nextTo"/>
        <c:crossAx val="73419609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Grocery Sales.xlsm]Pivot!PivotTable17</c:name>
    <c:fmtId val="16"/>
  </c:pivotSource>
  <c:chart>
    <c:title>
      <c:tx>
        <c:rich>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r>
              <a:rPr lang="en-US" b="1">
                <a:solidFill>
                  <a:schemeClr val="accent3"/>
                </a:solidFill>
              </a:rPr>
              <a:t>Total Sales Berdasarkan Paymen Method</a:t>
            </a:r>
          </a:p>
        </c:rich>
      </c:tx>
      <c:layout>
        <c:manualLayout>
          <c:xMode val="edge"/>
          <c:yMode val="edge"/>
          <c:x val="3.1280883278019998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lumMod val="50000"/>
            </a:schemeClr>
          </a:solidFill>
          <a:ln>
            <a:noFill/>
          </a:ln>
          <a:effectLst/>
        </c:spPr>
      </c:pivotFmt>
      <c:pivotFmt>
        <c:idx val="2"/>
        <c:spPr>
          <a:solidFill>
            <a:schemeClr val="accent3">
              <a:lumMod val="75000"/>
            </a:schemeClr>
          </a:solidFill>
          <a:ln>
            <a:noFill/>
          </a:ln>
          <a:effectLst/>
        </c:spPr>
      </c:pivotFmt>
      <c:pivotFmt>
        <c:idx val="3"/>
        <c:spPr>
          <a:solidFill>
            <a:schemeClr val="accent3"/>
          </a:solidFill>
          <a:ln>
            <a:noFill/>
          </a:ln>
          <a:effectLst/>
        </c:spPr>
      </c:pivotFmt>
      <c:pivotFmt>
        <c:idx val="4"/>
        <c:spPr>
          <a:solidFill>
            <a:schemeClr val="accent3">
              <a:lumMod val="60000"/>
              <a:lumOff val="40000"/>
            </a:schemeClr>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lumMod val="75000"/>
            </a:schemeClr>
          </a:solidFill>
          <a:ln>
            <a:noFill/>
          </a:ln>
          <a:effectLst/>
        </c:spPr>
      </c:pivotFmt>
      <c:pivotFmt>
        <c:idx val="7"/>
        <c:spPr>
          <a:solidFill>
            <a:schemeClr val="accent3">
              <a:lumMod val="60000"/>
              <a:lumOff val="40000"/>
            </a:schemeClr>
          </a:solidFill>
          <a:ln>
            <a:noFill/>
          </a:ln>
          <a:effectLst/>
        </c:spPr>
      </c:pivotFmt>
      <c:pivotFmt>
        <c:idx val="8"/>
        <c:spPr>
          <a:solidFill>
            <a:schemeClr val="accent3"/>
          </a:solidFill>
          <a:ln>
            <a:noFill/>
          </a:ln>
          <a:effectLst/>
        </c:spPr>
      </c:pivotFmt>
      <c:pivotFmt>
        <c:idx val="9"/>
        <c:spPr>
          <a:solidFill>
            <a:schemeClr val="accent3">
              <a:lumMod val="50000"/>
            </a:schemeClr>
          </a:solidFill>
          <a:ln>
            <a:noFill/>
          </a:ln>
          <a:effectLst/>
        </c:spPr>
      </c:pivotFmt>
    </c:pivotFmts>
    <c:plotArea>
      <c:layout>
        <c:manualLayout>
          <c:layoutTarget val="inner"/>
          <c:xMode val="edge"/>
          <c:yMode val="edge"/>
          <c:x val="0.16456811533780935"/>
          <c:y val="0.19486111111111112"/>
          <c:w val="0.80512883242568212"/>
          <c:h val="0.69773950131233597"/>
        </c:manualLayout>
      </c:layout>
      <c:barChart>
        <c:barDir val="col"/>
        <c:grouping val="clustered"/>
        <c:varyColors val="0"/>
        <c:ser>
          <c:idx val="0"/>
          <c:order val="0"/>
          <c:tx>
            <c:strRef>
              <c:f>Pivot!$I$10</c:f>
              <c:strCache>
                <c:ptCount val="1"/>
                <c:pt idx="0">
                  <c:v>Total</c:v>
                </c:pt>
              </c:strCache>
            </c:strRef>
          </c:tx>
          <c:spPr>
            <a:solidFill>
              <a:schemeClr val="accent1"/>
            </a:solidFill>
            <a:ln>
              <a:noFill/>
            </a:ln>
            <a:effectLst/>
          </c:spPr>
          <c:invertIfNegative val="0"/>
          <c:dPt>
            <c:idx val="0"/>
            <c:invertIfNegative val="0"/>
            <c:bubble3D val="0"/>
            <c:spPr>
              <a:solidFill>
                <a:schemeClr val="accent3">
                  <a:lumMod val="75000"/>
                </a:schemeClr>
              </a:solidFill>
              <a:ln>
                <a:noFill/>
              </a:ln>
              <a:effectLst/>
            </c:spPr>
            <c:extLst>
              <c:ext xmlns:c16="http://schemas.microsoft.com/office/drawing/2014/chart" uri="{C3380CC4-5D6E-409C-BE32-E72D297353CC}">
                <c16:uniqueId val="{00000001-B029-444D-9C2D-B34BC7AC0FF2}"/>
              </c:ext>
            </c:extLst>
          </c:dPt>
          <c:dPt>
            <c:idx val="1"/>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3-B029-444D-9C2D-B34BC7AC0FF2}"/>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B029-444D-9C2D-B34BC7AC0FF2}"/>
              </c:ext>
            </c:extLst>
          </c:dPt>
          <c:dPt>
            <c:idx val="3"/>
            <c:invertIfNegative val="0"/>
            <c:bubble3D val="0"/>
            <c:spPr>
              <a:solidFill>
                <a:schemeClr val="accent3">
                  <a:lumMod val="50000"/>
                </a:schemeClr>
              </a:solidFill>
              <a:ln>
                <a:noFill/>
              </a:ln>
              <a:effectLst/>
            </c:spPr>
            <c:extLst>
              <c:ext xmlns:c16="http://schemas.microsoft.com/office/drawing/2014/chart" uri="{C3380CC4-5D6E-409C-BE32-E72D297353CC}">
                <c16:uniqueId val="{00000007-B029-444D-9C2D-B34BC7AC0F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Pivot!$H$11:$H$14</c:f>
              <c:strCache>
                <c:ptCount val="4"/>
                <c:pt idx="0">
                  <c:v>COD</c:v>
                </c:pt>
                <c:pt idx="1">
                  <c:v>e-Wallet</c:v>
                </c:pt>
                <c:pt idx="2">
                  <c:v>Kartu Kredit</c:v>
                </c:pt>
                <c:pt idx="3">
                  <c:v>Transfer Bank</c:v>
                </c:pt>
              </c:strCache>
            </c:strRef>
          </c:cat>
          <c:val>
            <c:numRef>
              <c:f>Pivot!$I$11:$I$14</c:f>
              <c:numCache>
                <c:formatCode>#,##0.00,,"Juta"</c:formatCode>
                <c:ptCount val="4"/>
                <c:pt idx="0">
                  <c:v>4597750</c:v>
                </c:pt>
                <c:pt idx="1">
                  <c:v>4954600</c:v>
                </c:pt>
                <c:pt idx="2">
                  <c:v>4531400</c:v>
                </c:pt>
                <c:pt idx="3">
                  <c:v>5141900</c:v>
                </c:pt>
              </c:numCache>
            </c:numRef>
          </c:val>
          <c:extLst>
            <c:ext xmlns:c16="http://schemas.microsoft.com/office/drawing/2014/chart" uri="{C3380CC4-5D6E-409C-BE32-E72D297353CC}">
              <c16:uniqueId val="{00000008-B029-444D-9C2D-B34BC7AC0FF2}"/>
            </c:ext>
          </c:extLst>
        </c:ser>
        <c:dLbls>
          <c:showLegendKey val="0"/>
          <c:showVal val="0"/>
          <c:showCatName val="0"/>
          <c:showSerName val="0"/>
          <c:showPercent val="0"/>
          <c:showBubbleSize val="0"/>
        </c:dLbls>
        <c:gapWidth val="76"/>
        <c:overlap val="-27"/>
        <c:axId val="1710561487"/>
        <c:axId val="1710559087"/>
      </c:barChart>
      <c:catAx>
        <c:axId val="1710561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0559087"/>
        <c:crosses val="autoZero"/>
        <c:auto val="1"/>
        <c:lblAlgn val="ctr"/>
        <c:lblOffset val="100"/>
        <c:noMultiLvlLbl val="0"/>
      </c:catAx>
      <c:valAx>
        <c:axId val="1710559087"/>
        <c:scaling>
          <c:orientation val="minMax"/>
        </c:scaling>
        <c:delete val="0"/>
        <c:axPos val="l"/>
        <c:numFmt formatCode="#,##0.00,,&quot;Juta&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05614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100" b="1" i="0" u="none" strike="noStrike" kern="1200" spc="100" baseline="0">
                <a:ln>
                  <a:solidFill>
                    <a:srgbClr val="00D05E"/>
                  </a:solidFill>
                </a:ln>
                <a:solidFill>
                  <a:schemeClr val="accent3"/>
                </a:solidFill>
                <a:effectLst/>
                <a:latin typeface="+mn-lt"/>
                <a:ea typeface="+mn-ea"/>
                <a:cs typeface="+mn-cs"/>
              </a:defRPr>
            </a:pPr>
            <a:r>
              <a:rPr lang="en-US" sz="1100" b="1">
                <a:ln>
                  <a:solidFill>
                    <a:srgbClr val="00D05E"/>
                  </a:solidFill>
                </a:ln>
                <a:solidFill>
                  <a:schemeClr val="accent3"/>
                </a:solidFill>
                <a:effectLst/>
              </a:rPr>
              <a:t>TOP</a:t>
            </a:r>
            <a:r>
              <a:rPr lang="en-US" sz="1100" b="1" baseline="0">
                <a:ln>
                  <a:solidFill>
                    <a:srgbClr val="00D05E"/>
                  </a:solidFill>
                </a:ln>
                <a:solidFill>
                  <a:schemeClr val="accent3"/>
                </a:solidFill>
                <a:effectLst/>
              </a:rPr>
              <a:t> 3 PRODUCT BY  GRAND TOTAL</a:t>
            </a:r>
            <a:endParaRPr lang="en-US" sz="1100" b="1">
              <a:ln>
                <a:solidFill>
                  <a:srgbClr val="00D05E"/>
                </a:solidFill>
              </a:ln>
              <a:solidFill>
                <a:schemeClr val="accent3"/>
              </a:solidFill>
              <a:effectLst/>
            </a:endParaRPr>
          </a:p>
        </c:rich>
      </c:tx>
      <c:layout>
        <c:manualLayout>
          <c:xMode val="edge"/>
          <c:yMode val="edge"/>
          <c:x val="2.8204943132108484E-2"/>
          <c:y val="3.635170603674541E-2"/>
        </c:manualLayout>
      </c:layout>
      <c:overlay val="0"/>
      <c:spPr>
        <a:noFill/>
        <a:ln>
          <a:noFill/>
        </a:ln>
        <a:effectLst/>
      </c:spPr>
      <c:txPr>
        <a:bodyPr rot="0" spcFirstLastPara="1" vertOverflow="ellipsis" vert="horz" wrap="square" anchor="ctr" anchorCtr="1"/>
        <a:lstStyle/>
        <a:p>
          <a:pPr>
            <a:defRPr sz="1100" b="1" i="0" u="none" strike="noStrike" kern="1200" spc="100" baseline="0">
              <a:ln>
                <a:solidFill>
                  <a:srgbClr val="00D05E"/>
                </a:solidFill>
              </a:ln>
              <a:solidFill>
                <a:schemeClr val="accent3"/>
              </a:solidFill>
              <a:effectLst/>
              <a:latin typeface="+mn-lt"/>
              <a:ea typeface="+mn-ea"/>
              <a:cs typeface="+mn-cs"/>
            </a:defRPr>
          </a:pPr>
          <a:endParaRPr lang="en-US"/>
        </a:p>
      </c:txPr>
    </c:title>
    <c:autoTitleDeleted val="0"/>
    <c:plotArea>
      <c:layout>
        <c:manualLayout>
          <c:layoutTarget val="inner"/>
          <c:xMode val="edge"/>
          <c:yMode val="edge"/>
          <c:x val="0.34190333473362466"/>
          <c:y val="0.29046134778757871"/>
          <c:w val="0.59728160229581873"/>
          <c:h val="0.57653565801665951"/>
        </c:manualLayout>
      </c:layout>
      <c:barChart>
        <c:barDir val="bar"/>
        <c:grouping val="clustered"/>
        <c:varyColors val="0"/>
        <c:ser>
          <c:idx val="0"/>
          <c:order val="0"/>
          <c:spPr>
            <a:solidFill>
              <a:srgbClr val="00F26D"/>
            </a:solidFill>
            <a:ln>
              <a:noFill/>
            </a:ln>
            <a:effectLst>
              <a:outerShdw blurRad="57150" dist="19050" dir="5400000" algn="ctr" rotWithShape="0">
                <a:srgbClr val="FFFFFF">
                  <a:alpha val="63000"/>
                </a:srgbClr>
              </a:outerShdw>
            </a:effectLst>
          </c:spPr>
          <c:invertIfNegative val="0"/>
          <c:dPt>
            <c:idx val="0"/>
            <c:invertIfNegative val="0"/>
            <c:bubble3D val="0"/>
            <c:spPr>
              <a:solidFill>
                <a:srgbClr val="9BBB59">
                  <a:lumMod val="75000"/>
                </a:srgbClr>
              </a:solidFill>
              <a:ln>
                <a:noFill/>
              </a:ln>
              <a:effectLst>
                <a:outerShdw blurRad="57150" dist="19050" dir="5400000" algn="ctr" rotWithShape="0">
                  <a:srgbClr val="FFFFFF">
                    <a:alpha val="63000"/>
                  </a:srgbClr>
                </a:outerShdw>
              </a:effectLst>
            </c:spPr>
            <c:extLst>
              <c:ext xmlns:c16="http://schemas.microsoft.com/office/drawing/2014/chart" uri="{C3380CC4-5D6E-409C-BE32-E72D297353CC}">
                <c16:uniqueId val="{00000001-FA16-4743-8E80-7C253B71D4A0}"/>
              </c:ext>
            </c:extLst>
          </c:dPt>
          <c:dPt>
            <c:idx val="1"/>
            <c:invertIfNegative val="0"/>
            <c:bubble3D val="0"/>
            <c:spPr>
              <a:solidFill>
                <a:srgbClr val="9BBB59">
                  <a:lumMod val="40000"/>
                  <a:lumOff val="60000"/>
                </a:srgbClr>
              </a:solidFill>
              <a:ln>
                <a:noFill/>
              </a:ln>
              <a:effectLst>
                <a:outerShdw blurRad="57150" dist="19050" dir="5400000" algn="ctr" rotWithShape="0">
                  <a:srgbClr val="FFFFFF">
                    <a:alpha val="63000"/>
                  </a:srgbClr>
                </a:outerShdw>
              </a:effectLst>
            </c:spPr>
            <c:extLst>
              <c:ext xmlns:c16="http://schemas.microsoft.com/office/drawing/2014/chart" uri="{C3380CC4-5D6E-409C-BE32-E72D297353CC}">
                <c16:uniqueId val="{00000003-FA16-4743-8E80-7C253B71D4A0}"/>
              </c:ext>
            </c:extLst>
          </c:dPt>
          <c:dPt>
            <c:idx val="2"/>
            <c:invertIfNegative val="0"/>
            <c:bubble3D val="0"/>
            <c:spPr>
              <a:solidFill>
                <a:srgbClr val="92D050"/>
              </a:solidFill>
              <a:ln>
                <a:noFill/>
              </a:ln>
              <a:effectLst>
                <a:outerShdw blurRad="57150" dist="19050" dir="5400000" algn="ctr" rotWithShape="0">
                  <a:srgbClr val="FFFFFF">
                    <a:alpha val="63000"/>
                  </a:srgbClr>
                </a:outerShdw>
              </a:effectLst>
            </c:spPr>
            <c:extLst>
              <c:ext xmlns:c16="http://schemas.microsoft.com/office/drawing/2014/chart" uri="{C3380CC4-5D6E-409C-BE32-E72D297353CC}">
                <c16:uniqueId val="{00000005-FA16-4743-8E80-7C253B71D4A0}"/>
              </c:ext>
            </c:extLst>
          </c:dPt>
          <c:dLbls>
            <c:numFmt formatCode="#,##0.0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Pivot!$E$38:$E$40</c:f>
              <c:strCache>
                <c:ptCount val="3"/>
                <c:pt idx="0">
                  <c:v>Daging Ayam - Brand B</c:v>
                </c:pt>
                <c:pt idx="1">
                  <c:v>Susu Bubuk - Brand B</c:v>
                </c:pt>
                <c:pt idx="2">
                  <c:v>Daging Ayam - Brand C</c:v>
                </c:pt>
              </c:strCache>
            </c:strRef>
          </c:cat>
          <c:val>
            <c:numRef>
              <c:f>Pivot!$F$38:$F$40</c:f>
              <c:numCache>
                <c:formatCode>#,##0.00,,\J\u\t\a</c:formatCode>
                <c:ptCount val="3"/>
                <c:pt idx="0">
                  <c:v>2250000</c:v>
                </c:pt>
                <c:pt idx="1">
                  <c:v>2498000</c:v>
                </c:pt>
                <c:pt idx="2">
                  <c:v>3004250</c:v>
                </c:pt>
              </c:numCache>
            </c:numRef>
          </c:val>
          <c:extLst>
            <c:ext xmlns:c16="http://schemas.microsoft.com/office/drawing/2014/chart" uri="{C3380CC4-5D6E-409C-BE32-E72D297353CC}">
              <c16:uniqueId val="{00000006-FA16-4743-8E80-7C253B71D4A0}"/>
            </c:ext>
          </c:extLst>
        </c:ser>
        <c:ser>
          <c:idx val="1"/>
          <c:order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Pivot!$E$38:$E$40</c:f>
              <c:strCache>
                <c:ptCount val="3"/>
                <c:pt idx="0">
                  <c:v>Daging Ayam - Brand B</c:v>
                </c:pt>
                <c:pt idx="1">
                  <c:v>Susu Bubuk - Brand B</c:v>
                </c:pt>
                <c:pt idx="2">
                  <c:v>Daging Ayam - Brand C</c:v>
                </c:pt>
              </c:strCache>
            </c:strRef>
          </c:cat>
          <c:val>
            <c:numRef>
              <c:f>Pivot!$A$9</c:f>
              <c:numCache>
                <c:formatCode>General</c:formatCode>
                <c:ptCount val="1"/>
                <c:pt idx="0">
                  <c:v>0</c:v>
                </c:pt>
              </c:numCache>
            </c:numRef>
          </c:val>
          <c:extLst>
            <c:ext xmlns:c16="http://schemas.microsoft.com/office/drawing/2014/chart" uri="{C3380CC4-5D6E-409C-BE32-E72D297353CC}">
              <c16:uniqueId val="{00000007-FA16-4743-8E80-7C253B71D4A0}"/>
            </c:ext>
          </c:extLst>
        </c:ser>
        <c:dLbls>
          <c:showLegendKey val="0"/>
          <c:showVal val="0"/>
          <c:showCatName val="0"/>
          <c:showSerName val="0"/>
          <c:showPercent val="0"/>
          <c:showBubbleSize val="0"/>
        </c:dLbls>
        <c:gapWidth val="37"/>
        <c:overlap val="93"/>
        <c:axId val="1672991664"/>
        <c:axId val="1672998384"/>
      </c:barChart>
      <c:catAx>
        <c:axId val="1672991664"/>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crossAx val="1672998384"/>
        <c:crosses val="autoZero"/>
        <c:auto val="1"/>
        <c:lblAlgn val="ctr"/>
        <c:lblOffset val="100"/>
        <c:noMultiLvlLbl val="0"/>
      </c:catAx>
      <c:valAx>
        <c:axId val="1672998384"/>
        <c:scaling>
          <c:orientation val="minMax"/>
        </c:scaling>
        <c:delete val="1"/>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600" b="1" i="0" u="none" strike="noStrike" kern="1200" cap="all" baseline="0">
                    <a:solidFill>
                      <a:schemeClr val="tx1"/>
                    </a:solidFill>
                    <a:latin typeface="+mn-lt"/>
                    <a:ea typeface="+mn-ea"/>
                    <a:cs typeface="+mn-cs"/>
                  </a:defRPr>
                </a:pPr>
                <a:r>
                  <a:rPr lang="en-US" sz="600">
                    <a:solidFill>
                      <a:schemeClr val="tx1"/>
                    </a:solidFill>
                  </a:rPr>
                  <a:t>Grand Total (Million)</a:t>
                </a:r>
              </a:p>
            </c:rich>
          </c:tx>
          <c:layout>
            <c:manualLayout>
              <c:xMode val="edge"/>
              <c:yMode val="edge"/>
              <c:x val="0.34562128677085285"/>
              <c:y val="0.89453715857052785"/>
            </c:manualLayout>
          </c:layout>
          <c:overlay val="0"/>
          <c:spPr>
            <a:noFill/>
            <a:ln>
              <a:noFill/>
            </a:ln>
            <a:effectLst/>
          </c:spPr>
          <c:txPr>
            <a:bodyPr rot="0" spcFirstLastPara="1" vertOverflow="ellipsis" vert="horz" wrap="square" anchor="ctr" anchorCtr="1"/>
            <a:lstStyle/>
            <a:p>
              <a:pPr>
                <a:defRPr sz="600" b="1" i="0" u="none" strike="noStrike" kern="1200" cap="all" baseline="0">
                  <a:solidFill>
                    <a:schemeClr val="tx1"/>
                  </a:solidFill>
                  <a:latin typeface="+mn-lt"/>
                  <a:ea typeface="+mn-ea"/>
                  <a:cs typeface="+mn-cs"/>
                </a:defRPr>
              </a:pPr>
              <a:endParaRPr lang="en-US"/>
            </a:p>
          </c:txPr>
        </c:title>
        <c:numFmt formatCode="#,##0.00,,\J\u\t\a" sourceLinked="1"/>
        <c:majorTickMark val="out"/>
        <c:minorTickMark val="none"/>
        <c:tickLblPos val="nextTo"/>
        <c:crossAx val="1672991664"/>
        <c:crosses val="autoZero"/>
        <c:crossBetween val="between"/>
      </c:valAx>
      <c:spPr>
        <a:noFill/>
        <a:ln>
          <a:noFill/>
        </a:ln>
        <a:effectLst/>
      </c:spPr>
    </c:plotArea>
    <c:plotVisOnly val="1"/>
    <c:dispBlanksAs val="gap"/>
    <c:showDLblsOverMax val="0"/>
    <c:extLst/>
  </c:chart>
  <c:spPr>
    <a:solidFill>
      <a:srgbClr val="FFFFFF"/>
    </a:solidFill>
    <a:ln>
      <a:noFill/>
    </a:ln>
    <a:effectLst/>
  </c:spPr>
  <c:txPr>
    <a:bodyPr/>
    <a:lstStyle/>
    <a:p>
      <a:pPr>
        <a:defRPr/>
      </a:pPr>
      <a:endParaRPr lang="en-US"/>
    </a:p>
  </c:txPr>
  <c:printSettings>
    <c:headerFooter/>
    <c:pageMargins b="0.75" l="0.7" r="0.7" t="0.75" header="0.3" footer="0.3"/>
    <c:pageSetup/>
  </c:printSettings>
  <c:userShapes r:id="rId4"/>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Grocery Sales.xlsm]Pivot!PivotTable26</c:name>
    <c:fmtId val="26"/>
  </c:pivotSource>
  <c:chart>
    <c:title>
      <c:tx>
        <c:rich>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r>
              <a:rPr lang="en-US" b="1">
                <a:solidFill>
                  <a:schemeClr val="accent3"/>
                </a:solidFill>
              </a:rPr>
              <a:t>Shipping berdasarkan Order Status</a:t>
            </a:r>
          </a:p>
        </c:rich>
      </c:tx>
      <c:layout>
        <c:manualLayout>
          <c:xMode val="edge"/>
          <c:yMode val="edge"/>
          <c:x val="1.8201224846894151E-2"/>
          <c:y val="1.54447141256382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lumMod val="40000"/>
              <a:lumOff val="60000"/>
            </a:schemeClr>
          </a:solidFill>
          <a:ln cap="sq">
            <a:solidFill>
              <a:schemeClr val="accent3"/>
            </a:solidFill>
            <a:prstDash val="sysDot"/>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lumMod val="40000"/>
              <a:lumOff val="60000"/>
            </a:schemeClr>
          </a:solidFill>
          <a:ln cap="sq">
            <a:solidFill>
              <a:schemeClr val="accent3"/>
            </a:solidFill>
            <a:prstDash val="sysDot"/>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925611459431401"/>
          <c:y val="0.15903896421666477"/>
          <c:w val="0.72759383431745306"/>
          <c:h val="0.62765834541142407"/>
        </c:manualLayout>
      </c:layout>
      <c:areaChart>
        <c:grouping val="standard"/>
        <c:varyColors val="0"/>
        <c:ser>
          <c:idx val="1"/>
          <c:order val="1"/>
          <c:tx>
            <c:strRef>
              <c:f>Pivot!$M$17</c:f>
              <c:strCache>
                <c:ptCount val="1"/>
                <c:pt idx="0">
                  <c:v>Count of Shipping Fee2</c:v>
                </c:pt>
              </c:strCache>
            </c:strRef>
          </c:tx>
          <c:spPr>
            <a:solidFill>
              <a:schemeClr val="accent3">
                <a:lumMod val="40000"/>
                <a:lumOff val="60000"/>
              </a:schemeClr>
            </a:solidFill>
            <a:ln cap="sq">
              <a:solidFill>
                <a:schemeClr val="accent3"/>
              </a:solidFill>
              <a:prstDash val="sysDot"/>
              <a:miter lim="800000"/>
            </a:ln>
            <a:effectLst/>
          </c:spPr>
          <c:cat>
            <c:strRef>
              <c:f>Pivot!$K$18:$K$22</c:f>
              <c:strCache>
                <c:ptCount val="5"/>
                <c:pt idx="0">
                  <c:v>Cancelled</c:v>
                </c:pt>
                <c:pt idx="1">
                  <c:v>Completed</c:v>
                </c:pt>
                <c:pt idx="2">
                  <c:v>Pending</c:v>
                </c:pt>
                <c:pt idx="3">
                  <c:v>Returned</c:v>
                </c:pt>
                <c:pt idx="4">
                  <c:v>Shipped</c:v>
                </c:pt>
              </c:strCache>
            </c:strRef>
          </c:cat>
          <c:val>
            <c:numRef>
              <c:f>Pivot!$M$18:$M$22</c:f>
              <c:numCache>
                <c:formatCode>General</c:formatCode>
                <c:ptCount val="5"/>
                <c:pt idx="0">
                  <c:v>10</c:v>
                </c:pt>
                <c:pt idx="1">
                  <c:v>215</c:v>
                </c:pt>
                <c:pt idx="2">
                  <c:v>15</c:v>
                </c:pt>
                <c:pt idx="3">
                  <c:v>32</c:v>
                </c:pt>
                <c:pt idx="4">
                  <c:v>16</c:v>
                </c:pt>
              </c:numCache>
            </c:numRef>
          </c:val>
          <c:extLst>
            <c:ext xmlns:c16="http://schemas.microsoft.com/office/drawing/2014/chart" uri="{C3380CC4-5D6E-409C-BE32-E72D297353CC}">
              <c16:uniqueId val="{00000000-B88F-45DB-9401-915835E14941}"/>
            </c:ext>
          </c:extLst>
        </c:ser>
        <c:dLbls>
          <c:showLegendKey val="0"/>
          <c:showVal val="0"/>
          <c:showCatName val="0"/>
          <c:showSerName val="0"/>
          <c:showPercent val="0"/>
          <c:showBubbleSize val="0"/>
        </c:dLbls>
        <c:axId val="584488975"/>
        <c:axId val="584728495"/>
      </c:areaChart>
      <c:barChart>
        <c:barDir val="col"/>
        <c:grouping val="clustered"/>
        <c:varyColors val="0"/>
        <c:ser>
          <c:idx val="0"/>
          <c:order val="0"/>
          <c:tx>
            <c:strRef>
              <c:f>Pivot!$L$17</c:f>
              <c:strCache>
                <c:ptCount val="1"/>
                <c:pt idx="0">
                  <c:v>Sum of Shipping Fee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Pivot!$K$18:$K$22</c:f>
              <c:strCache>
                <c:ptCount val="5"/>
                <c:pt idx="0">
                  <c:v>Cancelled</c:v>
                </c:pt>
                <c:pt idx="1">
                  <c:v>Completed</c:v>
                </c:pt>
                <c:pt idx="2">
                  <c:v>Pending</c:v>
                </c:pt>
                <c:pt idx="3">
                  <c:v>Returned</c:v>
                </c:pt>
                <c:pt idx="4">
                  <c:v>Shipped</c:v>
                </c:pt>
              </c:strCache>
            </c:strRef>
          </c:cat>
          <c:val>
            <c:numRef>
              <c:f>Pivot!$L$18:$L$22</c:f>
              <c:numCache>
                <c:formatCode>#,##0.00,,\J\u\t\a</c:formatCode>
                <c:ptCount val="5"/>
                <c:pt idx="0">
                  <c:v>570000</c:v>
                </c:pt>
                <c:pt idx="1">
                  <c:v>11534000</c:v>
                </c:pt>
                <c:pt idx="2">
                  <c:v>1045000</c:v>
                </c:pt>
                <c:pt idx="3">
                  <c:v>1828000</c:v>
                </c:pt>
                <c:pt idx="4">
                  <c:v>860000</c:v>
                </c:pt>
              </c:numCache>
            </c:numRef>
          </c:val>
          <c:extLst>
            <c:ext xmlns:c16="http://schemas.microsoft.com/office/drawing/2014/chart" uri="{C3380CC4-5D6E-409C-BE32-E72D297353CC}">
              <c16:uniqueId val="{00000001-B88F-45DB-9401-915835E14941}"/>
            </c:ext>
          </c:extLst>
        </c:ser>
        <c:dLbls>
          <c:showLegendKey val="0"/>
          <c:showVal val="0"/>
          <c:showCatName val="0"/>
          <c:showSerName val="0"/>
          <c:showPercent val="0"/>
          <c:showBubbleSize val="0"/>
        </c:dLbls>
        <c:gapWidth val="46"/>
        <c:overlap val="-26"/>
        <c:axId val="1710662287"/>
        <c:axId val="1710685327"/>
      </c:barChart>
      <c:catAx>
        <c:axId val="1710662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0685327"/>
        <c:crosses val="autoZero"/>
        <c:auto val="1"/>
        <c:lblAlgn val="ctr"/>
        <c:lblOffset val="100"/>
        <c:noMultiLvlLbl val="0"/>
      </c:catAx>
      <c:valAx>
        <c:axId val="1710685327"/>
        <c:scaling>
          <c:orientation val="minMax"/>
        </c:scaling>
        <c:delete val="0"/>
        <c:axPos val="l"/>
        <c:numFmt formatCode="#,##0.00,,\J\u\t\a"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0662287"/>
        <c:crosses val="autoZero"/>
        <c:crossBetween val="between"/>
      </c:valAx>
      <c:valAx>
        <c:axId val="584728495"/>
        <c:scaling>
          <c:orientation val="minMax"/>
        </c:scaling>
        <c:delete val="0"/>
        <c:axPos val="r"/>
        <c:numFmt formatCode="General" sourceLinked="1"/>
        <c:majorTickMark val="out"/>
        <c:minorTickMark val="none"/>
        <c:tickLblPos val="nextTo"/>
        <c:spPr>
          <a:solidFill>
            <a:schemeClr val="bg1"/>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4488975"/>
        <c:crosses val="max"/>
        <c:crossBetween val="between"/>
      </c:valAx>
      <c:catAx>
        <c:axId val="584488975"/>
        <c:scaling>
          <c:orientation val="minMax"/>
        </c:scaling>
        <c:delete val="1"/>
        <c:axPos val="b"/>
        <c:numFmt formatCode="General" sourceLinked="1"/>
        <c:majorTickMark val="out"/>
        <c:minorTickMark val="none"/>
        <c:tickLblPos val="nextTo"/>
        <c:crossAx val="584728495"/>
        <c:crosses val="autoZero"/>
        <c:auto val="1"/>
        <c:lblAlgn val="ctr"/>
        <c:lblOffset val="100"/>
        <c:noMultiLvlLbl val="0"/>
      </c:catAx>
      <c:spPr>
        <a:noFill/>
        <a:ln>
          <a:noFill/>
        </a:ln>
        <a:effectLst/>
      </c:spPr>
    </c:plotArea>
    <c:legend>
      <c:legendPos val="b"/>
      <c:layout>
        <c:manualLayout>
          <c:xMode val="edge"/>
          <c:yMode val="edge"/>
          <c:x val="0.2022849956255468"/>
          <c:y val="0.88792760574287444"/>
          <c:w val="0.59542979002624674"/>
          <c:h val="5.212627500979584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Grocery Sales.xlsm]Pivot!PivotTable18</c:name>
    <c:fmtId val="26"/>
  </c:pivotSource>
  <c:chart>
    <c:title>
      <c:tx>
        <c:rich>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r>
              <a:rPr lang="en-US" b="1">
                <a:solidFill>
                  <a:schemeClr val="accent3"/>
                </a:solidFill>
              </a:rPr>
              <a:t>%</a:t>
            </a:r>
            <a:r>
              <a:rPr lang="en-US" b="1" baseline="0">
                <a:solidFill>
                  <a:schemeClr val="accent3"/>
                </a:solidFill>
              </a:rPr>
              <a:t> </a:t>
            </a:r>
            <a:r>
              <a:rPr lang="en-US" b="1">
                <a:solidFill>
                  <a:schemeClr val="accent3"/>
                </a:solidFill>
              </a:rPr>
              <a:t>Payment Method</a:t>
            </a:r>
          </a:p>
        </c:rich>
      </c:tx>
      <c:layout>
        <c:manualLayout>
          <c:xMode val="edge"/>
          <c:yMode val="edge"/>
          <c:x val="3.7912060438391786E-2"/>
          <c:y val="4.646699008647964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9.0041143541180479E-2"/>
              <c:y val="-0.170000035695545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40000"/>
              <a:lumOff val="60000"/>
            </a:schemeClr>
          </a:solidFill>
          <a:ln w="19050">
            <a:solidFill>
              <a:schemeClr val="lt1"/>
            </a:solidFill>
          </a:ln>
          <a:effectLst/>
        </c:spPr>
        <c:dLbl>
          <c:idx val="0"/>
          <c:layout>
            <c:manualLayout>
              <c:x val="7.1085113321984597E-2"/>
              <c:y val="0.1246666928433999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lumMod val="50000"/>
            </a:schemeClr>
          </a:solidFill>
          <a:ln w="19050">
            <a:solidFill>
              <a:schemeClr val="lt1"/>
            </a:solidFill>
          </a:ln>
          <a:effectLst/>
        </c:spPr>
        <c:dLbl>
          <c:idx val="0"/>
          <c:layout>
            <c:manualLayout>
              <c:x val="-0.15164824175356714"/>
              <c:y val="0.113333357130363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lumMod val="75000"/>
            </a:schemeClr>
          </a:solidFill>
          <a:ln w="19050">
            <a:solidFill>
              <a:schemeClr val="lt1"/>
            </a:solidFill>
          </a:ln>
          <a:effectLst/>
        </c:spPr>
        <c:dLbl>
          <c:idx val="0"/>
          <c:layout>
            <c:manualLayout>
              <c:x val="-9.9519158650778428E-2"/>
              <c:y val="-0.1416666964129546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solidFill>
          <a:ln w="19050">
            <a:solidFill>
              <a:schemeClr val="lt1"/>
            </a:solidFill>
          </a:ln>
          <a:effectLst/>
        </c:spPr>
        <c:dLbl>
          <c:idx val="0"/>
          <c:layout>
            <c:manualLayout>
              <c:x val="9.0041143541180479E-2"/>
              <c:y val="-0.170000035695545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3">
              <a:lumMod val="40000"/>
              <a:lumOff val="60000"/>
            </a:schemeClr>
          </a:solidFill>
          <a:ln w="19050">
            <a:solidFill>
              <a:schemeClr val="lt1"/>
            </a:solidFill>
          </a:ln>
          <a:effectLst/>
        </c:spPr>
        <c:dLbl>
          <c:idx val="0"/>
          <c:layout>
            <c:manualLayout>
              <c:x val="7.1085113321984597E-2"/>
              <c:y val="0.1246666928433999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lumMod val="50000"/>
            </a:schemeClr>
          </a:solidFill>
          <a:ln w="19050">
            <a:solidFill>
              <a:schemeClr val="lt1"/>
            </a:solidFill>
          </a:ln>
          <a:effectLst/>
        </c:spPr>
        <c:dLbl>
          <c:idx val="0"/>
          <c:layout>
            <c:manualLayout>
              <c:x val="-0.15164824175356714"/>
              <c:y val="0.113333357130363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3">
              <a:lumMod val="75000"/>
            </a:schemeClr>
          </a:solidFill>
          <a:ln w="19050">
            <a:solidFill>
              <a:schemeClr val="lt1"/>
            </a:solidFill>
          </a:ln>
          <a:effectLst/>
        </c:spPr>
        <c:dLbl>
          <c:idx val="0"/>
          <c:layout>
            <c:manualLayout>
              <c:x val="-9.9519158650778428E-2"/>
              <c:y val="-0.1416666964129546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w="19050">
            <a:solidFill>
              <a:schemeClr val="lt1"/>
            </a:solidFill>
          </a:ln>
          <a:effectLst/>
        </c:spPr>
        <c:dLbl>
          <c:idx val="0"/>
          <c:layout>
            <c:manualLayout>
              <c:x val="9.0041143541180479E-2"/>
              <c:y val="-0.170000035695545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3">
              <a:lumMod val="40000"/>
              <a:lumOff val="60000"/>
            </a:schemeClr>
          </a:solidFill>
          <a:ln w="19050">
            <a:solidFill>
              <a:schemeClr val="lt1"/>
            </a:solidFill>
          </a:ln>
          <a:effectLst/>
        </c:spPr>
        <c:dLbl>
          <c:idx val="0"/>
          <c:layout>
            <c:manualLayout>
              <c:x val="7.1085113321984597E-2"/>
              <c:y val="0.1246666928433999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3">
              <a:lumMod val="50000"/>
            </a:schemeClr>
          </a:solidFill>
          <a:ln w="19050">
            <a:solidFill>
              <a:schemeClr val="lt1"/>
            </a:solidFill>
          </a:ln>
          <a:effectLst/>
        </c:spPr>
        <c:dLbl>
          <c:idx val="0"/>
          <c:layout>
            <c:manualLayout>
              <c:x val="-0.15164824175356714"/>
              <c:y val="0.113333357130363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3">
              <a:lumMod val="75000"/>
            </a:schemeClr>
          </a:solidFill>
          <a:ln w="19050">
            <a:solidFill>
              <a:schemeClr val="lt1"/>
            </a:solidFill>
          </a:ln>
          <a:effectLst/>
        </c:spPr>
        <c:dLbl>
          <c:idx val="0"/>
          <c:layout>
            <c:manualLayout>
              <c:x val="-9.9519158650778428E-2"/>
              <c:y val="-0.1416666964129546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624081364829396"/>
          <c:y val="0.28965061200012848"/>
          <c:w val="0.47783413175038042"/>
          <c:h val="0.57137011997272857"/>
        </c:manualLayout>
      </c:layout>
      <c:doughnutChart>
        <c:varyColors val="1"/>
        <c:ser>
          <c:idx val="0"/>
          <c:order val="0"/>
          <c:tx>
            <c:strRef>
              <c:f>Pivot!$I$17</c:f>
              <c:strCache>
                <c:ptCount val="1"/>
                <c:pt idx="0">
                  <c:v>Total</c:v>
                </c:pt>
              </c:strCache>
            </c:strRef>
          </c:tx>
          <c:spPr>
            <a:solidFill>
              <a:schemeClr val="accent3"/>
            </a:solidFill>
          </c:spPr>
          <c:dPt>
            <c:idx val="0"/>
            <c:bubble3D val="0"/>
            <c:spPr>
              <a:solidFill>
                <a:schemeClr val="accent3"/>
              </a:solidFill>
              <a:ln w="19050">
                <a:solidFill>
                  <a:schemeClr val="lt1"/>
                </a:solidFill>
              </a:ln>
              <a:effectLst/>
            </c:spPr>
            <c:extLst>
              <c:ext xmlns:c16="http://schemas.microsoft.com/office/drawing/2014/chart" uri="{C3380CC4-5D6E-409C-BE32-E72D297353CC}">
                <c16:uniqueId val="{00000001-B46E-4637-B84E-C73B417E2706}"/>
              </c:ext>
            </c:extLst>
          </c:dPt>
          <c:dPt>
            <c:idx val="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3-B46E-4637-B84E-C73B417E2706}"/>
              </c:ext>
            </c:extLst>
          </c:dPt>
          <c:dPt>
            <c:idx val="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05-B46E-4637-B84E-C73B417E2706}"/>
              </c:ext>
            </c:extLst>
          </c:dPt>
          <c:dPt>
            <c:idx val="3"/>
            <c:bubble3D val="0"/>
            <c:spPr>
              <a:solidFill>
                <a:schemeClr val="accent3">
                  <a:lumMod val="75000"/>
                </a:schemeClr>
              </a:solidFill>
              <a:ln w="19050">
                <a:solidFill>
                  <a:schemeClr val="lt1"/>
                </a:solidFill>
              </a:ln>
              <a:effectLst/>
            </c:spPr>
            <c:extLst>
              <c:ext xmlns:c16="http://schemas.microsoft.com/office/drawing/2014/chart" uri="{C3380CC4-5D6E-409C-BE32-E72D297353CC}">
                <c16:uniqueId val="{00000007-B46E-4637-B84E-C73B417E2706}"/>
              </c:ext>
            </c:extLst>
          </c:dPt>
          <c:dLbls>
            <c:dLbl>
              <c:idx val="0"/>
              <c:layout>
                <c:manualLayout>
                  <c:x val="9.0041143541180479E-2"/>
                  <c:y val="-0.1700000356955455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46E-4637-B84E-C73B417E2706}"/>
                </c:ext>
              </c:extLst>
            </c:dLbl>
            <c:dLbl>
              <c:idx val="1"/>
              <c:layout>
                <c:manualLayout>
                  <c:x val="7.1085113321984597E-2"/>
                  <c:y val="0.1246666928433999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46E-4637-B84E-C73B417E2706}"/>
                </c:ext>
              </c:extLst>
            </c:dLbl>
            <c:dLbl>
              <c:idx val="2"/>
              <c:layout>
                <c:manualLayout>
                  <c:x val="-0.15164824175356714"/>
                  <c:y val="0.11333335713036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46E-4637-B84E-C73B417E2706}"/>
                </c:ext>
              </c:extLst>
            </c:dLbl>
            <c:dLbl>
              <c:idx val="3"/>
              <c:layout>
                <c:manualLayout>
                  <c:x val="-9.9519158650778428E-2"/>
                  <c:y val="-0.141666696412954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46E-4637-B84E-C73B417E270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Pivot!$H$18:$H$21</c:f>
              <c:strCache>
                <c:ptCount val="4"/>
                <c:pt idx="0">
                  <c:v>COD</c:v>
                </c:pt>
                <c:pt idx="1">
                  <c:v>e-Wallet</c:v>
                </c:pt>
                <c:pt idx="2">
                  <c:v>Kartu Kredit</c:v>
                </c:pt>
                <c:pt idx="3">
                  <c:v>Transfer Bank</c:v>
                </c:pt>
              </c:strCache>
            </c:strRef>
          </c:cat>
          <c:val>
            <c:numRef>
              <c:f>Pivot!$I$18:$I$21</c:f>
              <c:numCache>
                <c:formatCode>0.00%</c:formatCode>
                <c:ptCount val="4"/>
                <c:pt idx="0">
                  <c:v>0.22222222222222221</c:v>
                </c:pt>
                <c:pt idx="1">
                  <c:v>0.25694444444444442</c:v>
                </c:pt>
                <c:pt idx="2">
                  <c:v>0.24652777777777779</c:v>
                </c:pt>
                <c:pt idx="3">
                  <c:v>0.27430555555555558</c:v>
                </c:pt>
              </c:numCache>
            </c:numRef>
          </c:val>
          <c:extLst>
            <c:ext xmlns:c16="http://schemas.microsoft.com/office/drawing/2014/chart" uri="{C3380CC4-5D6E-409C-BE32-E72D297353CC}">
              <c16:uniqueId val="{00000008-B46E-4637-B84E-C73B417E2706}"/>
            </c:ext>
          </c:extLst>
        </c:ser>
        <c:dLbls>
          <c:showLegendKey val="0"/>
          <c:showVal val="0"/>
          <c:showCatName val="0"/>
          <c:showSerName val="0"/>
          <c:showPercent val="0"/>
          <c:showBubbleSize val="0"/>
          <c:showLeaderLines val="1"/>
        </c:dLbls>
        <c:firstSliceAng val="0"/>
        <c:holeSize val="61"/>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Grocery Sales.xlsm]Pivot!PivotTable11</c:name>
    <c:fmtId val="17"/>
  </c:pivotSource>
  <c:chart>
    <c:title>
      <c:tx>
        <c:rich>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r>
              <a:rPr lang="en-US" b="1">
                <a:solidFill>
                  <a:schemeClr val="accent3"/>
                </a:solidFill>
              </a:rPr>
              <a:t>% Order Status</a:t>
            </a:r>
          </a:p>
        </c:rich>
      </c:tx>
      <c:layout>
        <c:manualLayout>
          <c:xMode val="edge"/>
          <c:yMode val="edge"/>
          <c:x val="2.3840073310759213E-2"/>
          <c:y val="2.314795738103608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accent3"/>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0.15104068647765778"/>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2011516548236347"/>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5"/>
          </a:solidFill>
          <a:ln w="19050">
            <a:solidFill>
              <a:schemeClr val="lt1"/>
            </a:solidFill>
          </a:ln>
          <a:effectLst/>
        </c:spPr>
        <c:dLbl>
          <c:idx val="0"/>
          <c:layout>
            <c:manualLayout>
              <c:x val="-0.21573795535619966"/>
              <c:y val="-6.0185185185185182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1299594516629694"/>
                  <c:h val="0.15733814523184603"/>
                </c:manualLayout>
              </c15:layout>
            </c:ext>
          </c:extLst>
        </c:dLbl>
      </c:pivotFmt>
      <c:pivotFmt>
        <c:idx val="4"/>
        <c:spPr>
          <a:solidFill>
            <a:schemeClr val="accent4"/>
          </a:solidFill>
          <a:ln w="19050">
            <a:solidFill>
              <a:schemeClr val="lt1"/>
            </a:solidFill>
          </a:ln>
          <a:effectLst/>
        </c:spPr>
        <c:dLbl>
          <c:idx val="0"/>
          <c:layout>
            <c:manualLayout>
              <c:x val="-0.17642768338168255"/>
              <c:y val="4.629994167395742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1962864549052111"/>
                  <c:h val="0.16645851560221639"/>
                </c:manualLayout>
              </c15:layout>
            </c:ext>
          </c:extLst>
        </c:dLbl>
      </c:pivotFmt>
      <c:pivotFmt>
        <c:idx val="5"/>
        <c:spPr>
          <a:solidFill>
            <a:schemeClr val="accent3"/>
          </a:solidFill>
          <a:ln w="19050">
            <a:solidFill>
              <a:schemeClr val="lt1"/>
            </a:solidFill>
          </a:ln>
          <a:effectLst/>
        </c:spPr>
        <c:dLbl>
          <c:idx val="0"/>
          <c:layout>
            <c:manualLayout>
              <c:x val="-1.5718103834581727E-2"/>
              <c:y val="0.1712966608340624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5071154215479158"/>
                  <c:h val="0.16645851560221639"/>
                </c:manualLayout>
              </c15:layout>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3"/>
          </a:solidFill>
          <a:ln w="19050">
            <a:solidFill>
              <a:schemeClr val="lt1"/>
            </a:solidFill>
          </a:ln>
          <a:effectLst/>
        </c:spPr>
        <c:dLbl>
          <c:idx val="0"/>
          <c:layout>
            <c:manualLayout>
              <c:x val="0.1327664758628721"/>
              <c:y val="-5.0127825329930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4546730966587654"/>
                  <c:h val="0.20100646516527396"/>
                </c:manualLayout>
              </c15:layout>
            </c:ext>
          </c:extLst>
        </c:dLbl>
      </c:pivotFmt>
      <c:pivotFmt>
        <c:idx val="8"/>
        <c:spPr>
          <a:solidFill>
            <a:schemeClr val="accent3">
              <a:lumMod val="75000"/>
            </a:schemeClr>
          </a:solidFill>
          <a:ln w="19050">
            <a:solidFill>
              <a:schemeClr val="lt1"/>
            </a:solidFill>
          </a:ln>
          <a:effectLst/>
        </c:spPr>
        <c:dLbl>
          <c:idx val="0"/>
          <c:layout>
            <c:manualLayout>
              <c:x val="0.13172484838712559"/>
              <c:y val="9.265100791763068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3988963836858276"/>
                  <c:h val="0.20016718992056068"/>
                </c:manualLayout>
              </c15:layout>
            </c:ext>
          </c:extLst>
        </c:dLbl>
      </c:pivotFmt>
      <c:pivotFmt>
        <c:idx val="9"/>
        <c:spPr>
          <a:solidFill>
            <a:schemeClr val="accent3">
              <a:lumMod val="20000"/>
              <a:lumOff val="80000"/>
            </a:schemeClr>
          </a:solidFill>
          <a:ln w="19050">
            <a:solidFill>
              <a:schemeClr val="lt1"/>
            </a:solidFill>
          </a:ln>
          <a:effectLst/>
        </c:spPr>
        <c:dLbl>
          <c:idx val="0"/>
          <c:layout>
            <c:manualLayout>
              <c:x val="7.5388102084509058E-3"/>
              <c:y val="0.1105792118139360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968476691278642"/>
                  <c:h val="0.16645852711147929"/>
                </c:manualLayout>
              </c15:layout>
            </c:ext>
          </c:extLst>
        </c:dLbl>
      </c:pivotFmt>
      <c:pivotFmt>
        <c:idx val="10"/>
        <c:spPr>
          <a:solidFill>
            <a:schemeClr val="accent3">
              <a:lumMod val="60000"/>
              <a:lumOff val="40000"/>
            </a:schemeClr>
          </a:solidFill>
          <a:ln w="19050">
            <a:solidFill>
              <a:schemeClr val="lt1"/>
            </a:solidFill>
          </a:ln>
          <a:effectLst/>
        </c:spPr>
        <c:dLbl>
          <c:idx val="0"/>
          <c:layout>
            <c:manualLayout>
              <c:x val="-0.11954493742889645"/>
              <c:y val="0.116463516739594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4238173300009855"/>
                  <c:h val="0.16645830027379871"/>
                </c:manualLayout>
              </c15:layout>
            </c:ext>
          </c:extLst>
        </c:dLbl>
      </c:pivotFmt>
      <c:pivotFmt>
        <c:idx val="11"/>
        <c:spPr>
          <a:solidFill>
            <a:schemeClr val="accent3">
              <a:lumMod val="50000"/>
            </a:schemeClr>
          </a:solidFill>
          <a:ln w="19050">
            <a:solidFill>
              <a:schemeClr val="lt1"/>
            </a:solidFill>
          </a:ln>
          <a:effectLst/>
        </c:spPr>
        <c:dLbl>
          <c:idx val="0"/>
          <c:layout>
            <c:manualLayout>
              <c:x val="-0.14330565334623274"/>
              <c:y val="-5.452456078673071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1299594516629694"/>
                  <c:h val="0.15733814523184603"/>
                </c:manualLayout>
              </c15:layout>
            </c:ext>
          </c:extLst>
        </c:dLbl>
      </c:pivotFmt>
      <c:pivotFmt>
        <c:idx val="12"/>
        <c:spPr>
          <a:solidFill>
            <a:schemeClr val="accent1"/>
          </a:solidFill>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3"/>
            </a:solidFill>
            <a:round/>
          </a:ln>
          <a:effectLst/>
        </c:spPr>
        <c:marker>
          <c:symbol val="none"/>
        </c:marker>
        <c:dLbl>
          <c:idx val="0"/>
          <c:layout>
            <c:manualLayout>
              <c:x val="-0.24667988649546813"/>
              <c:y val="-5.567152572419113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3"/>
            </a:solidFill>
            <a:round/>
          </a:ln>
          <a:effectLst/>
        </c:spPr>
        <c:marker>
          <c:symbol val="none"/>
        </c:marker>
        <c:dLbl>
          <c:idx val="0"/>
          <c:layout>
            <c:manualLayout>
              <c:x val="-0.16594828727876951"/>
              <c:y val="0.233820408041598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3"/>
            </a:solidFill>
            <a:round/>
          </a:ln>
          <a:effectLst/>
        </c:spPr>
        <c:marker>
          <c:symbol val="none"/>
        </c:marker>
        <c:dLbl>
          <c:idx val="0"/>
          <c:layout>
            <c:manualLayout>
              <c:x val="0.17043337612414153"/>
              <c:y val="0.256089018331274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3"/>
            </a:solidFill>
            <a:round/>
          </a:ln>
          <a:effectLst/>
        </c:spPr>
        <c:marker>
          <c:symbol val="none"/>
        </c:marker>
        <c:dLbl>
          <c:idx val="0"/>
          <c:layout>
            <c:manualLayout>
              <c:x val="0.15249303600904138"/>
              <c:y val="-0.256089018331274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3"/>
            </a:solidFill>
            <a:round/>
          </a:ln>
          <a:effectLst/>
        </c:spPr>
        <c:marker>
          <c:symbol val="none"/>
        </c:marker>
        <c:dLbl>
          <c:idx val="0"/>
          <c:layout>
            <c:manualLayout>
              <c:x val="8.0731599216698494E-2"/>
              <c:y val="8.35072885862851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3"/>
            </a:solidFill>
            <a:round/>
          </a:ln>
          <a:effectLst/>
        </c:spPr>
        <c:marker>
          <c:symbol val="none"/>
        </c:marker>
        <c:dLbl>
          <c:idx val="0"/>
          <c:layout>
            <c:manualLayout>
              <c:x val="0.15249303600904138"/>
              <c:y val="-0.256089018331274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3"/>
            </a:solidFill>
            <a:round/>
          </a:ln>
          <a:effectLst/>
        </c:spPr>
        <c:marker>
          <c:symbol val="none"/>
        </c:marker>
        <c:dLbl>
          <c:idx val="0"/>
          <c:layout>
            <c:manualLayout>
              <c:x val="8.0731599216698494E-2"/>
              <c:y val="8.35072885862851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3"/>
            </a:solidFill>
            <a:round/>
          </a:ln>
          <a:effectLst/>
        </c:spPr>
        <c:marker>
          <c:symbol val="none"/>
        </c:marker>
        <c:dLbl>
          <c:idx val="0"/>
          <c:layout>
            <c:manualLayout>
              <c:x val="0.17043337612414153"/>
              <c:y val="0.256089018331274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3"/>
            </a:solidFill>
            <a:round/>
          </a:ln>
          <a:effectLst/>
        </c:spPr>
        <c:marker>
          <c:symbol val="none"/>
        </c:marker>
        <c:dLbl>
          <c:idx val="0"/>
          <c:layout>
            <c:manualLayout>
              <c:x val="-0.16594828727876951"/>
              <c:y val="0.233820408041598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3"/>
            </a:solidFill>
            <a:round/>
          </a:ln>
          <a:effectLst/>
        </c:spPr>
        <c:marker>
          <c:symbol val="none"/>
        </c:marker>
        <c:dLbl>
          <c:idx val="0"/>
          <c:layout>
            <c:manualLayout>
              <c:x val="-0.24667988649546813"/>
              <c:y val="-5.567152572419113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ln w="28575" cap="rnd">
            <a:solidFill>
              <a:schemeClr val="accent3"/>
            </a:solidFill>
            <a:round/>
          </a:ln>
          <a:effectLst/>
        </c:spPr>
        <c:marker>
          <c:symbol val="none"/>
        </c:marker>
        <c:dLbl>
          <c:idx val="0"/>
          <c:layout>
            <c:manualLayout>
              <c:x val="0.15249303600904138"/>
              <c:y val="-0.256089018331274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ln w="28575" cap="rnd">
            <a:solidFill>
              <a:schemeClr val="accent3"/>
            </a:solidFill>
            <a:round/>
          </a:ln>
          <a:effectLst/>
        </c:spPr>
        <c:marker>
          <c:symbol val="none"/>
        </c:marker>
        <c:dLbl>
          <c:idx val="0"/>
          <c:layout>
            <c:manualLayout>
              <c:x val="8.0731599216698494E-2"/>
              <c:y val="8.35072885862851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ln w="28575" cap="rnd">
            <a:solidFill>
              <a:schemeClr val="accent3"/>
            </a:solidFill>
            <a:round/>
          </a:ln>
          <a:effectLst/>
        </c:spPr>
        <c:marker>
          <c:symbol val="none"/>
        </c:marker>
        <c:dLbl>
          <c:idx val="0"/>
          <c:layout>
            <c:manualLayout>
              <c:x val="0.17043337612414153"/>
              <c:y val="0.256089018331274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ln w="28575" cap="rnd">
            <a:solidFill>
              <a:schemeClr val="accent3"/>
            </a:solidFill>
            <a:round/>
          </a:ln>
          <a:effectLst/>
        </c:spPr>
        <c:marker>
          <c:symbol val="none"/>
        </c:marker>
        <c:dLbl>
          <c:idx val="0"/>
          <c:layout>
            <c:manualLayout>
              <c:x val="-0.16594828727876951"/>
              <c:y val="0.233820408041598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ln w="28575" cap="rnd">
            <a:solidFill>
              <a:schemeClr val="accent3"/>
            </a:solidFill>
            <a:round/>
          </a:ln>
          <a:effectLst/>
        </c:spPr>
        <c:marker>
          <c:symbol val="none"/>
        </c:marker>
        <c:dLbl>
          <c:idx val="0"/>
          <c:layout>
            <c:manualLayout>
              <c:x val="-0.24667988649546813"/>
              <c:y val="-5.567152572419113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683502976762052"/>
          <c:y val="0.22666375036453776"/>
          <c:w val="0.50921675949042955"/>
          <c:h val="0.57994130941965583"/>
        </c:manualLayout>
      </c:layout>
      <c:radarChart>
        <c:radarStyle val="marker"/>
        <c:varyColors val="0"/>
        <c:ser>
          <c:idx val="0"/>
          <c:order val="0"/>
          <c:tx>
            <c:strRef>
              <c:f>Pivot!$F$15</c:f>
              <c:strCache>
                <c:ptCount val="1"/>
                <c:pt idx="0">
                  <c:v>Total</c:v>
                </c:pt>
              </c:strCache>
            </c:strRef>
          </c:tx>
          <c:spPr>
            <a:ln w="28575" cap="rnd">
              <a:solidFill>
                <a:schemeClr val="accent3"/>
              </a:solidFill>
              <a:round/>
            </a:ln>
            <a:effectLst/>
          </c:spPr>
          <c:marker>
            <c:symbol val="none"/>
          </c:marker>
          <c:dPt>
            <c:idx val="0"/>
            <c:marker>
              <c:symbol val="none"/>
            </c:marker>
            <c:bubble3D val="0"/>
            <c:spPr>
              <a:ln w="28575" cap="rnd">
                <a:solidFill>
                  <a:schemeClr val="accent3"/>
                </a:solidFill>
                <a:round/>
              </a:ln>
              <a:effectLst/>
            </c:spPr>
            <c:extLst>
              <c:ext xmlns:c16="http://schemas.microsoft.com/office/drawing/2014/chart" uri="{C3380CC4-5D6E-409C-BE32-E72D297353CC}">
                <c16:uniqueId val="{00000000-EBCA-4B01-92E9-52817577C130}"/>
              </c:ext>
            </c:extLst>
          </c:dPt>
          <c:dPt>
            <c:idx val="1"/>
            <c:marker>
              <c:symbol val="none"/>
            </c:marker>
            <c:bubble3D val="0"/>
            <c:spPr>
              <a:ln w="28575" cap="rnd">
                <a:solidFill>
                  <a:schemeClr val="accent3"/>
                </a:solidFill>
                <a:round/>
              </a:ln>
              <a:effectLst/>
            </c:spPr>
            <c:extLst>
              <c:ext xmlns:c16="http://schemas.microsoft.com/office/drawing/2014/chart" uri="{C3380CC4-5D6E-409C-BE32-E72D297353CC}">
                <c16:uniqueId val="{00000001-EBCA-4B01-92E9-52817577C130}"/>
              </c:ext>
            </c:extLst>
          </c:dPt>
          <c:dPt>
            <c:idx val="2"/>
            <c:marker>
              <c:symbol val="none"/>
            </c:marker>
            <c:bubble3D val="0"/>
            <c:spPr>
              <a:ln w="28575" cap="rnd">
                <a:solidFill>
                  <a:schemeClr val="accent3"/>
                </a:solidFill>
                <a:round/>
              </a:ln>
              <a:effectLst/>
            </c:spPr>
            <c:extLst>
              <c:ext xmlns:c16="http://schemas.microsoft.com/office/drawing/2014/chart" uri="{C3380CC4-5D6E-409C-BE32-E72D297353CC}">
                <c16:uniqueId val="{00000002-EBCA-4B01-92E9-52817577C130}"/>
              </c:ext>
            </c:extLst>
          </c:dPt>
          <c:dPt>
            <c:idx val="3"/>
            <c:marker>
              <c:symbol val="none"/>
            </c:marker>
            <c:bubble3D val="0"/>
            <c:spPr>
              <a:ln w="28575" cap="rnd">
                <a:solidFill>
                  <a:schemeClr val="accent3"/>
                </a:solidFill>
                <a:round/>
              </a:ln>
              <a:effectLst/>
            </c:spPr>
            <c:extLst>
              <c:ext xmlns:c16="http://schemas.microsoft.com/office/drawing/2014/chart" uri="{C3380CC4-5D6E-409C-BE32-E72D297353CC}">
                <c16:uniqueId val="{00000003-EBCA-4B01-92E9-52817577C130}"/>
              </c:ext>
            </c:extLst>
          </c:dPt>
          <c:dPt>
            <c:idx val="4"/>
            <c:marker>
              <c:symbol val="none"/>
            </c:marker>
            <c:bubble3D val="0"/>
            <c:spPr>
              <a:ln w="28575" cap="rnd">
                <a:solidFill>
                  <a:schemeClr val="accent3"/>
                </a:solidFill>
                <a:round/>
              </a:ln>
              <a:effectLst/>
            </c:spPr>
            <c:extLst>
              <c:ext xmlns:c16="http://schemas.microsoft.com/office/drawing/2014/chart" uri="{C3380CC4-5D6E-409C-BE32-E72D297353CC}">
                <c16:uniqueId val="{00000004-EBCA-4B01-92E9-52817577C130}"/>
              </c:ext>
            </c:extLst>
          </c:dPt>
          <c:dLbls>
            <c:dLbl>
              <c:idx val="0"/>
              <c:layout>
                <c:manualLayout>
                  <c:x val="0.15249303600904138"/>
                  <c:y val="-0.2560890183312745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BCA-4B01-92E9-52817577C130}"/>
                </c:ext>
              </c:extLst>
            </c:dLbl>
            <c:dLbl>
              <c:idx val="1"/>
              <c:layout>
                <c:manualLayout>
                  <c:x val="8.0731599216698494E-2"/>
                  <c:y val="8.35072885862851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BCA-4B01-92E9-52817577C130}"/>
                </c:ext>
              </c:extLst>
            </c:dLbl>
            <c:dLbl>
              <c:idx val="2"/>
              <c:layout>
                <c:manualLayout>
                  <c:x val="0.17043337612414153"/>
                  <c:y val="0.2560890183312745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BCA-4B01-92E9-52817577C130}"/>
                </c:ext>
              </c:extLst>
            </c:dLbl>
            <c:dLbl>
              <c:idx val="3"/>
              <c:layout>
                <c:manualLayout>
                  <c:x val="-0.16594828727876951"/>
                  <c:y val="0.2338204080415984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BCA-4B01-92E9-52817577C130}"/>
                </c:ext>
              </c:extLst>
            </c:dLbl>
            <c:dLbl>
              <c:idx val="4"/>
              <c:layout>
                <c:manualLayout>
                  <c:x val="-0.24667988649546813"/>
                  <c:y val="-5.567152572419113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BCA-4B01-92E9-52817577C13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Pivot!$E$16:$E$21</c:f>
              <c:strCache>
                <c:ptCount val="5"/>
                <c:pt idx="0">
                  <c:v>Cancelled</c:v>
                </c:pt>
                <c:pt idx="1">
                  <c:v>Completed</c:v>
                </c:pt>
                <c:pt idx="2">
                  <c:v>Pending</c:v>
                </c:pt>
                <c:pt idx="3">
                  <c:v>Returned</c:v>
                </c:pt>
                <c:pt idx="4">
                  <c:v>Shipped</c:v>
                </c:pt>
              </c:strCache>
            </c:strRef>
          </c:cat>
          <c:val>
            <c:numRef>
              <c:f>Pivot!$F$16:$F$21</c:f>
              <c:numCache>
                <c:formatCode>0.00%</c:formatCode>
                <c:ptCount val="5"/>
                <c:pt idx="0">
                  <c:v>3.4722222222222224E-2</c:v>
                </c:pt>
                <c:pt idx="1">
                  <c:v>0.74652777777777779</c:v>
                </c:pt>
                <c:pt idx="2">
                  <c:v>5.2083333333333336E-2</c:v>
                </c:pt>
                <c:pt idx="3">
                  <c:v>0.1111111111111111</c:v>
                </c:pt>
                <c:pt idx="4">
                  <c:v>5.5555555555555552E-2</c:v>
                </c:pt>
              </c:numCache>
            </c:numRef>
          </c:val>
          <c:extLst>
            <c:ext xmlns:c16="http://schemas.microsoft.com/office/drawing/2014/chart" uri="{C3380CC4-5D6E-409C-BE32-E72D297353CC}">
              <c16:uniqueId val="{00000005-EBCA-4B01-92E9-52817577C130}"/>
            </c:ext>
          </c:extLst>
        </c:ser>
        <c:dLbls>
          <c:showLegendKey val="0"/>
          <c:showVal val="0"/>
          <c:showCatName val="0"/>
          <c:showSerName val="0"/>
          <c:showPercent val="0"/>
          <c:showBubbleSize val="0"/>
        </c:dLbls>
        <c:axId val="459205439"/>
        <c:axId val="459208319"/>
      </c:radarChart>
      <c:catAx>
        <c:axId val="4592054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208319"/>
        <c:crosses val="autoZero"/>
        <c:auto val="1"/>
        <c:lblAlgn val="ctr"/>
        <c:lblOffset val="100"/>
        <c:noMultiLvlLbl val="0"/>
      </c:catAx>
      <c:valAx>
        <c:axId val="459208319"/>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4592054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Pivot!$U$4</c:f>
              <c:strCache>
                <c:ptCount val="1"/>
                <c:pt idx="0">
                  <c:v>Sum of Grand Total</c:v>
                </c:pt>
              </c:strCache>
            </c:strRef>
          </c:tx>
          <c:spPr>
            <a:ln w="28575" cap="rnd">
              <a:solidFill>
                <a:schemeClr val="accent1"/>
              </a:solidFill>
              <a:round/>
            </a:ln>
            <a:effectLst/>
          </c:spPr>
          <c:marker>
            <c:symbol val="none"/>
          </c:marker>
          <c:cat>
            <c:numRef>
              <c:f>Pivot!$T$5:$T$15</c:f>
              <c:numCache>
                <c:formatCode>[$-409]m/d/yy\ h:mm\ AM/PM;@</c:formatCode>
                <c:ptCount val="11"/>
                <c:pt idx="0">
                  <c:v>0</c:v>
                </c:pt>
                <c:pt idx="1">
                  <c:v>0</c:v>
                </c:pt>
                <c:pt idx="2">
                  <c:v>0</c:v>
                </c:pt>
                <c:pt idx="3">
                  <c:v>0</c:v>
                </c:pt>
                <c:pt idx="4">
                  <c:v>0</c:v>
                </c:pt>
                <c:pt idx="5">
                  <c:v>0</c:v>
                </c:pt>
                <c:pt idx="6">
                  <c:v>0</c:v>
                </c:pt>
                <c:pt idx="7">
                  <c:v>0</c:v>
                </c:pt>
                <c:pt idx="8">
                  <c:v>0</c:v>
                </c:pt>
                <c:pt idx="9">
                  <c:v>0</c:v>
                </c:pt>
                <c:pt idx="10">
                  <c:v>0</c:v>
                </c:pt>
              </c:numCache>
            </c:numRef>
          </c:cat>
          <c:val>
            <c:numRef>
              <c:f>Pivot!$U$5:$U$15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7308-40F5-A212-954A88E032EB}"/>
            </c:ext>
          </c:extLst>
        </c:ser>
        <c:dLbls>
          <c:showLegendKey val="0"/>
          <c:showVal val="0"/>
          <c:showCatName val="0"/>
          <c:showSerName val="0"/>
          <c:showPercent val="0"/>
          <c:showBubbleSize val="0"/>
        </c:dLbls>
        <c:smooth val="0"/>
        <c:axId val="1712169439"/>
        <c:axId val="1712172799"/>
      </c:lineChart>
      <c:dateAx>
        <c:axId val="1712169439"/>
        <c:scaling>
          <c:orientation val="minMax"/>
        </c:scaling>
        <c:delete val="0"/>
        <c:axPos val="b"/>
        <c:numFmt formatCode="[$-409]m/d/yy\ h:mm\ AM/P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172799"/>
        <c:crosses val="autoZero"/>
        <c:auto val="1"/>
        <c:lblOffset val="100"/>
        <c:baseTimeUnit val="days"/>
      </c:dateAx>
      <c:valAx>
        <c:axId val="17121727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16943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U$2" max="30000" min="10" page="10" val="12"/>
</file>

<file path=xl/ctrlProps/ctrlProp2.xml><?xml version="1.0" encoding="utf-8"?>
<formControlPr xmlns="http://schemas.microsoft.com/office/spreadsheetml/2009/9/main" objectType="Scroll" dx="22" fmlaLink="$U$1" horiz="1" max="100" min="2" page="10" val="40"/>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6.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5.xml"/><Relationship Id="rId5" Type="http://schemas.openxmlformats.org/officeDocument/2006/relationships/image" Target="../media/image5.png"/><Relationship Id="rId10" Type="http://schemas.openxmlformats.org/officeDocument/2006/relationships/chart" Target="../charts/chart4.xml"/><Relationship Id="rId4" Type="http://schemas.openxmlformats.org/officeDocument/2006/relationships/image" Target="../media/image4.svg"/><Relationship Id="rId9"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5</xdr:col>
      <xdr:colOff>516015</xdr:colOff>
      <xdr:row>3</xdr:row>
      <xdr:rowOff>180975</xdr:rowOff>
    </xdr:from>
    <xdr:to>
      <xdr:col>8</xdr:col>
      <xdr:colOff>392191</xdr:colOff>
      <xdr:row>7</xdr:row>
      <xdr:rowOff>133350</xdr:rowOff>
    </xdr:to>
    <xdr:sp macro="" textlink="">
      <xdr:nvSpPr>
        <xdr:cNvPr id="10" name="Rectangle 9">
          <a:extLst>
            <a:ext uri="{FF2B5EF4-FFF2-40B4-BE49-F238E27FC236}">
              <a16:creationId xmlns:a16="http://schemas.microsoft.com/office/drawing/2014/main" id="{A7DBC65E-A2B2-4FE2-A22D-015933C2F89F}"/>
            </a:ext>
          </a:extLst>
        </xdr:cNvPr>
        <xdr:cNvSpPr/>
      </xdr:nvSpPr>
      <xdr:spPr>
        <a:xfrm>
          <a:off x="3580580" y="752475"/>
          <a:ext cx="1714915" cy="714375"/>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401714</xdr:colOff>
      <xdr:row>3</xdr:row>
      <xdr:rowOff>180975</xdr:rowOff>
    </xdr:from>
    <xdr:to>
      <xdr:col>16</xdr:col>
      <xdr:colOff>36452</xdr:colOff>
      <xdr:row>7</xdr:row>
      <xdr:rowOff>133350</xdr:rowOff>
    </xdr:to>
    <xdr:sp macro="" textlink="">
      <xdr:nvSpPr>
        <xdr:cNvPr id="11" name="Rectangle 10">
          <a:extLst>
            <a:ext uri="{FF2B5EF4-FFF2-40B4-BE49-F238E27FC236}">
              <a16:creationId xmlns:a16="http://schemas.microsoft.com/office/drawing/2014/main" id="{605DA5EA-5439-47A5-98E8-78CEC062151E}"/>
            </a:ext>
          </a:extLst>
        </xdr:cNvPr>
        <xdr:cNvSpPr/>
      </xdr:nvSpPr>
      <xdr:spPr>
        <a:xfrm>
          <a:off x="7143757" y="752475"/>
          <a:ext cx="2699304" cy="714375"/>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449339</xdr:colOff>
      <xdr:row>3</xdr:row>
      <xdr:rowOff>180975</xdr:rowOff>
    </xdr:from>
    <xdr:to>
      <xdr:col>11</xdr:col>
      <xdr:colOff>354090</xdr:colOff>
      <xdr:row>7</xdr:row>
      <xdr:rowOff>133350</xdr:rowOff>
    </xdr:to>
    <xdr:sp macro="" textlink="">
      <xdr:nvSpPr>
        <xdr:cNvPr id="12" name="Rectangle 11">
          <a:extLst>
            <a:ext uri="{FF2B5EF4-FFF2-40B4-BE49-F238E27FC236}">
              <a16:creationId xmlns:a16="http://schemas.microsoft.com/office/drawing/2014/main" id="{28A9DD8E-276E-4322-AB7F-AB6283AEEC7E}"/>
            </a:ext>
          </a:extLst>
        </xdr:cNvPr>
        <xdr:cNvSpPr/>
      </xdr:nvSpPr>
      <xdr:spPr>
        <a:xfrm>
          <a:off x="5352643" y="752475"/>
          <a:ext cx="1743490" cy="714375"/>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93602</xdr:colOff>
      <xdr:row>3</xdr:row>
      <xdr:rowOff>180975</xdr:rowOff>
    </xdr:from>
    <xdr:to>
      <xdr:col>20</xdr:col>
      <xdr:colOff>544285</xdr:colOff>
      <xdr:row>7</xdr:row>
      <xdr:rowOff>133350</xdr:rowOff>
    </xdr:to>
    <xdr:sp macro="" textlink="">
      <xdr:nvSpPr>
        <xdr:cNvPr id="13" name="Rectangle 12">
          <a:extLst>
            <a:ext uri="{FF2B5EF4-FFF2-40B4-BE49-F238E27FC236}">
              <a16:creationId xmlns:a16="http://schemas.microsoft.com/office/drawing/2014/main" id="{E5FEDEB4-0B68-4B39-8734-C77CB1C31D81}"/>
            </a:ext>
          </a:extLst>
        </xdr:cNvPr>
        <xdr:cNvSpPr/>
      </xdr:nvSpPr>
      <xdr:spPr>
        <a:xfrm>
          <a:off x="9775484" y="752475"/>
          <a:ext cx="2871154" cy="714375"/>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3</xdr:row>
      <xdr:rowOff>171449</xdr:rowOff>
    </xdr:from>
    <xdr:to>
      <xdr:col>2</xdr:col>
      <xdr:colOff>557893</xdr:colOff>
      <xdr:row>35</xdr:row>
      <xdr:rowOff>11206</xdr:rowOff>
    </xdr:to>
    <xdr:sp macro="" textlink="">
      <xdr:nvSpPr>
        <xdr:cNvPr id="17" name="Rectangle 16">
          <a:extLst>
            <a:ext uri="{FF2B5EF4-FFF2-40B4-BE49-F238E27FC236}">
              <a16:creationId xmlns:a16="http://schemas.microsoft.com/office/drawing/2014/main" id="{F3C35BFF-FAB0-44B6-BAF3-2AC8B66700D2}"/>
            </a:ext>
          </a:extLst>
        </xdr:cNvPr>
        <xdr:cNvSpPr/>
      </xdr:nvSpPr>
      <xdr:spPr>
        <a:xfrm>
          <a:off x="47625" y="742949"/>
          <a:ext cx="1734911" cy="5935757"/>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50"/>
        </a:p>
      </xdr:txBody>
    </xdr:sp>
    <xdr:clientData/>
  </xdr:twoCellAnchor>
  <xdr:twoCellAnchor>
    <xdr:from>
      <xdr:col>0</xdr:col>
      <xdr:colOff>188260</xdr:colOff>
      <xdr:row>4</xdr:row>
      <xdr:rowOff>104775</xdr:rowOff>
    </xdr:from>
    <xdr:to>
      <xdr:col>2</xdr:col>
      <xdr:colOff>152400</xdr:colOff>
      <xdr:row>5</xdr:row>
      <xdr:rowOff>161717</xdr:rowOff>
    </xdr:to>
    <xdr:grpSp>
      <xdr:nvGrpSpPr>
        <xdr:cNvPr id="30" name="Group 29">
          <a:extLst>
            <a:ext uri="{FF2B5EF4-FFF2-40B4-BE49-F238E27FC236}">
              <a16:creationId xmlns:a16="http://schemas.microsoft.com/office/drawing/2014/main" id="{2342E57B-B41E-0041-BC60-1F5F2CECE195}"/>
            </a:ext>
          </a:extLst>
        </xdr:cNvPr>
        <xdr:cNvGrpSpPr/>
      </xdr:nvGrpSpPr>
      <xdr:grpSpPr>
        <a:xfrm>
          <a:off x="188260" y="866775"/>
          <a:ext cx="1188783" cy="247442"/>
          <a:chOff x="188260" y="866775"/>
          <a:chExt cx="1183340" cy="247442"/>
        </a:xfrm>
      </xdr:grpSpPr>
      <xdr:sp macro="[0]!Dashboard_Active" textlink="">
        <xdr:nvSpPr>
          <xdr:cNvPr id="19" name="Rectangle 18">
            <a:extLst>
              <a:ext uri="{FF2B5EF4-FFF2-40B4-BE49-F238E27FC236}">
                <a16:creationId xmlns:a16="http://schemas.microsoft.com/office/drawing/2014/main" id="{AD604074-8E8E-5D4E-12E7-B84067F62791}"/>
              </a:ext>
            </a:extLst>
          </xdr:cNvPr>
          <xdr:cNvSpPr/>
        </xdr:nvSpPr>
        <xdr:spPr>
          <a:xfrm>
            <a:off x="464820" y="866775"/>
            <a:ext cx="906780" cy="247442"/>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tx1"/>
                </a:solidFill>
                <a:latin typeface="Bahnschrift" panose="020B0502040204020203" pitchFamily="34" charset="0"/>
                <a:cs typeface="Arial" panose="020B0604020202020204" pitchFamily="34" charset="0"/>
              </a:rPr>
              <a:t>Dashboard</a:t>
            </a:r>
          </a:p>
        </xdr:txBody>
      </xdr:sp>
      <xdr:pic macro="[0]!Dashboard_Active">
        <xdr:nvPicPr>
          <xdr:cNvPr id="20" name="Graphic 19" descr="Bar chart with solid fill">
            <a:extLst>
              <a:ext uri="{FF2B5EF4-FFF2-40B4-BE49-F238E27FC236}">
                <a16:creationId xmlns:a16="http://schemas.microsoft.com/office/drawing/2014/main" id="{1BE0034E-6531-A136-E283-2D5A4CF76D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88260" y="885488"/>
            <a:ext cx="293818" cy="209887"/>
          </a:xfrm>
          <a:prstGeom prst="rect">
            <a:avLst/>
          </a:prstGeom>
        </xdr:spPr>
      </xdr:pic>
    </xdr:grpSp>
    <xdr:clientData/>
  </xdr:twoCellAnchor>
  <xdr:twoCellAnchor>
    <xdr:from>
      <xdr:col>0</xdr:col>
      <xdr:colOff>175373</xdr:colOff>
      <xdr:row>6</xdr:row>
      <xdr:rowOff>57150</xdr:rowOff>
    </xdr:from>
    <xdr:to>
      <xdr:col>2</xdr:col>
      <xdr:colOff>142875</xdr:colOff>
      <xdr:row>7</xdr:row>
      <xdr:rowOff>114092</xdr:rowOff>
    </xdr:to>
    <xdr:grpSp>
      <xdr:nvGrpSpPr>
        <xdr:cNvPr id="31" name="Group 30">
          <a:extLst>
            <a:ext uri="{FF2B5EF4-FFF2-40B4-BE49-F238E27FC236}">
              <a16:creationId xmlns:a16="http://schemas.microsoft.com/office/drawing/2014/main" id="{39C7207B-B8AC-88EA-7131-69AAB41143FB}"/>
            </a:ext>
          </a:extLst>
        </xdr:cNvPr>
        <xdr:cNvGrpSpPr/>
      </xdr:nvGrpSpPr>
      <xdr:grpSpPr>
        <a:xfrm>
          <a:off x="175373" y="1200150"/>
          <a:ext cx="1192145" cy="247442"/>
          <a:chOff x="175373" y="1200150"/>
          <a:chExt cx="1186702" cy="247442"/>
        </a:xfrm>
      </xdr:grpSpPr>
      <xdr:pic macro="[0]!Detail_Active">
        <xdr:nvPicPr>
          <xdr:cNvPr id="26" name="Graphic 25" descr="List with solid fill">
            <a:extLst>
              <a:ext uri="{FF2B5EF4-FFF2-40B4-BE49-F238E27FC236}">
                <a16:creationId xmlns:a16="http://schemas.microsoft.com/office/drawing/2014/main" id="{0D4AAE37-1F6E-9A30-2740-EFC35102A91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75373" y="1231020"/>
            <a:ext cx="327116" cy="188206"/>
          </a:xfrm>
          <a:prstGeom prst="rect">
            <a:avLst/>
          </a:prstGeom>
        </xdr:spPr>
      </xdr:pic>
      <xdr:sp macro="[0]!Detail_Active" textlink="">
        <xdr:nvSpPr>
          <xdr:cNvPr id="27" name="Rectangle 26">
            <a:extLst>
              <a:ext uri="{FF2B5EF4-FFF2-40B4-BE49-F238E27FC236}">
                <a16:creationId xmlns:a16="http://schemas.microsoft.com/office/drawing/2014/main" id="{AF06194B-69E4-4B0C-9308-CA40E2512D51}"/>
              </a:ext>
            </a:extLst>
          </xdr:cNvPr>
          <xdr:cNvSpPr/>
        </xdr:nvSpPr>
        <xdr:spPr>
          <a:xfrm>
            <a:off x="464820" y="1200150"/>
            <a:ext cx="897255" cy="247442"/>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tx1"/>
                </a:solidFill>
                <a:latin typeface="Bahnschrift" panose="020B0502040204020203" pitchFamily="34" charset="0"/>
                <a:cs typeface="Arial" panose="020B0604020202020204" pitchFamily="34" charset="0"/>
              </a:rPr>
              <a:t>Detail</a:t>
            </a:r>
          </a:p>
        </xdr:txBody>
      </xdr:sp>
    </xdr:grpSp>
    <xdr:clientData/>
  </xdr:twoCellAnchor>
  <xdr:twoCellAnchor>
    <xdr:from>
      <xdr:col>0</xdr:col>
      <xdr:colOff>210674</xdr:colOff>
      <xdr:row>7</xdr:row>
      <xdr:rowOff>180975</xdr:rowOff>
    </xdr:from>
    <xdr:to>
      <xdr:col>2</xdr:col>
      <xdr:colOff>142875</xdr:colOff>
      <xdr:row>9</xdr:row>
      <xdr:rowOff>66467</xdr:rowOff>
    </xdr:to>
    <xdr:grpSp>
      <xdr:nvGrpSpPr>
        <xdr:cNvPr id="33" name="Group 32">
          <a:extLst>
            <a:ext uri="{FF2B5EF4-FFF2-40B4-BE49-F238E27FC236}">
              <a16:creationId xmlns:a16="http://schemas.microsoft.com/office/drawing/2014/main" id="{F81C2F15-22DC-23E3-5918-8C71AD9E9CFC}"/>
            </a:ext>
          </a:extLst>
        </xdr:cNvPr>
        <xdr:cNvGrpSpPr/>
      </xdr:nvGrpSpPr>
      <xdr:grpSpPr>
        <a:xfrm>
          <a:off x="210674" y="1514475"/>
          <a:ext cx="1156844" cy="266492"/>
          <a:chOff x="210674" y="1514475"/>
          <a:chExt cx="1151401" cy="266492"/>
        </a:xfrm>
      </xdr:grpSpPr>
      <xdr:pic macro="[0]!Data_Active">
        <xdr:nvPicPr>
          <xdr:cNvPr id="23" name="Graphic 22" descr="Home with solid fill">
            <a:extLst>
              <a:ext uri="{FF2B5EF4-FFF2-40B4-BE49-F238E27FC236}">
                <a16:creationId xmlns:a16="http://schemas.microsoft.com/office/drawing/2014/main" id="{6BD317ED-4178-9F87-2DB3-BAE45CCB455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0674" y="1514475"/>
            <a:ext cx="264796" cy="256106"/>
          </a:xfrm>
          <a:prstGeom prst="rect">
            <a:avLst/>
          </a:prstGeom>
        </xdr:spPr>
      </xdr:pic>
      <xdr:sp macro="[0]!Data_Active" textlink="">
        <xdr:nvSpPr>
          <xdr:cNvPr id="28" name="Rectangle 27">
            <a:extLst>
              <a:ext uri="{FF2B5EF4-FFF2-40B4-BE49-F238E27FC236}">
                <a16:creationId xmlns:a16="http://schemas.microsoft.com/office/drawing/2014/main" id="{9EF0DDA8-C940-4713-9582-4E96A0FB2DC4}"/>
              </a:ext>
            </a:extLst>
          </xdr:cNvPr>
          <xdr:cNvSpPr/>
        </xdr:nvSpPr>
        <xdr:spPr>
          <a:xfrm>
            <a:off x="455295" y="1533525"/>
            <a:ext cx="906780" cy="247442"/>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tx1"/>
                </a:solidFill>
                <a:latin typeface="Bahnschrift" panose="020B0502040204020203" pitchFamily="34" charset="0"/>
                <a:cs typeface="Arial" panose="020B0604020202020204" pitchFamily="34" charset="0"/>
              </a:rPr>
              <a:t>Data</a:t>
            </a:r>
          </a:p>
        </xdr:txBody>
      </xdr:sp>
    </xdr:grpSp>
    <xdr:clientData/>
  </xdr:twoCellAnchor>
  <xdr:twoCellAnchor>
    <xdr:from>
      <xdr:col>2</xdr:col>
      <xdr:colOff>251791</xdr:colOff>
      <xdr:row>4</xdr:row>
      <xdr:rowOff>85726</xdr:rowOff>
    </xdr:from>
    <xdr:to>
      <xdr:col>2</xdr:col>
      <xdr:colOff>337516</xdr:colOff>
      <xdr:row>5</xdr:row>
      <xdr:rowOff>180976</xdr:rowOff>
    </xdr:to>
    <xdr:sp macro="" textlink="">
      <xdr:nvSpPr>
        <xdr:cNvPr id="29" name="Rectangle 28">
          <a:extLst>
            <a:ext uri="{FF2B5EF4-FFF2-40B4-BE49-F238E27FC236}">
              <a16:creationId xmlns:a16="http://schemas.microsoft.com/office/drawing/2014/main" id="{B95AD908-C7DE-4D29-BE67-430212C28FFD}"/>
            </a:ext>
          </a:extLst>
        </xdr:cNvPr>
        <xdr:cNvSpPr/>
      </xdr:nvSpPr>
      <xdr:spPr>
        <a:xfrm>
          <a:off x="1477617" y="847726"/>
          <a:ext cx="85725" cy="285750"/>
        </a:xfrm>
        <a:prstGeom prst="rect">
          <a:avLst/>
        </a:prstGeom>
        <a:solidFill>
          <a:schemeClr val="accent3"/>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600">
            <a:solidFill>
              <a:schemeClr val="tx1"/>
            </a:solidFill>
            <a:latin typeface="Bahnschrift" panose="020B0502040204020203" pitchFamily="34" charset="0"/>
            <a:cs typeface="Arial" panose="020B0604020202020204" pitchFamily="34" charset="0"/>
          </a:endParaRPr>
        </a:p>
      </xdr:txBody>
    </xdr:sp>
    <xdr:clientData/>
  </xdr:twoCellAnchor>
  <xdr:twoCellAnchor>
    <xdr:from>
      <xdr:col>2</xdr:col>
      <xdr:colOff>592215</xdr:colOff>
      <xdr:row>3</xdr:row>
      <xdr:rowOff>180975</xdr:rowOff>
    </xdr:from>
    <xdr:to>
      <xdr:col>5</xdr:col>
      <xdr:colOff>468391</xdr:colOff>
      <xdr:row>7</xdr:row>
      <xdr:rowOff>123825</xdr:rowOff>
    </xdr:to>
    <xdr:sp macro="" textlink="">
      <xdr:nvSpPr>
        <xdr:cNvPr id="34" name="Rectangle 33">
          <a:extLst>
            <a:ext uri="{FF2B5EF4-FFF2-40B4-BE49-F238E27FC236}">
              <a16:creationId xmlns:a16="http://schemas.microsoft.com/office/drawing/2014/main" id="{2C01C8F9-D39B-06B7-982B-C9942C49B894}"/>
            </a:ext>
          </a:extLst>
        </xdr:cNvPr>
        <xdr:cNvSpPr/>
      </xdr:nvSpPr>
      <xdr:spPr>
        <a:xfrm>
          <a:off x="1818041" y="752475"/>
          <a:ext cx="1714915" cy="70485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611266</xdr:colOff>
      <xdr:row>4</xdr:row>
      <xdr:rowOff>9525</xdr:rowOff>
    </xdr:from>
    <xdr:to>
      <xdr:col>4</xdr:col>
      <xdr:colOff>554116</xdr:colOff>
      <xdr:row>5</xdr:row>
      <xdr:rowOff>47625</xdr:rowOff>
    </xdr:to>
    <xdr:sp macro="" textlink="">
      <xdr:nvSpPr>
        <xdr:cNvPr id="36" name="TextBox 35">
          <a:extLst>
            <a:ext uri="{FF2B5EF4-FFF2-40B4-BE49-F238E27FC236}">
              <a16:creationId xmlns:a16="http://schemas.microsoft.com/office/drawing/2014/main" id="{20290B40-3762-BDF3-992E-E14BA7BC8A20}"/>
            </a:ext>
          </a:extLst>
        </xdr:cNvPr>
        <xdr:cNvSpPr txBox="1"/>
      </xdr:nvSpPr>
      <xdr:spPr>
        <a:xfrm>
          <a:off x="1837092" y="771525"/>
          <a:ext cx="1168676"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mj-lt"/>
            </a:rPr>
            <a:t>Total</a:t>
          </a:r>
          <a:r>
            <a:rPr lang="en-US" sz="1100" b="1" baseline="0">
              <a:latin typeface="+mj-lt"/>
            </a:rPr>
            <a:t> Transaksi</a:t>
          </a:r>
          <a:endParaRPr lang="en-US" sz="1100" b="1">
            <a:latin typeface="+mj-lt"/>
          </a:endParaRPr>
        </a:p>
      </xdr:txBody>
    </xdr:sp>
    <xdr:clientData/>
  </xdr:twoCellAnchor>
  <xdr:twoCellAnchor>
    <xdr:from>
      <xdr:col>5</xdr:col>
      <xdr:colOff>544591</xdr:colOff>
      <xdr:row>3</xdr:row>
      <xdr:rowOff>180975</xdr:rowOff>
    </xdr:from>
    <xdr:to>
      <xdr:col>8</xdr:col>
      <xdr:colOff>315991</xdr:colOff>
      <xdr:row>5</xdr:row>
      <xdr:rowOff>28575</xdr:rowOff>
    </xdr:to>
    <xdr:sp macro="" textlink="">
      <xdr:nvSpPr>
        <xdr:cNvPr id="7" name="TextBox 6">
          <a:extLst>
            <a:ext uri="{FF2B5EF4-FFF2-40B4-BE49-F238E27FC236}">
              <a16:creationId xmlns:a16="http://schemas.microsoft.com/office/drawing/2014/main" id="{3B4BD9C7-7FAC-4955-AF77-BD1C671F660C}"/>
            </a:ext>
          </a:extLst>
        </xdr:cNvPr>
        <xdr:cNvSpPr txBox="1"/>
      </xdr:nvSpPr>
      <xdr:spPr>
        <a:xfrm>
          <a:off x="3609156" y="752475"/>
          <a:ext cx="1610139"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mj-lt"/>
            </a:rPr>
            <a:t>Rata-rata Discount</a:t>
          </a:r>
        </a:p>
      </xdr:txBody>
    </xdr:sp>
    <xdr:clientData/>
  </xdr:twoCellAnchor>
  <xdr:twoCellAnchor>
    <xdr:from>
      <xdr:col>8</xdr:col>
      <xdr:colOff>449342</xdr:colOff>
      <xdr:row>3</xdr:row>
      <xdr:rowOff>180975</xdr:rowOff>
    </xdr:from>
    <xdr:to>
      <xdr:col>11</xdr:col>
      <xdr:colOff>344566</xdr:colOff>
      <xdr:row>5</xdr:row>
      <xdr:rowOff>38100</xdr:rowOff>
    </xdr:to>
    <xdr:sp macro="" textlink="">
      <xdr:nvSpPr>
        <xdr:cNvPr id="8" name="TextBox 7">
          <a:extLst>
            <a:ext uri="{FF2B5EF4-FFF2-40B4-BE49-F238E27FC236}">
              <a16:creationId xmlns:a16="http://schemas.microsoft.com/office/drawing/2014/main" id="{F1C45351-477D-433A-82BE-C8F0B8A035A0}"/>
            </a:ext>
          </a:extLst>
        </xdr:cNvPr>
        <xdr:cNvSpPr txBox="1"/>
      </xdr:nvSpPr>
      <xdr:spPr>
        <a:xfrm>
          <a:off x="5352646" y="752475"/>
          <a:ext cx="1733963"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mj-lt"/>
            </a:rPr>
            <a:t>Rata-rata Rating Costumer</a:t>
          </a:r>
        </a:p>
      </xdr:txBody>
    </xdr:sp>
    <xdr:clientData/>
  </xdr:twoCellAnchor>
  <xdr:twoCellAnchor>
    <xdr:from>
      <xdr:col>11</xdr:col>
      <xdr:colOff>411241</xdr:colOff>
      <xdr:row>4</xdr:row>
      <xdr:rowOff>0</xdr:rowOff>
    </xdr:from>
    <xdr:to>
      <xdr:col>13</xdr:col>
      <xdr:colOff>354091</xdr:colOff>
      <xdr:row>5</xdr:row>
      <xdr:rowOff>38100</xdr:rowOff>
    </xdr:to>
    <xdr:sp macro="" textlink="">
      <xdr:nvSpPr>
        <xdr:cNvPr id="9" name="TextBox 8">
          <a:extLst>
            <a:ext uri="{FF2B5EF4-FFF2-40B4-BE49-F238E27FC236}">
              <a16:creationId xmlns:a16="http://schemas.microsoft.com/office/drawing/2014/main" id="{3348DF84-5894-443A-8269-58C18318FE95}"/>
            </a:ext>
          </a:extLst>
        </xdr:cNvPr>
        <xdr:cNvSpPr txBox="1"/>
      </xdr:nvSpPr>
      <xdr:spPr>
        <a:xfrm>
          <a:off x="7153284" y="762000"/>
          <a:ext cx="1168677"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mj-lt"/>
            </a:rPr>
            <a:t>Total</a:t>
          </a:r>
          <a:r>
            <a:rPr lang="en-US" sz="1100" b="1" baseline="0">
              <a:latin typeface="+mj-lt"/>
            </a:rPr>
            <a:t> Sales</a:t>
          </a:r>
          <a:endParaRPr lang="en-US" sz="1100" b="1">
            <a:latin typeface="+mj-lt"/>
          </a:endParaRPr>
        </a:p>
      </xdr:txBody>
    </xdr:sp>
    <xdr:clientData/>
  </xdr:twoCellAnchor>
  <xdr:twoCellAnchor>
    <xdr:from>
      <xdr:col>16</xdr:col>
      <xdr:colOff>103128</xdr:colOff>
      <xdr:row>4</xdr:row>
      <xdr:rowOff>0</xdr:rowOff>
    </xdr:from>
    <xdr:to>
      <xdr:col>18</xdr:col>
      <xdr:colOff>468391</xdr:colOff>
      <xdr:row>5</xdr:row>
      <xdr:rowOff>38100</xdr:rowOff>
    </xdr:to>
    <xdr:sp macro="" textlink="">
      <xdr:nvSpPr>
        <xdr:cNvPr id="14" name="TextBox 13">
          <a:extLst>
            <a:ext uri="{FF2B5EF4-FFF2-40B4-BE49-F238E27FC236}">
              <a16:creationId xmlns:a16="http://schemas.microsoft.com/office/drawing/2014/main" id="{1AFFF448-68B0-435C-B1F4-774F0BAD923B}"/>
            </a:ext>
          </a:extLst>
        </xdr:cNvPr>
        <xdr:cNvSpPr txBox="1"/>
      </xdr:nvSpPr>
      <xdr:spPr>
        <a:xfrm>
          <a:off x="9909737" y="762000"/>
          <a:ext cx="1591089"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mj-lt"/>
            </a:rPr>
            <a:t>Jumlah Grand Total</a:t>
          </a:r>
        </a:p>
      </xdr:txBody>
    </xdr:sp>
    <xdr:clientData/>
  </xdr:twoCellAnchor>
  <xdr:twoCellAnchor>
    <xdr:from>
      <xdr:col>3</xdr:col>
      <xdr:colOff>17403</xdr:colOff>
      <xdr:row>5</xdr:row>
      <xdr:rowOff>28575</xdr:rowOff>
    </xdr:from>
    <xdr:to>
      <xdr:col>5</xdr:col>
      <xdr:colOff>179328</xdr:colOff>
      <xdr:row>7</xdr:row>
      <xdr:rowOff>47625</xdr:rowOff>
    </xdr:to>
    <xdr:sp macro="" textlink="Pivot!A4">
      <xdr:nvSpPr>
        <xdr:cNvPr id="15" name="TextBox 14">
          <a:extLst>
            <a:ext uri="{FF2B5EF4-FFF2-40B4-BE49-F238E27FC236}">
              <a16:creationId xmlns:a16="http://schemas.microsoft.com/office/drawing/2014/main" id="{BD5C0C08-8518-E42B-05CD-5FBAF5177DB3}"/>
            </a:ext>
          </a:extLst>
        </xdr:cNvPr>
        <xdr:cNvSpPr txBox="1"/>
      </xdr:nvSpPr>
      <xdr:spPr>
        <a:xfrm>
          <a:off x="1856142" y="981075"/>
          <a:ext cx="1387751"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108D53-7F25-4F2F-9CE3-55840885629E}" type="TxLink">
            <a:rPr lang="en-US" sz="1800" b="0" i="0" u="none" strike="noStrike">
              <a:solidFill>
                <a:srgbClr val="000000"/>
              </a:solidFill>
              <a:latin typeface="Arial Black" panose="020B0A04020102020204" pitchFamily="34" charset="0"/>
              <a:ea typeface="Calibri"/>
              <a:cs typeface="Calibri"/>
            </a:rPr>
            <a:pPr/>
            <a:t>288</a:t>
          </a:fld>
          <a:endParaRPr lang="en-US" sz="1800">
            <a:latin typeface="Arial Black" panose="020B0A04020102020204" pitchFamily="34" charset="0"/>
          </a:endParaRPr>
        </a:p>
      </xdr:txBody>
    </xdr:sp>
    <xdr:clientData/>
  </xdr:twoCellAnchor>
  <xdr:twoCellAnchor>
    <xdr:from>
      <xdr:col>5</xdr:col>
      <xdr:colOff>563641</xdr:colOff>
      <xdr:row>5</xdr:row>
      <xdr:rowOff>28575</xdr:rowOff>
    </xdr:from>
    <xdr:to>
      <xdr:col>8</xdr:col>
      <xdr:colOff>112653</xdr:colOff>
      <xdr:row>7</xdr:row>
      <xdr:rowOff>47625</xdr:rowOff>
    </xdr:to>
    <xdr:sp macro="" textlink="Pivot!C5">
      <xdr:nvSpPr>
        <xdr:cNvPr id="16" name="TextBox 15">
          <a:extLst>
            <a:ext uri="{FF2B5EF4-FFF2-40B4-BE49-F238E27FC236}">
              <a16:creationId xmlns:a16="http://schemas.microsoft.com/office/drawing/2014/main" id="{BF03C148-6272-47B6-B668-52978EE53DEC}"/>
            </a:ext>
          </a:extLst>
        </xdr:cNvPr>
        <xdr:cNvSpPr txBox="1"/>
      </xdr:nvSpPr>
      <xdr:spPr>
        <a:xfrm>
          <a:off x="3628206" y="981075"/>
          <a:ext cx="1387751"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5BE8A18-4F95-4B5D-85AA-B787C5238B4F}" type="TxLink">
            <a:rPr lang="en-US" sz="1800" b="0" i="0" u="none" strike="noStrike">
              <a:solidFill>
                <a:srgbClr val="000000"/>
              </a:solidFill>
              <a:latin typeface="Arial Black" panose="020B0A04020102020204" pitchFamily="34" charset="0"/>
              <a:ea typeface="Calibri"/>
              <a:cs typeface="Calibri"/>
            </a:rPr>
            <a:pPr/>
            <a:t>9.88%</a:t>
          </a:fld>
          <a:endParaRPr lang="en-US" sz="4800" b="1">
            <a:latin typeface="Arial Black" panose="020B0A04020102020204" pitchFamily="34" charset="0"/>
          </a:endParaRPr>
        </a:p>
      </xdr:txBody>
    </xdr:sp>
    <xdr:clientData/>
  </xdr:twoCellAnchor>
  <xdr:twoCellAnchor>
    <xdr:from>
      <xdr:col>8</xdr:col>
      <xdr:colOff>449341</xdr:colOff>
      <xdr:row>5</xdr:row>
      <xdr:rowOff>28575</xdr:rowOff>
    </xdr:from>
    <xdr:to>
      <xdr:col>10</xdr:col>
      <xdr:colOff>611266</xdr:colOff>
      <xdr:row>7</xdr:row>
      <xdr:rowOff>47625</xdr:rowOff>
    </xdr:to>
    <xdr:sp macro="" textlink="Pivot!E4">
      <xdr:nvSpPr>
        <xdr:cNvPr id="18" name="TextBox 17">
          <a:extLst>
            <a:ext uri="{FF2B5EF4-FFF2-40B4-BE49-F238E27FC236}">
              <a16:creationId xmlns:a16="http://schemas.microsoft.com/office/drawing/2014/main" id="{E0F65501-4962-4854-BDE0-156042F252A1}"/>
            </a:ext>
          </a:extLst>
        </xdr:cNvPr>
        <xdr:cNvSpPr txBox="1"/>
      </xdr:nvSpPr>
      <xdr:spPr>
        <a:xfrm>
          <a:off x="5352645" y="981075"/>
          <a:ext cx="1387751"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1EBA6D3-E4C7-41A2-8560-6E86C18E475C}" type="TxLink">
            <a:rPr lang="en-US" sz="1800" b="0" i="0" u="none" strike="noStrike">
              <a:solidFill>
                <a:srgbClr val="000000"/>
              </a:solidFill>
              <a:latin typeface="Arial Black" panose="020B0A04020102020204" pitchFamily="34" charset="0"/>
              <a:ea typeface="Calibri"/>
              <a:cs typeface="Calibri"/>
            </a:rPr>
            <a:pPr/>
            <a:t>3.00</a:t>
          </a:fld>
          <a:endParaRPr lang="en-US" sz="7200" b="1">
            <a:latin typeface="Arial Black" panose="020B0A04020102020204" pitchFamily="34" charset="0"/>
          </a:endParaRPr>
        </a:p>
      </xdr:txBody>
    </xdr:sp>
    <xdr:clientData/>
  </xdr:twoCellAnchor>
  <xdr:twoCellAnchor>
    <xdr:from>
      <xdr:col>9</xdr:col>
      <xdr:colOff>373142</xdr:colOff>
      <xdr:row>5</xdr:row>
      <xdr:rowOff>161925</xdr:rowOff>
    </xdr:from>
    <xdr:to>
      <xdr:col>10</xdr:col>
      <xdr:colOff>601742</xdr:colOff>
      <xdr:row>7</xdr:row>
      <xdr:rowOff>66675</xdr:rowOff>
    </xdr:to>
    <xdr:sp macro="" textlink="Pivot!E5">
      <xdr:nvSpPr>
        <xdr:cNvPr id="21" name="TextBox 20">
          <a:extLst>
            <a:ext uri="{FF2B5EF4-FFF2-40B4-BE49-F238E27FC236}">
              <a16:creationId xmlns:a16="http://schemas.microsoft.com/office/drawing/2014/main" id="{0C45E40B-F760-49DC-BFEB-5CDD55A2CD1F}"/>
            </a:ext>
          </a:extLst>
        </xdr:cNvPr>
        <xdr:cNvSpPr txBox="1"/>
      </xdr:nvSpPr>
      <xdr:spPr>
        <a:xfrm>
          <a:off x="5889359" y="1114425"/>
          <a:ext cx="84151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682938F-DE6E-4908-B382-58BFFF701784}" type="TxLink">
            <a:rPr lang="en-US" sz="900" b="0" i="0" u="none" strike="noStrike">
              <a:solidFill>
                <a:srgbClr val="000000"/>
              </a:solidFill>
              <a:latin typeface="Arial Black" panose="020B0A04020102020204" pitchFamily="34" charset="0"/>
              <a:ea typeface="Calibri"/>
              <a:cs typeface="Calibri"/>
            </a:rPr>
            <a:pPr/>
            <a:t>/5</a:t>
          </a:fld>
          <a:endParaRPr lang="en-US" sz="5400" b="1">
            <a:latin typeface="Arial Black" panose="020B0A04020102020204" pitchFamily="34" charset="0"/>
          </a:endParaRPr>
        </a:p>
      </xdr:txBody>
    </xdr:sp>
    <xdr:clientData/>
  </xdr:twoCellAnchor>
  <xdr:twoCellAnchor>
    <xdr:from>
      <xdr:col>11</xdr:col>
      <xdr:colOff>325516</xdr:colOff>
      <xdr:row>5</xdr:row>
      <xdr:rowOff>28575</xdr:rowOff>
    </xdr:from>
    <xdr:to>
      <xdr:col>16</xdr:col>
      <xdr:colOff>45979</xdr:colOff>
      <xdr:row>7</xdr:row>
      <xdr:rowOff>47625</xdr:rowOff>
    </xdr:to>
    <xdr:sp macro="" textlink="Pivot!G4">
      <xdr:nvSpPr>
        <xdr:cNvPr id="22" name="TextBox 21">
          <a:extLst>
            <a:ext uri="{FF2B5EF4-FFF2-40B4-BE49-F238E27FC236}">
              <a16:creationId xmlns:a16="http://schemas.microsoft.com/office/drawing/2014/main" id="{D1FDA49B-80ED-42E0-9349-2DDB2246943E}"/>
            </a:ext>
          </a:extLst>
        </xdr:cNvPr>
        <xdr:cNvSpPr txBox="1"/>
      </xdr:nvSpPr>
      <xdr:spPr>
        <a:xfrm>
          <a:off x="7067559" y="981075"/>
          <a:ext cx="2785029"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740B641-A452-4E6B-A1D5-C8AA2124F9C9}" type="TxLink">
            <a:rPr lang="en-US" sz="1800" b="0" i="0" u="none" strike="noStrike">
              <a:solidFill>
                <a:srgbClr val="000000"/>
              </a:solidFill>
              <a:latin typeface="Arial Black" panose="020B0A04020102020204" pitchFamily="34" charset="0"/>
              <a:ea typeface="Calibri"/>
              <a:cs typeface="Calibri"/>
            </a:rPr>
            <a:pPr algn="l"/>
            <a:t> IDR 19,225,650.00 </a:t>
          </a:fld>
          <a:endParaRPr lang="en-US" sz="7200" b="1">
            <a:latin typeface="Arial Black" panose="020B0A04020102020204" pitchFamily="34" charset="0"/>
          </a:endParaRPr>
        </a:p>
      </xdr:txBody>
    </xdr:sp>
    <xdr:clientData/>
  </xdr:twoCellAnchor>
  <xdr:twoCellAnchor>
    <xdr:from>
      <xdr:col>16</xdr:col>
      <xdr:colOff>17403</xdr:colOff>
      <xdr:row>5</xdr:row>
      <xdr:rowOff>28575</xdr:rowOff>
    </xdr:from>
    <xdr:to>
      <xdr:col>20</xdr:col>
      <xdr:colOff>363617</xdr:colOff>
      <xdr:row>7</xdr:row>
      <xdr:rowOff>47625</xdr:rowOff>
    </xdr:to>
    <xdr:sp macro="" textlink="Pivot!I4">
      <xdr:nvSpPr>
        <xdr:cNvPr id="24" name="TextBox 23">
          <a:extLst>
            <a:ext uri="{FF2B5EF4-FFF2-40B4-BE49-F238E27FC236}">
              <a16:creationId xmlns:a16="http://schemas.microsoft.com/office/drawing/2014/main" id="{52361480-F154-489F-96DC-30212EB6B5E2}"/>
            </a:ext>
          </a:extLst>
        </xdr:cNvPr>
        <xdr:cNvSpPr txBox="1"/>
      </xdr:nvSpPr>
      <xdr:spPr>
        <a:xfrm>
          <a:off x="9824012" y="981075"/>
          <a:ext cx="2797866"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8234BAC-BE84-4DFF-93E0-90571E38382D}" type="TxLink">
            <a:rPr lang="en-US" sz="1800" b="0" i="0" u="none" strike="noStrike">
              <a:solidFill>
                <a:srgbClr val="000000"/>
              </a:solidFill>
              <a:latin typeface="Arial Black" panose="020B0A04020102020204" pitchFamily="34" charset="0"/>
              <a:ea typeface="Calibri"/>
              <a:cs typeface="Calibri"/>
            </a:rPr>
            <a:pPr/>
            <a:t> IDR 35,062,650.00 </a:t>
          </a:fld>
          <a:endParaRPr lang="en-US" sz="11500" b="1">
            <a:latin typeface="Arial Black" panose="020B0A04020102020204" pitchFamily="34" charset="0"/>
          </a:endParaRPr>
        </a:p>
      </xdr:txBody>
    </xdr:sp>
    <xdr:clientData/>
  </xdr:twoCellAnchor>
  <xdr:twoCellAnchor>
    <xdr:from>
      <xdr:col>12</xdr:col>
      <xdr:colOff>103128</xdr:colOff>
      <xdr:row>8</xdr:row>
      <xdr:rowOff>8282</xdr:rowOff>
    </xdr:from>
    <xdr:to>
      <xdr:col>14</xdr:col>
      <xdr:colOff>506492</xdr:colOff>
      <xdr:row>19</xdr:row>
      <xdr:rowOff>171449</xdr:rowOff>
    </xdr:to>
    <xdr:sp macro="" textlink="">
      <xdr:nvSpPr>
        <xdr:cNvPr id="25" name="Rectangle 24">
          <a:extLst>
            <a:ext uri="{FF2B5EF4-FFF2-40B4-BE49-F238E27FC236}">
              <a16:creationId xmlns:a16="http://schemas.microsoft.com/office/drawing/2014/main" id="{0A5E818D-34CC-B6CA-7689-3A1F13C4A87E}"/>
            </a:ext>
          </a:extLst>
        </xdr:cNvPr>
        <xdr:cNvSpPr/>
      </xdr:nvSpPr>
      <xdr:spPr>
        <a:xfrm>
          <a:off x="7458085" y="1532282"/>
          <a:ext cx="1629190" cy="225866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112652</xdr:colOff>
      <xdr:row>10</xdr:row>
      <xdr:rowOff>76200</xdr:rowOff>
    </xdr:from>
    <xdr:to>
      <xdr:col>14</xdr:col>
      <xdr:colOff>325516</xdr:colOff>
      <xdr:row>12</xdr:row>
      <xdr:rowOff>95250</xdr:rowOff>
    </xdr:to>
    <xdr:sp macro="" textlink="Pivot!F11">
      <xdr:nvSpPr>
        <xdr:cNvPr id="35" name="TextBox 34">
          <a:extLst>
            <a:ext uri="{FF2B5EF4-FFF2-40B4-BE49-F238E27FC236}">
              <a16:creationId xmlns:a16="http://schemas.microsoft.com/office/drawing/2014/main" id="{0DDF232F-1DE2-45C6-BCB9-1F05A6AFC024}"/>
            </a:ext>
          </a:extLst>
        </xdr:cNvPr>
        <xdr:cNvSpPr txBox="1"/>
      </xdr:nvSpPr>
      <xdr:spPr>
        <a:xfrm>
          <a:off x="7467609" y="1981200"/>
          <a:ext cx="143869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B73EDB1-FAB0-4908-A7BA-AC35D3C94979}" type="TxLink">
            <a:rPr lang="en-US" sz="1800" b="0" i="0" u="none" strike="noStrike">
              <a:solidFill>
                <a:srgbClr val="000000"/>
              </a:solidFill>
              <a:latin typeface="Arial Black" panose="020B0A04020102020204" pitchFamily="34" charset="0"/>
              <a:ea typeface="Calibri"/>
              <a:cs typeface="Calibri"/>
            </a:rPr>
            <a:pPr algn="l"/>
            <a:t>57</a:t>
          </a:fld>
          <a:endParaRPr lang="en-US" sz="11500" b="1">
            <a:latin typeface="Arial Black" panose="020B0A04020102020204" pitchFamily="34" charset="0"/>
          </a:endParaRPr>
        </a:p>
      </xdr:txBody>
    </xdr:sp>
    <xdr:clientData/>
  </xdr:twoCellAnchor>
  <xdr:twoCellAnchor>
    <xdr:from>
      <xdr:col>12</xdr:col>
      <xdr:colOff>112652</xdr:colOff>
      <xdr:row>15</xdr:row>
      <xdr:rowOff>114300</xdr:rowOff>
    </xdr:from>
    <xdr:to>
      <xdr:col>14</xdr:col>
      <xdr:colOff>430291</xdr:colOff>
      <xdr:row>17</xdr:row>
      <xdr:rowOff>133350</xdr:rowOff>
    </xdr:to>
    <xdr:sp macro="" textlink="Pivot!F12">
      <xdr:nvSpPr>
        <xdr:cNvPr id="37" name="TextBox 36">
          <a:extLst>
            <a:ext uri="{FF2B5EF4-FFF2-40B4-BE49-F238E27FC236}">
              <a16:creationId xmlns:a16="http://schemas.microsoft.com/office/drawing/2014/main" id="{30238952-50F8-49AE-A123-412AC94DD181}"/>
            </a:ext>
          </a:extLst>
        </xdr:cNvPr>
        <xdr:cNvSpPr txBox="1"/>
      </xdr:nvSpPr>
      <xdr:spPr>
        <a:xfrm>
          <a:off x="7467609" y="2971800"/>
          <a:ext cx="154346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DF6907C-0259-439E-B23B-2D0E8695C534}" type="TxLink">
            <a:rPr lang="en-US" sz="1800" b="0" i="0" u="none" strike="noStrike">
              <a:solidFill>
                <a:srgbClr val="000000"/>
              </a:solidFill>
              <a:latin typeface="Arial Black" panose="020B0A04020102020204" pitchFamily="34" charset="0"/>
              <a:ea typeface="Calibri"/>
              <a:cs typeface="Calibri"/>
            </a:rPr>
            <a:pPr algn="l"/>
            <a:t>231</a:t>
          </a:fld>
          <a:endParaRPr lang="en-US" sz="11500" b="1">
            <a:latin typeface="Arial Black" panose="020B0A04020102020204" pitchFamily="34" charset="0"/>
          </a:endParaRPr>
        </a:p>
      </xdr:txBody>
    </xdr:sp>
    <xdr:clientData/>
  </xdr:twoCellAnchor>
  <xdr:twoCellAnchor>
    <xdr:from>
      <xdr:col>12</xdr:col>
      <xdr:colOff>150752</xdr:colOff>
      <xdr:row>8</xdr:row>
      <xdr:rowOff>161925</xdr:rowOff>
    </xdr:from>
    <xdr:to>
      <xdr:col>14</xdr:col>
      <xdr:colOff>439816</xdr:colOff>
      <xdr:row>10</xdr:row>
      <xdr:rowOff>57150</xdr:rowOff>
    </xdr:to>
    <xdr:sp macro="" textlink="">
      <xdr:nvSpPr>
        <xdr:cNvPr id="41" name="TextBox 40">
          <a:extLst>
            <a:ext uri="{FF2B5EF4-FFF2-40B4-BE49-F238E27FC236}">
              <a16:creationId xmlns:a16="http://schemas.microsoft.com/office/drawing/2014/main" id="{00A6DBAF-4097-4F7E-9C2A-959FBA6AE879}"/>
            </a:ext>
          </a:extLst>
        </xdr:cNvPr>
        <xdr:cNvSpPr txBox="1"/>
      </xdr:nvSpPr>
      <xdr:spPr>
        <a:xfrm>
          <a:off x="7505709" y="1685925"/>
          <a:ext cx="1514890"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mj-lt"/>
            </a:rPr>
            <a:t>Laki-Laki</a:t>
          </a:r>
        </a:p>
      </xdr:txBody>
    </xdr:sp>
    <xdr:clientData/>
  </xdr:twoCellAnchor>
  <xdr:twoCellAnchor>
    <xdr:from>
      <xdr:col>12</xdr:col>
      <xdr:colOff>169802</xdr:colOff>
      <xdr:row>13</xdr:row>
      <xdr:rowOff>161925</xdr:rowOff>
    </xdr:from>
    <xdr:to>
      <xdr:col>14</xdr:col>
      <xdr:colOff>458866</xdr:colOff>
      <xdr:row>15</xdr:row>
      <xdr:rowOff>57150</xdr:rowOff>
    </xdr:to>
    <xdr:sp macro="" textlink="">
      <xdr:nvSpPr>
        <xdr:cNvPr id="42" name="TextBox 41">
          <a:extLst>
            <a:ext uri="{FF2B5EF4-FFF2-40B4-BE49-F238E27FC236}">
              <a16:creationId xmlns:a16="http://schemas.microsoft.com/office/drawing/2014/main" id="{A2A4632B-3707-4ADE-967E-44278DA59CFE}"/>
            </a:ext>
          </a:extLst>
        </xdr:cNvPr>
        <xdr:cNvSpPr txBox="1"/>
      </xdr:nvSpPr>
      <xdr:spPr>
        <a:xfrm>
          <a:off x="7524759" y="2638425"/>
          <a:ext cx="1514890"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mj-lt"/>
            </a:rPr>
            <a:t>Perempuan</a:t>
          </a:r>
        </a:p>
      </xdr:txBody>
    </xdr:sp>
    <xdr:clientData/>
  </xdr:twoCellAnchor>
  <xdr:twoCellAnchor>
    <xdr:from>
      <xdr:col>12</xdr:col>
      <xdr:colOff>262553</xdr:colOff>
      <xdr:row>10</xdr:row>
      <xdr:rowOff>28575</xdr:rowOff>
    </xdr:from>
    <xdr:to>
      <xdr:col>13</xdr:col>
      <xdr:colOff>272079</xdr:colOff>
      <xdr:row>10</xdr:row>
      <xdr:rowOff>114300</xdr:rowOff>
    </xdr:to>
    <xdr:sp macro="" textlink="">
      <xdr:nvSpPr>
        <xdr:cNvPr id="43" name="Rectangle 42">
          <a:extLst>
            <a:ext uri="{FF2B5EF4-FFF2-40B4-BE49-F238E27FC236}">
              <a16:creationId xmlns:a16="http://schemas.microsoft.com/office/drawing/2014/main" id="{4BBACB38-0877-426A-D8BE-08740F0340A9}"/>
            </a:ext>
          </a:extLst>
        </xdr:cNvPr>
        <xdr:cNvSpPr/>
      </xdr:nvSpPr>
      <xdr:spPr>
        <a:xfrm>
          <a:off x="7617510" y="1933575"/>
          <a:ext cx="622439" cy="85725"/>
        </a:xfrm>
        <a:prstGeom prst="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265052</xdr:colOff>
      <xdr:row>15</xdr:row>
      <xdr:rowOff>47625</xdr:rowOff>
    </xdr:from>
    <xdr:to>
      <xdr:col>14</xdr:col>
      <xdr:colOff>315991</xdr:colOff>
      <xdr:row>15</xdr:row>
      <xdr:rowOff>142875</xdr:rowOff>
    </xdr:to>
    <xdr:sp macro="" textlink="">
      <xdr:nvSpPr>
        <xdr:cNvPr id="44" name="Rectangle 43">
          <a:extLst>
            <a:ext uri="{FF2B5EF4-FFF2-40B4-BE49-F238E27FC236}">
              <a16:creationId xmlns:a16="http://schemas.microsoft.com/office/drawing/2014/main" id="{4768F274-9CE3-4FA0-8744-737AA220EC89}"/>
            </a:ext>
          </a:extLst>
        </xdr:cNvPr>
        <xdr:cNvSpPr/>
      </xdr:nvSpPr>
      <xdr:spPr>
        <a:xfrm>
          <a:off x="7620009" y="2905125"/>
          <a:ext cx="1276765" cy="95250"/>
        </a:xfrm>
        <a:prstGeom prst="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537882</xdr:colOff>
      <xdr:row>20</xdr:row>
      <xdr:rowOff>28576</xdr:rowOff>
    </xdr:from>
    <xdr:to>
      <xdr:col>20</xdr:col>
      <xdr:colOff>557892</xdr:colOff>
      <xdr:row>35</xdr:row>
      <xdr:rowOff>9526</xdr:rowOff>
    </xdr:to>
    <xdr:graphicFrame macro="">
      <xdr:nvGraphicFramePr>
        <xdr:cNvPr id="49" name="Chart 8">
          <a:extLst>
            <a:ext uri="{FF2B5EF4-FFF2-40B4-BE49-F238E27FC236}">
              <a16:creationId xmlns:a16="http://schemas.microsoft.com/office/drawing/2014/main" id="{1ED29524-644D-9374-570F-F23B494AEF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119270</xdr:colOff>
      <xdr:row>10</xdr:row>
      <xdr:rowOff>28165</xdr:rowOff>
    </xdr:from>
    <xdr:to>
      <xdr:col>2</xdr:col>
      <xdr:colOff>430696</xdr:colOff>
      <xdr:row>15</xdr:row>
      <xdr:rowOff>16568</xdr:rowOff>
    </xdr:to>
    <mc:AlternateContent xmlns:mc="http://schemas.openxmlformats.org/markup-compatibility/2006" xmlns:a14="http://schemas.microsoft.com/office/drawing/2010/main">
      <mc:Choice Requires="a14">
        <xdr:graphicFrame macro="">
          <xdr:nvGraphicFramePr>
            <xdr:cNvPr id="53" name="year">
              <a:extLst>
                <a:ext uri="{FF2B5EF4-FFF2-40B4-BE49-F238E27FC236}">
                  <a16:creationId xmlns:a16="http://schemas.microsoft.com/office/drawing/2014/main" id="{70F22973-705D-BAB2-CB83-4ECB867E456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9270" y="1933165"/>
              <a:ext cx="1523699" cy="9409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124239</xdr:colOff>
      <xdr:row>9</xdr:row>
      <xdr:rowOff>124239</xdr:rowOff>
    </xdr:from>
    <xdr:to>
      <xdr:col>2</xdr:col>
      <xdr:colOff>414131</xdr:colOff>
      <xdr:row>9</xdr:row>
      <xdr:rowOff>124239</xdr:rowOff>
    </xdr:to>
    <xdr:cxnSp macro="">
      <xdr:nvCxnSpPr>
        <xdr:cNvPr id="55" name="Straight Connector 54">
          <a:extLst>
            <a:ext uri="{FF2B5EF4-FFF2-40B4-BE49-F238E27FC236}">
              <a16:creationId xmlns:a16="http://schemas.microsoft.com/office/drawing/2014/main" id="{BF30E6C7-D2D2-F3F4-50A5-2267EC191E61}"/>
            </a:ext>
          </a:extLst>
        </xdr:cNvPr>
        <xdr:cNvCxnSpPr/>
      </xdr:nvCxnSpPr>
      <xdr:spPr>
        <a:xfrm>
          <a:off x="124239" y="1838739"/>
          <a:ext cx="1515718" cy="0"/>
        </a:xfrm>
        <a:prstGeom prst="line">
          <a:avLst/>
        </a:prstGeom>
        <a:ln>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584119</xdr:colOff>
      <xdr:row>20</xdr:row>
      <xdr:rowOff>33896</xdr:rowOff>
    </xdr:from>
    <xdr:to>
      <xdr:col>9</xdr:col>
      <xdr:colOff>493059</xdr:colOff>
      <xdr:row>34</xdr:row>
      <xdr:rowOff>190499</xdr:rowOff>
    </xdr:to>
    <xdr:graphicFrame macro="">
      <xdr:nvGraphicFramePr>
        <xdr:cNvPr id="57" name="Chart 12">
          <a:extLst>
            <a:ext uri="{FF2B5EF4-FFF2-40B4-BE49-F238E27FC236}">
              <a16:creationId xmlns:a16="http://schemas.microsoft.com/office/drawing/2014/main" id="{20B00FD2-72C7-9D8E-DF6A-822A61C63E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112102</xdr:colOff>
      <xdr:row>15</xdr:row>
      <xdr:rowOff>45428</xdr:rowOff>
    </xdr:from>
    <xdr:to>
      <xdr:col>2</xdr:col>
      <xdr:colOff>432289</xdr:colOff>
      <xdr:row>24</xdr:row>
      <xdr:rowOff>73270</xdr:rowOff>
    </xdr:to>
    <mc:AlternateContent xmlns:mc="http://schemas.openxmlformats.org/markup-compatibility/2006" xmlns:a14="http://schemas.microsoft.com/office/drawing/2010/main">
      <mc:Choice Requires="a14">
        <xdr:graphicFrame macro="">
          <xdr:nvGraphicFramePr>
            <xdr:cNvPr id="61" name="Platform">
              <a:extLst>
                <a:ext uri="{FF2B5EF4-FFF2-40B4-BE49-F238E27FC236}">
                  <a16:creationId xmlns:a16="http://schemas.microsoft.com/office/drawing/2014/main" id="{F7912DBD-2F81-C1C6-5799-1B082851D341}"/>
                </a:ext>
              </a:extLst>
            </xdr:cNvPr>
            <xdr:cNvGraphicFramePr/>
          </xdr:nvGraphicFramePr>
          <xdr:xfrm>
            <a:off x="0" y="0"/>
            <a:ext cx="0" cy="0"/>
          </xdr:xfrm>
          <a:graphic>
            <a:graphicData uri="http://schemas.microsoft.com/office/drawing/2010/slicer">
              <sle:slicer xmlns:sle="http://schemas.microsoft.com/office/drawing/2010/slicer" name="Platform"/>
            </a:graphicData>
          </a:graphic>
        </xdr:graphicFrame>
      </mc:Choice>
      <mc:Fallback xmlns="">
        <xdr:sp macro="" textlink="">
          <xdr:nvSpPr>
            <xdr:cNvPr id="0" name=""/>
            <xdr:cNvSpPr>
              <a:spLocks noTextEdit="1"/>
            </xdr:cNvSpPr>
          </xdr:nvSpPr>
          <xdr:spPr>
            <a:xfrm>
              <a:off x="112102" y="2902928"/>
              <a:ext cx="1532460" cy="17423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558840</xdr:colOff>
      <xdr:row>8</xdr:row>
      <xdr:rowOff>24813</xdr:rowOff>
    </xdr:from>
    <xdr:to>
      <xdr:col>20</xdr:col>
      <xdr:colOff>553091</xdr:colOff>
      <xdr:row>19</xdr:row>
      <xdr:rowOff>181694</xdr:rowOff>
    </xdr:to>
    <xdr:graphicFrame macro="">
      <xdr:nvGraphicFramePr>
        <xdr:cNvPr id="62" name="Chart 4">
          <a:extLst>
            <a:ext uri="{FF2B5EF4-FFF2-40B4-BE49-F238E27FC236}">
              <a16:creationId xmlns:a16="http://schemas.microsoft.com/office/drawing/2014/main" id="{B580CED3-2E20-0380-381E-4404B97A48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597693</xdr:colOff>
      <xdr:row>22</xdr:row>
      <xdr:rowOff>11206</xdr:rowOff>
    </xdr:from>
    <xdr:to>
      <xdr:col>23</xdr:col>
      <xdr:colOff>23430</xdr:colOff>
      <xdr:row>35</xdr:row>
      <xdr:rowOff>17319</xdr:rowOff>
    </xdr:to>
    <xdr:graphicFrame macro="">
      <xdr:nvGraphicFramePr>
        <xdr:cNvPr id="63" name="Chart 16">
          <a:extLst>
            <a:ext uri="{FF2B5EF4-FFF2-40B4-BE49-F238E27FC236}">
              <a16:creationId xmlns:a16="http://schemas.microsoft.com/office/drawing/2014/main" id="{E6D5306C-5970-31C3-5C9F-159002C73B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21</xdr:col>
      <xdr:colOff>0</xdr:colOff>
      <xdr:row>4</xdr:row>
      <xdr:rowOff>0</xdr:rowOff>
    </xdr:from>
    <xdr:to>
      <xdr:col>23</xdr:col>
      <xdr:colOff>0</xdr:colOff>
      <xdr:row>11</xdr:row>
      <xdr:rowOff>67235</xdr:rowOff>
    </xdr:to>
    <xdr:sp macro="" textlink="">
      <xdr:nvSpPr>
        <xdr:cNvPr id="64" name="Rectangle 63">
          <a:extLst>
            <a:ext uri="{FF2B5EF4-FFF2-40B4-BE49-F238E27FC236}">
              <a16:creationId xmlns:a16="http://schemas.microsoft.com/office/drawing/2014/main" id="{127198ED-ED43-B7C9-1548-358A1637BD58}"/>
            </a:ext>
          </a:extLst>
        </xdr:cNvPr>
        <xdr:cNvSpPr/>
      </xdr:nvSpPr>
      <xdr:spPr>
        <a:xfrm>
          <a:off x="12707471" y="762000"/>
          <a:ext cx="4224617" cy="140073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33618</xdr:colOff>
      <xdr:row>4</xdr:row>
      <xdr:rowOff>11206</xdr:rowOff>
    </xdr:from>
    <xdr:to>
      <xdr:col>22</xdr:col>
      <xdr:colOff>358589</xdr:colOff>
      <xdr:row>5</xdr:row>
      <xdr:rowOff>56030</xdr:rowOff>
    </xdr:to>
    <xdr:sp macro="" textlink="">
      <xdr:nvSpPr>
        <xdr:cNvPr id="65" name="Rectangle 64">
          <a:extLst>
            <a:ext uri="{FF2B5EF4-FFF2-40B4-BE49-F238E27FC236}">
              <a16:creationId xmlns:a16="http://schemas.microsoft.com/office/drawing/2014/main" id="{274845DE-DEEA-C82E-77FA-1952F7A767CD}"/>
            </a:ext>
          </a:extLst>
        </xdr:cNvPr>
        <xdr:cNvSpPr/>
      </xdr:nvSpPr>
      <xdr:spPr>
        <a:xfrm>
          <a:off x="12741089" y="773206"/>
          <a:ext cx="1938618" cy="235324"/>
        </a:xfrm>
        <a:prstGeom prst="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Paymen Method</a:t>
          </a:r>
        </a:p>
      </xdr:txBody>
    </xdr:sp>
    <xdr:clientData/>
  </xdr:twoCellAnchor>
  <xdr:twoCellAnchor>
    <xdr:from>
      <xdr:col>22</xdr:col>
      <xdr:colOff>387724</xdr:colOff>
      <xdr:row>4</xdr:row>
      <xdr:rowOff>6724</xdr:rowOff>
    </xdr:from>
    <xdr:to>
      <xdr:col>22</xdr:col>
      <xdr:colOff>2588558</xdr:colOff>
      <xdr:row>5</xdr:row>
      <xdr:rowOff>56030</xdr:rowOff>
    </xdr:to>
    <xdr:sp macro="" textlink="">
      <xdr:nvSpPr>
        <xdr:cNvPr id="66" name="Rectangle 65">
          <a:extLst>
            <a:ext uri="{FF2B5EF4-FFF2-40B4-BE49-F238E27FC236}">
              <a16:creationId xmlns:a16="http://schemas.microsoft.com/office/drawing/2014/main" id="{B3ECA643-7CD4-4E71-BA4A-EC6790348486}"/>
            </a:ext>
          </a:extLst>
        </xdr:cNvPr>
        <xdr:cNvSpPr/>
      </xdr:nvSpPr>
      <xdr:spPr>
        <a:xfrm>
          <a:off x="14708842" y="768724"/>
          <a:ext cx="2200834" cy="239806"/>
        </a:xfrm>
        <a:prstGeom prst="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Count of Payment Method</a:t>
          </a:r>
        </a:p>
      </xdr:txBody>
    </xdr:sp>
    <xdr:clientData/>
  </xdr:twoCellAnchor>
  <xdr:twoCellAnchor>
    <xdr:from>
      <xdr:col>21</xdr:col>
      <xdr:colOff>33618</xdr:colOff>
      <xdr:row>5</xdr:row>
      <xdr:rowOff>78441</xdr:rowOff>
    </xdr:from>
    <xdr:to>
      <xdr:col>22</xdr:col>
      <xdr:colOff>246530</xdr:colOff>
      <xdr:row>6</xdr:row>
      <xdr:rowOff>123264</xdr:rowOff>
    </xdr:to>
    <xdr:sp macro="" textlink="Pivot!H18">
      <xdr:nvSpPr>
        <xdr:cNvPr id="67" name="TextBox 66">
          <a:extLst>
            <a:ext uri="{FF2B5EF4-FFF2-40B4-BE49-F238E27FC236}">
              <a16:creationId xmlns:a16="http://schemas.microsoft.com/office/drawing/2014/main" id="{3FCEDB24-7E1E-F698-CF8A-412900827C71}"/>
            </a:ext>
          </a:extLst>
        </xdr:cNvPr>
        <xdr:cNvSpPr txBox="1"/>
      </xdr:nvSpPr>
      <xdr:spPr>
        <a:xfrm>
          <a:off x="12741089" y="1030941"/>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C39D11-E33B-4949-94CD-675A65EBBAB7}" type="TxLink">
            <a:rPr lang="en-US" sz="1100" b="1" i="0" u="none" strike="noStrike">
              <a:solidFill>
                <a:srgbClr val="000000"/>
              </a:solidFill>
              <a:latin typeface="Calibri"/>
              <a:ea typeface="Calibri"/>
              <a:cs typeface="Calibri"/>
            </a:rPr>
            <a:pPr/>
            <a:t>COD</a:t>
          </a:fld>
          <a:endParaRPr lang="en-US" sz="1100" b="1"/>
        </a:p>
      </xdr:txBody>
    </xdr:sp>
    <xdr:clientData/>
  </xdr:twoCellAnchor>
  <xdr:twoCellAnchor>
    <xdr:from>
      <xdr:col>21</xdr:col>
      <xdr:colOff>29135</xdr:colOff>
      <xdr:row>6</xdr:row>
      <xdr:rowOff>152400</xdr:rowOff>
    </xdr:from>
    <xdr:to>
      <xdr:col>22</xdr:col>
      <xdr:colOff>242047</xdr:colOff>
      <xdr:row>8</xdr:row>
      <xdr:rowOff>6723</xdr:rowOff>
    </xdr:to>
    <xdr:sp macro="" textlink="Pivot!H19">
      <xdr:nvSpPr>
        <xdr:cNvPr id="68" name="TextBox 67">
          <a:extLst>
            <a:ext uri="{FF2B5EF4-FFF2-40B4-BE49-F238E27FC236}">
              <a16:creationId xmlns:a16="http://schemas.microsoft.com/office/drawing/2014/main" id="{586FE33B-2AFB-421A-A250-F411984E3DF6}"/>
            </a:ext>
          </a:extLst>
        </xdr:cNvPr>
        <xdr:cNvSpPr txBox="1"/>
      </xdr:nvSpPr>
      <xdr:spPr>
        <a:xfrm>
          <a:off x="12736606" y="1295400"/>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9140545-6BD4-4F5F-903F-969338A46B5C}" type="TxLink">
            <a:rPr lang="en-US" sz="1100" b="1" i="0" u="none" strike="noStrike">
              <a:solidFill>
                <a:srgbClr val="000000"/>
              </a:solidFill>
              <a:latin typeface="Calibri"/>
              <a:ea typeface="Calibri"/>
              <a:cs typeface="Calibri"/>
            </a:rPr>
            <a:pPr/>
            <a:t>e-Wallet</a:t>
          </a:fld>
          <a:endParaRPr lang="en-US" sz="1100" b="1"/>
        </a:p>
      </xdr:txBody>
    </xdr:sp>
    <xdr:clientData/>
  </xdr:twoCellAnchor>
  <xdr:twoCellAnchor>
    <xdr:from>
      <xdr:col>22</xdr:col>
      <xdr:colOff>741830</xdr:colOff>
      <xdr:row>6</xdr:row>
      <xdr:rowOff>159123</xdr:rowOff>
    </xdr:from>
    <xdr:to>
      <xdr:col>22</xdr:col>
      <xdr:colOff>2568389</xdr:colOff>
      <xdr:row>8</xdr:row>
      <xdr:rowOff>13446</xdr:rowOff>
    </xdr:to>
    <xdr:sp macro="" textlink="Pivot!I26">
      <xdr:nvSpPr>
        <xdr:cNvPr id="69" name="TextBox 68">
          <a:extLst>
            <a:ext uri="{FF2B5EF4-FFF2-40B4-BE49-F238E27FC236}">
              <a16:creationId xmlns:a16="http://schemas.microsoft.com/office/drawing/2014/main" id="{A6137D6B-4EBF-4152-B07D-18FD6EB9261D}"/>
            </a:ext>
          </a:extLst>
        </xdr:cNvPr>
        <xdr:cNvSpPr txBox="1"/>
      </xdr:nvSpPr>
      <xdr:spPr>
        <a:xfrm>
          <a:off x="15062948" y="1302123"/>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73447D2-8B6D-4D18-9C34-7BCC9C27A3A3}" type="TxLink">
            <a:rPr lang="en-US" sz="1100" b="0" i="0" u="none" strike="noStrike">
              <a:solidFill>
                <a:srgbClr val="000000"/>
              </a:solidFill>
              <a:latin typeface="Calibri"/>
              <a:ea typeface="Calibri"/>
              <a:cs typeface="Calibri"/>
            </a:rPr>
            <a:pPr algn="r"/>
            <a:t>74</a:t>
          </a:fld>
          <a:endParaRPr lang="en-US" sz="1100"/>
        </a:p>
      </xdr:txBody>
    </xdr:sp>
    <xdr:clientData/>
  </xdr:twoCellAnchor>
  <xdr:twoCellAnchor>
    <xdr:from>
      <xdr:col>22</xdr:col>
      <xdr:colOff>737348</xdr:colOff>
      <xdr:row>5</xdr:row>
      <xdr:rowOff>76200</xdr:rowOff>
    </xdr:from>
    <xdr:to>
      <xdr:col>22</xdr:col>
      <xdr:colOff>2563907</xdr:colOff>
      <xdr:row>6</xdr:row>
      <xdr:rowOff>121023</xdr:rowOff>
    </xdr:to>
    <xdr:sp macro="" textlink="Pivot!I25">
      <xdr:nvSpPr>
        <xdr:cNvPr id="70" name="TextBox 69">
          <a:extLst>
            <a:ext uri="{FF2B5EF4-FFF2-40B4-BE49-F238E27FC236}">
              <a16:creationId xmlns:a16="http://schemas.microsoft.com/office/drawing/2014/main" id="{7B1F7AF6-DA50-41BA-8CAF-7CAA9A0CB6CD}"/>
            </a:ext>
          </a:extLst>
        </xdr:cNvPr>
        <xdr:cNvSpPr txBox="1"/>
      </xdr:nvSpPr>
      <xdr:spPr>
        <a:xfrm>
          <a:off x="15058466" y="1028700"/>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575942C-0EB1-479B-8987-B6F22363185A}" type="TxLink">
            <a:rPr lang="en-US" sz="1100" b="0" i="0" u="none" strike="noStrike">
              <a:solidFill>
                <a:srgbClr val="000000"/>
              </a:solidFill>
              <a:latin typeface="Calibri"/>
              <a:ea typeface="Calibri"/>
              <a:cs typeface="Calibri"/>
            </a:rPr>
            <a:pPr algn="r"/>
            <a:t>64</a:t>
          </a:fld>
          <a:endParaRPr lang="en-US" sz="1100"/>
        </a:p>
      </xdr:txBody>
    </xdr:sp>
    <xdr:clientData/>
  </xdr:twoCellAnchor>
  <xdr:twoCellAnchor>
    <xdr:from>
      <xdr:col>21</xdr:col>
      <xdr:colOff>35857</xdr:colOff>
      <xdr:row>8</xdr:row>
      <xdr:rowOff>47066</xdr:rowOff>
    </xdr:from>
    <xdr:to>
      <xdr:col>22</xdr:col>
      <xdr:colOff>248769</xdr:colOff>
      <xdr:row>9</xdr:row>
      <xdr:rowOff>91889</xdr:rowOff>
    </xdr:to>
    <xdr:sp macro="" textlink="Pivot!H20">
      <xdr:nvSpPr>
        <xdr:cNvPr id="71" name="TextBox 70">
          <a:extLst>
            <a:ext uri="{FF2B5EF4-FFF2-40B4-BE49-F238E27FC236}">
              <a16:creationId xmlns:a16="http://schemas.microsoft.com/office/drawing/2014/main" id="{DBACD919-3D1F-4B93-849D-50FA8AB733F1}"/>
            </a:ext>
          </a:extLst>
        </xdr:cNvPr>
        <xdr:cNvSpPr txBox="1"/>
      </xdr:nvSpPr>
      <xdr:spPr>
        <a:xfrm>
          <a:off x="12743328" y="1571066"/>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1FE648-8F7B-43ED-B299-34680BF88A16}" type="TxLink">
            <a:rPr lang="en-US" sz="1100" b="1" i="0" u="none" strike="noStrike">
              <a:solidFill>
                <a:srgbClr val="000000"/>
              </a:solidFill>
              <a:latin typeface="Calibri"/>
              <a:ea typeface="Calibri"/>
              <a:cs typeface="Calibri"/>
            </a:rPr>
            <a:pPr/>
            <a:t>Kartu Kredit</a:t>
          </a:fld>
          <a:endParaRPr lang="en-US" sz="1100" b="1"/>
        </a:p>
      </xdr:txBody>
    </xdr:sp>
    <xdr:clientData/>
  </xdr:twoCellAnchor>
  <xdr:twoCellAnchor>
    <xdr:from>
      <xdr:col>22</xdr:col>
      <xdr:colOff>737347</xdr:colOff>
      <xdr:row>8</xdr:row>
      <xdr:rowOff>42583</xdr:rowOff>
    </xdr:from>
    <xdr:to>
      <xdr:col>22</xdr:col>
      <xdr:colOff>2563906</xdr:colOff>
      <xdr:row>9</xdr:row>
      <xdr:rowOff>87406</xdr:rowOff>
    </xdr:to>
    <xdr:sp macro="" textlink="Pivot!I27">
      <xdr:nvSpPr>
        <xdr:cNvPr id="72" name="TextBox 71">
          <a:extLst>
            <a:ext uri="{FF2B5EF4-FFF2-40B4-BE49-F238E27FC236}">
              <a16:creationId xmlns:a16="http://schemas.microsoft.com/office/drawing/2014/main" id="{5A50571B-BC20-4363-B525-B42D4E0E01E9}"/>
            </a:ext>
          </a:extLst>
        </xdr:cNvPr>
        <xdr:cNvSpPr txBox="1"/>
      </xdr:nvSpPr>
      <xdr:spPr>
        <a:xfrm>
          <a:off x="15058465" y="1566583"/>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6B81A8C-2855-4576-9530-A31DC10003DC}" type="TxLink">
            <a:rPr lang="en-US" sz="1100" b="0" i="0" u="none" strike="noStrike">
              <a:solidFill>
                <a:srgbClr val="000000"/>
              </a:solidFill>
              <a:latin typeface="Calibri"/>
              <a:ea typeface="Calibri"/>
              <a:cs typeface="Calibri"/>
            </a:rPr>
            <a:pPr algn="r"/>
            <a:t>71</a:t>
          </a:fld>
          <a:endParaRPr lang="en-US" sz="1100"/>
        </a:p>
      </xdr:txBody>
    </xdr:sp>
    <xdr:clientData/>
  </xdr:twoCellAnchor>
  <xdr:twoCellAnchor>
    <xdr:from>
      <xdr:col>21</xdr:col>
      <xdr:colOff>42579</xdr:colOff>
      <xdr:row>9</xdr:row>
      <xdr:rowOff>121026</xdr:rowOff>
    </xdr:from>
    <xdr:to>
      <xdr:col>22</xdr:col>
      <xdr:colOff>255491</xdr:colOff>
      <xdr:row>10</xdr:row>
      <xdr:rowOff>165849</xdr:rowOff>
    </xdr:to>
    <xdr:sp macro="" textlink="Pivot!H21">
      <xdr:nvSpPr>
        <xdr:cNvPr id="73" name="TextBox 72">
          <a:extLst>
            <a:ext uri="{FF2B5EF4-FFF2-40B4-BE49-F238E27FC236}">
              <a16:creationId xmlns:a16="http://schemas.microsoft.com/office/drawing/2014/main" id="{D0115B0A-AA07-4A2B-8EA0-09FF3C059E3F}"/>
            </a:ext>
          </a:extLst>
        </xdr:cNvPr>
        <xdr:cNvSpPr txBox="1"/>
      </xdr:nvSpPr>
      <xdr:spPr>
        <a:xfrm>
          <a:off x="12750050" y="1835526"/>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F619024-86B6-4C55-9229-5FB626B18444}" type="TxLink">
            <a:rPr lang="en-US" sz="1100" b="1" i="0" u="none" strike="noStrike">
              <a:solidFill>
                <a:srgbClr val="000000"/>
              </a:solidFill>
              <a:latin typeface="Calibri"/>
              <a:ea typeface="Calibri"/>
              <a:cs typeface="Calibri"/>
            </a:rPr>
            <a:pPr/>
            <a:t>Transfer Bank</a:t>
          </a:fld>
          <a:endParaRPr lang="en-US" sz="1100" b="1"/>
        </a:p>
      </xdr:txBody>
    </xdr:sp>
    <xdr:clientData/>
  </xdr:twoCellAnchor>
  <xdr:twoCellAnchor>
    <xdr:from>
      <xdr:col>22</xdr:col>
      <xdr:colOff>744072</xdr:colOff>
      <xdr:row>9</xdr:row>
      <xdr:rowOff>138954</xdr:rowOff>
    </xdr:from>
    <xdr:to>
      <xdr:col>22</xdr:col>
      <xdr:colOff>2570631</xdr:colOff>
      <xdr:row>10</xdr:row>
      <xdr:rowOff>183777</xdr:rowOff>
    </xdr:to>
    <xdr:sp macro="" textlink="Pivot!I28">
      <xdr:nvSpPr>
        <xdr:cNvPr id="74" name="TextBox 73">
          <a:extLst>
            <a:ext uri="{FF2B5EF4-FFF2-40B4-BE49-F238E27FC236}">
              <a16:creationId xmlns:a16="http://schemas.microsoft.com/office/drawing/2014/main" id="{9A9214AA-ED8C-4DD8-9796-364F3212E971}"/>
            </a:ext>
          </a:extLst>
        </xdr:cNvPr>
        <xdr:cNvSpPr txBox="1"/>
      </xdr:nvSpPr>
      <xdr:spPr>
        <a:xfrm>
          <a:off x="15065190" y="1853454"/>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66751D6-57AB-48E6-8052-97B86194CC90}" type="TxLink">
            <a:rPr lang="en-US" sz="1100" b="0" i="0" u="none" strike="noStrike">
              <a:solidFill>
                <a:srgbClr val="000000"/>
              </a:solidFill>
              <a:latin typeface="Calibri"/>
              <a:ea typeface="Calibri"/>
              <a:cs typeface="Calibri"/>
            </a:rPr>
            <a:pPr algn="r"/>
            <a:t>79</a:t>
          </a:fld>
          <a:endParaRPr lang="en-US" sz="1100"/>
        </a:p>
      </xdr:txBody>
    </xdr:sp>
    <xdr:clientData/>
  </xdr:twoCellAnchor>
  <xdr:twoCellAnchor>
    <xdr:from>
      <xdr:col>20</xdr:col>
      <xdr:colOff>600636</xdr:colOff>
      <xdr:row>11</xdr:row>
      <xdr:rowOff>129988</xdr:rowOff>
    </xdr:from>
    <xdr:to>
      <xdr:col>22</xdr:col>
      <xdr:colOff>2606488</xdr:colOff>
      <xdr:row>21</xdr:row>
      <xdr:rowOff>168088</xdr:rowOff>
    </xdr:to>
    <xdr:sp macro="" textlink="">
      <xdr:nvSpPr>
        <xdr:cNvPr id="75" name="Rectangle 74">
          <a:extLst>
            <a:ext uri="{FF2B5EF4-FFF2-40B4-BE49-F238E27FC236}">
              <a16:creationId xmlns:a16="http://schemas.microsoft.com/office/drawing/2014/main" id="{2B0E9AE0-BD99-469B-B4D0-7FF6BF3408DD}"/>
            </a:ext>
          </a:extLst>
        </xdr:cNvPr>
        <xdr:cNvSpPr/>
      </xdr:nvSpPr>
      <xdr:spPr>
        <a:xfrm>
          <a:off x="12702989" y="2225488"/>
          <a:ext cx="4224617" cy="19431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29136</xdr:colOff>
      <xdr:row>11</xdr:row>
      <xdr:rowOff>141194</xdr:rowOff>
    </xdr:from>
    <xdr:to>
      <xdr:col>22</xdr:col>
      <xdr:colOff>354107</xdr:colOff>
      <xdr:row>12</xdr:row>
      <xdr:rowOff>186018</xdr:rowOff>
    </xdr:to>
    <xdr:sp macro="" textlink="">
      <xdr:nvSpPr>
        <xdr:cNvPr id="76" name="Rectangle 75">
          <a:extLst>
            <a:ext uri="{FF2B5EF4-FFF2-40B4-BE49-F238E27FC236}">
              <a16:creationId xmlns:a16="http://schemas.microsoft.com/office/drawing/2014/main" id="{93CDD540-A701-4355-BD04-7B1B49DDD8F3}"/>
            </a:ext>
          </a:extLst>
        </xdr:cNvPr>
        <xdr:cNvSpPr/>
      </xdr:nvSpPr>
      <xdr:spPr>
        <a:xfrm>
          <a:off x="12736607" y="2236694"/>
          <a:ext cx="1938618" cy="235324"/>
        </a:xfrm>
        <a:prstGeom prst="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Order Status</a:t>
          </a:r>
        </a:p>
      </xdr:txBody>
    </xdr:sp>
    <xdr:clientData/>
  </xdr:twoCellAnchor>
  <xdr:twoCellAnchor>
    <xdr:from>
      <xdr:col>22</xdr:col>
      <xdr:colOff>383242</xdr:colOff>
      <xdr:row>11</xdr:row>
      <xdr:rowOff>136712</xdr:rowOff>
    </xdr:from>
    <xdr:to>
      <xdr:col>22</xdr:col>
      <xdr:colOff>2584076</xdr:colOff>
      <xdr:row>12</xdr:row>
      <xdr:rowOff>186018</xdr:rowOff>
    </xdr:to>
    <xdr:sp macro="" textlink="">
      <xdr:nvSpPr>
        <xdr:cNvPr id="77" name="Rectangle 76">
          <a:extLst>
            <a:ext uri="{FF2B5EF4-FFF2-40B4-BE49-F238E27FC236}">
              <a16:creationId xmlns:a16="http://schemas.microsoft.com/office/drawing/2014/main" id="{1DA2F8A4-6198-44EB-AA44-79569F7E3921}"/>
            </a:ext>
          </a:extLst>
        </xdr:cNvPr>
        <xdr:cNvSpPr/>
      </xdr:nvSpPr>
      <xdr:spPr>
        <a:xfrm>
          <a:off x="14704360" y="2232212"/>
          <a:ext cx="2200834" cy="239806"/>
        </a:xfrm>
        <a:prstGeom prst="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Count of Order Status</a:t>
          </a:r>
        </a:p>
      </xdr:txBody>
    </xdr:sp>
    <xdr:clientData/>
  </xdr:twoCellAnchor>
  <xdr:twoCellAnchor>
    <xdr:from>
      <xdr:col>21</xdr:col>
      <xdr:colOff>29136</xdr:colOff>
      <xdr:row>13</xdr:row>
      <xdr:rowOff>17929</xdr:rowOff>
    </xdr:from>
    <xdr:to>
      <xdr:col>22</xdr:col>
      <xdr:colOff>242048</xdr:colOff>
      <xdr:row>14</xdr:row>
      <xdr:rowOff>62752</xdr:rowOff>
    </xdr:to>
    <xdr:sp macro="" textlink="Pivot!E16">
      <xdr:nvSpPr>
        <xdr:cNvPr id="78" name="TextBox 77">
          <a:extLst>
            <a:ext uri="{FF2B5EF4-FFF2-40B4-BE49-F238E27FC236}">
              <a16:creationId xmlns:a16="http://schemas.microsoft.com/office/drawing/2014/main" id="{4B5AFA19-DE4A-42C6-B83C-89F8781CDEFC}"/>
            </a:ext>
          </a:extLst>
        </xdr:cNvPr>
        <xdr:cNvSpPr txBox="1"/>
      </xdr:nvSpPr>
      <xdr:spPr>
        <a:xfrm>
          <a:off x="12736607" y="2494429"/>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3466CE-A7A0-4B1F-8610-CAB7E0265865}" type="TxLink">
            <a:rPr lang="en-US" sz="1100" b="1" i="0" u="none" strike="noStrike">
              <a:solidFill>
                <a:srgbClr val="000000"/>
              </a:solidFill>
              <a:latin typeface="Calibri"/>
              <a:ea typeface="Calibri"/>
              <a:cs typeface="Calibri"/>
            </a:rPr>
            <a:pPr/>
            <a:t>Cancelled</a:t>
          </a:fld>
          <a:endParaRPr lang="en-US" sz="1100" b="1"/>
        </a:p>
      </xdr:txBody>
    </xdr:sp>
    <xdr:clientData/>
  </xdr:twoCellAnchor>
  <xdr:twoCellAnchor>
    <xdr:from>
      <xdr:col>21</xdr:col>
      <xdr:colOff>24653</xdr:colOff>
      <xdr:row>14</xdr:row>
      <xdr:rowOff>91888</xdr:rowOff>
    </xdr:from>
    <xdr:to>
      <xdr:col>22</xdr:col>
      <xdr:colOff>237565</xdr:colOff>
      <xdr:row>15</xdr:row>
      <xdr:rowOff>136711</xdr:rowOff>
    </xdr:to>
    <xdr:sp macro="" textlink="Pivot!E17">
      <xdr:nvSpPr>
        <xdr:cNvPr id="79" name="TextBox 78">
          <a:extLst>
            <a:ext uri="{FF2B5EF4-FFF2-40B4-BE49-F238E27FC236}">
              <a16:creationId xmlns:a16="http://schemas.microsoft.com/office/drawing/2014/main" id="{0F8D991C-3177-4B2D-B5E6-BF5871F3FF6C}"/>
            </a:ext>
          </a:extLst>
        </xdr:cNvPr>
        <xdr:cNvSpPr txBox="1"/>
      </xdr:nvSpPr>
      <xdr:spPr>
        <a:xfrm>
          <a:off x="12732124" y="2758888"/>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B95A3DF-6914-41B9-94E9-B139EC7B40C7}" type="TxLink">
            <a:rPr lang="en-US" sz="1100" b="1" i="0" u="none" strike="noStrike">
              <a:solidFill>
                <a:srgbClr val="000000"/>
              </a:solidFill>
              <a:latin typeface="Calibri"/>
              <a:ea typeface="Calibri"/>
              <a:cs typeface="Calibri"/>
            </a:rPr>
            <a:pPr/>
            <a:t>Completed</a:t>
          </a:fld>
          <a:endParaRPr lang="en-US" sz="1100" b="1"/>
        </a:p>
      </xdr:txBody>
    </xdr:sp>
    <xdr:clientData/>
  </xdr:twoCellAnchor>
  <xdr:twoCellAnchor>
    <xdr:from>
      <xdr:col>22</xdr:col>
      <xdr:colOff>737348</xdr:colOff>
      <xdr:row>14</xdr:row>
      <xdr:rowOff>98611</xdr:rowOff>
    </xdr:from>
    <xdr:to>
      <xdr:col>22</xdr:col>
      <xdr:colOff>2563907</xdr:colOff>
      <xdr:row>15</xdr:row>
      <xdr:rowOff>143434</xdr:rowOff>
    </xdr:to>
    <xdr:sp macro="" textlink="Pivot!F26">
      <xdr:nvSpPr>
        <xdr:cNvPr id="80" name="TextBox 79">
          <a:extLst>
            <a:ext uri="{FF2B5EF4-FFF2-40B4-BE49-F238E27FC236}">
              <a16:creationId xmlns:a16="http://schemas.microsoft.com/office/drawing/2014/main" id="{787064EF-EBAD-401F-948C-D723AF38792D}"/>
            </a:ext>
          </a:extLst>
        </xdr:cNvPr>
        <xdr:cNvSpPr txBox="1"/>
      </xdr:nvSpPr>
      <xdr:spPr>
        <a:xfrm>
          <a:off x="15058466" y="2765611"/>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70E0FC5-FE1C-4303-9BA9-B1D3A72B99A6}" type="TxLink">
            <a:rPr lang="en-US" sz="1100" b="0" i="0" u="none" strike="noStrike">
              <a:solidFill>
                <a:srgbClr val="000000"/>
              </a:solidFill>
              <a:latin typeface="Calibri"/>
              <a:ea typeface="Calibri"/>
              <a:cs typeface="Calibri"/>
            </a:rPr>
            <a:pPr algn="r"/>
            <a:t>215</a:t>
          </a:fld>
          <a:endParaRPr lang="en-US" sz="1100"/>
        </a:p>
      </xdr:txBody>
    </xdr:sp>
    <xdr:clientData/>
  </xdr:twoCellAnchor>
  <xdr:twoCellAnchor>
    <xdr:from>
      <xdr:col>22</xdr:col>
      <xdr:colOff>732866</xdr:colOff>
      <xdr:row>13</xdr:row>
      <xdr:rowOff>15688</xdr:rowOff>
    </xdr:from>
    <xdr:to>
      <xdr:col>22</xdr:col>
      <xdr:colOff>2559425</xdr:colOff>
      <xdr:row>14</xdr:row>
      <xdr:rowOff>60511</xdr:rowOff>
    </xdr:to>
    <xdr:sp macro="" textlink="Pivot!F25">
      <xdr:nvSpPr>
        <xdr:cNvPr id="81" name="TextBox 80">
          <a:extLst>
            <a:ext uri="{FF2B5EF4-FFF2-40B4-BE49-F238E27FC236}">
              <a16:creationId xmlns:a16="http://schemas.microsoft.com/office/drawing/2014/main" id="{F8A6801A-34F3-4FFF-A0FD-6B12C70E495F}"/>
            </a:ext>
          </a:extLst>
        </xdr:cNvPr>
        <xdr:cNvSpPr txBox="1"/>
      </xdr:nvSpPr>
      <xdr:spPr>
        <a:xfrm>
          <a:off x="15053984" y="2492188"/>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A016B3C-67B7-412F-B336-A647FCA01177}" type="TxLink">
            <a:rPr lang="en-US" sz="1100" b="0" i="0" u="none" strike="noStrike">
              <a:solidFill>
                <a:srgbClr val="000000"/>
              </a:solidFill>
              <a:latin typeface="Calibri"/>
              <a:ea typeface="Calibri"/>
              <a:cs typeface="Calibri"/>
            </a:rPr>
            <a:pPr algn="r"/>
            <a:t>10</a:t>
          </a:fld>
          <a:endParaRPr lang="en-US" sz="1100"/>
        </a:p>
      </xdr:txBody>
    </xdr:sp>
    <xdr:clientData/>
  </xdr:twoCellAnchor>
  <xdr:twoCellAnchor>
    <xdr:from>
      <xdr:col>21</xdr:col>
      <xdr:colOff>31375</xdr:colOff>
      <xdr:row>15</xdr:row>
      <xdr:rowOff>177054</xdr:rowOff>
    </xdr:from>
    <xdr:to>
      <xdr:col>22</xdr:col>
      <xdr:colOff>244287</xdr:colOff>
      <xdr:row>17</xdr:row>
      <xdr:rowOff>31377</xdr:rowOff>
    </xdr:to>
    <xdr:sp macro="" textlink="Pivot!E18">
      <xdr:nvSpPr>
        <xdr:cNvPr id="82" name="TextBox 81">
          <a:extLst>
            <a:ext uri="{FF2B5EF4-FFF2-40B4-BE49-F238E27FC236}">
              <a16:creationId xmlns:a16="http://schemas.microsoft.com/office/drawing/2014/main" id="{83BB4AD7-390D-4245-BE41-5F512C12C0D4}"/>
            </a:ext>
          </a:extLst>
        </xdr:cNvPr>
        <xdr:cNvSpPr txBox="1"/>
      </xdr:nvSpPr>
      <xdr:spPr>
        <a:xfrm>
          <a:off x="12738846" y="3034554"/>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659A79B-AEE4-4E77-A79A-429B103088F9}" type="TxLink">
            <a:rPr lang="en-US" sz="1100" b="1" i="0" u="none" strike="noStrike">
              <a:solidFill>
                <a:srgbClr val="000000"/>
              </a:solidFill>
              <a:latin typeface="Calibri"/>
              <a:ea typeface="Calibri"/>
              <a:cs typeface="Calibri"/>
            </a:rPr>
            <a:pPr/>
            <a:t>Pending</a:t>
          </a:fld>
          <a:endParaRPr lang="en-US" sz="1100" b="1"/>
        </a:p>
      </xdr:txBody>
    </xdr:sp>
    <xdr:clientData/>
  </xdr:twoCellAnchor>
  <xdr:twoCellAnchor>
    <xdr:from>
      <xdr:col>22</xdr:col>
      <xdr:colOff>732865</xdr:colOff>
      <xdr:row>15</xdr:row>
      <xdr:rowOff>172571</xdr:rowOff>
    </xdr:from>
    <xdr:to>
      <xdr:col>22</xdr:col>
      <xdr:colOff>2559424</xdr:colOff>
      <xdr:row>17</xdr:row>
      <xdr:rowOff>26894</xdr:rowOff>
    </xdr:to>
    <xdr:sp macro="" textlink="Pivot!F27">
      <xdr:nvSpPr>
        <xdr:cNvPr id="83" name="TextBox 82">
          <a:extLst>
            <a:ext uri="{FF2B5EF4-FFF2-40B4-BE49-F238E27FC236}">
              <a16:creationId xmlns:a16="http://schemas.microsoft.com/office/drawing/2014/main" id="{B775F082-2CE5-4AEC-A333-7E6AC4F6E9E3}"/>
            </a:ext>
          </a:extLst>
        </xdr:cNvPr>
        <xdr:cNvSpPr txBox="1"/>
      </xdr:nvSpPr>
      <xdr:spPr>
        <a:xfrm>
          <a:off x="15053983" y="3030071"/>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6929683-8DE6-4895-9EFF-3CF689B854D8}" type="TxLink">
            <a:rPr lang="en-US" sz="1100" b="0" i="0" u="none" strike="noStrike">
              <a:solidFill>
                <a:srgbClr val="000000"/>
              </a:solidFill>
              <a:latin typeface="Calibri"/>
              <a:ea typeface="Calibri"/>
              <a:cs typeface="Calibri"/>
            </a:rPr>
            <a:pPr algn="r"/>
            <a:t>15</a:t>
          </a:fld>
          <a:endParaRPr lang="en-US" sz="1100"/>
        </a:p>
      </xdr:txBody>
    </xdr:sp>
    <xdr:clientData/>
  </xdr:twoCellAnchor>
  <xdr:twoCellAnchor>
    <xdr:from>
      <xdr:col>21</xdr:col>
      <xdr:colOff>38097</xdr:colOff>
      <xdr:row>17</xdr:row>
      <xdr:rowOff>60514</xdr:rowOff>
    </xdr:from>
    <xdr:to>
      <xdr:col>22</xdr:col>
      <xdr:colOff>251009</xdr:colOff>
      <xdr:row>18</xdr:row>
      <xdr:rowOff>105337</xdr:rowOff>
    </xdr:to>
    <xdr:sp macro="" textlink="Pivot!E19">
      <xdr:nvSpPr>
        <xdr:cNvPr id="84" name="TextBox 83">
          <a:extLst>
            <a:ext uri="{FF2B5EF4-FFF2-40B4-BE49-F238E27FC236}">
              <a16:creationId xmlns:a16="http://schemas.microsoft.com/office/drawing/2014/main" id="{45E76C08-7B19-40F8-9617-70F191FC99FC}"/>
            </a:ext>
          </a:extLst>
        </xdr:cNvPr>
        <xdr:cNvSpPr txBox="1"/>
      </xdr:nvSpPr>
      <xdr:spPr>
        <a:xfrm>
          <a:off x="12745568" y="3299014"/>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FDF32C9-2A62-46CD-9D41-D7D439A9901E}" type="TxLink">
            <a:rPr lang="en-US" sz="1100" b="1" i="0" u="none" strike="noStrike">
              <a:solidFill>
                <a:srgbClr val="000000"/>
              </a:solidFill>
              <a:latin typeface="Calibri"/>
              <a:ea typeface="Calibri"/>
              <a:cs typeface="Calibri"/>
            </a:rPr>
            <a:pPr/>
            <a:t>Returned</a:t>
          </a:fld>
          <a:endParaRPr lang="en-US" sz="1100" b="1"/>
        </a:p>
      </xdr:txBody>
    </xdr:sp>
    <xdr:clientData/>
  </xdr:twoCellAnchor>
  <xdr:twoCellAnchor>
    <xdr:from>
      <xdr:col>22</xdr:col>
      <xdr:colOff>739590</xdr:colOff>
      <xdr:row>17</xdr:row>
      <xdr:rowOff>78442</xdr:rowOff>
    </xdr:from>
    <xdr:to>
      <xdr:col>22</xdr:col>
      <xdr:colOff>2566149</xdr:colOff>
      <xdr:row>18</xdr:row>
      <xdr:rowOff>123265</xdr:rowOff>
    </xdr:to>
    <xdr:sp macro="" textlink="Pivot!F28">
      <xdr:nvSpPr>
        <xdr:cNvPr id="85" name="TextBox 84">
          <a:extLst>
            <a:ext uri="{FF2B5EF4-FFF2-40B4-BE49-F238E27FC236}">
              <a16:creationId xmlns:a16="http://schemas.microsoft.com/office/drawing/2014/main" id="{EB0EDACD-62A3-4065-94E4-C102B4480F8A}"/>
            </a:ext>
          </a:extLst>
        </xdr:cNvPr>
        <xdr:cNvSpPr txBox="1"/>
      </xdr:nvSpPr>
      <xdr:spPr>
        <a:xfrm>
          <a:off x="15060708" y="3316942"/>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ACF1C02-64C4-4BC0-914A-06D7097203E3}" type="TxLink">
            <a:rPr lang="en-US" sz="1100" b="0" i="0" u="none" strike="noStrike">
              <a:solidFill>
                <a:srgbClr val="000000"/>
              </a:solidFill>
              <a:latin typeface="Calibri"/>
              <a:ea typeface="Calibri"/>
              <a:cs typeface="Calibri"/>
            </a:rPr>
            <a:pPr algn="r"/>
            <a:t>32</a:t>
          </a:fld>
          <a:endParaRPr lang="en-US" sz="1100"/>
        </a:p>
      </xdr:txBody>
    </xdr:sp>
    <xdr:clientData/>
  </xdr:twoCellAnchor>
  <xdr:twoCellAnchor>
    <xdr:from>
      <xdr:col>21</xdr:col>
      <xdr:colOff>22409</xdr:colOff>
      <xdr:row>18</xdr:row>
      <xdr:rowOff>145678</xdr:rowOff>
    </xdr:from>
    <xdr:to>
      <xdr:col>22</xdr:col>
      <xdr:colOff>235321</xdr:colOff>
      <xdr:row>20</xdr:row>
      <xdr:rowOff>1</xdr:rowOff>
    </xdr:to>
    <xdr:sp macro="" textlink="Pivot!E20">
      <xdr:nvSpPr>
        <xdr:cNvPr id="86" name="TextBox 85">
          <a:extLst>
            <a:ext uri="{FF2B5EF4-FFF2-40B4-BE49-F238E27FC236}">
              <a16:creationId xmlns:a16="http://schemas.microsoft.com/office/drawing/2014/main" id="{ECFFE60A-F72A-4B4D-A778-09AD41679EBB}"/>
            </a:ext>
          </a:extLst>
        </xdr:cNvPr>
        <xdr:cNvSpPr txBox="1"/>
      </xdr:nvSpPr>
      <xdr:spPr>
        <a:xfrm>
          <a:off x="12729880" y="3574678"/>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B9E9D0-3432-475C-A11D-F25E54ACE9A1}" type="TxLink">
            <a:rPr lang="en-US" sz="1100" b="1" i="0" u="none" strike="noStrike">
              <a:solidFill>
                <a:srgbClr val="000000"/>
              </a:solidFill>
              <a:latin typeface="Calibri"/>
              <a:ea typeface="Calibri"/>
              <a:cs typeface="Calibri"/>
            </a:rPr>
            <a:pPr/>
            <a:t>Shipped</a:t>
          </a:fld>
          <a:endParaRPr lang="en-US" sz="1100" b="1"/>
        </a:p>
      </xdr:txBody>
    </xdr:sp>
    <xdr:clientData/>
  </xdr:twoCellAnchor>
  <xdr:twoCellAnchor>
    <xdr:from>
      <xdr:col>22</xdr:col>
      <xdr:colOff>735107</xdr:colOff>
      <xdr:row>18</xdr:row>
      <xdr:rowOff>163607</xdr:rowOff>
    </xdr:from>
    <xdr:to>
      <xdr:col>22</xdr:col>
      <xdr:colOff>2561666</xdr:colOff>
      <xdr:row>20</xdr:row>
      <xdr:rowOff>17930</xdr:rowOff>
    </xdr:to>
    <xdr:sp macro="" textlink="Pivot!F29">
      <xdr:nvSpPr>
        <xdr:cNvPr id="87" name="TextBox 86">
          <a:extLst>
            <a:ext uri="{FF2B5EF4-FFF2-40B4-BE49-F238E27FC236}">
              <a16:creationId xmlns:a16="http://schemas.microsoft.com/office/drawing/2014/main" id="{9DFA5459-CC2A-4474-BDD9-82AE1168D186}"/>
            </a:ext>
          </a:extLst>
        </xdr:cNvPr>
        <xdr:cNvSpPr txBox="1"/>
      </xdr:nvSpPr>
      <xdr:spPr>
        <a:xfrm>
          <a:off x="15056225" y="3592607"/>
          <a:ext cx="1826559"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8C621EC-8705-4A41-A10A-1693C9EA4EE5}" type="TxLink">
            <a:rPr lang="en-US" sz="1100" b="0" i="0" u="none" strike="noStrike">
              <a:solidFill>
                <a:srgbClr val="000000"/>
              </a:solidFill>
              <a:latin typeface="Calibri"/>
              <a:ea typeface="Calibri"/>
              <a:cs typeface="Calibri"/>
            </a:rPr>
            <a:pPr algn="r"/>
            <a:t>16</a:t>
          </a:fld>
          <a:endParaRPr lang="en-US" sz="1100"/>
        </a:p>
      </xdr:txBody>
    </xdr:sp>
    <xdr:clientData/>
  </xdr:twoCellAnchor>
  <xdr:twoCellAnchor>
    <xdr:from>
      <xdr:col>21</xdr:col>
      <xdr:colOff>35860</xdr:colOff>
      <xdr:row>20</xdr:row>
      <xdr:rowOff>69477</xdr:rowOff>
    </xdr:from>
    <xdr:to>
      <xdr:col>22</xdr:col>
      <xdr:colOff>360831</xdr:colOff>
      <xdr:row>21</xdr:row>
      <xdr:rowOff>114301</xdr:rowOff>
    </xdr:to>
    <xdr:sp macro="" textlink="Pivot!E21">
      <xdr:nvSpPr>
        <xdr:cNvPr id="88" name="Rectangle 87">
          <a:extLst>
            <a:ext uri="{FF2B5EF4-FFF2-40B4-BE49-F238E27FC236}">
              <a16:creationId xmlns:a16="http://schemas.microsoft.com/office/drawing/2014/main" id="{F14824B8-8CA7-40E7-91D4-4F490DC570A6}"/>
            </a:ext>
          </a:extLst>
        </xdr:cNvPr>
        <xdr:cNvSpPr/>
      </xdr:nvSpPr>
      <xdr:spPr>
        <a:xfrm>
          <a:off x="12743331" y="3879477"/>
          <a:ext cx="1938618" cy="235324"/>
        </a:xfrm>
        <a:prstGeom prst="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F202F33-DD46-4C2F-AC62-22D97EB4DF97}" type="TxLink">
            <a:rPr lang="en-US" sz="1100" b="1" i="0" u="none" strike="noStrike">
              <a:solidFill>
                <a:srgbClr val="000000"/>
              </a:solidFill>
              <a:latin typeface="Calibri"/>
              <a:ea typeface="Calibri"/>
              <a:cs typeface="Calibri"/>
            </a:rPr>
            <a:pPr algn="l"/>
            <a:t>Grand Total</a:t>
          </a:fld>
          <a:endParaRPr lang="en-US" sz="1100" b="1"/>
        </a:p>
      </xdr:txBody>
    </xdr:sp>
    <xdr:clientData/>
  </xdr:twoCellAnchor>
  <xdr:twoCellAnchor>
    <xdr:from>
      <xdr:col>22</xdr:col>
      <xdr:colOff>389966</xdr:colOff>
      <xdr:row>20</xdr:row>
      <xdr:rowOff>64995</xdr:rowOff>
    </xdr:from>
    <xdr:to>
      <xdr:col>22</xdr:col>
      <xdr:colOff>2590800</xdr:colOff>
      <xdr:row>21</xdr:row>
      <xdr:rowOff>114301</xdr:rowOff>
    </xdr:to>
    <xdr:sp macro="" textlink="Pivot!F30">
      <xdr:nvSpPr>
        <xdr:cNvPr id="89" name="Rectangle 88">
          <a:extLst>
            <a:ext uri="{FF2B5EF4-FFF2-40B4-BE49-F238E27FC236}">
              <a16:creationId xmlns:a16="http://schemas.microsoft.com/office/drawing/2014/main" id="{594891FF-2B52-4F90-9F00-8DE86EA1C27D}"/>
            </a:ext>
          </a:extLst>
        </xdr:cNvPr>
        <xdr:cNvSpPr/>
      </xdr:nvSpPr>
      <xdr:spPr>
        <a:xfrm>
          <a:off x="14711084" y="3874995"/>
          <a:ext cx="2200834" cy="239806"/>
        </a:xfrm>
        <a:prstGeom prst="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fld id="{FBCDA958-9EAB-499D-9D56-A792C71AA623}" type="TxLink">
            <a:rPr lang="en-US" sz="1100" b="0" i="0" u="none" strike="noStrike">
              <a:solidFill>
                <a:srgbClr val="000000"/>
              </a:solidFill>
              <a:latin typeface="Calibri"/>
              <a:ea typeface="Calibri"/>
              <a:cs typeface="Calibri"/>
            </a:rPr>
            <a:pPr algn="r"/>
            <a:t>288</a:t>
          </a:fld>
          <a:endParaRPr lang="en-US" sz="1100" b="1"/>
        </a:p>
      </xdr:txBody>
    </xdr:sp>
    <xdr:clientData/>
  </xdr:twoCellAnchor>
  <xdr:twoCellAnchor>
    <xdr:from>
      <xdr:col>2</xdr:col>
      <xdr:colOff>581027</xdr:colOff>
      <xdr:row>7</xdr:row>
      <xdr:rowOff>179294</xdr:rowOff>
    </xdr:from>
    <xdr:to>
      <xdr:col>7</xdr:col>
      <xdr:colOff>235323</xdr:colOff>
      <xdr:row>20</xdr:row>
      <xdr:rowOff>0</xdr:rowOff>
    </xdr:to>
    <xdr:graphicFrame macro="">
      <xdr:nvGraphicFramePr>
        <xdr:cNvPr id="90" name="Chart 13">
          <a:extLst>
            <a:ext uri="{FF2B5EF4-FFF2-40B4-BE49-F238E27FC236}">
              <a16:creationId xmlns:a16="http://schemas.microsoft.com/office/drawing/2014/main" id="{0D5F01B6-C2A0-DAF4-1407-0847C58285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267480</xdr:colOff>
      <xdr:row>7</xdr:row>
      <xdr:rowOff>186223</xdr:rowOff>
    </xdr:from>
    <xdr:to>
      <xdr:col>12</xdr:col>
      <xdr:colOff>44516</xdr:colOff>
      <xdr:row>19</xdr:row>
      <xdr:rowOff>181461</xdr:rowOff>
    </xdr:to>
    <xdr:graphicFrame macro="">
      <xdr:nvGraphicFramePr>
        <xdr:cNvPr id="91" name="Chart 2">
          <a:extLst>
            <a:ext uri="{FF2B5EF4-FFF2-40B4-BE49-F238E27FC236}">
              <a16:creationId xmlns:a16="http://schemas.microsoft.com/office/drawing/2014/main" id="{3750CAFD-0399-D770-C63C-950B28E71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62947</xdr:colOff>
      <xdr:row>0</xdr:row>
      <xdr:rowOff>57149</xdr:rowOff>
    </xdr:from>
    <xdr:to>
      <xdr:col>23</xdr:col>
      <xdr:colOff>1</xdr:colOff>
      <xdr:row>3</xdr:row>
      <xdr:rowOff>142874</xdr:rowOff>
    </xdr:to>
    <xdr:grpSp>
      <xdr:nvGrpSpPr>
        <xdr:cNvPr id="93" name="Group 92">
          <a:extLst>
            <a:ext uri="{FF2B5EF4-FFF2-40B4-BE49-F238E27FC236}">
              <a16:creationId xmlns:a16="http://schemas.microsoft.com/office/drawing/2014/main" id="{E1262895-B5D1-EC7A-445D-69A46BD32705}"/>
            </a:ext>
          </a:extLst>
        </xdr:cNvPr>
        <xdr:cNvGrpSpPr/>
      </xdr:nvGrpSpPr>
      <xdr:grpSpPr>
        <a:xfrm>
          <a:off x="62947" y="57149"/>
          <a:ext cx="17014018" cy="657225"/>
          <a:chOff x="62947" y="57149"/>
          <a:chExt cx="17014018" cy="657225"/>
        </a:xfrm>
      </xdr:grpSpPr>
      <xdr:sp macro="" textlink="">
        <xdr:nvSpPr>
          <xdr:cNvPr id="2" name="Rectangle 1">
            <a:extLst>
              <a:ext uri="{FF2B5EF4-FFF2-40B4-BE49-F238E27FC236}">
                <a16:creationId xmlns:a16="http://schemas.microsoft.com/office/drawing/2014/main" id="{012A8ACB-21EF-2D76-04DC-9AE74FF04594}"/>
              </a:ext>
            </a:extLst>
          </xdr:cNvPr>
          <xdr:cNvSpPr/>
        </xdr:nvSpPr>
        <xdr:spPr>
          <a:xfrm>
            <a:off x="62947" y="57149"/>
            <a:ext cx="17014018" cy="657225"/>
          </a:xfrm>
          <a:prstGeom prst="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Black" panose="020B0A04020102020204" pitchFamily="34" charset="0"/>
              </a:rPr>
              <a:t>GROCERY SALES DATA</a:t>
            </a:r>
          </a:p>
        </xdr:txBody>
      </xdr:sp>
      <xdr:sp macro="" textlink="">
        <xdr:nvSpPr>
          <xdr:cNvPr id="92" name="Rectangle 91">
            <a:extLst>
              <a:ext uri="{FF2B5EF4-FFF2-40B4-BE49-F238E27FC236}">
                <a16:creationId xmlns:a16="http://schemas.microsoft.com/office/drawing/2014/main" id="{3EBB33C2-155A-60F5-FF13-C2137913A40F}"/>
              </a:ext>
            </a:extLst>
          </xdr:cNvPr>
          <xdr:cNvSpPr/>
        </xdr:nvSpPr>
        <xdr:spPr>
          <a:xfrm>
            <a:off x="122464" y="108857"/>
            <a:ext cx="2816679" cy="517072"/>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chemeClr val="accent3"/>
                </a:solidFill>
                <a:latin typeface="+mj-lt"/>
              </a:rPr>
              <a:t>Dodi Saputra L.</a:t>
            </a:r>
          </a:p>
          <a:p>
            <a:pPr algn="l"/>
            <a:r>
              <a:rPr lang="en-US" sz="1200">
                <a:solidFill>
                  <a:schemeClr val="accent3"/>
                </a:solidFill>
                <a:latin typeface="+mj-lt"/>
              </a:rPr>
              <a:t>dodisaputra7895@gmail.com</a:t>
            </a:r>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0.01964</cdr:x>
      <cdr:y>0.1253</cdr:y>
    </cdr:from>
    <cdr:to>
      <cdr:x>1</cdr:x>
      <cdr:y>0.353</cdr:y>
    </cdr:to>
    <cdr:sp macro="" textlink="Pivot!$A$9">
      <cdr:nvSpPr>
        <cdr:cNvPr id="3" name="TextBox 2">
          <a:extLst xmlns:a="http://schemas.openxmlformats.org/drawingml/2006/main">
            <a:ext uri="{FF2B5EF4-FFF2-40B4-BE49-F238E27FC236}">
              <a16:creationId xmlns:a16="http://schemas.microsoft.com/office/drawing/2014/main" id="{E969E9D0-E253-C905-ECE8-FEDB7FDFD281}"/>
            </a:ext>
          </a:extLst>
        </cdr:cNvPr>
        <cdr:cNvSpPr txBox="1"/>
      </cdr:nvSpPr>
      <cdr:spPr>
        <a:xfrm xmlns:a="http://schemas.openxmlformats.org/drawingml/2006/main">
          <a:off x="65782" y="257196"/>
          <a:ext cx="3283619" cy="46738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442AAF32-141D-4981-A362-4E6160FF68A9}" type="TxLink">
            <a:rPr lang="en-US" sz="800" b="1" i="0" u="none" strike="noStrike" kern="1200">
              <a:solidFill>
                <a:srgbClr val="FF0000"/>
              </a:solidFill>
              <a:latin typeface="Calibri"/>
              <a:ea typeface="Calibri"/>
              <a:cs typeface="Calibri"/>
            </a:rPr>
            <a:pPr/>
            <a:t>Top 3 highest-value product, accounting for 22.11% (7.75 Million of 35.06 million) of total sales</a:t>
          </a:fld>
          <a:endParaRPr lang="en-US" sz="300" b="1" kern="1200">
            <a:solidFill>
              <a:srgbClr val="FF0000"/>
            </a:solidFill>
            <a:latin typeface="+mn-lt"/>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28575</xdr:colOff>
      <xdr:row>0</xdr:row>
      <xdr:rowOff>28575</xdr:rowOff>
    </xdr:from>
    <xdr:to>
      <xdr:col>20</xdr:col>
      <xdr:colOff>0</xdr:colOff>
      <xdr:row>2</xdr:row>
      <xdr:rowOff>171450</xdr:rowOff>
    </xdr:to>
    <xdr:sp macro="" textlink="">
      <xdr:nvSpPr>
        <xdr:cNvPr id="13" name="Rectangle 12">
          <a:extLst>
            <a:ext uri="{FF2B5EF4-FFF2-40B4-BE49-F238E27FC236}">
              <a16:creationId xmlns:a16="http://schemas.microsoft.com/office/drawing/2014/main" id="{79BDA04D-C0C9-4334-9BDD-57EB0644F666}"/>
            </a:ext>
          </a:extLst>
        </xdr:cNvPr>
        <xdr:cNvSpPr/>
      </xdr:nvSpPr>
      <xdr:spPr>
        <a:xfrm>
          <a:off x="28575" y="28575"/>
          <a:ext cx="12936631" cy="523875"/>
        </a:xfrm>
        <a:prstGeom prst="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Black" panose="020B0A04020102020204" pitchFamily="34" charset="0"/>
            </a:rPr>
            <a:t>GROCERY SALES DATA</a:t>
          </a:r>
        </a:p>
      </xdr:txBody>
    </xdr:sp>
    <xdr:clientData/>
  </xdr:twoCellAnchor>
  <xdr:twoCellAnchor>
    <xdr:from>
      <xdr:col>0</xdr:col>
      <xdr:colOff>38100</xdr:colOff>
      <xdr:row>3</xdr:row>
      <xdr:rowOff>0</xdr:rowOff>
    </xdr:from>
    <xdr:to>
      <xdr:col>2</xdr:col>
      <xdr:colOff>488787</xdr:colOff>
      <xdr:row>26</xdr:row>
      <xdr:rowOff>0</xdr:rowOff>
    </xdr:to>
    <xdr:sp macro="" textlink="">
      <xdr:nvSpPr>
        <xdr:cNvPr id="14" name="Rectangle 13">
          <a:extLst>
            <a:ext uri="{FF2B5EF4-FFF2-40B4-BE49-F238E27FC236}">
              <a16:creationId xmlns:a16="http://schemas.microsoft.com/office/drawing/2014/main" id="{EA3276A7-4CAB-4E9B-AF6B-0307F1DB3C6B}"/>
            </a:ext>
          </a:extLst>
        </xdr:cNvPr>
        <xdr:cNvSpPr/>
      </xdr:nvSpPr>
      <xdr:spPr>
        <a:xfrm>
          <a:off x="38100" y="571500"/>
          <a:ext cx="1660922" cy="4874559"/>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50"/>
        </a:p>
      </xdr:txBody>
    </xdr:sp>
    <xdr:clientData/>
  </xdr:twoCellAnchor>
  <xdr:twoCellAnchor>
    <xdr:from>
      <xdr:col>0</xdr:col>
      <xdr:colOff>178735</xdr:colOff>
      <xdr:row>3</xdr:row>
      <xdr:rowOff>123826</xdr:rowOff>
    </xdr:from>
    <xdr:to>
      <xdr:col>2</xdr:col>
      <xdr:colOff>135948</xdr:colOff>
      <xdr:row>4</xdr:row>
      <xdr:rowOff>180768</xdr:rowOff>
    </xdr:to>
    <xdr:grpSp>
      <xdr:nvGrpSpPr>
        <xdr:cNvPr id="15" name="Group 14">
          <a:extLst>
            <a:ext uri="{FF2B5EF4-FFF2-40B4-BE49-F238E27FC236}">
              <a16:creationId xmlns:a16="http://schemas.microsoft.com/office/drawing/2014/main" id="{B331271A-48DD-4856-B1AB-BE8D02234E9B}"/>
            </a:ext>
          </a:extLst>
        </xdr:cNvPr>
        <xdr:cNvGrpSpPr/>
      </xdr:nvGrpSpPr>
      <xdr:grpSpPr>
        <a:xfrm>
          <a:off x="178735" y="695326"/>
          <a:ext cx="1167448" cy="292266"/>
          <a:chOff x="188260" y="866775"/>
          <a:chExt cx="1183340" cy="247442"/>
        </a:xfrm>
      </xdr:grpSpPr>
      <xdr:sp macro="[0]!Dashboard_Active" textlink="">
        <xdr:nvSpPr>
          <xdr:cNvPr id="16" name="Rectangle 15">
            <a:extLst>
              <a:ext uri="{FF2B5EF4-FFF2-40B4-BE49-F238E27FC236}">
                <a16:creationId xmlns:a16="http://schemas.microsoft.com/office/drawing/2014/main" id="{89CDA1E6-CC36-0727-49FC-455112617DB7}"/>
              </a:ext>
            </a:extLst>
          </xdr:cNvPr>
          <xdr:cNvSpPr/>
        </xdr:nvSpPr>
        <xdr:spPr>
          <a:xfrm>
            <a:off x="464820" y="866775"/>
            <a:ext cx="906780" cy="247442"/>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tx1"/>
                </a:solidFill>
                <a:latin typeface="Bahnschrift" panose="020B0502040204020203" pitchFamily="34" charset="0"/>
                <a:cs typeface="Arial" panose="020B0604020202020204" pitchFamily="34" charset="0"/>
              </a:rPr>
              <a:t>Dashboard</a:t>
            </a:r>
          </a:p>
        </xdr:txBody>
      </xdr:sp>
      <xdr:pic>
        <xdr:nvPicPr>
          <xdr:cNvPr id="17" name="Graphic 16" descr="Bar chart with solid fill">
            <a:extLst>
              <a:ext uri="{FF2B5EF4-FFF2-40B4-BE49-F238E27FC236}">
                <a16:creationId xmlns:a16="http://schemas.microsoft.com/office/drawing/2014/main" id="{2D5BFD1A-6802-5A29-3996-6217F8ACC7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88260" y="885488"/>
            <a:ext cx="293818" cy="209887"/>
          </a:xfrm>
          <a:prstGeom prst="rect">
            <a:avLst/>
          </a:prstGeom>
        </xdr:spPr>
      </xdr:pic>
    </xdr:grpSp>
    <xdr:clientData/>
  </xdr:twoCellAnchor>
  <xdr:twoCellAnchor>
    <xdr:from>
      <xdr:col>0</xdr:col>
      <xdr:colOff>165848</xdr:colOff>
      <xdr:row>5</xdr:row>
      <xdr:rowOff>76201</xdr:rowOff>
    </xdr:from>
    <xdr:to>
      <xdr:col>2</xdr:col>
      <xdr:colOff>126423</xdr:colOff>
      <xdr:row>6</xdr:row>
      <xdr:rowOff>133143</xdr:rowOff>
    </xdr:to>
    <xdr:grpSp>
      <xdr:nvGrpSpPr>
        <xdr:cNvPr id="18" name="Group 17">
          <a:extLst>
            <a:ext uri="{FF2B5EF4-FFF2-40B4-BE49-F238E27FC236}">
              <a16:creationId xmlns:a16="http://schemas.microsoft.com/office/drawing/2014/main" id="{3E7CB15A-6982-4EF9-9466-4529A150E43B}"/>
            </a:ext>
          </a:extLst>
        </xdr:cNvPr>
        <xdr:cNvGrpSpPr/>
      </xdr:nvGrpSpPr>
      <xdr:grpSpPr>
        <a:xfrm>
          <a:off x="165848" y="1073525"/>
          <a:ext cx="1170810" cy="292265"/>
          <a:chOff x="175373" y="1200150"/>
          <a:chExt cx="1186702" cy="247442"/>
        </a:xfrm>
      </xdr:grpSpPr>
      <xdr:pic>
        <xdr:nvPicPr>
          <xdr:cNvPr id="19" name="Graphic 18" descr="List with solid fill">
            <a:extLst>
              <a:ext uri="{FF2B5EF4-FFF2-40B4-BE49-F238E27FC236}">
                <a16:creationId xmlns:a16="http://schemas.microsoft.com/office/drawing/2014/main" id="{766EE8D9-2E77-4F2C-CB99-3A0C7E59A49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75373" y="1231020"/>
            <a:ext cx="327116" cy="188206"/>
          </a:xfrm>
          <a:prstGeom prst="rect">
            <a:avLst/>
          </a:prstGeom>
        </xdr:spPr>
      </xdr:pic>
      <xdr:sp macro="[0]!Detail_Active" textlink="">
        <xdr:nvSpPr>
          <xdr:cNvPr id="20" name="Rectangle 19">
            <a:extLst>
              <a:ext uri="{FF2B5EF4-FFF2-40B4-BE49-F238E27FC236}">
                <a16:creationId xmlns:a16="http://schemas.microsoft.com/office/drawing/2014/main" id="{43E1C116-2276-0073-57A9-70354A00B7BA}"/>
              </a:ext>
            </a:extLst>
          </xdr:cNvPr>
          <xdr:cNvSpPr/>
        </xdr:nvSpPr>
        <xdr:spPr>
          <a:xfrm>
            <a:off x="464820" y="1200150"/>
            <a:ext cx="897255" cy="247442"/>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tx1"/>
                </a:solidFill>
                <a:latin typeface="Bahnschrift" panose="020B0502040204020203" pitchFamily="34" charset="0"/>
                <a:cs typeface="Arial" panose="020B0604020202020204" pitchFamily="34" charset="0"/>
              </a:rPr>
              <a:t>Detail</a:t>
            </a:r>
          </a:p>
        </xdr:txBody>
      </xdr:sp>
    </xdr:grpSp>
    <xdr:clientData/>
  </xdr:twoCellAnchor>
  <xdr:twoCellAnchor>
    <xdr:from>
      <xdr:col>0</xdr:col>
      <xdr:colOff>201149</xdr:colOff>
      <xdr:row>7</xdr:row>
      <xdr:rowOff>9526</xdr:rowOff>
    </xdr:from>
    <xdr:to>
      <xdr:col>2</xdr:col>
      <xdr:colOff>126423</xdr:colOff>
      <xdr:row>8</xdr:row>
      <xdr:rowOff>85518</xdr:rowOff>
    </xdr:to>
    <xdr:grpSp>
      <xdr:nvGrpSpPr>
        <xdr:cNvPr id="21" name="Group 20">
          <a:extLst>
            <a:ext uri="{FF2B5EF4-FFF2-40B4-BE49-F238E27FC236}">
              <a16:creationId xmlns:a16="http://schemas.microsoft.com/office/drawing/2014/main" id="{E6D9AB53-91C5-48FB-82DF-174254B00DE8}"/>
            </a:ext>
          </a:extLst>
        </xdr:cNvPr>
        <xdr:cNvGrpSpPr/>
      </xdr:nvGrpSpPr>
      <xdr:grpSpPr>
        <a:xfrm>
          <a:off x="201149" y="1432673"/>
          <a:ext cx="1135509" cy="311316"/>
          <a:chOff x="210674" y="1514475"/>
          <a:chExt cx="1151401" cy="266492"/>
        </a:xfrm>
      </xdr:grpSpPr>
      <xdr:pic macro="[0]!Data_Active">
        <xdr:nvPicPr>
          <xdr:cNvPr id="22" name="Graphic 21" descr="Home with solid fill">
            <a:extLst>
              <a:ext uri="{FF2B5EF4-FFF2-40B4-BE49-F238E27FC236}">
                <a16:creationId xmlns:a16="http://schemas.microsoft.com/office/drawing/2014/main" id="{051FD6CB-CFA7-5ECE-BC96-D3D6418F2BB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0674" y="1514475"/>
            <a:ext cx="264796" cy="256106"/>
          </a:xfrm>
          <a:prstGeom prst="rect">
            <a:avLst/>
          </a:prstGeom>
        </xdr:spPr>
      </xdr:pic>
      <xdr:sp macro="[0]!Data_Active" textlink="">
        <xdr:nvSpPr>
          <xdr:cNvPr id="23" name="Rectangle 22">
            <a:extLst>
              <a:ext uri="{FF2B5EF4-FFF2-40B4-BE49-F238E27FC236}">
                <a16:creationId xmlns:a16="http://schemas.microsoft.com/office/drawing/2014/main" id="{544CE609-3172-7817-7F87-99AE9A14B64E}"/>
              </a:ext>
            </a:extLst>
          </xdr:cNvPr>
          <xdr:cNvSpPr/>
        </xdr:nvSpPr>
        <xdr:spPr>
          <a:xfrm>
            <a:off x="455295" y="1533525"/>
            <a:ext cx="906780" cy="247442"/>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tx1"/>
                </a:solidFill>
                <a:latin typeface="Bahnschrift" panose="020B0502040204020203" pitchFamily="34" charset="0"/>
                <a:cs typeface="Arial" panose="020B0604020202020204" pitchFamily="34" charset="0"/>
              </a:rPr>
              <a:t>Data</a:t>
            </a:r>
          </a:p>
        </xdr:txBody>
      </xdr:sp>
    </xdr:grpSp>
    <xdr:clientData/>
  </xdr:twoCellAnchor>
  <xdr:twoCellAnchor>
    <xdr:from>
      <xdr:col>2</xdr:col>
      <xdr:colOff>342900</xdr:colOff>
      <xdr:row>5</xdr:row>
      <xdr:rowOff>57151</xdr:rowOff>
    </xdr:from>
    <xdr:to>
      <xdr:col>2</xdr:col>
      <xdr:colOff>428625</xdr:colOff>
      <xdr:row>6</xdr:row>
      <xdr:rowOff>152401</xdr:rowOff>
    </xdr:to>
    <xdr:sp macro="" textlink="">
      <xdr:nvSpPr>
        <xdr:cNvPr id="12" name="Rectangle 11">
          <a:extLst>
            <a:ext uri="{FF2B5EF4-FFF2-40B4-BE49-F238E27FC236}">
              <a16:creationId xmlns:a16="http://schemas.microsoft.com/office/drawing/2014/main" id="{25B35277-798A-4A05-B1B2-FEC2CABA7075}"/>
            </a:ext>
          </a:extLst>
        </xdr:cNvPr>
        <xdr:cNvSpPr/>
      </xdr:nvSpPr>
      <xdr:spPr>
        <a:xfrm>
          <a:off x="1562100" y="1009651"/>
          <a:ext cx="85725" cy="285750"/>
        </a:xfrm>
        <a:prstGeom prst="rect">
          <a:avLst/>
        </a:prstGeom>
        <a:solidFill>
          <a:schemeClr val="accent3"/>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600">
            <a:solidFill>
              <a:schemeClr val="tx1"/>
            </a:solidFill>
            <a:latin typeface="Bahnschrift" panose="020B0502040204020203"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21</xdr:col>
      <xdr:colOff>672353</xdr:colOff>
      <xdr:row>0</xdr:row>
      <xdr:rowOff>291353</xdr:rowOff>
    </xdr:from>
    <xdr:to>
      <xdr:col>29</xdr:col>
      <xdr:colOff>67235</xdr:colOff>
      <xdr:row>9</xdr:row>
      <xdr:rowOff>168088</xdr:rowOff>
    </xdr:to>
    <xdr:sp macro="" textlink="">
      <xdr:nvSpPr>
        <xdr:cNvPr id="2" name="Rectangle 1">
          <a:extLst>
            <a:ext uri="{FF2B5EF4-FFF2-40B4-BE49-F238E27FC236}">
              <a16:creationId xmlns:a16="http://schemas.microsoft.com/office/drawing/2014/main" id="{F206047C-47E2-8273-BFFA-1AF5BCB6BCA3}"/>
            </a:ext>
          </a:extLst>
        </xdr:cNvPr>
        <xdr:cNvSpPr/>
      </xdr:nvSpPr>
      <xdr:spPr>
        <a:xfrm>
          <a:off x="26356235" y="291353"/>
          <a:ext cx="16808824" cy="200585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33617</xdr:colOff>
      <xdr:row>1</xdr:row>
      <xdr:rowOff>22410</xdr:rowOff>
    </xdr:from>
    <xdr:to>
      <xdr:col>0</xdr:col>
      <xdr:colOff>1703504</xdr:colOff>
      <xdr:row>267</xdr:row>
      <xdr:rowOff>11206</xdr:rowOff>
    </xdr:to>
    <xdr:sp macro="" textlink="">
      <xdr:nvSpPr>
        <xdr:cNvPr id="3" name="Rectangle 2">
          <a:extLst>
            <a:ext uri="{FF2B5EF4-FFF2-40B4-BE49-F238E27FC236}">
              <a16:creationId xmlns:a16="http://schemas.microsoft.com/office/drawing/2014/main" id="{EA56AF26-8318-40B8-A32F-293C877C2CCB}"/>
            </a:ext>
          </a:extLst>
        </xdr:cNvPr>
        <xdr:cNvSpPr/>
      </xdr:nvSpPr>
      <xdr:spPr>
        <a:xfrm>
          <a:off x="33617" y="627528"/>
          <a:ext cx="1669887" cy="5341844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50"/>
        </a:p>
      </xdr:txBody>
    </xdr:sp>
    <xdr:clientData/>
  </xdr:twoCellAnchor>
  <xdr:twoCellAnchor>
    <xdr:from>
      <xdr:col>0</xdr:col>
      <xdr:colOff>174252</xdr:colOff>
      <xdr:row>1</xdr:row>
      <xdr:rowOff>146238</xdr:rowOff>
    </xdr:from>
    <xdr:to>
      <xdr:col>0</xdr:col>
      <xdr:colOff>1350665</xdr:colOff>
      <xdr:row>3</xdr:row>
      <xdr:rowOff>12680</xdr:rowOff>
    </xdr:to>
    <xdr:grpSp>
      <xdr:nvGrpSpPr>
        <xdr:cNvPr id="4" name="Group 3">
          <a:extLst>
            <a:ext uri="{FF2B5EF4-FFF2-40B4-BE49-F238E27FC236}">
              <a16:creationId xmlns:a16="http://schemas.microsoft.com/office/drawing/2014/main" id="{60B17C23-2C22-43C8-80A6-0B48D70FF397}"/>
            </a:ext>
          </a:extLst>
        </xdr:cNvPr>
        <xdr:cNvGrpSpPr/>
      </xdr:nvGrpSpPr>
      <xdr:grpSpPr>
        <a:xfrm>
          <a:off x="174252" y="751356"/>
          <a:ext cx="1176413" cy="247442"/>
          <a:chOff x="188260" y="866775"/>
          <a:chExt cx="1183340" cy="247442"/>
        </a:xfrm>
      </xdr:grpSpPr>
      <xdr:sp macro="[0]!Dashboard_Active" textlink="">
        <xdr:nvSpPr>
          <xdr:cNvPr id="5" name="Rectangle 4">
            <a:extLst>
              <a:ext uri="{FF2B5EF4-FFF2-40B4-BE49-F238E27FC236}">
                <a16:creationId xmlns:a16="http://schemas.microsoft.com/office/drawing/2014/main" id="{8B25FB46-CE31-70B6-8D34-DA29D893E387}"/>
              </a:ext>
            </a:extLst>
          </xdr:cNvPr>
          <xdr:cNvSpPr/>
        </xdr:nvSpPr>
        <xdr:spPr>
          <a:xfrm>
            <a:off x="464820" y="866775"/>
            <a:ext cx="906780" cy="247442"/>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tx1"/>
                </a:solidFill>
                <a:latin typeface="Bahnschrift" panose="020B0502040204020203" pitchFamily="34" charset="0"/>
                <a:cs typeface="Arial" panose="020B0604020202020204" pitchFamily="34" charset="0"/>
              </a:rPr>
              <a:t>Dashboard</a:t>
            </a:r>
          </a:p>
        </xdr:txBody>
      </xdr:sp>
      <xdr:pic macro="[0]!Dashboard_Active">
        <xdr:nvPicPr>
          <xdr:cNvPr id="6" name="Graphic 5" descr="Bar chart with solid fill">
            <a:extLst>
              <a:ext uri="{FF2B5EF4-FFF2-40B4-BE49-F238E27FC236}">
                <a16:creationId xmlns:a16="http://schemas.microsoft.com/office/drawing/2014/main" id="{C3FACC89-4407-296B-4440-D1C3193AF3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88260" y="885488"/>
            <a:ext cx="293818" cy="209887"/>
          </a:xfrm>
          <a:prstGeom prst="rect">
            <a:avLst/>
          </a:prstGeom>
        </xdr:spPr>
      </xdr:pic>
    </xdr:grpSp>
    <xdr:clientData/>
  </xdr:twoCellAnchor>
  <xdr:twoCellAnchor>
    <xdr:from>
      <xdr:col>0</xdr:col>
      <xdr:colOff>161365</xdr:colOff>
      <xdr:row>3</xdr:row>
      <xdr:rowOff>98613</xdr:rowOff>
    </xdr:from>
    <xdr:to>
      <xdr:col>0</xdr:col>
      <xdr:colOff>1341140</xdr:colOff>
      <xdr:row>4</xdr:row>
      <xdr:rowOff>155555</xdr:rowOff>
    </xdr:to>
    <xdr:grpSp>
      <xdr:nvGrpSpPr>
        <xdr:cNvPr id="7" name="Group 6">
          <a:extLst>
            <a:ext uri="{FF2B5EF4-FFF2-40B4-BE49-F238E27FC236}">
              <a16:creationId xmlns:a16="http://schemas.microsoft.com/office/drawing/2014/main" id="{381593DA-DCB1-44AF-8999-091CB901F8CB}"/>
            </a:ext>
          </a:extLst>
        </xdr:cNvPr>
        <xdr:cNvGrpSpPr/>
      </xdr:nvGrpSpPr>
      <xdr:grpSpPr>
        <a:xfrm>
          <a:off x="161365" y="1084731"/>
          <a:ext cx="1179775" cy="247442"/>
          <a:chOff x="175373" y="1200150"/>
          <a:chExt cx="1186702" cy="247442"/>
        </a:xfrm>
      </xdr:grpSpPr>
      <xdr:pic macro="[0]!Detail_Active">
        <xdr:nvPicPr>
          <xdr:cNvPr id="8" name="Graphic 7" descr="List with solid fill">
            <a:extLst>
              <a:ext uri="{FF2B5EF4-FFF2-40B4-BE49-F238E27FC236}">
                <a16:creationId xmlns:a16="http://schemas.microsoft.com/office/drawing/2014/main" id="{0D682384-5981-FCC2-14E7-28291199FF4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75373" y="1231020"/>
            <a:ext cx="327116" cy="188206"/>
          </a:xfrm>
          <a:prstGeom prst="rect">
            <a:avLst/>
          </a:prstGeom>
        </xdr:spPr>
      </xdr:pic>
      <xdr:sp macro="[0]!Detail_Active" textlink="">
        <xdr:nvSpPr>
          <xdr:cNvPr id="9" name="Rectangle 8">
            <a:extLst>
              <a:ext uri="{FF2B5EF4-FFF2-40B4-BE49-F238E27FC236}">
                <a16:creationId xmlns:a16="http://schemas.microsoft.com/office/drawing/2014/main" id="{17FA3FBB-DC37-9FF4-5FFB-E6111891B6BC}"/>
              </a:ext>
            </a:extLst>
          </xdr:cNvPr>
          <xdr:cNvSpPr/>
        </xdr:nvSpPr>
        <xdr:spPr>
          <a:xfrm>
            <a:off x="464820" y="1200150"/>
            <a:ext cx="897255" cy="247442"/>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tx1"/>
                </a:solidFill>
                <a:latin typeface="Bahnschrift" panose="020B0502040204020203" pitchFamily="34" charset="0"/>
                <a:cs typeface="Arial" panose="020B0604020202020204" pitchFamily="34" charset="0"/>
              </a:rPr>
              <a:t>Detail</a:t>
            </a:r>
          </a:p>
        </xdr:txBody>
      </xdr:sp>
    </xdr:grpSp>
    <xdr:clientData/>
  </xdr:twoCellAnchor>
  <xdr:twoCellAnchor>
    <xdr:from>
      <xdr:col>0</xdr:col>
      <xdr:colOff>196666</xdr:colOff>
      <xdr:row>5</xdr:row>
      <xdr:rowOff>31938</xdr:rowOff>
    </xdr:from>
    <xdr:to>
      <xdr:col>0</xdr:col>
      <xdr:colOff>1341140</xdr:colOff>
      <xdr:row>6</xdr:row>
      <xdr:rowOff>107930</xdr:rowOff>
    </xdr:to>
    <xdr:grpSp>
      <xdr:nvGrpSpPr>
        <xdr:cNvPr id="10" name="Group 9">
          <a:extLst>
            <a:ext uri="{FF2B5EF4-FFF2-40B4-BE49-F238E27FC236}">
              <a16:creationId xmlns:a16="http://schemas.microsoft.com/office/drawing/2014/main" id="{3EAEE80C-809C-42E1-AA58-9757E281E33A}"/>
            </a:ext>
          </a:extLst>
        </xdr:cNvPr>
        <xdr:cNvGrpSpPr/>
      </xdr:nvGrpSpPr>
      <xdr:grpSpPr>
        <a:xfrm>
          <a:off x="196666" y="1399056"/>
          <a:ext cx="1144474" cy="266492"/>
          <a:chOff x="210674" y="1514475"/>
          <a:chExt cx="1151401" cy="266492"/>
        </a:xfrm>
      </xdr:grpSpPr>
      <xdr:pic macro="[0]!Data_Active">
        <xdr:nvPicPr>
          <xdr:cNvPr id="11" name="Graphic 10" descr="Home with solid fill">
            <a:extLst>
              <a:ext uri="{FF2B5EF4-FFF2-40B4-BE49-F238E27FC236}">
                <a16:creationId xmlns:a16="http://schemas.microsoft.com/office/drawing/2014/main" id="{A7970B56-663C-FF0B-2377-C0032F6BCB3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0674" y="1514475"/>
            <a:ext cx="264796" cy="256106"/>
          </a:xfrm>
          <a:prstGeom prst="rect">
            <a:avLst/>
          </a:prstGeom>
        </xdr:spPr>
      </xdr:pic>
      <xdr:sp macro="[0]!Data_Active" textlink="">
        <xdr:nvSpPr>
          <xdr:cNvPr id="12" name="Rectangle 11">
            <a:extLst>
              <a:ext uri="{FF2B5EF4-FFF2-40B4-BE49-F238E27FC236}">
                <a16:creationId xmlns:a16="http://schemas.microsoft.com/office/drawing/2014/main" id="{5E54E4A6-5E4F-8311-DBAC-57ED6BC22A9B}"/>
              </a:ext>
            </a:extLst>
          </xdr:cNvPr>
          <xdr:cNvSpPr/>
        </xdr:nvSpPr>
        <xdr:spPr>
          <a:xfrm>
            <a:off x="455295" y="1533525"/>
            <a:ext cx="906780" cy="247442"/>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tx1"/>
                </a:solidFill>
                <a:latin typeface="Bahnschrift" panose="020B0502040204020203" pitchFamily="34" charset="0"/>
                <a:cs typeface="Arial" panose="020B0604020202020204" pitchFamily="34" charset="0"/>
              </a:rPr>
              <a:t>Data</a:t>
            </a:r>
          </a:p>
        </xdr:txBody>
      </xdr:sp>
    </xdr:grpSp>
    <xdr:clientData/>
  </xdr:twoCellAnchor>
  <xdr:twoCellAnchor>
    <xdr:from>
      <xdr:col>0</xdr:col>
      <xdr:colOff>1557617</xdr:colOff>
      <xdr:row>5</xdr:row>
      <xdr:rowOff>12330</xdr:rowOff>
    </xdr:from>
    <xdr:to>
      <xdr:col>0</xdr:col>
      <xdr:colOff>1643342</xdr:colOff>
      <xdr:row>6</xdr:row>
      <xdr:rowOff>107580</xdr:rowOff>
    </xdr:to>
    <xdr:sp macro="" textlink="">
      <xdr:nvSpPr>
        <xdr:cNvPr id="13" name="Rectangle 12">
          <a:extLst>
            <a:ext uri="{FF2B5EF4-FFF2-40B4-BE49-F238E27FC236}">
              <a16:creationId xmlns:a16="http://schemas.microsoft.com/office/drawing/2014/main" id="{A9600FE5-77F5-4B60-A5D7-1B6130E88DD6}"/>
            </a:ext>
          </a:extLst>
        </xdr:cNvPr>
        <xdr:cNvSpPr/>
      </xdr:nvSpPr>
      <xdr:spPr>
        <a:xfrm>
          <a:off x="1557617" y="1379448"/>
          <a:ext cx="85725" cy="285750"/>
        </a:xfrm>
        <a:prstGeom prst="rect">
          <a:avLst/>
        </a:prstGeom>
        <a:solidFill>
          <a:schemeClr val="accent3"/>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600">
            <a:solidFill>
              <a:schemeClr val="tx1"/>
            </a:solidFill>
            <a:latin typeface="Bahnschrift" panose="020B0502040204020203"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1009650</xdr:colOff>
          <xdr:row>3</xdr:row>
          <xdr:rowOff>66675</xdr:rowOff>
        </xdr:from>
        <xdr:to>
          <xdr:col>22</xdr:col>
          <xdr:colOff>457200</xdr:colOff>
          <xdr:row>6</xdr:row>
          <xdr:rowOff>19050</xdr:rowOff>
        </xdr:to>
        <xdr:sp macro="" textlink="">
          <xdr:nvSpPr>
            <xdr:cNvPr id="4097" name="Spinner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504825</xdr:colOff>
          <xdr:row>3</xdr:row>
          <xdr:rowOff>57150</xdr:rowOff>
        </xdr:from>
        <xdr:to>
          <xdr:col>26</xdr:col>
          <xdr:colOff>9525</xdr:colOff>
          <xdr:row>6</xdr:row>
          <xdr:rowOff>0</xdr:rowOff>
        </xdr:to>
        <xdr:sp macro="" textlink="">
          <xdr:nvSpPr>
            <xdr:cNvPr id="4098" name="Scroll Bar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21</xdr:col>
      <xdr:colOff>1040466</xdr:colOff>
      <xdr:row>6</xdr:row>
      <xdr:rowOff>82083</xdr:rowOff>
    </xdr:from>
    <xdr:to>
      <xdr:col>25</xdr:col>
      <xdr:colOff>1030941</xdr:colOff>
      <xdr:row>20</xdr:row>
      <xdr:rowOff>158283</xdr:rowOff>
    </xdr:to>
    <xdr:graphicFrame macro="">
      <xdr:nvGraphicFramePr>
        <xdr:cNvPr id="15" name="Chart 14">
          <a:extLst>
            <a:ext uri="{FF2B5EF4-FFF2-40B4-BE49-F238E27FC236}">
              <a16:creationId xmlns:a16="http://schemas.microsoft.com/office/drawing/2014/main" id="{A2C195AE-4E21-4A07-F34A-B61AB9CA9C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ype%20GLK\AppData\Roaming\Microsoft\AddIns\TERBILANG.xlam" TargetMode="External"/><Relationship Id="rId1" Type="http://schemas.openxmlformats.org/officeDocument/2006/relationships/externalLinkPath" Target="file:///C:\Users\Hype%20GLK\AppData\Roaming\Microsoft\AddIns\TERBILANG.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definedNames>
      <definedName name="TERBILANG"/>
    </defined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ype GLK" refreshedDate="46015.209902314811" createdVersion="8" refreshedVersion="8" minRefreshableVersion="3" recordCount="2000" xr:uid="{13421F73-1E4B-4182-8FE9-529950541246}">
  <cacheSource type="worksheet">
    <worksheetSource ref="B2:U2002" sheet="Data"/>
  </cacheSource>
  <cacheFields count="23">
    <cacheField name="Order ID" numFmtId="0">
      <sharedItems/>
    </cacheField>
    <cacheField name="Order Date" numFmtId="164">
      <sharedItems containsSemiMixedTypes="0" containsNonDate="0" containsDate="1" containsString="0" minDate="2024-09-16T00:22:49" maxDate="2025-09-16T17:20:52" count="1866">
        <d v="2024-09-16T00:22:49"/>
        <d v="2024-09-16T00:40:51"/>
        <d v="2024-09-16T12:45:33"/>
        <d v="2024-09-16T13:45:49"/>
        <d v="2024-09-16T15:12:08"/>
        <d v="2024-09-17T00:12:44"/>
        <d v="2024-09-17T01:51:29"/>
        <d v="2024-09-17T02:36:10"/>
        <d v="2024-09-17T11:08:31"/>
        <d v="2024-09-17T13:31:52"/>
        <d v="2024-09-17T19:00:20"/>
        <d v="2024-09-17T22:29:45"/>
        <d v="2024-09-17T22:33:26"/>
        <d v="2024-09-17T22:43:36"/>
        <d v="2024-09-18T04:10:37"/>
        <d v="2024-09-18T14:38:30"/>
        <d v="2024-09-18T19:24:11"/>
        <d v="2024-09-18T21:33:00"/>
        <d v="2024-09-19T08:20:25"/>
        <d v="2024-09-19T13:10:32"/>
        <d v="2024-09-19T14:01:24"/>
        <d v="2024-09-19T14:08:29"/>
        <d v="2024-09-19T22:16:45"/>
        <d v="2024-09-20T08:57:16"/>
        <d v="2024-09-20T11:35:04"/>
        <d v="2024-09-20T13:31:45"/>
        <d v="2024-09-20T14:18:30"/>
        <d v="2024-09-20T19:19:58"/>
        <d v="2024-09-20T21:17:12"/>
        <d v="2024-09-20T21:54:04"/>
        <d v="2024-09-20T22:19:32"/>
        <d v="2024-09-21T02:30:40"/>
        <d v="2024-09-21T02:34:55"/>
        <d v="2024-09-21T05:48:45"/>
        <d v="2024-09-21T10:48:25"/>
        <d v="2024-09-21T12:07:14"/>
        <d v="2024-09-21T14:13:57"/>
        <d v="2024-09-21T16:01:11"/>
        <d v="2024-09-22T08:48:07"/>
        <d v="2024-09-22T10:27:18"/>
        <d v="2024-09-22T21:42:39"/>
        <d v="2024-09-22T22:46:01"/>
        <d v="2024-09-23T04:36:10"/>
        <d v="2024-09-23T11:13:26"/>
        <d v="2024-09-23T16:06:16"/>
        <d v="2024-09-23T18:37:14"/>
        <d v="2024-09-24T00:00:45"/>
        <d v="2024-09-24T00:24:33"/>
        <d v="2024-09-24T00:29:32"/>
        <d v="2024-09-24T00:58:17"/>
        <d v="2024-09-24T07:45:06"/>
        <d v="2024-09-24T08:10:24"/>
        <d v="2024-09-24T11:28:39"/>
        <d v="2024-09-24T16:24:42"/>
        <d v="2024-09-24T17:09:33"/>
        <d v="2024-09-24T22:08:51"/>
        <d v="2024-09-24T23:03:30"/>
        <d v="2024-09-25T00:22:19"/>
        <d v="2024-09-25T03:20:46"/>
        <d v="2024-09-25T06:35:03"/>
        <d v="2024-09-25T08:59:06"/>
        <d v="2024-09-25T12:26:52"/>
        <d v="2024-09-25T16:24:23"/>
        <d v="2024-09-25T19:51:24"/>
        <d v="2024-09-26T22:03:34"/>
        <d v="2024-09-27T07:45:00"/>
        <d v="2024-09-27T10:36:03"/>
        <d v="2024-09-27T13:20:04"/>
        <d v="2024-09-27T15:54:48"/>
        <d v="2024-09-27T16:04:25"/>
        <d v="2024-09-28T02:14:03"/>
        <d v="2024-09-28T05:21:23"/>
        <d v="2024-09-28T06:03:12"/>
        <d v="2024-09-28T07:23:01"/>
        <d v="2024-09-28T08:38:41"/>
        <d v="2024-09-28T17:09:28"/>
        <d v="2024-09-29T06:41:54"/>
        <d v="2024-09-29T08:27:48"/>
        <d v="2024-09-29T09:41:34"/>
        <d v="2024-09-29T10:34:04"/>
        <d v="2024-09-29T12:19:33"/>
        <d v="2024-09-29T21:45:21"/>
        <d v="2024-09-30T02:33:55"/>
        <d v="2024-09-30T04:17:40"/>
        <d v="2024-09-30T06:11:33"/>
        <d v="2024-09-30T06:55:42"/>
        <d v="2024-09-30T15:24:46"/>
        <d v="2024-09-30T18:37:15"/>
        <d v="2024-09-30T20:18:00"/>
        <d v="2024-09-30T21:38:47"/>
        <d v="2024-09-30T22:05:08"/>
        <d v="2024-10-01T00:45:09"/>
        <d v="2024-10-01T17:26:21"/>
        <d v="2024-10-01T23:59:41"/>
        <d v="2024-10-02T06:56:13"/>
        <d v="2024-10-02T17:21:54"/>
        <d v="2024-10-02T19:47:09"/>
        <d v="2024-10-03T00:40:16"/>
        <d v="2024-10-03T01:53:19"/>
        <d v="2024-10-03T08:23:26"/>
        <d v="2024-10-03T10:43:11"/>
        <d v="2024-10-03T18:29:14"/>
        <d v="2024-10-03T21:25:43"/>
        <d v="2024-10-03T23:12:06"/>
        <d v="2024-10-04T09:55:50"/>
        <d v="2024-10-04T12:04:25"/>
        <d v="2024-10-04T18:40:22"/>
        <d v="2024-10-05T03:59:20"/>
        <d v="2024-10-05T09:28:53"/>
        <d v="2024-10-05T12:20:38"/>
        <d v="2024-10-05T20:34:44"/>
        <d v="2024-10-05T23:38:00"/>
        <d v="2024-10-06T06:22:34"/>
        <d v="2024-10-06T07:23:28"/>
        <d v="2024-10-06T10:25:57"/>
        <d v="2024-10-06T12:59:49"/>
        <d v="2024-10-06T13:57:37"/>
        <d v="2024-10-06T14:16:57"/>
        <d v="2024-10-06T22:59:47"/>
        <d v="2024-10-07T04:02:00"/>
        <d v="2024-10-07T04:03:46"/>
        <d v="2024-10-07T10:42:33"/>
        <d v="2024-10-07T14:55:21"/>
        <d v="2024-10-08T00:21:09"/>
        <d v="2024-10-08T04:45:52"/>
        <d v="2024-10-08T10:05:11"/>
        <d v="2024-10-08T12:39:17"/>
        <d v="2024-10-08T17:56:21"/>
        <d v="2024-10-08T21:09:10"/>
        <d v="2024-10-09T01:57:43"/>
        <d v="2024-10-09T03:37:45"/>
        <d v="2024-10-09T04:44:18"/>
        <d v="2024-10-09T05:40:05"/>
        <d v="2024-10-09T07:23:53"/>
        <d v="2024-10-09T19:01:20"/>
        <d v="2024-10-09T20:03:03"/>
        <d v="2024-10-09T21:22:08"/>
        <d v="2024-10-10T02:29:00"/>
        <d v="2024-10-10T10:39:13"/>
        <d v="2024-10-10T21:12:29"/>
        <d v="2024-10-11T00:09:30"/>
        <d v="2024-10-11T08:06:16"/>
        <d v="2024-10-11T11:14:07"/>
        <d v="2024-10-11T14:13:04"/>
        <d v="2024-10-11T21:35:53"/>
        <d v="2024-10-12T00:27:29"/>
        <d v="2024-10-12T02:04:02"/>
        <d v="2024-10-12T05:03:20"/>
        <d v="2024-10-13T00:33:22"/>
        <d v="2024-10-13T02:10:05"/>
        <d v="2024-10-13T07:23:50"/>
        <d v="2024-10-13T09:20:39"/>
        <d v="2024-10-14T00:28:33"/>
        <d v="2024-10-14T02:08:27"/>
        <d v="2024-10-14T06:50:57"/>
        <d v="2024-10-14T10:28:10"/>
        <d v="2024-10-14T11:17:52"/>
        <d v="2024-10-14T12:16:59"/>
        <d v="2024-10-15T01:57:31"/>
        <d v="2024-10-15T07:59:04"/>
        <d v="2024-10-15T10:24:48"/>
        <d v="2024-10-15T13:56:53"/>
        <d v="2024-10-15T16:55:58"/>
        <d v="2024-10-15T17:25:45"/>
        <d v="2024-10-15T17:41:35"/>
        <d v="2024-10-15T20:42:08"/>
        <d v="2024-10-15T23:12:39"/>
        <d v="2024-10-16T00:50:25"/>
        <d v="2024-10-16T12:37:00"/>
        <d v="2024-10-16T13:14:07"/>
        <d v="2024-10-16T14:23:03"/>
        <d v="2024-10-16T20:25:02"/>
        <d v="2024-10-17T01:04:02"/>
        <d v="2024-10-17T10:32:46"/>
        <d v="2024-10-17T11:10:54"/>
        <d v="2024-10-17T20:35:01"/>
        <d v="2024-10-18T01:59:53"/>
        <d v="2024-10-18T09:37:00"/>
        <d v="2024-10-18T17:41:06"/>
        <d v="2024-10-18T18:16:01"/>
        <d v="2024-10-18T19:24:16"/>
        <d v="2024-10-19T08:31:34"/>
        <d v="2024-10-19T08:48:13"/>
        <d v="2024-10-19T10:00:58"/>
        <d v="2024-10-19T12:47:12"/>
        <d v="2024-10-19T16:29:33"/>
        <d v="2024-10-20T00:09:10"/>
        <d v="2024-10-20T06:32:15"/>
        <d v="2024-10-20T07:34:27"/>
        <d v="2024-10-20T10:19:21"/>
        <d v="2024-10-21T08:20:09"/>
        <d v="2024-10-21T09:16:05"/>
        <d v="2024-10-22T03:53:52"/>
        <d v="2024-10-22T08:11:58"/>
        <d v="2024-10-22T11:15:57"/>
        <d v="2024-10-22T12:00:25"/>
        <d v="2024-10-23T03:20:20"/>
        <d v="2024-10-23T04:49:49"/>
        <d v="2024-10-23T06:22:04"/>
        <d v="2024-10-23T16:49:40"/>
        <d v="2024-10-23T16:50:40"/>
        <d v="2024-10-23T17:58:26"/>
        <d v="2024-10-24T10:43:22"/>
        <d v="2024-10-24T12:03:38"/>
        <d v="2024-10-24T13:13:48"/>
        <d v="2024-10-24T19:53:23"/>
        <d v="2024-10-24T21:48:24"/>
        <d v="2024-10-24T23:42:09"/>
        <d v="2024-10-25T01:11:49"/>
        <d v="2024-10-25T01:26:25"/>
        <d v="2024-10-25T01:42:08"/>
        <d v="2024-10-25T03:44:48"/>
        <d v="2024-10-25T10:54:53"/>
        <d v="2024-10-25T16:22:02"/>
        <d v="2024-10-25T18:26:35"/>
        <d v="2024-10-25T20:48:31"/>
        <d v="2024-10-25T21:19:56"/>
        <d v="2024-10-25T21:29:34"/>
        <d v="2024-10-26T00:28:41"/>
        <d v="2024-10-26T03:22:17"/>
        <d v="2024-10-26T11:13:52"/>
        <d v="2024-10-26T17:58:32"/>
        <d v="2024-10-26T22:20:44"/>
        <d v="2024-10-26T23:15:59"/>
        <d v="2024-10-27T07:00:06"/>
        <d v="2024-10-27T08:09:22"/>
        <d v="2024-10-27T16:57:58"/>
        <d v="2024-10-27T18:16:09"/>
        <d v="2024-10-28T02:33:45"/>
        <d v="2024-10-28T03:38:25"/>
        <d v="2024-10-28T09:40:47"/>
        <d v="2024-10-29T03:28:57"/>
        <d v="2024-10-29T08:24:35"/>
        <d v="2024-10-29T09:53:23"/>
        <d v="2024-10-29T12:27:15"/>
        <d v="2024-10-29T18:20:31"/>
        <d v="2024-10-29T23:31:15"/>
        <d v="2024-10-30T06:16:46"/>
        <d v="2024-10-30T10:33:25"/>
        <d v="2024-10-31T15:26:41"/>
        <d v="2024-11-01T00:22:47"/>
        <d v="2024-11-01T01:53:10"/>
        <d v="2024-11-01T02:09:22"/>
        <d v="2024-11-01T15:22:35"/>
        <d v="2024-11-01T20:48:16"/>
        <d v="2024-11-01T21:51:31"/>
        <d v="2024-11-02T07:12:52"/>
        <d v="2024-11-02T18:02:19"/>
        <d v="2024-11-02T21:42:54"/>
        <d v="2024-11-03T06:12:45"/>
        <d v="2024-11-03T07:05:13"/>
        <d v="2024-11-03T11:01:24"/>
        <d v="2024-11-04T00:08:57"/>
        <d v="2024-11-04T16:31:56"/>
        <d v="2024-11-04T22:52:14"/>
        <d v="2024-11-04T23:28:32"/>
        <d v="2024-11-05T03:45:18"/>
        <d v="2024-11-05T06:44:06"/>
        <d v="2024-11-05T06:57:02"/>
        <d v="2024-11-05T08:16:58"/>
        <d v="2024-11-06T00:11:45"/>
        <d v="2024-11-06T02:05:15"/>
        <d v="2024-11-06T08:43:29"/>
        <d v="2024-11-07T11:25:02"/>
        <d v="2024-11-07T23:13:22"/>
        <d v="2024-11-08T04:45:11"/>
        <d v="2024-11-08T05:34:23"/>
        <d v="2024-11-08T23:48:48"/>
        <d v="2024-11-09T03:47:01"/>
        <d v="2024-11-09T05:07:51"/>
        <d v="2024-11-09T11:59:09"/>
        <d v="2024-11-09T15:21:27"/>
        <d v="2024-11-09T19:14:00"/>
        <d v="2024-11-10T08:27:11"/>
        <d v="2024-11-10T09:26:23"/>
        <d v="2024-11-10T15:42:16"/>
        <d v="2024-11-10T16:33:55"/>
        <d v="2024-11-11T01:53:50"/>
        <d v="2024-11-11T08:41:25"/>
        <d v="2024-11-11T13:37:31"/>
        <d v="2024-11-12T03:52:27"/>
        <d v="2024-11-12T11:20:01"/>
        <d v="2024-11-12T11:32:30"/>
        <d v="2024-11-12T23:23:37"/>
        <d v="2024-11-13T00:28:04"/>
        <d v="2024-11-13T04:38:07"/>
        <d v="2024-11-13T08:00:43"/>
        <d v="2024-11-13T13:04:51"/>
        <d v="2024-11-14T17:39:56"/>
        <d v="2024-11-14T18:49:41"/>
        <d v="2024-11-14T20:12:15"/>
        <d v="2024-11-15T06:51:54"/>
        <d v="2024-11-15T13:03:49"/>
        <d v="2024-11-15T19:07:41"/>
        <d v="2024-11-16T00:03:19"/>
        <d v="2024-11-16T09:21:35"/>
        <d v="2024-11-16T11:58:10"/>
        <d v="2024-11-16T17:50:50"/>
        <d v="2024-11-16T17:55:50"/>
        <d v="2024-11-16T23:53:51"/>
        <d v="2024-11-17T03:06:23"/>
        <d v="2024-11-17T06:52:53"/>
        <d v="2024-11-17T08:17:33"/>
        <d v="2024-11-17T11:05:59"/>
        <d v="2024-11-17T16:24:32"/>
        <d v="2024-11-17T19:59:12"/>
        <d v="2024-11-18T00:57:38"/>
        <d v="2024-11-18T07:24:30"/>
        <d v="2024-11-18T12:37:30"/>
        <d v="2024-11-18T20:22:53"/>
        <d v="2024-11-19T00:24:44"/>
        <d v="2024-11-19T05:10:08"/>
        <d v="2024-11-19T06:18:43"/>
        <d v="2024-11-19T10:09:35"/>
        <d v="2024-11-19T11:33:59"/>
        <d v="2024-11-19T13:53:59"/>
        <d v="2024-11-20T05:26:01"/>
        <d v="2024-11-20T06:41:47"/>
        <d v="2024-11-20T09:29:15"/>
        <d v="2024-11-20T11:20:42"/>
        <d v="2024-11-20T13:34:40"/>
        <d v="2024-11-20T19:28:24"/>
        <d v="2024-11-21T01:09:16"/>
        <d v="2024-11-21T13:08:04"/>
        <d v="2024-11-21T13:16:19"/>
        <d v="2024-11-21T23:00:35"/>
        <d v="2024-11-22T02:50:41"/>
        <d v="2024-11-22T05:09:44"/>
        <d v="2024-11-22T09:27:37"/>
        <d v="2024-11-22T10:42:19"/>
        <d v="2024-11-22T12:49:20"/>
        <d v="2024-11-22T20:10:07"/>
        <d v="2024-11-22T21:16:05"/>
        <d v="2024-11-22T21:31:34"/>
        <d v="2024-11-22T22:13:12"/>
        <d v="2024-11-23T02:04:43"/>
        <d v="2024-11-23T07:52:15"/>
        <d v="2024-11-23T18:32:39"/>
        <d v="2024-11-23T18:33:00"/>
        <d v="2024-11-24T10:32:52"/>
        <d v="2024-11-24T13:45:02"/>
        <d v="2024-11-24T16:06:16"/>
        <d v="2024-11-24T20:41:22"/>
        <d v="2024-11-25T02:47:51"/>
        <d v="2024-11-25T06:23:55"/>
        <d v="2024-11-25T08:40:54"/>
        <d v="2024-11-25T10:24:07"/>
        <d v="2024-11-25T15:04:31"/>
        <d v="2024-11-25T17:11:59"/>
        <d v="2024-11-26T02:14:59"/>
        <d v="2024-11-26T02:50:58"/>
        <d v="2024-11-26T09:01:03"/>
        <d v="2024-11-26T10:15:26"/>
        <d v="2024-11-26T15:43:43"/>
        <d v="2024-11-26T15:56:07"/>
        <d v="2024-11-26T16:24:30"/>
        <d v="2024-11-26T17:57:42"/>
        <d v="2024-11-26T19:47:45"/>
        <d v="2024-11-27T02:50:24"/>
        <d v="2024-11-27T10:17:29"/>
        <d v="2024-11-27T11:53:44"/>
        <d v="2024-11-27T14:28:34"/>
        <d v="2024-11-27T15:31:57"/>
        <d v="2024-11-27T20:27:07"/>
        <d v="2024-11-27T22:21:37"/>
        <d v="2024-11-28T02:33:25"/>
        <d v="2024-11-28T04:16:50"/>
        <d v="2024-11-28T12:18:41"/>
        <d v="2024-11-28T16:29:06"/>
        <d v="2024-11-28T19:28:42"/>
        <d v="2024-11-29T00:04:57"/>
        <d v="2024-11-29T01:18:07"/>
        <d v="2024-11-29T01:18:34"/>
        <d v="2024-11-29T02:13:11"/>
        <d v="2024-11-29T03:22:38"/>
        <d v="2024-11-29T14:32:30"/>
        <d v="2024-11-29T19:07:02"/>
        <d v="2024-11-29T21:26:19"/>
        <d v="2024-11-30T11:06:36"/>
        <d v="2024-11-30T12:36:05"/>
        <d v="2024-11-30T14:33:49"/>
        <d v="2024-11-30T19:05:40"/>
        <d v="2024-12-01T02:11:23"/>
        <d v="2024-12-01T06:23:25"/>
        <d v="2024-12-01T13:17:48"/>
        <d v="2024-12-01T14:44:49"/>
        <d v="2024-12-01T15:19:30"/>
        <d v="2024-12-01T23:26:13"/>
        <d v="2024-12-02T01:39:16"/>
        <d v="2024-12-02T02:21:33"/>
        <d v="2024-12-02T06:05:32"/>
        <d v="2024-12-02T11:19:51"/>
        <d v="2024-12-02T11:28:56"/>
        <d v="2024-12-02T12:38:10"/>
        <d v="2024-12-02T13:32:14"/>
        <d v="2024-12-02T14:18:47"/>
        <d v="2024-12-03T03:24:28"/>
        <d v="2024-12-03T04:00:40"/>
        <d v="2024-12-03T07:43:34"/>
        <d v="2024-12-03T09:22:15"/>
        <d v="2024-12-03T10:13:58"/>
        <d v="2024-12-03T12:40:32"/>
        <d v="2024-12-03T22:53:10"/>
        <d v="2024-12-04T14:48:42"/>
        <d v="2024-12-05T01:39:53"/>
        <d v="2024-12-05T07:42:03"/>
        <d v="2024-12-05T09:39:30"/>
        <d v="2024-12-05T13:44:25"/>
        <d v="2024-12-05T18:26:01"/>
        <d v="2024-12-05T20:42:00"/>
        <d v="2024-12-06T05:24:44"/>
        <d v="2024-12-06T10:45:28"/>
        <d v="2024-12-07T05:20:33"/>
        <d v="2024-12-07T07:43:37"/>
        <d v="2024-12-07T11:17:47"/>
        <d v="2024-12-07T17:23:54"/>
        <d v="2024-12-08T01:36:23"/>
        <d v="2024-12-08T21:13:51"/>
        <d v="2024-12-09T02:06:13"/>
        <d v="2024-12-09T09:35:56"/>
        <d v="2024-12-09T13:48:54"/>
        <d v="2024-12-09T15:24:11"/>
        <d v="2024-12-09T18:17:17"/>
        <d v="2024-12-10T06:53:53"/>
        <d v="2024-12-10T08:10:11"/>
        <d v="2024-12-10T17:03:28"/>
        <d v="2024-12-11T01:45:48"/>
        <d v="2024-12-11T14:08:22"/>
        <d v="2024-12-12T03:26:19"/>
        <d v="2024-12-12T07:06:33"/>
        <d v="2024-12-12T08:13:48"/>
        <d v="2024-12-12T09:12:04"/>
        <d v="2024-12-12T13:52:06"/>
        <d v="2024-12-12T19:17:27"/>
        <d v="2024-12-12T20:07:55"/>
        <d v="2024-12-12T23:19:42"/>
        <d v="2024-12-13T05:40:01"/>
        <d v="2024-12-13T06:50:19"/>
        <d v="2024-12-13T07:28:02"/>
        <d v="2024-12-13T10:40:28"/>
        <d v="2024-12-13T17:04:55"/>
        <d v="2024-12-14T01:54:41"/>
        <d v="2024-12-14T14:21:08"/>
        <d v="2024-12-15T08:01:43"/>
        <d v="2024-12-15T09:51:51"/>
        <d v="2024-12-15T12:01:18"/>
        <d v="2024-12-15T12:06:14"/>
        <d v="2024-12-15T12:42:50"/>
        <d v="2024-12-15T14:49:33"/>
        <d v="2024-12-16T10:27:55"/>
        <d v="2024-12-16T11:38:06"/>
        <d v="2024-12-16T11:47:05"/>
        <d v="2024-12-16T12:51:56"/>
        <d v="2024-12-16T18:53:26"/>
        <d v="2024-12-17T11:22:23"/>
        <d v="2024-12-17T11:48:14"/>
        <d v="2024-12-17T19:23:13"/>
        <d v="2024-12-17T23:03:31"/>
        <d v="2024-12-18T03:53:53"/>
        <d v="2024-12-19T00:43:32"/>
        <d v="2024-12-19T00:52:37"/>
        <d v="2024-12-19T01:05:02"/>
        <d v="2024-12-19T03:01:32"/>
        <d v="2024-12-19T10:05:14"/>
        <d v="2024-12-19T18:03:30"/>
        <d v="2024-12-19T19:14:50"/>
        <d v="2024-12-19T21:39:06"/>
        <d v="2024-12-20T05:21:00"/>
        <d v="2024-12-20T20:11:48"/>
        <d v="2024-12-21T09:54:06"/>
        <d v="2024-12-21T17:18:24"/>
        <d v="2024-12-21T19:05:48"/>
        <d v="2024-12-22T00:31:35"/>
        <d v="2024-12-22T02:58:20"/>
        <d v="2024-12-22T08:50:45"/>
        <d v="2024-12-22T09:47:03"/>
        <d v="2024-12-22T10:43:04"/>
        <d v="2024-12-22T19:59:04"/>
        <d v="2024-12-22T21:25:18"/>
        <d v="2024-12-23T04:04:10"/>
        <d v="2024-12-23T05:25:39"/>
        <d v="2024-12-23T07:17:42"/>
        <d v="2024-12-23T08:31:35"/>
        <d v="2024-12-23T16:51:26"/>
        <d v="2024-12-24T02:06:28"/>
        <d v="2024-12-24T05:20:40"/>
        <d v="2024-12-24T05:55:54"/>
        <d v="2024-12-24T08:59:34"/>
        <d v="2024-12-25T00:00:50"/>
        <d v="2024-12-25T07:02:30"/>
        <d v="2024-12-25T12:01:17"/>
        <d v="2024-12-25T16:42:34"/>
        <d v="2024-12-25T18:42:55"/>
        <d v="2024-12-26T01:42:41"/>
        <d v="2024-12-26T10:42:37"/>
        <d v="2024-12-26T11:10:25"/>
        <d v="2024-12-26T16:31:06"/>
        <d v="2024-12-26T16:38:15"/>
        <d v="2024-12-26T21:22:01"/>
        <d v="2024-12-26T22:17:50"/>
        <d v="2024-12-27T01:42:24"/>
        <d v="2024-12-27T03:09:03"/>
        <d v="2024-12-28T09:29:28"/>
        <d v="2024-12-28T12:03:22"/>
        <d v="2024-12-28T12:21:02"/>
        <d v="2024-12-28T13:26:27"/>
        <d v="2024-12-28T18:31:49"/>
        <d v="2024-12-28T20:05:44"/>
        <d v="2024-12-28T22:05:44"/>
        <d v="2024-12-28T22:28:11"/>
        <d v="2024-12-29T01:36:56"/>
        <d v="2024-12-29T01:38:28"/>
        <d v="2024-12-29T04:29:32"/>
        <d v="2024-12-29T08:59:39"/>
        <d v="2024-12-29T11:00:08"/>
        <d v="2024-12-29T19:37:27"/>
        <d v="2024-12-30T06:44:36"/>
        <d v="2024-12-30T19:18:51"/>
        <d v="2024-12-30T22:01:08"/>
        <d v="2024-12-30T22:19:35"/>
        <d v="2024-12-31T00:22:32"/>
        <d v="2024-12-31T01:35:05"/>
        <d v="2024-12-31T04:57:21"/>
        <d v="2024-12-31T06:05:23"/>
        <d v="2024-12-31T11:17:48"/>
        <d v="2024-12-31T12:00:33"/>
        <d v="2024-12-31T13:21:45"/>
        <d v="2024-12-31T15:52:42"/>
        <d v="2024-12-31T18:50:24"/>
        <d v="2024-12-31T19:40:15"/>
        <d v="2024-12-31T22:57:46"/>
        <d v="2025-01-01T01:38:59"/>
        <d v="2025-01-01T04:22:26"/>
        <d v="2025-01-01T07:35:26"/>
        <d v="2025-01-01T11:25:56"/>
        <d v="2025-01-01T14:33:43"/>
        <d v="2025-01-01T15:55:20"/>
        <d v="2025-01-01T19:03:13"/>
        <d v="2025-01-01T19:33:36"/>
        <d v="2025-01-01T20:23:41"/>
        <d v="2025-01-02T03:24:12"/>
        <d v="2025-01-02T06:14:57"/>
        <d v="2025-01-02T10:44:41"/>
        <d v="2025-01-02T19:46:20"/>
        <d v="2025-01-02T21:14:50"/>
        <d v="2025-01-03T08:02:52"/>
        <d v="2025-01-03T09:11:14"/>
        <d v="2025-01-03T12:36:08"/>
        <d v="2025-01-03T13:35:18"/>
        <d v="2025-01-03T13:36:40"/>
        <d v="2025-01-03T18:34:19"/>
        <d v="2025-01-04T03:00:05"/>
        <d v="2025-01-04T06:55:23"/>
        <d v="2025-01-04T13:32:38"/>
        <d v="2025-01-04T16:10:08"/>
        <d v="2025-01-04T19:08:58"/>
        <d v="2025-01-04T19:15:04"/>
        <d v="2025-01-04T19:24:16"/>
        <d v="2025-01-05T08:36:19"/>
        <d v="2025-01-05T19:28:39"/>
        <d v="2025-01-05T20:18:25"/>
        <d v="2025-01-05T21:49:47"/>
        <d v="2025-01-05T23:06:47"/>
        <d v="2025-01-06T04:16:54"/>
        <d v="2025-01-06T07:14:31"/>
        <d v="2025-01-06T08:53:20"/>
        <d v="2025-01-06T11:42:19"/>
        <d v="2025-01-06T13:30:17"/>
        <d v="2025-01-06T18:16:32"/>
        <d v="2025-01-07T02:27:24"/>
        <d v="2025-01-07T03:32:34"/>
        <d v="2025-01-07T05:49:58"/>
        <d v="2025-01-07T08:32:09"/>
        <d v="2025-01-07T12:51:24"/>
        <d v="2025-01-07T13:29:59"/>
        <d v="2025-01-07T14:31:31"/>
        <d v="2025-01-07T15:34:05"/>
        <d v="2025-01-07T20:39:08"/>
        <d v="2025-01-07T21:54:30"/>
        <d v="2025-01-07T23:07:12"/>
        <d v="2025-01-08T07:19:45"/>
        <d v="2025-01-09T02:17:16"/>
        <d v="2025-01-10T13:16:56"/>
        <d v="2025-01-10T13:37:22"/>
        <d v="2025-01-10T17:49:27"/>
        <d v="2025-01-10T19:34:15"/>
        <d v="2025-01-11T00:38:06"/>
        <d v="2025-01-11T02:15:51"/>
        <d v="2025-01-11T06:15:03"/>
        <d v="2025-01-11T08:30:36"/>
        <d v="2025-01-11T16:05:47"/>
        <d v="2025-01-11T18:51:38"/>
        <d v="2025-01-11T20:00:54"/>
        <d v="2025-01-11T22:04:57"/>
        <d v="2025-01-12T04:59:14"/>
        <d v="2025-01-12T09:39:39"/>
        <d v="2025-01-12T12:05:52"/>
        <d v="2025-01-12T22:57:10"/>
        <d v="2025-01-13T15:17:40"/>
        <d v="2025-01-13T19:29:20"/>
        <d v="2025-01-13T21:24:45"/>
        <d v="2025-01-14T08:24:08"/>
        <d v="2025-01-14T10:03:20"/>
        <d v="2025-01-14T13:44:22"/>
        <d v="2025-01-14T19:06:06"/>
        <d v="2025-01-14T19:13:53"/>
        <d v="2025-01-15T00:38:30"/>
        <d v="2025-01-15T05:52:15"/>
        <d v="2025-01-15T10:18:56"/>
        <d v="2025-01-15T13:14:46"/>
        <d v="2025-01-15T13:43:42"/>
        <d v="2025-01-15T13:54:43"/>
        <d v="2025-01-15T18:29:45"/>
        <d v="2025-01-16T02:59:26"/>
        <d v="2025-01-16T08:36:36"/>
        <d v="2025-01-16T15:35:45"/>
        <d v="2025-01-16T15:42:18"/>
        <d v="2025-01-16T16:53:53"/>
        <d v="2025-01-16T19:03:47"/>
        <d v="2025-01-16T21:47:06"/>
        <d v="2025-01-17T04:18:09"/>
        <d v="2025-01-17T09:06:21"/>
        <d v="2025-01-17T15:19:02"/>
        <d v="2025-01-17T16:21:41"/>
        <d v="2025-01-17T17:21:31"/>
        <d v="2025-01-17T17:37:32"/>
        <d v="2025-01-18T05:22:41"/>
        <d v="2025-01-18T06:58:56"/>
        <d v="2025-01-18T14:07:27"/>
        <d v="2025-01-18T22:41:44"/>
        <d v="2025-01-19T07:58:23"/>
        <d v="2025-01-19T08:25:46"/>
        <d v="2025-01-19T09:48:38"/>
        <d v="2025-01-19T14:38:53"/>
        <d v="2025-01-19T17:38:27"/>
        <d v="2025-01-19T18:17:16"/>
        <d v="2025-01-19T19:47:37"/>
        <d v="2025-01-19T20:35:43"/>
        <d v="2025-01-19T23:19:45"/>
        <d v="2025-01-20T07:21:15"/>
        <d v="2025-01-20T08:37:58"/>
        <d v="2025-01-20T15:16:22"/>
        <d v="2025-01-20T18:07:24"/>
        <d v="2025-01-20T20:09:11"/>
        <d v="2025-01-21T09:00:02"/>
        <d v="2025-01-21T15:19:48"/>
        <d v="2025-01-21T19:06:43"/>
        <d v="2025-01-21T19:44:21"/>
        <d v="2025-01-21T22:19:36"/>
        <d v="2025-01-22T06:51:02"/>
        <d v="2025-01-22T11:19:47"/>
        <d v="2025-01-22T13:21:12"/>
        <d v="2025-01-23T01:35:11"/>
        <d v="2025-01-23T05:47:58"/>
        <d v="2025-01-23T14:38:34"/>
        <d v="2025-01-23T19:31:22"/>
        <d v="2025-01-23T19:41:36"/>
        <d v="2025-01-23T23:15:06"/>
        <d v="2025-01-24T05:30:43"/>
        <d v="2025-01-24T09:28:05"/>
        <d v="2025-01-24T10:08:38"/>
        <d v="2025-01-24T15:38:13"/>
        <d v="2025-01-24T18:59:00"/>
        <d v="2025-01-24T22:42:55"/>
        <d v="2025-01-25T02:12:20"/>
        <d v="2025-01-25T06:51:01"/>
        <d v="2025-01-25T07:14:33"/>
        <d v="2025-01-25T12:37:24"/>
        <d v="2025-01-25T15:51:03"/>
        <d v="2025-01-25T22:00:50"/>
        <d v="2025-01-26T09:48:22"/>
        <d v="2025-01-26T14:35:53"/>
        <d v="2025-01-26T18:12:07"/>
        <d v="2025-01-26T18:58:42"/>
        <d v="2025-01-27T11:38:00"/>
        <d v="2025-01-27T16:32:04"/>
        <d v="2025-01-28T08:29:25"/>
        <d v="2025-01-28T08:52:00"/>
        <d v="2025-01-28T17:54:47"/>
        <d v="2025-01-29T02:33:23"/>
        <d v="2025-01-29T03:52:23"/>
        <d v="2025-01-29T07:45:21"/>
        <d v="2025-01-29T18:41:52"/>
        <d v="2025-01-30T15:12:37"/>
        <d v="2025-01-30T21:44:05"/>
        <d v="2025-01-31T00:26:06"/>
        <d v="2025-01-31T02:10:58"/>
        <d v="2025-01-31T09:17:37"/>
        <d v="2025-01-31T16:41:35"/>
        <d v="2025-01-31T21:48:22"/>
        <d v="2025-02-01T00:17:08"/>
        <d v="2025-02-01T00:30:47"/>
        <d v="2025-02-01T01:01:32"/>
        <d v="2025-02-01T08:08:41"/>
        <d v="2025-02-01T13:18:51"/>
        <d v="2025-02-01T15:49:35"/>
        <d v="2025-02-01T17:07:08"/>
        <d v="2025-02-01T22:52:13"/>
        <d v="2025-02-02T00:29:53"/>
        <d v="2025-02-02T03:33:20"/>
        <d v="2025-02-02T16:54:00"/>
        <d v="2025-02-03T01:34:34"/>
        <d v="2025-02-03T19:20:31"/>
        <d v="2025-02-04T01:35:14"/>
        <d v="2025-02-04T06:33:55"/>
        <d v="2025-02-04T14:38:50"/>
        <d v="2025-02-04T21:02:16"/>
        <d v="2025-02-04T21:27:09"/>
        <d v="2025-02-04T22:01:39"/>
        <d v="2025-02-04T23:09:17"/>
        <d v="2025-02-05T01:17:22"/>
        <d v="2025-02-05T06:07:02"/>
        <d v="2025-02-05T10:18:54"/>
        <d v="2025-02-05T10:58:52"/>
        <d v="2025-02-05T17:13:17"/>
        <d v="2025-02-05T19:54:48"/>
        <d v="2025-02-06T01:47:11"/>
        <d v="2025-02-06T05:33:13"/>
        <d v="2025-02-06T07:18:07"/>
        <d v="2025-02-06T08:49:45"/>
        <d v="2025-02-06T13:33:46"/>
        <d v="2025-02-06T20:38:21"/>
        <d v="2025-02-07T04:56:57"/>
        <d v="2025-02-07T05:52:57"/>
        <d v="2025-02-07T09:34:09"/>
        <d v="2025-02-07T18:56:27"/>
        <d v="2025-02-07T23:07:49"/>
        <d v="2025-02-08T04:05:23"/>
        <d v="2025-02-08T08:58:25"/>
        <d v="2025-02-08T13:27:37"/>
        <d v="2025-02-08T16:12:03"/>
        <d v="2025-02-08T21:20:57"/>
        <d v="2025-02-08T21:27:54"/>
        <d v="2025-02-09T03:43:07"/>
        <d v="2025-02-09T08:57:28"/>
        <d v="2025-02-10T04:00:06"/>
        <d v="2025-02-10T07:09:51"/>
        <d v="2025-02-10T14:40:27"/>
        <d v="2025-02-10T18:37:26"/>
        <d v="2025-02-10T22:44:15"/>
        <d v="2025-02-11T00:47:16"/>
        <d v="2025-02-11T00:55:20"/>
        <d v="2025-02-11T11:21:28"/>
        <d v="2025-02-11T16:54:39"/>
        <d v="2025-02-12T01:58:43"/>
        <d v="2025-02-12T06:49:27"/>
        <d v="2025-02-12T17:03:32"/>
        <d v="2025-02-12T23:05:26"/>
        <d v="2025-02-13T07:11:38"/>
        <d v="2025-02-13T08:03:27"/>
        <d v="2025-02-13T12:30:43"/>
        <d v="2025-02-13T13:51:31"/>
        <d v="2025-02-13T19:01:27"/>
        <d v="2025-02-14T09:29:05"/>
        <d v="2025-02-14T13:53:04"/>
        <d v="2025-02-14T17:04:39"/>
        <d v="2025-02-15T14:43:13"/>
        <d v="2025-02-15T18:21:12"/>
        <d v="2025-02-15T22:11:38"/>
        <d v="2025-02-16T08:20:03"/>
        <d v="2025-02-16T18:42:56"/>
        <d v="2025-02-16T22:55:19"/>
        <d v="2025-02-17T12:29:00"/>
        <d v="2025-02-17T14:21:42"/>
        <d v="2025-02-17T15:05:25"/>
        <d v="2025-02-17T21:58:02"/>
        <d v="2025-02-18T01:02:06"/>
        <d v="2025-02-18T06:55:18"/>
        <d v="2025-02-18T20:26:34"/>
        <d v="2025-02-19T06:45:31"/>
        <d v="2025-02-19T07:41:25"/>
        <d v="2025-02-19T07:55:37"/>
        <d v="2025-02-19T17:27:01"/>
        <d v="2025-02-20T00:58:15"/>
        <d v="2025-02-20T02:14:41"/>
        <d v="2025-02-20T07:32:03"/>
        <d v="2025-02-20T08:56:51"/>
        <d v="2025-02-20T11:05:23"/>
        <d v="2025-02-22T00:56:07"/>
        <d v="2025-02-22T05:42:37"/>
        <d v="2025-02-22T07:42:22"/>
        <d v="2025-02-22T08:50:05"/>
        <d v="2025-02-22T09:57:39"/>
        <d v="2025-02-22T23:01:30"/>
        <d v="2025-02-23T02:04:06"/>
        <d v="2025-02-23T02:42:29"/>
        <d v="2025-02-23T03:00:01"/>
        <d v="2025-02-23T11:51:26"/>
        <d v="2025-02-23T19:24:05"/>
        <d v="2025-02-23T20:38:29"/>
        <d v="2025-02-23T22:36:30"/>
        <d v="2025-02-24T01:49:58"/>
        <d v="2025-02-24T02:49:10"/>
        <d v="2025-02-24T05:28:17"/>
        <d v="2025-02-24T12:19:54"/>
        <d v="2025-02-24T15:44:28"/>
        <d v="2025-02-24T16:35:42"/>
        <d v="2025-02-24T20:58:49"/>
        <d v="2025-02-24T21:05:19"/>
        <d v="2025-02-25T07:33:04"/>
        <d v="2025-02-25T07:36:05"/>
        <d v="2025-02-25T09:29:09"/>
        <d v="2025-02-25T19:38:07"/>
        <d v="2025-02-26T03:15:16"/>
        <d v="2025-02-26T04:41:24"/>
        <d v="2025-02-26T10:14:30"/>
        <d v="2025-02-26T13:10:12"/>
        <d v="2025-02-26T14:11:49"/>
        <d v="2025-02-26T15:19:37"/>
        <d v="2025-02-26T21:01:50"/>
        <d v="2025-02-27T00:56:28"/>
        <d v="2025-02-27T12:49:33"/>
        <d v="2025-02-27T13:15:25"/>
        <d v="2025-02-27T14:00:34"/>
        <d v="2025-02-27T14:19:46"/>
        <d v="2025-02-28T06:16:30"/>
        <d v="2025-02-28T07:31:10"/>
        <d v="2025-02-28T08:03:01"/>
        <d v="2025-02-28T14:46:58"/>
        <d v="2025-02-28T19:22:52"/>
        <d v="2025-02-28T20:50:53"/>
        <d v="2025-02-28T21:18:44"/>
        <d v="2025-02-28T22:27:28"/>
        <d v="2025-03-01T03:29:07"/>
        <d v="2025-03-01T06:31:13"/>
        <d v="2025-03-01T13:37:10"/>
        <d v="2025-03-01T17:55:56"/>
        <d v="2025-03-01T19:56:52"/>
        <d v="2025-03-01T20:05:20"/>
        <d v="2025-03-02T06:24:23"/>
        <d v="2025-03-02T18:36:27"/>
        <d v="2025-03-02T19:20:02"/>
        <d v="2025-03-03T08:21:42"/>
        <d v="2025-03-03T13:17:52"/>
        <d v="2025-03-03T14:24:56"/>
        <d v="2025-03-03T22:24:56"/>
        <d v="2025-03-03T22:43:38"/>
        <d v="2025-03-04T02:36:26"/>
        <d v="2025-03-04T04:10:02"/>
        <d v="2025-03-04T07:04:35"/>
        <d v="2025-03-04T10:46:15"/>
        <d v="2025-03-04T12:13:07"/>
        <d v="2025-03-04T21:07:52"/>
        <d v="2025-03-05T00:06:25"/>
        <d v="2025-03-05T01:38:02"/>
        <d v="2025-03-05T03:48:42"/>
        <d v="2025-03-05T10:32:34"/>
        <d v="2025-03-05T14:43:43"/>
        <d v="2025-03-05T15:03:15"/>
        <d v="2025-03-05T19:47:43"/>
        <d v="2025-03-06T19:55:58"/>
        <d v="2025-03-07T02:15:49"/>
        <d v="2025-03-07T03:45:13"/>
        <d v="2025-03-07T05:29:45"/>
        <d v="2025-03-07T12:31:32"/>
        <d v="2025-03-07T12:58:25"/>
        <d v="2025-03-07T20:08:16"/>
        <d v="2025-03-08T10:18:44"/>
        <d v="2025-03-08T13:11:38"/>
        <d v="2025-03-08T23:51:39"/>
        <d v="2025-03-09T03:04:28"/>
        <d v="2025-03-09T04:54:14"/>
        <d v="2025-03-09T07:33:56"/>
        <d v="2025-03-09T09:51:39"/>
        <d v="2025-03-09T12:01:40"/>
        <d v="2025-03-09T17:46:29"/>
        <d v="2025-03-09T23:53:48"/>
        <d v="2025-03-10T00:47:22"/>
        <d v="2025-03-10T06:32:01"/>
        <d v="2025-03-10T17:42:27"/>
        <d v="2025-03-10T23:37:03"/>
        <d v="2025-03-11T05:10:04"/>
        <d v="2025-03-11T07:11:05"/>
        <d v="2025-03-11T14:28:07"/>
        <d v="2025-03-11T17:37:34"/>
        <d v="2025-03-12T01:11:13"/>
        <d v="2025-03-12T20:46:40"/>
        <d v="2025-03-13T04:25:13"/>
        <d v="2025-03-13T10:13:11"/>
        <d v="2025-03-13T16:14:54"/>
        <d v="2025-03-14T02:30:52"/>
        <d v="2025-03-14T03:11:36"/>
        <d v="2025-03-14T04:12:34"/>
        <d v="2025-03-14T08:39:42"/>
        <d v="2025-03-14T15:28:54"/>
        <d v="2025-03-14T23:06:32"/>
        <d v="2025-03-15T05:08:09"/>
        <d v="2025-03-15T06:41:22"/>
        <d v="2025-03-15T07:28:38"/>
        <d v="2025-03-15T08:54:39"/>
        <d v="2025-03-15T12:43:31"/>
        <d v="2025-03-15T13:36:59"/>
        <d v="2025-03-15T15:42:17"/>
        <d v="2025-03-15T23:34:53"/>
        <d v="2025-03-16T06:22:35"/>
        <d v="2025-03-16T08:16:17"/>
        <d v="2025-03-16T12:08:50"/>
        <d v="2025-03-16T14:36:54"/>
        <d v="2025-03-17T08:34:01"/>
        <d v="2025-03-18T03:34:33"/>
        <d v="2025-03-18T12:10:48"/>
        <d v="2025-03-18T23:18:40"/>
        <d v="2025-03-19T11:43:04"/>
        <d v="2025-03-19T12:33:49"/>
        <d v="2025-03-19T16:25:09"/>
        <d v="2025-03-19T19:49:49"/>
        <d v="2025-03-20T00:30:34"/>
        <d v="2025-03-20T00:55:22"/>
        <d v="2025-03-20T01:41:52"/>
        <d v="2025-03-20T05:04:39"/>
        <d v="2025-03-20T06:49:42"/>
        <d v="2025-03-20T07:44:09"/>
        <d v="2025-03-20T08:19:00"/>
        <d v="2025-03-20T16:07:34"/>
        <d v="2025-03-20T16:18:35"/>
        <d v="2025-03-20T20:22:40"/>
        <d v="2025-03-21T00:39:44"/>
        <d v="2025-03-21T02:21:20"/>
        <d v="2025-03-21T04:23:15"/>
        <d v="2025-03-21T06:17:24"/>
        <d v="2025-03-21T06:35:45"/>
        <d v="2025-03-21T09:59:37"/>
        <d v="2025-03-21T14:08:29"/>
        <d v="2025-03-22T00:23:16"/>
        <d v="2025-03-22T07:37:13"/>
        <d v="2025-03-22T21:32:00"/>
        <d v="2025-03-23T01:45:59"/>
        <d v="2025-03-23T05:15:27"/>
        <d v="2025-03-23T20:28:04"/>
        <d v="2025-03-24T08:00:33"/>
        <d v="2025-03-25T12:15:38"/>
        <d v="2025-03-25T15:05:46"/>
        <d v="2025-03-25T17:06:28"/>
        <d v="2025-03-25T19:43:30"/>
        <d v="2025-03-25T20:21:18"/>
        <d v="2025-03-25T23:02:43"/>
        <d v="2025-03-25T23:22:51"/>
        <d v="2025-03-26T00:00:52"/>
        <d v="2025-03-26T05:22:29"/>
        <d v="2025-03-26T06:09:57"/>
        <d v="2025-03-26T10:42:53"/>
        <d v="2025-03-26T11:43:44"/>
        <d v="2025-03-27T01:41:27"/>
        <d v="2025-03-27T02:44:00"/>
        <d v="2025-03-27T03:41:22"/>
        <d v="2025-03-27T03:46:01"/>
        <d v="2025-03-27T09:02:38"/>
        <d v="2025-03-27T10:12:25"/>
        <d v="2025-03-27T10:54:39"/>
        <d v="2025-03-27T18:50:14"/>
        <d v="2025-03-27T20:43:53"/>
        <d v="2025-03-27T22:26:13"/>
        <d v="2025-03-28T08:19:25"/>
        <d v="2025-03-28T15:50:12"/>
        <d v="2025-03-28T21:14:26"/>
        <d v="2025-03-28T23:32:59"/>
        <d v="2025-03-29T00:31:07"/>
        <d v="2025-03-29T05:14:27"/>
        <d v="2025-03-29T07:54:16"/>
        <d v="2025-03-29T08:47:13"/>
        <d v="2025-03-29T14:20:33"/>
        <d v="2025-03-29T15:22:48"/>
        <d v="2025-03-30T05:43:44"/>
        <d v="2025-03-30T11:46:34"/>
        <d v="2025-03-30T12:16:04"/>
        <d v="2025-03-30T20:01:28"/>
        <d v="2025-03-31T05:10:04"/>
        <d v="2025-03-31T18:38:01"/>
        <d v="2025-03-31T19:03:47"/>
        <d v="2025-04-01T04:10:32"/>
        <d v="2025-04-01T04:14:59"/>
        <d v="2025-04-01T06:20:46"/>
        <d v="2025-04-01T11:59:06"/>
        <d v="2025-04-01T12:22:07"/>
        <d v="2025-04-02T17:45:19"/>
        <d v="2025-04-03T01:05:32"/>
        <d v="2025-04-03T04:02:23"/>
        <d v="2025-04-03T04:49:05"/>
        <d v="2025-04-03T05:12:50"/>
        <d v="2025-04-03T06:39:18"/>
        <d v="2025-04-03T13:51:10"/>
        <d v="2025-04-03T23:55:48"/>
        <d v="2025-04-04T03:16:24"/>
        <d v="2025-04-04T05:08:49"/>
        <d v="2025-04-04T07:51:06"/>
        <d v="2025-04-04T13:08:11"/>
        <d v="2025-04-04T21:10:27"/>
        <d v="2025-04-04T23:09:29"/>
        <d v="2025-04-05T02:14:15"/>
        <d v="2025-04-05T07:13:11"/>
        <d v="2025-04-05T07:55:04"/>
        <d v="2025-04-05T08:15:42"/>
        <d v="2025-04-05T16:55:50"/>
        <d v="2025-04-06T00:43:52"/>
        <d v="2025-04-06T14:32:03"/>
        <d v="2025-04-06T22:31:26"/>
        <d v="2025-04-07T02:37:16"/>
        <d v="2025-04-07T02:52:18"/>
        <d v="2025-04-07T11:26:02"/>
        <d v="2025-04-07T18:15:01"/>
        <d v="2025-04-08T01:01:18"/>
        <d v="2025-04-08T02:30:39"/>
        <d v="2025-04-08T03:14:51"/>
        <d v="2025-04-08T10:34:31"/>
        <d v="2025-04-08T21:37:36"/>
        <d v="2025-04-09T09:39:22"/>
        <d v="2025-04-09T14:25:12"/>
        <d v="2025-04-09T14:37:45"/>
        <d v="2025-04-09T21:46:11"/>
        <d v="2025-04-10T06:41:49"/>
        <d v="2025-04-10T07:09:41"/>
        <d v="2025-04-10T08:15:30"/>
        <d v="2025-04-10T13:16:00"/>
        <d v="2025-04-10T13:52:19"/>
        <d v="2025-04-10T14:05:27"/>
        <d v="2025-04-10T18:53:20"/>
        <d v="2025-04-10T22:20:07"/>
        <d v="2025-04-11T02:52:51"/>
        <d v="2025-04-11T06:51:07"/>
        <d v="2025-04-11T08:36:23"/>
        <d v="2025-04-11T09:06:27"/>
        <d v="2025-04-11T15:09:51"/>
        <d v="2025-04-11T18:43:16"/>
        <d v="2025-04-11T19:54:21"/>
        <d v="2025-04-12T07:50:31"/>
        <d v="2025-04-12T10:27:32"/>
        <d v="2025-04-12T11:09:50"/>
        <d v="2025-04-12T15:11:50"/>
        <d v="2025-04-13T02:07:31"/>
        <d v="2025-04-13T02:08:50"/>
        <d v="2025-04-13T06:25:53"/>
        <d v="2025-04-13T06:54:41"/>
        <d v="2025-04-13T07:25:40"/>
        <d v="2025-04-13T09:08:44"/>
        <d v="2025-04-13T13:01:05"/>
        <d v="2025-04-13T15:34:46"/>
        <d v="2025-04-13T17:08:50"/>
        <d v="2025-04-13T18:15:06"/>
        <d v="2025-04-13T18:45:32"/>
        <d v="2025-04-14T00:45:49"/>
        <d v="2025-04-14T03:27:58"/>
        <d v="2025-04-14T04:54:41"/>
        <d v="2025-04-14T15:33:28"/>
        <d v="2025-04-15T08:46:56"/>
        <d v="2025-04-15T10:49:06"/>
        <d v="2025-04-15T12:12:29"/>
        <d v="2025-04-15T18:51:56"/>
        <d v="2025-04-16T03:28:40"/>
        <d v="2025-04-16T03:35:36"/>
        <d v="2025-04-16T08:54:59"/>
        <d v="2025-04-16T11:19:19"/>
        <d v="2025-04-16T12:22:58"/>
        <d v="2025-04-16T16:49:13"/>
        <d v="2025-04-17T01:07:08"/>
        <d v="2025-04-17T14:52:24"/>
        <d v="2025-04-17T18:17:08"/>
        <d v="2025-04-17T21:52:23"/>
        <d v="2025-04-17T22:45:36"/>
        <d v="2025-04-18T08:54:27"/>
        <d v="2025-04-18T09:18:36"/>
        <d v="2025-04-18T17:45:56"/>
        <d v="2025-04-19T03:45:44"/>
        <d v="2025-04-19T17:05:44"/>
        <d v="2025-04-20T04:33:08"/>
        <d v="2025-04-20T08:54:44"/>
        <d v="2025-04-20T21:26:37"/>
        <d v="2025-04-20T21:33:41"/>
        <d v="2025-04-21T05:28:11"/>
        <d v="2025-04-21T05:38:12"/>
        <d v="2025-04-21T05:48:04"/>
        <d v="2025-04-22T00:27:36"/>
        <d v="2025-04-22T05:46:19"/>
        <d v="2025-04-22T07:08:26"/>
        <d v="2025-04-22T09:13:38"/>
        <d v="2025-04-22T14:55:33"/>
        <d v="2025-04-23T00:20:44"/>
        <d v="2025-04-23T04:01:23"/>
        <d v="2025-04-23T11:03:22"/>
        <d v="2025-04-23T11:29:48"/>
        <d v="2025-04-23T17:38:20"/>
        <d v="2025-04-23T20:07:48"/>
        <d v="2025-04-24T14:27:05"/>
        <d v="2025-04-24T14:43:53"/>
        <d v="2025-04-24T20:02:28"/>
        <d v="2025-04-25T05:31:39"/>
        <d v="2025-04-25T06:38:46"/>
        <d v="2025-04-25T11:30:19"/>
        <d v="2025-04-25T13:01:39"/>
        <d v="2025-04-25T15:15:05"/>
        <d v="2025-04-25T16:17:32"/>
        <d v="2025-04-25T16:21:54"/>
        <d v="2025-04-26T05:32:10"/>
        <d v="2025-04-26T07:15:36"/>
        <d v="2025-04-26T10:50:05"/>
        <d v="2025-04-26T11:05:34"/>
        <d v="2025-04-26T15:43:44"/>
        <d v="2025-04-26T20:59:30"/>
        <d v="2025-04-27T01:11:14"/>
        <d v="2025-04-27T03:42:23"/>
        <d v="2025-04-27T04:38:19"/>
        <d v="2025-04-27T06:22:19"/>
        <d v="2025-04-27T07:54:25"/>
        <d v="2025-04-27T08:55:40"/>
        <d v="2025-04-27T12:58:04"/>
        <d v="2025-04-27T23:01:57"/>
        <d v="2025-04-28T01:57:38"/>
        <d v="2025-04-28T02:13:59"/>
        <d v="2025-04-28T07:20:53"/>
        <d v="2025-04-28T11:02:01"/>
        <d v="2025-04-28T14:23:50"/>
        <d v="2025-04-28T16:33:51"/>
        <d v="2025-04-28T18:39:33"/>
        <d v="2025-04-29T01:27:08"/>
        <d v="2025-04-29T08:26:11"/>
        <d v="2025-04-29T20:16:29"/>
        <d v="2025-04-29T22:11:17"/>
        <d v="2025-04-30T04:55:13"/>
        <d v="2025-05-01T00:51:58"/>
        <d v="2025-05-01T09:22:09"/>
        <d v="2025-05-01T17:58:09"/>
        <d v="2025-05-01T19:33:31"/>
        <d v="2025-05-02T00:24:32"/>
        <d v="2025-05-02T03:31:17"/>
        <d v="2025-05-02T08:43:53"/>
        <d v="2025-05-02T11:42:24"/>
        <d v="2025-05-02T13:07:50"/>
        <d v="2025-05-03T17:32:19"/>
        <d v="2025-05-04T06:19:45"/>
        <d v="2025-05-04T07:41:13"/>
        <d v="2025-05-04T11:57:42"/>
        <d v="2025-05-04T15:46:52"/>
        <d v="2025-05-04T22:41:54"/>
        <d v="2025-05-05T06:19:40"/>
        <d v="2025-05-05T11:21:07"/>
        <d v="2025-05-05T11:33:41"/>
        <d v="2025-05-05T12:19:41"/>
        <d v="2025-05-05T14:15:26"/>
        <d v="2025-05-05T17:31:53"/>
        <d v="2025-05-06T00:09:45"/>
        <d v="2025-05-06T00:50:46"/>
        <d v="2025-05-06T06:52:41"/>
        <d v="2025-05-06T07:44:10"/>
        <d v="2025-05-06T09:57:01"/>
        <d v="2025-05-06T17:23:16"/>
        <d v="2025-05-06T18:04:37"/>
        <d v="2025-05-06T23:28:00"/>
        <d v="2025-05-07T07:15:06"/>
        <d v="2025-05-07T16:18:40"/>
        <d v="2025-05-07T21:08:14"/>
        <d v="2025-05-08T02:59:07"/>
        <d v="2025-05-08T03:19:01"/>
        <d v="2025-05-08T18:12:01"/>
        <d v="2025-05-08T18:51:05"/>
        <d v="2025-05-08T20:02:13"/>
        <d v="2025-05-08T20:47:38"/>
        <d v="2025-05-08T21:33:46"/>
        <d v="2025-05-09T03:18:23"/>
        <d v="2025-05-09T09:32:30"/>
        <d v="2025-05-09T11:01:41"/>
        <d v="2025-05-09T11:09:52"/>
        <d v="2025-05-09T14:55:30"/>
        <d v="2025-05-09T19:02:42"/>
        <d v="2025-05-09T23:04:04"/>
        <d v="2025-05-10T02:05:16"/>
        <d v="2025-05-10T06:57:49"/>
        <d v="2025-05-10T08:32:59"/>
        <d v="2025-05-10T10:37:30"/>
        <d v="2025-05-10T12:20:02"/>
        <d v="2025-05-10T14:13:03"/>
        <d v="2025-05-10T22:06:12"/>
        <d v="2025-05-10T23:01:13"/>
        <d v="2025-05-11T01:17:10"/>
        <d v="2025-05-11T02:58:53"/>
        <d v="2025-05-11T08:02:30"/>
        <d v="2025-05-11T08:23:45"/>
        <d v="2025-05-11T08:27:10"/>
        <d v="2025-05-12T11:55:40"/>
        <d v="2025-05-12T12:34:39"/>
        <d v="2025-05-12T12:41:50"/>
        <d v="2025-05-12T13:09:42"/>
        <d v="2025-05-12T16:21:18"/>
        <d v="2025-05-12T18:22:12"/>
        <d v="2025-05-12T19:16:51"/>
        <d v="2025-05-13T04:49:33"/>
        <d v="2025-05-13T05:39:30"/>
        <d v="2025-05-13T08:11:54"/>
        <d v="2025-05-13T10:08:28"/>
        <d v="2025-05-13T10:26:04"/>
        <d v="2025-05-13T13:40:43"/>
        <d v="2025-05-13T14:02:46"/>
        <d v="2025-05-13T17:20:51"/>
        <d v="2025-05-13T19:12:13"/>
        <d v="2025-05-14T00:49:56"/>
        <d v="2025-05-14T02:14:18"/>
        <d v="2025-05-14T05:54:30"/>
        <d v="2025-05-14T06:10:59"/>
        <d v="2025-05-14T07:14:29"/>
        <d v="2025-05-14T10:32:18"/>
        <d v="2025-05-14T12:17:21"/>
        <d v="2025-05-14T12:28:50"/>
        <d v="2025-05-14T13:30:25"/>
        <d v="2025-05-14T16:29:14"/>
        <d v="2025-05-14T17:38:35"/>
        <d v="2025-05-15T01:54:44"/>
        <d v="2025-05-15T01:58:30"/>
        <d v="2025-05-15T07:29:26"/>
        <d v="2025-05-15T08:13:27"/>
        <d v="2025-05-15T13:39:31"/>
        <d v="2025-05-15T14:58:52"/>
        <d v="2025-05-15T16:22:30"/>
        <d v="2025-05-15T18:53:06"/>
        <d v="2025-05-16T03:28:33"/>
        <d v="2025-05-16T03:48:15"/>
        <d v="2025-05-16T17:54:05"/>
        <d v="2025-05-16T21:34:13"/>
        <d v="2025-05-16T23:49:24"/>
        <d v="2025-05-17T10:16:08"/>
        <d v="2025-05-17T14:12:32"/>
        <d v="2025-05-17T21:47:41"/>
        <d v="2025-05-18T00:34:09"/>
        <d v="2025-05-18T04:54:06"/>
        <d v="2025-05-18T14:48:30"/>
        <d v="2025-05-18T22:00:00"/>
        <d v="2025-05-18T22:27:47"/>
        <d v="2025-05-18T23:53:25"/>
        <d v="2025-05-19T02:05:40"/>
        <d v="2025-05-19T06:18:52"/>
        <d v="2025-05-19T17:52:16"/>
        <d v="2025-05-20T00:47:07"/>
        <d v="2025-05-20T10:12:19"/>
        <d v="2025-05-20T17:39:36"/>
        <d v="2025-05-20T20:40:13"/>
        <d v="2025-05-20T23:33:52"/>
        <d v="2025-05-21T09:50:36"/>
        <d v="2025-05-21T12:22:54"/>
        <d v="2025-05-21T17:38:41"/>
        <d v="2025-05-22T07:15:13"/>
        <d v="2025-05-22T09:25:22"/>
        <d v="2025-05-22T15:54:16"/>
        <d v="2025-05-22T18:27:25"/>
        <d v="2025-05-22T21:26:49"/>
        <d v="2025-05-23T04:07:33"/>
        <d v="2025-05-23T08:38:46"/>
        <d v="2025-05-23T08:58:59"/>
        <d v="2025-05-23T20:09:37"/>
        <d v="2025-05-24T00:48:35"/>
        <d v="2025-05-24T00:54:21"/>
        <d v="2025-05-24T08:16:23"/>
        <d v="2025-05-24T18:21:04"/>
        <d v="2025-05-24T19:24:28"/>
        <d v="2025-05-24T23:55:53"/>
        <d v="2025-05-25T10:13:08"/>
        <d v="2025-05-25T15:18:57"/>
        <d v="2025-05-25T15:45:40"/>
        <d v="2025-05-25T15:50:31"/>
        <d v="2025-05-25T18:36:14"/>
        <d v="2025-05-25T22:04:51"/>
        <d v="2025-05-25T22:10:19"/>
        <d v="2025-05-26T02:06:53"/>
        <d v="2025-05-26T02:48:51"/>
        <d v="2025-05-26T03:21:16"/>
        <d v="2025-05-26T04:41:02"/>
        <d v="2025-05-26T06:42:46"/>
        <d v="2025-05-26T14:01:41"/>
        <d v="2025-05-26T23:39:32"/>
        <d v="2025-05-27T00:10:27"/>
        <d v="2025-05-27T02:57:23"/>
        <d v="2025-05-27T04:48:54"/>
        <d v="2025-05-27T16:42:49"/>
        <d v="2025-05-28T15:25:51"/>
        <d v="2025-05-28T15:29:28"/>
        <d v="2025-05-28T21:52:11"/>
        <d v="2025-05-29T15:52:55"/>
        <d v="2025-05-29T20:50:23"/>
        <d v="2025-05-30T06:15:07"/>
        <d v="2025-05-30T21:01:35"/>
        <d v="2025-05-30T22:27:58"/>
        <d v="2025-05-31T03:32:58"/>
        <d v="2025-05-31T06:41:22"/>
        <d v="2025-05-31T08:02:27"/>
        <d v="2025-05-31T11:33:30"/>
        <d v="2025-05-31T14:15:20"/>
        <d v="2025-06-01T00:31:16"/>
        <d v="2025-06-01T10:30:46"/>
        <d v="2025-06-01T12:05:16"/>
        <d v="2025-06-01T21:04:22"/>
        <d v="2025-06-02T00:26:07"/>
        <d v="2025-06-02T08:46:38"/>
        <d v="2025-06-02T13:47:15"/>
        <d v="2025-06-02T14:49:55"/>
        <d v="2025-06-02T15:55:45"/>
        <d v="2025-06-02T21:17:25"/>
        <d v="2025-06-02T22:09:28"/>
        <d v="2025-06-02T23:41:35"/>
        <d v="2025-06-03T05:51:02"/>
        <d v="2025-06-03T07:18:14"/>
        <d v="2025-06-04T01:08:41"/>
        <d v="2025-06-04T06:00:28"/>
        <d v="2025-06-04T09:44:14"/>
        <d v="2025-06-04T12:18:16"/>
        <d v="2025-06-04T16:36:19"/>
        <d v="2025-06-05T00:46:26"/>
        <d v="2025-06-05T07:00:24"/>
        <d v="2025-06-05T07:33:48"/>
        <d v="2025-06-05T13:18:48"/>
        <d v="2025-06-06T00:25:14"/>
        <d v="2025-06-06T01:09:38"/>
        <d v="2025-06-06T09:57:25"/>
        <d v="2025-06-06T10:28:11"/>
        <d v="2025-06-06T17:07:37"/>
        <d v="2025-06-07T04:29:29"/>
        <d v="2025-06-07T07:15:49"/>
        <d v="2025-06-07T15:46:31"/>
        <d v="2025-06-07T16:59:44"/>
        <d v="2025-06-07T17:30:36"/>
        <d v="2025-06-08T17:21:53"/>
        <d v="2025-06-08T18:27:42"/>
        <d v="2025-06-08T22:22:23"/>
        <d v="2025-06-08T22:57:34"/>
        <d v="2025-06-09T02:49:18"/>
        <d v="2025-06-09T05:22:49"/>
        <d v="2025-06-09T13:01:18"/>
        <d v="2025-06-09T17:25:41"/>
        <d v="2025-06-09T17:34:57"/>
        <d v="2025-06-09T18:50:04"/>
        <d v="2025-06-10T07:25:27"/>
        <d v="2025-06-10T07:29:28"/>
        <d v="2025-06-10T07:56:42"/>
        <d v="2025-06-10T09:06:24"/>
        <d v="2025-06-10T11:08:28"/>
        <d v="2025-06-10T11:42:09"/>
        <d v="2025-06-10T12:25:34"/>
        <d v="2025-06-10T13:01:34"/>
        <d v="2025-06-11T13:44:01"/>
        <d v="2025-06-11T17:59:20"/>
        <d v="2025-06-11T20:34:26"/>
        <d v="2025-06-12T07:27:08"/>
        <d v="2025-06-12T08:10:56"/>
        <d v="2025-06-12T08:33:32"/>
        <d v="2025-06-12T11:31:48"/>
        <d v="2025-06-12T13:44:02"/>
        <d v="2025-06-12T19:04:03"/>
        <d v="2025-06-12T19:07:28"/>
        <d v="2025-06-12T22:06:15"/>
        <d v="2025-06-12T22:18:08"/>
        <d v="2025-06-13T03:43:49"/>
        <d v="2025-06-13T09:29:06"/>
        <d v="2025-06-13T11:34:00"/>
        <d v="2025-06-13T12:43:22"/>
        <d v="2025-06-13T14:23:26"/>
        <d v="2025-06-13T20:51:43"/>
        <d v="2025-06-13T23:18:22"/>
        <d v="2025-06-14T00:47:58"/>
        <d v="2025-06-14T04:53:14"/>
        <d v="2025-06-14T07:03:25"/>
        <d v="2025-06-14T17:12:04"/>
        <d v="2025-06-15T00:14:56"/>
        <d v="2025-06-15T01:59:08"/>
        <d v="2025-06-15T02:40:14"/>
        <d v="2025-06-15T06:48:04"/>
        <d v="2025-06-15T10:33:40"/>
        <d v="2025-06-15T11:55:17"/>
        <d v="2025-06-15T13:45:00"/>
        <d v="2025-06-15T13:56:09"/>
        <d v="2025-06-16T01:25:44"/>
        <d v="2025-06-16T04:22:27"/>
        <d v="2025-06-16T07:48:48"/>
        <d v="2025-06-16T09:36:35"/>
        <d v="2025-06-16T18:59:22"/>
        <d v="2025-06-16T19:40:00"/>
        <d v="2025-06-16T20:49:23"/>
        <d v="2025-06-16T20:52:11"/>
        <d v="2025-06-16T22:32:26"/>
        <d v="2025-06-17T02:58:36"/>
        <d v="2025-06-17T03:29:18"/>
        <d v="2025-06-17T04:32:50"/>
        <d v="2025-06-17T06:19:03"/>
        <d v="2025-06-17T06:29:51"/>
        <d v="2025-06-17T09:00:01"/>
        <d v="2025-06-17T10:11:02"/>
        <d v="2025-06-17T13:55:32"/>
        <d v="2025-06-17T15:53:50"/>
        <d v="2025-06-18T07:33:37"/>
        <d v="2025-06-18T10:11:25"/>
        <d v="2025-06-18T13:40:02"/>
        <d v="2025-06-18T14:04:12"/>
        <d v="2025-06-18T14:57:13"/>
        <d v="2025-06-18T16:37:49"/>
        <d v="2025-06-18T17:40:36"/>
        <d v="2025-06-18T20:58:57"/>
        <d v="2025-06-19T04:03:25"/>
        <d v="2025-06-19T16:49:29"/>
        <d v="2025-06-20T00:20:16"/>
        <d v="2025-06-20T04:02:44"/>
        <d v="2025-06-20T07:08:35"/>
        <d v="2025-06-20T08:36:53"/>
        <d v="2025-06-20T11:03:41"/>
        <d v="2025-06-20T15:22:55"/>
        <d v="2025-06-20T18:33:49"/>
        <d v="2025-06-21T02:27:40"/>
        <d v="2025-06-21T04:51:51"/>
        <d v="2025-06-21T11:23:15"/>
        <d v="2025-06-21T13:55:16"/>
        <d v="2025-06-21T14:34:39"/>
        <d v="2025-06-21T15:03:30"/>
        <d v="2025-06-21T17:14:57"/>
        <d v="2025-06-21T23:53:51"/>
        <d v="2025-06-22T01:45:13"/>
        <d v="2025-06-22T05:27:10"/>
        <d v="2025-06-22T06:55:25"/>
        <d v="2025-06-22T08:17:14"/>
        <d v="2025-06-22T13:58:04"/>
        <d v="2025-06-22T16:06:49"/>
        <d v="2025-06-22T16:09:51"/>
        <d v="2025-06-22T16:56:04"/>
        <d v="2025-06-22T17:00:15"/>
        <d v="2025-06-22T21:04:40"/>
        <d v="2025-06-23T03:50:08"/>
        <d v="2025-06-23T10:52:04"/>
        <d v="2025-06-23T12:40:49"/>
        <d v="2025-06-23T14:20:48"/>
        <d v="2025-06-23T19:53:33"/>
        <d v="2025-06-24T02:42:14"/>
        <d v="2025-06-24T14:46:53"/>
        <d v="2025-06-24T16:50:59"/>
        <d v="2025-06-24T22:56:10"/>
        <d v="2025-06-25T00:35:04"/>
        <d v="2025-06-25T07:08:36"/>
        <d v="2025-06-25T20:38:16"/>
        <d v="2025-06-26T01:25:41"/>
        <d v="2025-06-26T02:59:32"/>
        <d v="2025-06-26T06:14:55"/>
        <d v="2025-06-26T09:49:27"/>
        <d v="2025-06-26T12:16:04"/>
        <d v="2025-06-26T20:37:22"/>
        <d v="2025-06-26T21:07:11"/>
        <d v="2025-06-27T00:25:57"/>
        <d v="2025-06-27T01:47:49"/>
        <d v="2025-06-27T13:14:59"/>
        <d v="2025-06-27T19:18:57"/>
        <d v="2025-06-27T20:59:56"/>
        <d v="2025-06-28T03:58:11"/>
        <d v="2025-06-28T08:19:05"/>
        <d v="2025-06-28T11:37:41"/>
        <d v="2025-06-28T12:52:17"/>
        <d v="2025-06-29T00:56:50"/>
        <d v="2025-06-29T03:54:54"/>
        <d v="2025-06-29T05:52:42"/>
        <d v="2025-06-29T10:20:37"/>
        <d v="2025-06-29T20:15:26"/>
        <d v="2025-06-30T02:48:48"/>
        <d v="2025-06-30T03:26:00"/>
        <d v="2025-06-30T03:30:57"/>
        <d v="2025-07-01T14:58:54"/>
        <d v="2025-07-01T15:42:30"/>
        <d v="2025-07-01T18:24:12"/>
        <d v="2025-07-01T18:34:14"/>
        <d v="2025-07-01T20:38:01"/>
        <d v="2025-07-02T04:56:13"/>
        <d v="2025-07-02T09:15:27"/>
        <d v="2025-07-02T09:56:54"/>
        <d v="2025-07-02T19:12:03"/>
        <d v="2025-07-02T21:44:24"/>
        <d v="2025-07-02T21:44:33"/>
        <d v="2025-07-02T21:56:46"/>
        <d v="2025-07-03T00:58:48"/>
        <d v="2025-07-03T10:26:26"/>
        <d v="2025-07-03T11:06:18"/>
        <d v="2025-07-03T18:20:45"/>
        <d v="2025-07-03T22:18:22"/>
        <d v="2025-07-04T00:16:00"/>
        <d v="2025-07-04T04:41:39"/>
        <d v="2025-07-04T05:10:24"/>
        <d v="2025-07-04T05:26:55"/>
        <d v="2025-07-04T06:03:24"/>
        <d v="2025-07-04T10:39:27"/>
        <d v="2025-07-04T10:39:31"/>
        <d v="2025-07-04T14:25:27"/>
        <d v="2025-07-04T22:38:06"/>
        <d v="2025-07-05T02:09:42"/>
        <d v="2025-07-05T15:44:07"/>
        <d v="2025-07-05T16:57:08"/>
        <d v="2025-07-06T00:53:44"/>
        <d v="2025-07-06T05:05:50"/>
        <d v="2025-07-06T08:35:17"/>
        <d v="2025-07-06T12:36:20"/>
        <d v="2025-07-07T00:59:16"/>
        <d v="2025-07-07T05:52:30"/>
        <d v="2025-07-07T08:54:46"/>
        <d v="2025-07-07T19:55:11"/>
        <d v="2025-07-08T03:06:07"/>
        <d v="2025-07-08T08:37:58"/>
        <d v="2025-07-08T10:27:02"/>
        <d v="2025-07-08T12:17:49"/>
        <d v="2025-07-08T15:08:21"/>
        <d v="2025-07-09T01:02:12"/>
        <d v="2025-07-09T06:30:31"/>
        <d v="2025-07-09T16:16:48"/>
        <d v="2025-07-09T21:18:32"/>
        <d v="2025-07-09T21:33:38"/>
        <d v="2025-07-09T23:49:23"/>
        <d v="2025-07-10T00:38:47"/>
        <d v="2025-07-10T17:41:37"/>
        <d v="2025-07-10T20:26:31"/>
        <d v="2025-07-10T22:58:59"/>
        <d v="2025-07-11T00:41:30"/>
        <d v="2025-07-11T00:50:11"/>
        <d v="2025-07-11T01:49:36"/>
        <d v="2025-07-11T02:07:16"/>
        <d v="2025-07-11T02:57:33"/>
        <d v="2025-07-11T05:30:01"/>
        <d v="2025-07-11T06:47:59"/>
        <d v="2025-07-11T14:30:36"/>
        <d v="2025-07-11T14:41:26"/>
        <d v="2025-07-11T16:52:49"/>
        <d v="2025-07-11T18:38:55"/>
        <d v="2025-07-11T23:07:35"/>
        <d v="2025-07-12T04:59:00"/>
        <d v="2025-07-12T06:06:18"/>
        <d v="2025-07-12T23:59:43"/>
        <d v="2025-07-13T09:04:36"/>
        <d v="2025-07-13T18:51:25"/>
        <d v="2025-07-13T21:56:15"/>
        <d v="2025-07-13T23:33:49"/>
        <d v="2025-07-14T00:01:00"/>
        <d v="2025-07-14T09:33:28"/>
        <d v="2025-07-14T11:47:48"/>
        <d v="2025-07-14T17:30:34"/>
        <d v="2025-07-15T00:45:46"/>
        <d v="2025-07-15T01:09:41"/>
        <d v="2025-07-15T01:24:34"/>
        <d v="2025-07-15T02:54:36"/>
        <d v="2025-07-15T04:31:20"/>
        <d v="2025-07-15T07:32:05"/>
        <d v="2025-07-15T11:59:51"/>
        <d v="2025-07-15T13:34:59"/>
        <d v="2025-07-15T13:58:32"/>
        <d v="2025-07-15T14:27:49"/>
        <d v="2025-07-15T14:43:35"/>
        <d v="2025-07-15T16:17:30"/>
        <d v="2025-07-16T03:53:33"/>
        <d v="2025-07-16T16:08:14"/>
        <d v="2025-07-17T00:46:17"/>
        <d v="2025-07-17T09:19:16"/>
        <d v="2025-07-17T10:20:31"/>
        <d v="2025-07-17T11:16:32"/>
        <d v="2025-07-17T13:51:35"/>
        <d v="2025-07-17T14:46:16"/>
        <d v="2025-07-17T15:07:37"/>
        <d v="2025-07-18T00:45:49"/>
        <d v="2025-07-18T04:19:09"/>
        <d v="2025-07-18T06:11:57"/>
        <d v="2025-07-18T19:31:15"/>
        <d v="2025-07-19T02:18:08"/>
        <d v="2025-07-19T09:31:36"/>
        <d v="2025-07-19T09:40:19"/>
        <d v="2025-07-19T11:48:21"/>
        <d v="2025-07-19T13:11:39"/>
        <d v="2025-07-19T14:59:20"/>
        <d v="2025-07-19T18:24:53"/>
        <d v="2025-07-20T07:21:38"/>
        <d v="2025-07-20T11:35:07"/>
        <d v="2025-07-20T12:56:00"/>
        <d v="2025-07-20T13:47:39"/>
        <d v="2025-07-20T20:54:44"/>
        <d v="2025-07-20T22:05:00"/>
        <d v="2025-07-20T22:55:50"/>
        <d v="2025-07-21T01:03:09"/>
        <d v="2025-07-21T01:57:34"/>
        <d v="2025-07-21T04:15:21"/>
        <d v="2025-07-21T05:28:00"/>
        <d v="2025-07-21T20:00:50"/>
        <d v="2025-07-22T14:47:32"/>
        <d v="2025-07-22T17:12:01"/>
        <d v="2025-07-22T17:53:38"/>
        <d v="2025-07-22T21:24:11"/>
        <d v="2025-07-22T22:58:34"/>
        <d v="2025-07-23T02:25:49"/>
        <d v="2025-07-23T05:50:48"/>
        <d v="2025-07-23T09:20:50"/>
        <d v="2025-07-23T11:55:24"/>
        <d v="2025-07-23T14:42:51"/>
        <d v="2025-07-23T15:40:02"/>
        <d v="2025-07-23T15:40:53"/>
        <d v="2025-07-23T17:56:26"/>
        <d v="2025-07-23T21:16:20"/>
        <d v="2025-07-24T02:11:43"/>
        <d v="2025-07-24T02:50:30"/>
        <d v="2025-07-24T07:40:49"/>
        <d v="2025-07-24T14:17:10"/>
        <d v="2025-07-24T18:51:38"/>
        <d v="2025-07-24T20:25:05"/>
        <d v="2025-07-24T23:08:50"/>
        <d v="2025-07-25T00:28:18"/>
        <d v="2025-07-25T02:04:45"/>
        <d v="2025-07-25T03:38:15"/>
        <d v="2025-07-25T12:06:52"/>
        <d v="2025-07-25T18:30:10"/>
        <d v="2025-07-25T19:09:31"/>
        <d v="2025-07-26T14:13:41"/>
        <d v="2025-07-26T17:04:37"/>
        <d v="2025-07-27T02:03:19"/>
        <d v="2025-07-27T03:51:33"/>
        <d v="2025-07-27T08:11:31"/>
        <d v="2025-07-27T13:51:09"/>
        <d v="2025-07-28T01:18:57"/>
        <d v="2025-07-28T04:13:17"/>
        <d v="2025-07-28T06:23:25"/>
        <d v="2025-07-28T06:56:06"/>
        <d v="2025-07-28T08:44:23"/>
        <d v="2025-07-28T10:11:01"/>
        <d v="2025-07-28T16:21:04"/>
        <d v="2025-07-28T21:36:33"/>
        <d v="2025-07-28T21:37:38"/>
        <d v="2025-07-29T03:56:02"/>
        <d v="2025-07-29T07:15:27"/>
        <d v="2025-07-29T07:45:43"/>
        <d v="2025-07-29T08:56:34"/>
        <d v="2025-07-29T13:12:35"/>
        <d v="2025-07-29T15:05:05"/>
        <d v="2025-07-29T18:11:56"/>
        <d v="2025-07-30T01:43:09"/>
        <d v="2025-07-30T10:41:27"/>
        <d v="2025-07-30T20:14:53"/>
        <d v="2025-07-30T22:03:53"/>
        <d v="2025-07-31T04:43:32"/>
        <d v="2025-07-31T19:35:35"/>
        <d v="2025-07-31T23:43:08"/>
        <d v="2025-08-01T09:10:48"/>
        <d v="2025-08-01T19:09:00"/>
        <d v="2025-08-02T08:05:41"/>
        <d v="2025-08-02T11:46:07"/>
        <d v="2025-08-02T18:00:14"/>
        <d v="2025-08-03T01:51:56"/>
        <d v="2025-08-03T02:19:21"/>
        <d v="2025-08-03T02:58:12"/>
        <d v="2025-08-03T09:04:31"/>
        <d v="2025-08-03T09:18:02"/>
        <d v="2025-08-03T09:57:33"/>
        <d v="2025-08-03T12:18:12"/>
        <d v="2025-08-03T16:34:03"/>
        <d v="2025-08-03T16:54:19"/>
        <d v="2025-08-04T09:43:37"/>
        <d v="2025-08-04T11:08:33"/>
        <d v="2025-08-04T15:12:44"/>
        <d v="2025-08-04T17:15:03"/>
        <d v="2025-08-04T22:52:16"/>
        <d v="2025-08-05T00:22:43"/>
        <d v="2025-08-05T01:18:34"/>
        <d v="2025-08-05T04:27:24"/>
        <d v="2025-08-05T05:45:36"/>
        <d v="2025-08-05T08:10:33"/>
        <d v="2025-08-05T13:50:27"/>
        <d v="2025-08-05T13:58:15"/>
        <d v="2025-08-05T16:58:18"/>
        <d v="2025-08-06T00:22:04"/>
        <d v="2025-08-06T07:39:50"/>
        <d v="2025-08-06T08:15:42"/>
        <d v="2025-08-06T09:07:35"/>
        <d v="2025-08-06T12:34:40"/>
        <d v="2025-08-06T22:19:08"/>
        <d v="2025-08-07T10:05:09"/>
        <d v="2025-08-07T11:09:53"/>
        <d v="2025-08-07T15:32:12"/>
        <d v="2025-08-07T18:53:18"/>
        <d v="2025-08-07T21:36:43"/>
        <d v="2025-08-08T07:32:08"/>
        <d v="2025-08-08T16:53:35"/>
        <d v="2025-08-08T18:01:27"/>
        <d v="2025-08-08T19:09:33"/>
        <d v="2025-08-08T20:54:01"/>
        <d v="2025-08-08T23:03:08"/>
        <d v="2025-08-09T08:18:20"/>
        <d v="2025-08-09T11:13:21"/>
        <d v="2025-08-09T12:30:43"/>
        <d v="2025-08-10T00:43:19"/>
        <d v="2025-08-10T18:37:33"/>
        <d v="2025-08-11T05:35:28"/>
        <d v="2025-08-11T07:17:23"/>
        <d v="2025-08-12T00:03:09"/>
        <d v="2025-08-12T04:23:26"/>
        <d v="2025-08-12T09:13:36"/>
        <d v="2025-08-13T07:35:45"/>
        <d v="2025-08-14T08:13:24"/>
        <d v="2025-08-14T09:23:33"/>
        <d v="2025-08-14T19:54:46"/>
        <d v="2025-08-14T22:18:04"/>
        <d v="2025-08-15T10:54:02"/>
        <d v="2025-08-15T18:42:13"/>
        <d v="2025-08-15T19:55:49"/>
        <d v="2025-08-15T22:44:03"/>
        <d v="2025-08-16T01:26:03"/>
        <d v="2025-08-16T02:18:01"/>
        <d v="2025-08-16T13:50:58"/>
        <d v="2025-08-16T14:25:38"/>
        <d v="2025-08-16T17:05:16"/>
        <d v="2025-08-16T19:45:28"/>
        <d v="2025-08-16T21:03:38"/>
        <d v="2025-08-17T01:05:38"/>
        <d v="2025-08-17T01:07:17"/>
        <d v="2025-08-17T04:39:33"/>
        <d v="2025-08-17T05:34:32"/>
        <d v="2025-08-17T08:58:24"/>
        <d v="2025-08-17T11:43:07"/>
        <d v="2025-08-17T15:34:45"/>
        <d v="2025-08-17T19:25:07"/>
        <d v="2025-08-17T20:03:24"/>
        <d v="2025-08-18T04:51:22"/>
        <d v="2025-08-18T11:03:14"/>
        <d v="2025-08-18T14:52:12"/>
        <d v="2025-08-18T15:25:49"/>
        <d v="2025-08-18T20:24:10"/>
        <d v="2025-08-19T01:08:17"/>
        <d v="2025-08-19T03:01:58"/>
        <d v="2025-08-19T08:01:03"/>
        <d v="2025-08-19T14:55:23"/>
        <d v="2025-08-19T18:15:03"/>
        <d v="2025-08-19T18:29:12"/>
        <d v="2025-08-20T00:16:34"/>
        <d v="2025-08-20T14:07:20"/>
        <d v="2025-08-20T14:56:21"/>
        <d v="2025-08-20T15:08:08"/>
        <d v="2025-08-20T21:47:55"/>
        <d v="2025-08-20T23:19:15"/>
        <d v="2025-08-21T02:01:00"/>
        <d v="2025-08-21T12:24:18"/>
        <d v="2025-08-21T13:07:32"/>
        <d v="2025-08-21T20:02:21"/>
        <d v="2025-08-22T01:08:51"/>
        <d v="2025-08-22T04:10:30"/>
        <d v="2025-08-22T04:59:21"/>
        <d v="2025-08-22T07:26:04"/>
        <d v="2025-08-22T08:53:08"/>
        <d v="2025-08-22T09:34:23"/>
        <d v="2025-08-22T10:41:03"/>
        <d v="2025-08-22T12:29:30"/>
        <d v="2025-08-22T17:24:25"/>
        <d v="2025-08-22T21:48:40"/>
        <d v="2025-08-22T22:48:58"/>
        <d v="2025-08-22T22:49:06"/>
        <d v="2025-08-23T00:16:29"/>
        <d v="2025-08-23T01:39:29"/>
        <d v="2025-08-23T11:57:40"/>
        <d v="2025-08-23T16:59:53"/>
        <d v="2025-08-23T19:50:41"/>
        <d v="2025-08-24T01:04:11"/>
        <d v="2025-08-24T03:22:35"/>
        <d v="2025-08-24T03:33:11"/>
        <d v="2025-08-24T13:12:39"/>
        <d v="2025-08-24T17:29:14"/>
        <d v="2025-08-24T23:56:33"/>
        <d v="2025-08-25T00:34:24"/>
        <d v="2025-08-25T02:53:03"/>
        <d v="2025-08-25T08:31:14"/>
        <d v="2025-08-25T09:36:04"/>
        <d v="2025-08-25T21:05:10"/>
        <d v="2025-08-26T05:51:35"/>
        <d v="2025-08-26T09:13:28"/>
        <d v="2025-08-26T10:47:37"/>
        <d v="2025-08-26T12:15:41"/>
        <d v="2025-08-27T13:15:43"/>
        <d v="2025-08-27T16:11:33"/>
        <d v="2025-08-28T02:08:47"/>
        <d v="2025-08-28T04:28:48"/>
        <d v="2025-08-28T12:54:32"/>
        <d v="2025-08-28T17:36:09"/>
        <d v="2025-08-29T02:01:18"/>
        <d v="2025-08-29T02:20:29"/>
        <d v="2025-08-29T05:18:57"/>
        <d v="2025-08-29T06:01:21"/>
        <d v="2025-08-29T06:48:28"/>
        <d v="2025-08-29T08:18:16"/>
        <d v="2025-08-29T08:28:54"/>
        <d v="2025-08-29T08:29:21"/>
        <d v="2025-08-29T14:01:18"/>
        <d v="2025-08-29T16:56:11"/>
        <d v="2025-08-29T23:19:00"/>
        <d v="2025-08-30T00:34:55"/>
        <d v="2025-08-30T05:00:50"/>
        <d v="2025-08-30T06:45:44"/>
        <d v="2025-08-30T10:28:56"/>
        <d v="2025-08-31T07:19:04"/>
        <d v="2025-08-31T10:00:39"/>
        <d v="2025-09-01T01:58:33"/>
        <d v="2025-09-01T04:23:45"/>
        <d v="2025-09-01T04:45:44"/>
        <d v="2025-09-01T04:50:58"/>
        <d v="2025-09-01T05:02:39"/>
        <d v="2025-09-01T05:08:17"/>
        <d v="2025-09-01T09:04:29"/>
        <d v="2025-09-01T21:20:42"/>
        <d v="2025-09-01T23:06:01"/>
        <d v="2025-09-02T01:23:00"/>
        <d v="2025-09-02T10:45:46"/>
        <d v="2025-09-02T13:06:45"/>
        <d v="2025-09-02T14:47:40"/>
        <d v="2025-09-02T19:09:40"/>
        <d v="2025-09-02T20:28:16"/>
        <d v="2025-09-02T21:54:58"/>
        <d v="2025-09-02T23:10:34"/>
        <d v="2025-09-02T23:25:33"/>
        <d v="2025-09-03T01:09:28"/>
        <d v="2025-09-03T01:17:09"/>
        <d v="2025-09-03T11:25:01"/>
        <d v="2025-09-03T16:38:00"/>
        <d v="2025-09-03T19:57:42"/>
        <d v="2025-09-03T22:44:00"/>
        <d v="2025-09-04T02:00:51"/>
        <d v="2025-09-04T02:33:29"/>
        <d v="2025-09-04T08:37:59"/>
        <d v="2025-09-04T15:11:18"/>
        <d v="2025-09-05T01:12:22"/>
        <d v="2025-09-05T01:30:26"/>
        <d v="2025-09-05T01:48:57"/>
        <d v="2025-09-05T03:15:03"/>
        <d v="2025-09-05T05:07:45"/>
        <d v="2025-09-05T06:09:38"/>
        <d v="2025-09-05T10:01:15"/>
        <d v="2025-09-05T11:57:34"/>
        <d v="2025-09-05T14:24:31"/>
        <d v="2025-09-05T18:56:15"/>
        <d v="2025-09-05T21:50:06"/>
        <d v="2025-09-06T05:00:32"/>
        <d v="2025-09-06T10:30:04"/>
        <d v="2025-09-07T00:36:34"/>
        <d v="2025-09-07T03:55:00"/>
        <d v="2025-09-07T07:10:58"/>
        <d v="2025-09-07T09:45:40"/>
        <d v="2025-09-07T09:57:49"/>
        <d v="2025-09-07T23:27:18"/>
        <d v="2025-09-08T03:17:48"/>
        <d v="2025-09-08T04:10:39"/>
        <d v="2025-09-08T06:11:25"/>
        <d v="2025-09-08T23:49:22"/>
        <d v="2025-09-09T02:59:41"/>
        <d v="2025-09-09T11:09:59"/>
        <d v="2025-09-09T11:19:17"/>
        <d v="2025-09-09T15:00:38"/>
        <d v="2025-09-09T21:34:11"/>
        <d v="2025-09-10T00:03:02"/>
        <d v="2025-09-10T07:47:01"/>
        <d v="2025-09-10T11:41:10"/>
        <d v="2025-09-11T07:27:07"/>
        <d v="2025-09-12T03:29:53"/>
        <d v="2025-09-12T08:27:46"/>
        <d v="2025-09-12T10:48:00"/>
        <d v="2025-09-12T12:01:29"/>
        <d v="2025-09-12T14:50:06"/>
        <d v="2025-09-13T00:08:21"/>
        <d v="2025-09-13T00:20:27"/>
        <d v="2025-09-13T06:41:10"/>
        <d v="2025-09-13T07:08:16"/>
        <d v="2025-09-13T07:39:19"/>
        <d v="2025-09-13T16:06:46"/>
        <d v="2025-09-13T22:26:20"/>
        <d v="2025-09-14T08:51:45"/>
        <d v="2025-09-15T05:21:15"/>
        <d v="2025-09-15T05:39:22"/>
        <d v="2025-09-15T06:17:03"/>
        <d v="2025-09-15T06:56:26"/>
        <d v="2025-09-15T13:30:56"/>
        <d v="2025-09-15T19:36:30"/>
        <d v="2025-09-16T01:01:56"/>
        <d v="2025-09-16T03:17:20"/>
        <d v="2025-09-16T11:01:34"/>
        <d v="2025-09-16T17:20:52"/>
      </sharedItems>
      <fieldGroup par="22"/>
    </cacheField>
    <cacheField name="year" numFmtId="0">
      <sharedItems containsSemiMixedTypes="0" containsString="0" containsNumber="1" containsInteger="1" minValue="2024" maxValue="2025" count="2">
        <n v="2024"/>
        <n v="2025"/>
      </sharedItems>
    </cacheField>
    <cacheField name="Customer Name" numFmtId="0">
      <sharedItems/>
    </cacheField>
    <cacheField name="City" numFmtId="0">
      <sharedItems/>
    </cacheField>
    <cacheField name="Product Name" numFmtId="0">
      <sharedItems count="27">
        <s v="Daging Ayam - Brand C"/>
        <s v="Garam - Brand B"/>
        <s v="Minyak Goreng - Brand A"/>
        <s v="Telur Ayam - Brand C"/>
        <s v="Garam - Brand A"/>
        <s v="Daging Ayam - Brand B"/>
        <s v="Tepung Terigu - Brand C"/>
        <s v="Beras - Brand C"/>
        <s v="Gula Pasir - Brand A"/>
        <s v="Susu Bubuk - Brand B"/>
        <s v="Beras - Brand B"/>
        <s v="Bawang Merah - Brand C"/>
        <s v="Susu Bubuk - Brand C"/>
        <s v="Minyak Goreng - Brand B"/>
        <s v="Daging Ayam - Brand A"/>
        <s v="Beras - Brand A"/>
        <s v="Telur Ayam - Brand B"/>
        <s v="Bawang Merah - Brand A"/>
        <s v="Garam - Brand C"/>
        <s v="Telur Ayam - Brand A"/>
        <s v="Tepung Terigu - Brand B"/>
        <s v="Gula Pasir - Brand B"/>
        <s v="Gula Pasir - Brand C"/>
        <s v="Tepung Terigu - Brand A"/>
        <s v="Susu Bubuk - Brand A"/>
        <s v="Bawang Merah - Brand B"/>
        <s v="Minyak Goreng - Brand C"/>
      </sharedItems>
    </cacheField>
    <cacheField name="Unit Price" numFmtId="165">
      <sharedItems containsSemiMixedTypes="0" containsString="0" containsNumber="1" containsInteger="1" minValue="4000" maxValue="55000"/>
    </cacheField>
    <cacheField name="Quantity" numFmtId="0">
      <sharedItems containsSemiMixedTypes="0" containsString="0" containsNumber="1" containsInteger="1" minValue="1" maxValue="5"/>
    </cacheField>
    <cacheField name="Discount (%)" numFmtId="0">
      <sharedItems containsSemiMixedTypes="0" containsString="0" containsNumber="1" containsInteger="1" minValue="0" maxValue="20"/>
    </cacheField>
    <cacheField name="Subtotal" numFmtId="165">
      <sharedItems containsSemiMixedTypes="0" containsString="0" containsNumber="1" containsInteger="1" minValue="4000" maxValue="275000"/>
    </cacheField>
    <cacheField name="Discount Amount" numFmtId="165">
      <sharedItems containsSemiMixedTypes="0" containsString="0" containsNumber="1" containsInteger="1" minValue="0" maxValue="55000"/>
    </cacheField>
    <cacheField name="Total Sales" numFmtId="165">
      <sharedItems containsSemiMixedTypes="0" containsString="0" containsNumber="1" containsInteger="1" minValue="3200" maxValue="261250"/>
    </cacheField>
    <cacheField name="Shipping Fee" numFmtId="165">
      <sharedItems containsSemiMixedTypes="0" containsString="0" containsNumber="1" containsInteger="1" minValue="0" maxValue="97000"/>
    </cacheField>
    <cacheField name="Grand Total" numFmtId="165">
      <sharedItems containsSemiMixedTypes="0" containsString="0" containsNumber="1" containsInteger="1" minValue="3800" maxValue="333250"/>
    </cacheField>
    <cacheField name="Payment Method" numFmtId="0">
      <sharedItems count="4">
        <s v="Kartu Kredit"/>
        <s v="Transfer Bank"/>
        <s v="COD"/>
        <s v="e-Wallet"/>
      </sharedItems>
    </cacheField>
    <cacheField name="Order Status" numFmtId="0">
      <sharedItems count="5">
        <s v="Completed"/>
        <s v="Returned"/>
        <s v="Cancelled"/>
        <s v="Shipped"/>
        <s v="Pending"/>
      </sharedItems>
    </cacheField>
    <cacheField name="Platform" numFmtId="0">
      <sharedItems count="5">
        <s v="Toko Hijau"/>
        <s v="Toko Ungu"/>
        <s v="Toko Orange"/>
        <s v="TokTok"/>
        <s v="Toko Biru"/>
      </sharedItems>
    </cacheField>
    <cacheField name="Customer Rating" numFmtId="0">
      <sharedItems containsSemiMixedTypes="0" containsString="0" containsNumber="1" containsInteger="1" minValue="1" maxValue="5"/>
    </cacheField>
    <cacheField name="Jenis Kelamin" numFmtId="0">
      <sharedItems count="2">
        <s v="Perempuan"/>
        <s v="Laki-laki"/>
      </sharedItems>
    </cacheField>
    <cacheField name="Disc Kategori" numFmtId="0">
      <sharedItems count="5">
        <s v="Sangat Rendah"/>
        <s v="Rendah"/>
        <s v="Normal"/>
        <s v="Tinggi"/>
        <s v="AllOut"/>
      </sharedItems>
    </cacheField>
    <cacheField name="Seconds (Order Date)" numFmtId="0" databaseField="0">
      <fieldGroup base="1">
        <rangePr groupBy="seconds" startDate="2024-09-16T00:22:49" endDate="2025-09-16T17:20:52"/>
        <groupItems count="62">
          <s v="&lt;9/16/2024"/>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9/16/2025"/>
        </groupItems>
      </fieldGroup>
    </cacheField>
    <cacheField name="Minutes (Order Date)" numFmtId="0" databaseField="0">
      <fieldGroup base="1">
        <rangePr groupBy="minutes" startDate="2024-09-16T00:22:49" endDate="2025-09-16T17:20:52"/>
        <groupItems count="62">
          <s v="&lt;9/16/2024"/>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9/16/2025"/>
        </groupItems>
      </fieldGroup>
    </cacheField>
    <cacheField name="Hours (Order Date)" numFmtId="0" databaseField="0">
      <fieldGroup base="1">
        <rangePr groupBy="hours" startDate="2024-09-16T00:22:49" endDate="2025-09-16T17:20:52"/>
        <groupItems count="26">
          <s v="&lt;9/16/2024"/>
          <s v="12 AM"/>
          <s v="1 AM"/>
          <s v="2 AM"/>
          <s v="3 AM"/>
          <s v="4 AM"/>
          <s v="5 AM"/>
          <s v="6 AM"/>
          <s v="7 AM"/>
          <s v="8 AM"/>
          <s v="9 AM"/>
          <s v="10 AM"/>
          <s v="11 AM"/>
          <s v="12 PM"/>
          <s v="1 PM"/>
          <s v="2 PM"/>
          <s v="3 PM"/>
          <s v="4 PM"/>
          <s v="5 PM"/>
          <s v="6 PM"/>
          <s v="7 PM"/>
          <s v="8 PM"/>
          <s v="9 PM"/>
          <s v="10 PM"/>
          <s v="11 PM"/>
          <s v="&gt;9/16/2025"/>
        </groupItems>
      </fieldGroup>
    </cacheField>
  </cacheFields>
  <extLst>
    <ext xmlns:x14="http://schemas.microsoft.com/office/spreadsheetml/2009/9/main" uri="{725AE2AE-9491-48be-B2B4-4EB974FC3084}">
      <x14:pivotCacheDefinition pivotCacheId="13774108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ORD01855"/>
    <x v="0"/>
    <x v="0"/>
    <s v="Zahra Kurniawan"/>
    <s v="Wamena"/>
    <x v="0"/>
    <n v="45000"/>
    <n v="4"/>
    <n v="0"/>
    <n v="180000"/>
    <n v="0"/>
    <n v="180000"/>
    <n v="15000"/>
    <n v="195000"/>
    <x v="0"/>
    <x v="0"/>
    <x v="0"/>
    <n v="3"/>
    <x v="0"/>
    <x v="0"/>
  </r>
  <r>
    <s v="ORD01741"/>
    <x v="1"/>
    <x v="0"/>
    <s v="Yani Pradipta"/>
    <s v="Palembang"/>
    <x v="1"/>
    <n v="5000"/>
    <n v="4"/>
    <n v="20"/>
    <n v="20000"/>
    <n v="4000"/>
    <n v="16000"/>
    <n v="17000"/>
    <n v="33000"/>
    <x v="1"/>
    <x v="0"/>
    <x v="1"/>
    <n v="5"/>
    <x v="0"/>
    <x v="0"/>
  </r>
  <r>
    <s v="ORD00016"/>
    <x v="2"/>
    <x v="0"/>
    <s v="Indra Syahputra"/>
    <s v="Semarang"/>
    <x v="2"/>
    <n v="16000"/>
    <n v="5"/>
    <n v="5"/>
    <n v="80000"/>
    <n v="4000"/>
    <n v="76000"/>
    <n v="76000"/>
    <n v="152000"/>
    <x v="2"/>
    <x v="0"/>
    <x v="2"/>
    <n v="1"/>
    <x v="1"/>
    <x v="0"/>
  </r>
  <r>
    <s v="ORD00016"/>
    <x v="2"/>
    <x v="0"/>
    <s v="Indra Syahputra"/>
    <s v="Semarang"/>
    <x v="3"/>
    <n v="28000"/>
    <n v="1"/>
    <n v="10"/>
    <n v="28000"/>
    <n v="2800"/>
    <n v="25200"/>
    <n v="0"/>
    <n v="25200"/>
    <x v="2"/>
    <x v="0"/>
    <x v="2"/>
    <n v="1"/>
    <x v="1"/>
    <x v="0"/>
  </r>
  <r>
    <s v="ORD00411"/>
    <x v="3"/>
    <x v="0"/>
    <s v="Yani Nugroho"/>
    <s v="Palembang"/>
    <x v="4"/>
    <n v="4000"/>
    <n v="3"/>
    <n v="0"/>
    <n v="12000"/>
    <n v="0"/>
    <n v="12000"/>
    <n v="17000"/>
    <n v="29000"/>
    <x v="1"/>
    <x v="0"/>
    <x v="1"/>
    <n v="2"/>
    <x v="0"/>
    <x v="0"/>
  </r>
  <r>
    <s v="ORD00326"/>
    <x v="4"/>
    <x v="0"/>
    <s v="Lestari Utami"/>
    <s v="Manado"/>
    <x v="5"/>
    <n v="40000"/>
    <n v="1"/>
    <n v="0"/>
    <n v="40000"/>
    <n v="0"/>
    <n v="40000"/>
    <n v="93000"/>
    <n v="133000"/>
    <x v="2"/>
    <x v="0"/>
    <x v="3"/>
    <n v="2"/>
    <x v="0"/>
    <x v="0"/>
  </r>
  <r>
    <s v="ORD01208"/>
    <x v="5"/>
    <x v="0"/>
    <s v="Erna Santoso"/>
    <s v="Samarinda"/>
    <x v="6"/>
    <n v="14000"/>
    <n v="4"/>
    <n v="0"/>
    <n v="56000"/>
    <n v="0"/>
    <n v="56000"/>
    <n v="43000"/>
    <n v="99000"/>
    <x v="0"/>
    <x v="0"/>
    <x v="1"/>
    <n v="4"/>
    <x v="0"/>
    <x v="0"/>
  </r>
  <r>
    <s v="ORD01664"/>
    <x v="6"/>
    <x v="0"/>
    <s v="Erna Rahmawati"/>
    <s v="Banda Aceh"/>
    <x v="7"/>
    <n v="16000"/>
    <n v="2"/>
    <n v="0"/>
    <n v="32000"/>
    <n v="0"/>
    <n v="32000"/>
    <n v="18000"/>
    <n v="50000"/>
    <x v="1"/>
    <x v="0"/>
    <x v="1"/>
    <n v="5"/>
    <x v="0"/>
    <x v="0"/>
  </r>
  <r>
    <s v="ORD00644"/>
    <x v="7"/>
    <x v="0"/>
    <s v="Erna Setiawan"/>
    <s v="Denpasar"/>
    <x v="8"/>
    <n v="16000"/>
    <n v="1"/>
    <n v="0"/>
    <n v="16000"/>
    <n v="0"/>
    <n v="16000"/>
    <n v="80000"/>
    <n v="96000"/>
    <x v="2"/>
    <x v="0"/>
    <x v="2"/>
    <n v="5"/>
    <x v="0"/>
    <x v="0"/>
  </r>
  <r>
    <s v="ORD00628"/>
    <x v="8"/>
    <x v="0"/>
    <s v="Bella Santoso"/>
    <s v="Tanjung Selor"/>
    <x v="9"/>
    <n v="50000"/>
    <n v="2"/>
    <n v="10"/>
    <n v="100000"/>
    <n v="10000"/>
    <n v="90000"/>
    <n v="26000"/>
    <n v="116000"/>
    <x v="3"/>
    <x v="0"/>
    <x v="2"/>
    <n v="2"/>
    <x v="0"/>
    <x v="1"/>
  </r>
  <r>
    <s v="ORD00049"/>
    <x v="9"/>
    <x v="0"/>
    <s v="Joko Halim"/>
    <s v="Kendari"/>
    <x v="10"/>
    <n v="15000"/>
    <n v="1"/>
    <n v="20"/>
    <n v="15000"/>
    <n v="3000"/>
    <n v="12000"/>
    <n v="59000"/>
    <n v="71000"/>
    <x v="3"/>
    <x v="0"/>
    <x v="2"/>
    <n v="1"/>
    <x v="1"/>
    <x v="0"/>
  </r>
  <r>
    <s v="ORD00634"/>
    <x v="10"/>
    <x v="0"/>
    <s v="Fajar Budiman"/>
    <s v="Nabire"/>
    <x v="11"/>
    <n v="40000"/>
    <n v="4"/>
    <n v="5"/>
    <n v="160000"/>
    <n v="8000"/>
    <n v="152000"/>
    <n v="89000"/>
    <n v="241000"/>
    <x v="2"/>
    <x v="0"/>
    <x v="3"/>
    <n v="1"/>
    <x v="1"/>
    <x v="1"/>
  </r>
  <r>
    <s v="ORD00954"/>
    <x v="11"/>
    <x v="0"/>
    <s v="Vina Ramadhani"/>
    <s v="Jambi"/>
    <x v="12"/>
    <n v="55000"/>
    <n v="3"/>
    <n v="15"/>
    <n v="165000"/>
    <n v="24750"/>
    <n v="140250"/>
    <n v="87000"/>
    <n v="227250"/>
    <x v="2"/>
    <x v="1"/>
    <x v="1"/>
    <n v="4"/>
    <x v="0"/>
    <x v="2"/>
  </r>
  <r>
    <s v="ORD00844"/>
    <x v="12"/>
    <x v="0"/>
    <s v="Lestari Setiawan"/>
    <s v="Tanjung Selor"/>
    <x v="7"/>
    <n v="16000"/>
    <n v="3"/>
    <n v="0"/>
    <n v="48000"/>
    <n v="0"/>
    <n v="48000"/>
    <n v="26000"/>
    <n v="74000"/>
    <x v="2"/>
    <x v="0"/>
    <x v="3"/>
    <n v="4"/>
    <x v="0"/>
    <x v="0"/>
  </r>
  <r>
    <s v="ORD00946"/>
    <x v="13"/>
    <x v="0"/>
    <s v="Aulia Iskandar"/>
    <s v="Surabaya"/>
    <x v="13"/>
    <n v="17000"/>
    <n v="5"/>
    <n v="20"/>
    <n v="85000"/>
    <n v="17000"/>
    <n v="68000"/>
    <n v="74000"/>
    <n v="142000"/>
    <x v="1"/>
    <x v="0"/>
    <x v="4"/>
    <n v="2"/>
    <x v="0"/>
    <x v="2"/>
  </r>
  <r>
    <s v="ORD00051"/>
    <x v="14"/>
    <x v="0"/>
    <s v="Made Setiawan"/>
    <s v="Denpasar"/>
    <x v="14"/>
    <n v="35000"/>
    <n v="4"/>
    <n v="20"/>
    <n v="140000"/>
    <n v="28000"/>
    <n v="112000"/>
    <n v="80000"/>
    <n v="192000"/>
    <x v="0"/>
    <x v="0"/>
    <x v="1"/>
    <n v="2"/>
    <x v="1"/>
    <x v="2"/>
  </r>
  <r>
    <s v="ORD00559"/>
    <x v="15"/>
    <x v="0"/>
    <s v="Qori Fauziah"/>
    <s v="Surabaya"/>
    <x v="15"/>
    <n v="14000"/>
    <n v="3"/>
    <n v="0"/>
    <n v="42000"/>
    <n v="0"/>
    <n v="42000"/>
    <n v="74000"/>
    <n v="116000"/>
    <x v="2"/>
    <x v="0"/>
    <x v="4"/>
    <n v="4"/>
    <x v="0"/>
    <x v="0"/>
  </r>
  <r>
    <s v="ORD01530"/>
    <x v="16"/>
    <x v="0"/>
    <s v="Lestari Setiawan"/>
    <s v="Tanjung Selor"/>
    <x v="4"/>
    <n v="4000"/>
    <n v="4"/>
    <n v="20"/>
    <n v="16000"/>
    <n v="3200"/>
    <n v="12800"/>
    <n v="26000"/>
    <n v="38800"/>
    <x v="1"/>
    <x v="0"/>
    <x v="2"/>
    <n v="4"/>
    <x v="0"/>
    <x v="0"/>
  </r>
  <r>
    <s v="ORD01160"/>
    <x v="17"/>
    <x v="0"/>
    <s v="Yani Saputra"/>
    <s v="Jayapura"/>
    <x v="16"/>
    <n v="25000"/>
    <n v="5"/>
    <n v="10"/>
    <n v="125000"/>
    <n v="12500"/>
    <n v="112500"/>
    <n v="30000"/>
    <n v="142500"/>
    <x v="3"/>
    <x v="0"/>
    <x v="4"/>
    <n v="2"/>
    <x v="0"/>
    <x v="1"/>
  </r>
  <r>
    <s v="ORD01060"/>
    <x v="18"/>
    <x v="0"/>
    <s v="Qori Halim"/>
    <s v="Pekanbaru"/>
    <x v="8"/>
    <n v="16000"/>
    <n v="2"/>
    <n v="20"/>
    <n v="32000"/>
    <n v="6400"/>
    <n v="25600"/>
    <n v="49000"/>
    <n v="74600"/>
    <x v="0"/>
    <x v="0"/>
    <x v="1"/>
    <n v="1"/>
    <x v="0"/>
    <x v="1"/>
  </r>
  <r>
    <s v="ORD00181"/>
    <x v="19"/>
    <x v="0"/>
    <s v="Gita Hidayat"/>
    <s v="Jayapura"/>
    <x v="5"/>
    <n v="40000"/>
    <n v="4"/>
    <n v="10"/>
    <n v="160000"/>
    <n v="16000"/>
    <n v="144000"/>
    <n v="30000"/>
    <n v="174000"/>
    <x v="1"/>
    <x v="0"/>
    <x v="1"/>
    <n v="5"/>
    <x v="0"/>
    <x v="2"/>
  </r>
  <r>
    <s v="ORD01730"/>
    <x v="20"/>
    <x v="0"/>
    <s v="Bella Rahmawati"/>
    <s v="Kendari"/>
    <x v="11"/>
    <n v="40000"/>
    <n v="3"/>
    <n v="15"/>
    <n v="120000"/>
    <n v="18000"/>
    <n v="102000"/>
    <n v="59000"/>
    <n v="161000"/>
    <x v="1"/>
    <x v="1"/>
    <x v="3"/>
    <n v="3"/>
    <x v="0"/>
    <x v="2"/>
  </r>
  <r>
    <s v="ORD01668"/>
    <x v="21"/>
    <x v="0"/>
    <s v="Bella Ramadhani"/>
    <s v="Pontianak"/>
    <x v="17"/>
    <n v="30000"/>
    <n v="1"/>
    <n v="10"/>
    <n v="30000"/>
    <n v="3000"/>
    <n v="27000"/>
    <n v="85000"/>
    <n v="112000"/>
    <x v="0"/>
    <x v="0"/>
    <x v="0"/>
    <n v="5"/>
    <x v="0"/>
    <x v="0"/>
  </r>
  <r>
    <s v="ORD01529"/>
    <x v="22"/>
    <x v="0"/>
    <s v="Hana Budiman"/>
    <s v="Jakarta"/>
    <x v="8"/>
    <n v="16000"/>
    <n v="4"/>
    <n v="5"/>
    <n v="64000"/>
    <n v="3200"/>
    <n v="60800"/>
    <n v="97000"/>
    <n v="157800"/>
    <x v="3"/>
    <x v="0"/>
    <x v="2"/>
    <n v="1"/>
    <x v="0"/>
    <x v="0"/>
  </r>
  <r>
    <s v="ORD01671"/>
    <x v="23"/>
    <x v="0"/>
    <s v="Vina Budiman"/>
    <s v="Samarinda"/>
    <x v="18"/>
    <n v="6000"/>
    <n v="4"/>
    <n v="5"/>
    <n v="24000"/>
    <n v="1200"/>
    <n v="22800"/>
    <n v="43000"/>
    <n v="65800"/>
    <x v="0"/>
    <x v="0"/>
    <x v="4"/>
    <n v="4"/>
    <x v="0"/>
    <x v="0"/>
  </r>
  <r>
    <s v="ORD00239"/>
    <x v="24"/>
    <x v="0"/>
    <s v="Vina Puspita"/>
    <s v="Manokwari"/>
    <x v="0"/>
    <n v="45000"/>
    <n v="3"/>
    <n v="0"/>
    <n v="135000"/>
    <n v="0"/>
    <n v="135000"/>
    <n v="18000"/>
    <n v="153000"/>
    <x v="1"/>
    <x v="0"/>
    <x v="3"/>
    <n v="1"/>
    <x v="0"/>
    <x v="0"/>
  </r>
  <r>
    <s v="ORD00403"/>
    <x v="25"/>
    <x v="0"/>
    <s v="Zahra Rahmawati"/>
    <s v="Bengkulu"/>
    <x v="6"/>
    <n v="14000"/>
    <n v="3"/>
    <n v="15"/>
    <n v="42000"/>
    <n v="6300"/>
    <n v="35700"/>
    <n v="72000"/>
    <n v="107700"/>
    <x v="3"/>
    <x v="0"/>
    <x v="0"/>
    <n v="4"/>
    <x v="0"/>
    <x v="1"/>
  </r>
  <r>
    <s v="ORD00933"/>
    <x v="26"/>
    <x v="0"/>
    <s v="Lestari Wijaya"/>
    <s v="Bandung"/>
    <x v="12"/>
    <n v="55000"/>
    <n v="2"/>
    <n v="0"/>
    <n v="110000"/>
    <n v="0"/>
    <n v="110000"/>
    <n v="0"/>
    <n v="110000"/>
    <x v="0"/>
    <x v="0"/>
    <x v="3"/>
    <n v="2"/>
    <x v="0"/>
    <x v="0"/>
  </r>
  <r>
    <s v="ORD01507"/>
    <x v="27"/>
    <x v="0"/>
    <s v="Vina Kurniawan"/>
    <s v="Yogyakarta"/>
    <x v="19"/>
    <n v="22000"/>
    <n v="4"/>
    <n v="10"/>
    <n v="88000"/>
    <n v="8800"/>
    <n v="79200"/>
    <n v="78000"/>
    <n v="157200"/>
    <x v="1"/>
    <x v="2"/>
    <x v="0"/>
    <n v="3"/>
    <x v="0"/>
    <x v="1"/>
  </r>
  <r>
    <s v="ORD01414"/>
    <x v="28"/>
    <x v="0"/>
    <s v="Eka Ananda"/>
    <s v="Makassar"/>
    <x v="6"/>
    <n v="14000"/>
    <n v="1"/>
    <n v="0"/>
    <n v="14000"/>
    <n v="0"/>
    <n v="14000"/>
    <n v="84000"/>
    <n v="98000"/>
    <x v="1"/>
    <x v="0"/>
    <x v="3"/>
    <n v="1"/>
    <x v="0"/>
    <x v="0"/>
  </r>
  <r>
    <s v="ORD00811"/>
    <x v="29"/>
    <x v="0"/>
    <s v="Nanda Iskandar"/>
    <s v="Pontianak"/>
    <x v="0"/>
    <n v="45000"/>
    <n v="5"/>
    <n v="10"/>
    <n v="225000"/>
    <n v="22500"/>
    <n v="202500"/>
    <n v="85000"/>
    <n v="287500"/>
    <x v="2"/>
    <x v="0"/>
    <x v="0"/>
    <n v="4"/>
    <x v="1"/>
    <x v="2"/>
  </r>
  <r>
    <s v="ORD01550"/>
    <x v="30"/>
    <x v="0"/>
    <s v="Dina Budiman"/>
    <s v="Merauke"/>
    <x v="4"/>
    <n v="4000"/>
    <n v="3"/>
    <n v="10"/>
    <n v="12000"/>
    <n v="1200"/>
    <n v="10800"/>
    <n v="59000"/>
    <n v="69800"/>
    <x v="1"/>
    <x v="0"/>
    <x v="0"/>
    <n v="2"/>
    <x v="0"/>
    <x v="0"/>
  </r>
  <r>
    <s v="ORD00179"/>
    <x v="31"/>
    <x v="0"/>
    <s v="Sari Hidayat"/>
    <s v="Semarang"/>
    <x v="17"/>
    <n v="30000"/>
    <n v="2"/>
    <n v="10"/>
    <n v="60000"/>
    <n v="6000"/>
    <n v="54000"/>
    <n v="76000"/>
    <n v="130000"/>
    <x v="0"/>
    <x v="0"/>
    <x v="2"/>
    <n v="5"/>
    <x v="0"/>
    <x v="1"/>
  </r>
  <r>
    <s v="ORD00179"/>
    <x v="31"/>
    <x v="0"/>
    <s v="Sari Hidayat"/>
    <s v="Semarang"/>
    <x v="17"/>
    <n v="30000"/>
    <n v="5"/>
    <n v="10"/>
    <n v="150000"/>
    <n v="15000"/>
    <n v="135000"/>
    <n v="0"/>
    <n v="135000"/>
    <x v="0"/>
    <x v="0"/>
    <x v="2"/>
    <n v="5"/>
    <x v="0"/>
    <x v="1"/>
  </r>
  <r>
    <s v="ORD00189"/>
    <x v="32"/>
    <x v="0"/>
    <s v="Fitri Ananda"/>
    <s v="Palembang"/>
    <x v="20"/>
    <n v="12000"/>
    <n v="5"/>
    <n v="15"/>
    <n v="60000"/>
    <n v="9000"/>
    <n v="51000"/>
    <n v="17000"/>
    <n v="68000"/>
    <x v="0"/>
    <x v="0"/>
    <x v="1"/>
    <n v="1"/>
    <x v="0"/>
    <x v="1"/>
  </r>
  <r>
    <s v="ORD00390"/>
    <x v="33"/>
    <x v="0"/>
    <s v="Sari Hidayat"/>
    <s v="Semarang"/>
    <x v="16"/>
    <n v="25000"/>
    <n v="5"/>
    <n v="20"/>
    <n v="125000"/>
    <n v="25000"/>
    <n v="100000"/>
    <n v="76000"/>
    <n v="176000"/>
    <x v="2"/>
    <x v="1"/>
    <x v="3"/>
    <n v="4"/>
    <x v="0"/>
    <x v="2"/>
  </r>
  <r>
    <s v="ORD00390"/>
    <x v="33"/>
    <x v="0"/>
    <s v="Sari Hidayat"/>
    <s v="Semarang"/>
    <x v="21"/>
    <n v="17000"/>
    <n v="2"/>
    <n v="5"/>
    <n v="34000"/>
    <n v="1700"/>
    <n v="32300"/>
    <n v="0"/>
    <n v="32300"/>
    <x v="2"/>
    <x v="1"/>
    <x v="3"/>
    <n v="4"/>
    <x v="0"/>
    <x v="0"/>
  </r>
  <r>
    <s v="ORD01128"/>
    <x v="34"/>
    <x v="0"/>
    <s v="Putri Wijaya"/>
    <s v="Jayapura"/>
    <x v="18"/>
    <n v="6000"/>
    <n v="5"/>
    <n v="15"/>
    <n v="30000"/>
    <n v="4500"/>
    <n v="25500"/>
    <n v="30000"/>
    <n v="55500"/>
    <x v="3"/>
    <x v="1"/>
    <x v="0"/>
    <n v="2"/>
    <x v="0"/>
    <x v="0"/>
  </r>
  <r>
    <s v="ORD01559"/>
    <x v="35"/>
    <x v="0"/>
    <s v="Citra Iskandar"/>
    <s v="Palangka Raya"/>
    <x v="22"/>
    <n v="18000"/>
    <n v="1"/>
    <n v="5"/>
    <n v="18000"/>
    <n v="900"/>
    <n v="17100"/>
    <n v="50000"/>
    <n v="67100"/>
    <x v="0"/>
    <x v="1"/>
    <x v="1"/>
    <n v="4"/>
    <x v="0"/>
    <x v="0"/>
  </r>
  <r>
    <s v="ORD01454"/>
    <x v="36"/>
    <x v="0"/>
    <s v="Hendra Ramadhani"/>
    <s v="Jayapura"/>
    <x v="12"/>
    <n v="55000"/>
    <n v="4"/>
    <n v="5"/>
    <n v="220000"/>
    <n v="11000"/>
    <n v="209000"/>
    <n v="30000"/>
    <n v="239000"/>
    <x v="2"/>
    <x v="0"/>
    <x v="1"/>
    <n v="5"/>
    <x v="1"/>
    <x v="1"/>
  </r>
  <r>
    <s v="ORD00452"/>
    <x v="37"/>
    <x v="0"/>
    <s v="Aulia Rahmawati"/>
    <s v="Jambi"/>
    <x v="9"/>
    <n v="50000"/>
    <n v="5"/>
    <n v="15"/>
    <n v="250000"/>
    <n v="37500"/>
    <n v="212500"/>
    <n v="87000"/>
    <n v="299500"/>
    <x v="3"/>
    <x v="1"/>
    <x v="4"/>
    <n v="2"/>
    <x v="0"/>
    <x v="3"/>
  </r>
  <r>
    <s v="ORD00543"/>
    <x v="38"/>
    <x v="0"/>
    <s v="Yoga Utami"/>
    <s v="Banjarbaru"/>
    <x v="16"/>
    <n v="25000"/>
    <n v="5"/>
    <n v="0"/>
    <n v="125000"/>
    <n v="0"/>
    <n v="125000"/>
    <n v="55000"/>
    <n v="180000"/>
    <x v="1"/>
    <x v="1"/>
    <x v="2"/>
    <n v="3"/>
    <x v="1"/>
    <x v="0"/>
  </r>
  <r>
    <s v="ORD01693"/>
    <x v="39"/>
    <x v="0"/>
    <s v="Andi Setiawan"/>
    <s v="Pontianak"/>
    <x v="9"/>
    <n v="50000"/>
    <n v="1"/>
    <n v="10"/>
    <n v="50000"/>
    <n v="5000"/>
    <n v="45000"/>
    <n v="85000"/>
    <n v="130000"/>
    <x v="1"/>
    <x v="0"/>
    <x v="2"/>
    <n v="2"/>
    <x v="1"/>
    <x v="0"/>
  </r>
  <r>
    <s v="ORD00633"/>
    <x v="40"/>
    <x v="0"/>
    <s v="Qori Syahputra"/>
    <s v="Jayapura"/>
    <x v="7"/>
    <n v="16000"/>
    <n v="5"/>
    <n v="10"/>
    <n v="80000"/>
    <n v="8000"/>
    <n v="72000"/>
    <n v="30000"/>
    <n v="102000"/>
    <x v="0"/>
    <x v="0"/>
    <x v="4"/>
    <n v="3"/>
    <x v="0"/>
    <x v="1"/>
  </r>
  <r>
    <s v="ORD00695"/>
    <x v="41"/>
    <x v="0"/>
    <s v="Dina Halim"/>
    <s v="Wamena"/>
    <x v="7"/>
    <n v="16000"/>
    <n v="3"/>
    <n v="0"/>
    <n v="48000"/>
    <n v="0"/>
    <n v="48000"/>
    <n v="15000"/>
    <n v="63000"/>
    <x v="2"/>
    <x v="0"/>
    <x v="2"/>
    <n v="4"/>
    <x v="0"/>
    <x v="0"/>
  </r>
  <r>
    <s v="ORD00857"/>
    <x v="42"/>
    <x v="0"/>
    <s v="Aulia Fauziah"/>
    <s v="Padang"/>
    <x v="4"/>
    <n v="4000"/>
    <n v="1"/>
    <n v="5"/>
    <n v="4000"/>
    <n v="200"/>
    <n v="3800"/>
    <n v="68000"/>
    <n v="71800"/>
    <x v="3"/>
    <x v="0"/>
    <x v="4"/>
    <n v="1"/>
    <x v="0"/>
    <x v="0"/>
  </r>
  <r>
    <s v="ORD00498"/>
    <x v="43"/>
    <x v="0"/>
    <s v="Citra Rahmawati"/>
    <s v="Sofifi"/>
    <x v="7"/>
    <n v="16000"/>
    <n v="3"/>
    <n v="5"/>
    <n v="48000"/>
    <n v="2400"/>
    <n v="45600"/>
    <n v="50000"/>
    <n v="95600"/>
    <x v="3"/>
    <x v="0"/>
    <x v="0"/>
    <n v="4"/>
    <x v="0"/>
    <x v="0"/>
  </r>
  <r>
    <s v="ORD01047"/>
    <x v="44"/>
    <x v="0"/>
    <s v="Gita Ramadhani"/>
    <s v="Palangka Raya"/>
    <x v="5"/>
    <n v="40000"/>
    <n v="3"/>
    <n v="0"/>
    <n v="120000"/>
    <n v="0"/>
    <n v="120000"/>
    <n v="50000"/>
    <n v="170000"/>
    <x v="0"/>
    <x v="0"/>
    <x v="3"/>
    <n v="5"/>
    <x v="0"/>
    <x v="0"/>
  </r>
  <r>
    <s v="ORD00218"/>
    <x v="45"/>
    <x v="0"/>
    <s v="Eka Halim"/>
    <s v="Manado"/>
    <x v="2"/>
    <n v="16000"/>
    <n v="5"/>
    <n v="5"/>
    <n v="80000"/>
    <n v="4000"/>
    <n v="76000"/>
    <n v="93000"/>
    <n v="169000"/>
    <x v="3"/>
    <x v="2"/>
    <x v="4"/>
    <n v="4"/>
    <x v="0"/>
    <x v="0"/>
  </r>
  <r>
    <s v="ORD01560"/>
    <x v="46"/>
    <x v="0"/>
    <s v="Dewi Santoso"/>
    <s v="Mamuju"/>
    <x v="11"/>
    <n v="40000"/>
    <n v="4"/>
    <n v="10"/>
    <n v="160000"/>
    <n v="16000"/>
    <n v="144000"/>
    <n v="46000"/>
    <n v="190000"/>
    <x v="3"/>
    <x v="0"/>
    <x v="4"/>
    <n v="4"/>
    <x v="0"/>
    <x v="2"/>
  </r>
  <r>
    <s v="ORD00369"/>
    <x v="47"/>
    <x v="0"/>
    <s v="Eka Puspita"/>
    <s v="Ambon"/>
    <x v="4"/>
    <n v="4000"/>
    <n v="3"/>
    <n v="10"/>
    <n v="12000"/>
    <n v="1200"/>
    <n v="10800"/>
    <n v="49000"/>
    <n v="59800"/>
    <x v="0"/>
    <x v="0"/>
    <x v="4"/>
    <n v="1"/>
    <x v="0"/>
    <x v="0"/>
  </r>
  <r>
    <s v="ORD00369"/>
    <x v="47"/>
    <x v="0"/>
    <s v="Eka Puspita"/>
    <s v="Ambon"/>
    <x v="23"/>
    <n v="10000"/>
    <n v="4"/>
    <n v="5"/>
    <n v="40000"/>
    <n v="2000"/>
    <n v="38000"/>
    <n v="0"/>
    <n v="38000"/>
    <x v="0"/>
    <x v="0"/>
    <x v="4"/>
    <n v="1"/>
    <x v="0"/>
    <x v="0"/>
  </r>
  <r>
    <s v="ORD01190"/>
    <x v="48"/>
    <x v="0"/>
    <s v="Dina Syahputra"/>
    <s v="Mataram"/>
    <x v="8"/>
    <n v="16000"/>
    <n v="5"/>
    <n v="15"/>
    <n v="80000"/>
    <n v="12000"/>
    <n v="68000"/>
    <n v="56000"/>
    <n v="124000"/>
    <x v="0"/>
    <x v="0"/>
    <x v="4"/>
    <n v="2"/>
    <x v="0"/>
    <x v="1"/>
  </r>
  <r>
    <s v="ORD00958"/>
    <x v="49"/>
    <x v="0"/>
    <s v="Bella Iskandar"/>
    <s v="Kendari"/>
    <x v="12"/>
    <n v="55000"/>
    <n v="5"/>
    <n v="10"/>
    <n v="275000"/>
    <n v="27500"/>
    <n v="247500"/>
    <n v="59000"/>
    <n v="306500"/>
    <x v="2"/>
    <x v="0"/>
    <x v="4"/>
    <n v="4"/>
    <x v="0"/>
    <x v="2"/>
  </r>
  <r>
    <s v="ORD00689"/>
    <x v="50"/>
    <x v="0"/>
    <s v="Ani Wijaya"/>
    <s v="Tanjungpinang"/>
    <x v="11"/>
    <n v="40000"/>
    <n v="1"/>
    <n v="10"/>
    <n v="40000"/>
    <n v="4000"/>
    <n v="36000"/>
    <n v="48000"/>
    <n v="84000"/>
    <x v="1"/>
    <x v="0"/>
    <x v="4"/>
    <n v="2"/>
    <x v="0"/>
    <x v="0"/>
  </r>
  <r>
    <s v="ORD01145"/>
    <x v="51"/>
    <x v="0"/>
    <s v="Lestari Budiman"/>
    <s v="Pontianak"/>
    <x v="12"/>
    <n v="55000"/>
    <n v="1"/>
    <n v="15"/>
    <n v="55000"/>
    <n v="8250"/>
    <n v="46750"/>
    <n v="85000"/>
    <n v="131750"/>
    <x v="0"/>
    <x v="0"/>
    <x v="3"/>
    <n v="2"/>
    <x v="0"/>
    <x v="1"/>
  </r>
  <r>
    <s v="ORD01796"/>
    <x v="52"/>
    <x v="0"/>
    <s v="Qori Halim"/>
    <s v="Pekanbaru"/>
    <x v="24"/>
    <n v="45000"/>
    <n v="1"/>
    <n v="15"/>
    <n v="45000"/>
    <n v="6750"/>
    <n v="38250"/>
    <n v="49000"/>
    <n v="87250"/>
    <x v="3"/>
    <x v="1"/>
    <x v="4"/>
    <n v="5"/>
    <x v="0"/>
    <x v="1"/>
  </r>
  <r>
    <s v="ORD01763"/>
    <x v="53"/>
    <x v="0"/>
    <s v="Fitri Wijaya"/>
    <s v="Serang"/>
    <x v="25"/>
    <n v="35000"/>
    <n v="5"/>
    <n v="5"/>
    <n v="175000"/>
    <n v="8750"/>
    <n v="166250"/>
    <n v="57000"/>
    <n v="223250"/>
    <x v="1"/>
    <x v="1"/>
    <x v="0"/>
    <n v="2"/>
    <x v="0"/>
    <x v="1"/>
  </r>
  <r>
    <s v="ORD00562"/>
    <x v="54"/>
    <x v="0"/>
    <s v="Sari Puspita"/>
    <s v="Jakarta"/>
    <x v="1"/>
    <n v="5000"/>
    <n v="2"/>
    <n v="20"/>
    <n v="10000"/>
    <n v="2000"/>
    <n v="8000"/>
    <n v="97000"/>
    <n v="105000"/>
    <x v="3"/>
    <x v="0"/>
    <x v="3"/>
    <n v="2"/>
    <x v="0"/>
    <x v="0"/>
  </r>
  <r>
    <s v="ORD01716"/>
    <x v="55"/>
    <x v="0"/>
    <s v="Hana Halim"/>
    <s v="Sorong"/>
    <x v="8"/>
    <n v="16000"/>
    <n v="4"/>
    <n v="20"/>
    <n v="64000"/>
    <n v="12800"/>
    <n v="51200"/>
    <n v="87000"/>
    <n v="138200"/>
    <x v="0"/>
    <x v="1"/>
    <x v="0"/>
    <n v="1"/>
    <x v="0"/>
    <x v="1"/>
  </r>
  <r>
    <s v="ORD01646"/>
    <x v="56"/>
    <x v="0"/>
    <s v="Dimas Utami"/>
    <s v="Bandung"/>
    <x v="17"/>
    <n v="30000"/>
    <n v="1"/>
    <n v="5"/>
    <n v="30000"/>
    <n v="1500"/>
    <n v="28500"/>
    <n v="0"/>
    <n v="28500"/>
    <x v="3"/>
    <x v="2"/>
    <x v="3"/>
    <n v="3"/>
    <x v="1"/>
    <x v="0"/>
  </r>
  <r>
    <s v="ORD01197"/>
    <x v="57"/>
    <x v="0"/>
    <s v="Fitri Maulana"/>
    <s v="Palangka Raya"/>
    <x v="11"/>
    <n v="40000"/>
    <n v="2"/>
    <n v="20"/>
    <n v="80000"/>
    <n v="16000"/>
    <n v="64000"/>
    <n v="50000"/>
    <n v="114000"/>
    <x v="1"/>
    <x v="0"/>
    <x v="4"/>
    <n v="3"/>
    <x v="0"/>
    <x v="2"/>
  </r>
  <r>
    <s v="ORD00619"/>
    <x v="58"/>
    <x v="0"/>
    <s v="Ani Fauziah"/>
    <s v="Jakarta"/>
    <x v="5"/>
    <n v="40000"/>
    <n v="1"/>
    <n v="15"/>
    <n v="40000"/>
    <n v="6000"/>
    <n v="34000"/>
    <n v="97000"/>
    <n v="131000"/>
    <x v="1"/>
    <x v="0"/>
    <x v="4"/>
    <n v="3"/>
    <x v="0"/>
    <x v="1"/>
  </r>
  <r>
    <s v="ORD00465"/>
    <x v="59"/>
    <x v="0"/>
    <s v="Vina Maulana"/>
    <s v="Wamena"/>
    <x v="3"/>
    <n v="28000"/>
    <n v="3"/>
    <n v="15"/>
    <n v="84000"/>
    <n v="12600"/>
    <n v="71400"/>
    <n v="15000"/>
    <n v="86400"/>
    <x v="1"/>
    <x v="0"/>
    <x v="0"/>
    <n v="3"/>
    <x v="0"/>
    <x v="1"/>
  </r>
  <r>
    <s v="ORD01356"/>
    <x v="60"/>
    <x v="0"/>
    <s v="Bella Maulana"/>
    <s v="Pekanbaru"/>
    <x v="9"/>
    <n v="50000"/>
    <n v="5"/>
    <n v="10"/>
    <n v="250000"/>
    <n v="25000"/>
    <n v="225000"/>
    <n v="49000"/>
    <n v="274000"/>
    <x v="3"/>
    <x v="0"/>
    <x v="4"/>
    <n v="4"/>
    <x v="0"/>
    <x v="2"/>
  </r>
  <r>
    <s v="ORD01042"/>
    <x v="61"/>
    <x v="0"/>
    <s v="Vina Syahputra"/>
    <s v="Pekanbaru"/>
    <x v="2"/>
    <n v="16000"/>
    <n v="3"/>
    <n v="10"/>
    <n v="48000"/>
    <n v="4800"/>
    <n v="43200"/>
    <n v="49000"/>
    <n v="92200"/>
    <x v="1"/>
    <x v="0"/>
    <x v="1"/>
    <n v="2"/>
    <x v="0"/>
    <x v="0"/>
  </r>
  <r>
    <s v="ORD00013"/>
    <x v="62"/>
    <x v="0"/>
    <s v="Arif Rahmawati"/>
    <s v="Palangka Raya"/>
    <x v="1"/>
    <n v="5000"/>
    <n v="3"/>
    <n v="15"/>
    <n v="15000"/>
    <n v="2250"/>
    <n v="12750"/>
    <n v="50000"/>
    <n v="62750"/>
    <x v="1"/>
    <x v="0"/>
    <x v="1"/>
    <n v="4"/>
    <x v="1"/>
    <x v="0"/>
  </r>
  <r>
    <s v="ORD00600"/>
    <x v="63"/>
    <x v="0"/>
    <s v="Kartika Nugroho"/>
    <s v="Samarinda"/>
    <x v="10"/>
    <n v="15000"/>
    <n v="1"/>
    <n v="20"/>
    <n v="15000"/>
    <n v="3000"/>
    <n v="12000"/>
    <n v="43000"/>
    <n v="55000"/>
    <x v="1"/>
    <x v="0"/>
    <x v="4"/>
    <n v="3"/>
    <x v="0"/>
    <x v="0"/>
  </r>
  <r>
    <s v="ORD00433"/>
    <x v="64"/>
    <x v="0"/>
    <s v="Bella Ramadhani"/>
    <s v="Pontianak"/>
    <x v="11"/>
    <n v="40000"/>
    <n v="4"/>
    <n v="10"/>
    <n v="160000"/>
    <n v="16000"/>
    <n v="144000"/>
    <n v="85000"/>
    <n v="229000"/>
    <x v="0"/>
    <x v="0"/>
    <x v="1"/>
    <n v="3"/>
    <x v="0"/>
    <x v="2"/>
  </r>
  <r>
    <s v="ORD01113"/>
    <x v="65"/>
    <x v="0"/>
    <s v="Citra Kurniawan"/>
    <s v="Merauke"/>
    <x v="6"/>
    <n v="14000"/>
    <n v="4"/>
    <n v="20"/>
    <n v="56000"/>
    <n v="11200"/>
    <n v="44800"/>
    <n v="59000"/>
    <n v="103800"/>
    <x v="2"/>
    <x v="0"/>
    <x v="0"/>
    <n v="4"/>
    <x v="0"/>
    <x v="1"/>
  </r>
  <r>
    <s v="ORD00701"/>
    <x v="66"/>
    <x v="0"/>
    <s v="Lestari Kusuma"/>
    <s v="Palangka Raya"/>
    <x v="2"/>
    <n v="16000"/>
    <n v="2"/>
    <n v="20"/>
    <n v="32000"/>
    <n v="6400"/>
    <n v="25600"/>
    <n v="50000"/>
    <n v="75600"/>
    <x v="1"/>
    <x v="0"/>
    <x v="1"/>
    <n v="4"/>
    <x v="0"/>
    <x v="1"/>
  </r>
  <r>
    <s v="ORD01151"/>
    <x v="67"/>
    <x v="0"/>
    <s v="Dina Setiawan"/>
    <s v="Mamuju"/>
    <x v="24"/>
    <n v="45000"/>
    <n v="1"/>
    <n v="15"/>
    <n v="45000"/>
    <n v="6750"/>
    <n v="38250"/>
    <n v="46000"/>
    <n v="84250"/>
    <x v="3"/>
    <x v="0"/>
    <x v="0"/>
    <n v="4"/>
    <x v="0"/>
    <x v="1"/>
  </r>
  <r>
    <s v="ORD00686"/>
    <x v="68"/>
    <x v="0"/>
    <s v="Lestari Ramadhani"/>
    <s v="Banda Aceh"/>
    <x v="14"/>
    <n v="35000"/>
    <n v="5"/>
    <n v="10"/>
    <n v="175000"/>
    <n v="17500"/>
    <n v="157500"/>
    <n v="18000"/>
    <n v="175500"/>
    <x v="2"/>
    <x v="0"/>
    <x v="1"/>
    <n v="2"/>
    <x v="0"/>
    <x v="2"/>
  </r>
  <r>
    <s v="ORD00862"/>
    <x v="69"/>
    <x v="0"/>
    <s v="Eka Hidayat"/>
    <s v="Samarinda"/>
    <x v="25"/>
    <n v="35000"/>
    <n v="5"/>
    <n v="10"/>
    <n v="175000"/>
    <n v="17500"/>
    <n v="157500"/>
    <n v="43000"/>
    <n v="200500"/>
    <x v="2"/>
    <x v="0"/>
    <x v="3"/>
    <n v="2"/>
    <x v="0"/>
    <x v="2"/>
  </r>
  <r>
    <s v="ORD00193"/>
    <x v="70"/>
    <x v="0"/>
    <s v="Aulia Iskandar"/>
    <s v="Surabaya"/>
    <x v="15"/>
    <n v="14000"/>
    <n v="4"/>
    <n v="20"/>
    <n v="56000"/>
    <n v="11200"/>
    <n v="44800"/>
    <n v="74000"/>
    <n v="118800"/>
    <x v="0"/>
    <x v="0"/>
    <x v="1"/>
    <n v="1"/>
    <x v="0"/>
    <x v="1"/>
  </r>
  <r>
    <s v="ORD00193"/>
    <x v="70"/>
    <x v="0"/>
    <s v="Aulia Iskandar"/>
    <s v="Surabaya"/>
    <x v="8"/>
    <n v="16000"/>
    <n v="4"/>
    <n v="15"/>
    <n v="64000"/>
    <n v="9600"/>
    <n v="54400"/>
    <n v="0"/>
    <n v="54400"/>
    <x v="0"/>
    <x v="0"/>
    <x v="1"/>
    <n v="1"/>
    <x v="0"/>
    <x v="1"/>
  </r>
  <r>
    <s v="ORD01059"/>
    <x v="71"/>
    <x v="0"/>
    <s v="Tono Saputra"/>
    <s v="Serang"/>
    <x v="15"/>
    <n v="14000"/>
    <n v="4"/>
    <n v="10"/>
    <n v="56000"/>
    <n v="5600"/>
    <n v="50400"/>
    <n v="57000"/>
    <n v="107400"/>
    <x v="0"/>
    <x v="0"/>
    <x v="3"/>
    <n v="4"/>
    <x v="1"/>
    <x v="1"/>
  </r>
  <r>
    <s v="ORD01576"/>
    <x v="72"/>
    <x v="0"/>
    <s v="Putri Kurniawan"/>
    <s v="Nabire"/>
    <x v="4"/>
    <n v="4000"/>
    <n v="3"/>
    <n v="10"/>
    <n v="12000"/>
    <n v="1200"/>
    <n v="10800"/>
    <n v="89000"/>
    <n v="99800"/>
    <x v="2"/>
    <x v="1"/>
    <x v="1"/>
    <n v="4"/>
    <x v="0"/>
    <x v="0"/>
  </r>
  <r>
    <s v="ORD00503"/>
    <x v="73"/>
    <x v="0"/>
    <s v="Dina Kurniawan"/>
    <s v="Sorong"/>
    <x v="23"/>
    <n v="10000"/>
    <n v="3"/>
    <n v="5"/>
    <n v="30000"/>
    <n v="1500"/>
    <n v="28500"/>
    <n v="87000"/>
    <n v="115500"/>
    <x v="2"/>
    <x v="2"/>
    <x v="1"/>
    <n v="2"/>
    <x v="0"/>
    <x v="0"/>
  </r>
  <r>
    <s v="ORD01395"/>
    <x v="74"/>
    <x v="0"/>
    <s v="Putri Puspita"/>
    <s v="Kendari"/>
    <x v="21"/>
    <n v="17000"/>
    <n v="4"/>
    <n v="5"/>
    <n v="68000"/>
    <n v="3400"/>
    <n v="64600"/>
    <n v="59000"/>
    <n v="123600"/>
    <x v="1"/>
    <x v="0"/>
    <x v="2"/>
    <n v="1"/>
    <x v="0"/>
    <x v="0"/>
  </r>
  <r>
    <s v="ORD00022"/>
    <x v="75"/>
    <x v="0"/>
    <s v="Arif Santoso"/>
    <s v="Manokwari"/>
    <x v="4"/>
    <n v="4000"/>
    <n v="4"/>
    <n v="15"/>
    <n v="16000"/>
    <n v="2400"/>
    <n v="13600"/>
    <n v="18000"/>
    <n v="31600"/>
    <x v="1"/>
    <x v="0"/>
    <x v="2"/>
    <n v="1"/>
    <x v="1"/>
    <x v="0"/>
  </r>
  <r>
    <s v="ORD00521"/>
    <x v="76"/>
    <x v="0"/>
    <s v="Tono Fauziah"/>
    <s v="Serang"/>
    <x v="12"/>
    <n v="55000"/>
    <n v="4"/>
    <n v="0"/>
    <n v="220000"/>
    <n v="0"/>
    <n v="220000"/>
    <n v="57000"/>
    <n v="277000"/>
    <x v="2"/>
    <x v="0"/>
    <x v="2"/>
    <n v="4"/>
    <x v="1"/>
    <x v="0"/>
  </r>
  <r>
    <s v="ORD01377"/>
    <x v="77"/>
    <x v="0"/>
    <s v="Aulia Santoso"/>
    <s v="Bandar Lampung"/>
    <x v="16"/>
    <n v="25000"/>
    <n v="2"/>
    <n v="15"/>
    <n v="50000"/>
    <n v="7500"/>
    <n v="42500"/>
    <n v="28000"/>
    <n v="70500"/>
    <x v="1"/>
    <x v="0"/>
    <x v="4"/>
    <n v="3"/>
    <x v="0"/>
    <x v="1"/>
  </r>
  <r>
    <s v="ORD01726"/>
    <x v="78"/>
    <x v="0"/>
    <s v="Arif Iskandar"/>
    <s v="Serang"/>
    <x v="18"/>
    <n v="6000"/>
    <n v="5"/>
    <n v="20"/>
    <n v="30000"/>
    <n v="6000"/>
    <n v="24000"/>
    <n v="57000"/>
    <n v="81000"/>
    <x v="2"/>
    <x v="0"/>
    <x v="0"/>
    <n v="5"/>
    <x v="1"/>
    <x v="1"/>
  </r>
  <r>
    <s v="ORD01283"/>
    <x v="79"/>
    <x v="0"/>
    <s v="Hendra Ramadhani"/>
    <s v="Jayapura"/>
    <x v="0"/>
    <n v="45000"/>
    <n v="2"/>
    <n v="15"/>
    <n v="90000"/>
    <n v="13500"/>
    <n v="76500"/>
    <n v="30000"/>
    <n v="106500"/>
    <x v="0"/>
    <x v="2"/>
    <x v="2"/>
    <n v="5"/>
    <x v="1"/>
    <x v="1"/>
  </r>
  <r>
    <s v="ORD00828"/>
    <x v="80"/>
    <x v="0"/>
    <s v="Budi Wijaya"/>
    <s v="Gorontalo"/>
    <x v="25"/>
    <n v="35000"/>
    <n v="1"/>
    <n v="15"/>
    <n v="35000"/>
    <n v="5250"/>
    <n v="29750"/>
    <n v="80000"/>
    <n v="109750"/>
    <x v="3"/>
    <x v="0"/>
    <x v="2"/>
    <n v="5"/>
    <x v="1"/>
    <x v="1"/>
  </r>
  <r>
    <s v="ORD01079"/>
    <x v="81"/>
    <x v="0"/>
    <s v="Erna Hidayat"/>
    <s v="Bandar Lampung"/>
    <x v="15"/>
    <n v="14000"/>
    <n v="5"/>
    <n v="5"/>
    <n v="70000"/>
    <n v="3500"/>
    <n v="66500"/>
    <n v="28000"/>
    <n v="94500"/>
    <x v="3"/>
    <x v="0"/>
    <x v="3"/>
    <n v="3"/>
    <x v="0"/>
    <x v="0"/>
  </r>
  <r>
    <s v="ORD01481"/>
    <x v="82"/>
    <x v="0"/>
    <s v="Arif Iskandar"/>
    <s v="Serang"/>
    <x v="15"/>
    <n v="14000"/>
    <n v="5"/>
    <n v="20"/>
    <n v="70000"/>
    <n v="14000"/>
    <n v="56000"/>
    <n v="57000"/>
    <n v="113000"/>
    <x v="2"/>
    <x v="0"/>
    <x v="1"/>
    <n v="1"/>
    <x v="1"/>
    <x v="1"/>
  </r>
  <r>
    <s v="ORD01084"/>
    <x v="83"/>
    <x v="0"/>
    <s v="Dewi Fauziah"/>
    <s v="Samarinda"/>
    <x v="26"/>
    <n v="18000"/>
    <n v="1"/>
    <n v="5"/>
    <n v="18000"/>
    <n v="900"/>
    <n v="17100"/>
    <n v="43000"/>
    <n v="60100"/>
    <x v="3"/>
    <x v="0"/>
    <x v="1"/>
    <n v="4"/>
    <x v="0"/>
    <x v="0"/>
  </r>
  <r>
    <s v="ORD00104"/>
    <x v="84"/>
    <x v="0"/>
    <s v="Sari Syahputra"/>
    <s v="Merauke"/>
    <x v="15"/>
    <n v="14000"/>
    <n v="3"/>
    <n v="15"/>
    <n v="42000"/>
    <n v="6300"/>
    <n v="35700"/>
    <n v="59000"/>
    <n v="94700"/>
    <x v="1"/>
    <x v="1"/>
    <x v="2"/>
    <n v="2"/>
    <x v="0"/>
    <x v="1"/>
  </r>
  <r>
    <s v="ORD00104"/>
    <x v="84"/>
    <x v="0"/>
    <s v="Sari Syahputra"/>
    <s v="Merauke"/>
    <x v="4"/>
    <n v="4000"/>
    <n v="2"/>
    <n v="15"/>
    <n v="8000"/>
    <n v="1200"/>
    <n v="6800"/>
    <n v="0"/>
    <n v="6800"/>
    <x v="1"/>
    <x v="1"/>
    <x v="2"/>
    <n v="2"/>
    <x v="0"/>
    <x v="0"/>
  </r>
  <r>
    <s v="ORD01233"/>
    <x v="85"/>
    <x v="0"/>
    <s v="Putri Ananda"/>
    <s v="Tanjung Selor"/>
    <x v="3"/>
    <n v="28000"/>
    <n v="3"/>
    <n v="20"/>
    <n v="84000"/>
    <n v="16800"/>
    <n v="67200"/>
    <n v="26000"/>
    <n v="93200"/>
    <x v="2"/>
    <x v="0"/>
    <x v="3"/>
    <n v="1"/>
    <x v="0"/>
    <x v="2"/>
  </r>
  <r>
    <s v="ORD01169"/>
    <x v="86"/>
    <x v="0"/>
    <s v="Clara Kusuma"/>
    <s v="Jakarta"/>
    <x v="7"/>
    <n v="16000"/>
    <n v="4"/>
    <n v="20"/>
    <n v="64000"/>
    <n v="12800"/>
    <n v="51200"/>
    <n v="97000"/>
    <n v="148200"/>
    <x v="1"/>
    <x v="0"/>
    <x v="1"/>
    <n v="2"/>
    <x v="0"/>
    <x v="1"/>
  </r>
  <r>
    <s v="ORD00624"/>
    <x v="87"/>
    <x v="0"/>
    <s v="Clara Budiman"/>
    <s v="Manado"/>
    <x v="16"/>
    <n v="25000"/>
    <n v="2"/>
    <n v="5"/>
    <n v="50000"/>
    <n v="2500"/>
    <n v="47500"/>
    <n v="93000"/>
    <n v="140500"/>
    <x v="1"/>
    <x v="0"/>
    <x v="2"/>
    <n v="3"/>
    <x v="0"/>
    <x v="0"/>
  </r>
  <r>
    <s v="ORD00062"/>
    <x v="88"/>
    <x v="0"/>
    <s v="Arif Iskandar"/>
    <s v="Serang"/>
    <x v="5"/>
    <n v="40000"/>
    <n v="4"/>
    <n v="10"/>
    <n v="160000"/>
    <n v="16000"/>
    <n v="144000"/>
    <n v="57000"/>
    <n v="201000"/>
    <x v="0"/>
    <x v="0"/>
    <x v="3"/>
    <n v="1"/>
    <x v="1"/>
    <x v="2"/>
  </r>
  <r>
    <s v="ORD00928"/>
    <x v="89"/>
    <x v="0"/>
    <s v="Clara Utami"/>
    <s v="Pangkalpinang"/>
    <x v="16"/>
    <n v="25000"/>
    <n v="5"/>
    <n v="5"/>
    <n v="125000"/>
    <n v="6250"/>
    <n v="118750"/>
    <n v="18000"/>
    <n v="136750"/>
    <x v="2"/>
    <x v="0"/>
    <x v="1"/>
    <n v="3"/>
    <x v="0"/>
    <x v="1"/>
  </r>
  <r>
    <s v="ORD01420"/>
    <x v="90"/>
    <x v="0"/>
    <s v="Ani Wijaya"/>
    <s v="Tanjungpinang"/>
    <x v="11"/>
    <n v="40000"/>
    <n v="5"/>
    <n v="5"/>
    <n v="200000"/>
    <n v="10000"/>
    <n v="190000"/>
    <n v="48000"/>
    <n v="238000"/>
    <x v="0"/>
    <x v="0"/>
    <x v="3"/>
    <n v="4"/>
    <x v="0"/>
    <x v="1"/>
  </r>
  <r>
    <s v="ORD00885"/>
    <x v="91"/>
    <x v="0"/>
    <s v="Citra Budiman"/>
    <s v="Bandung"/>
    <x v="25"/>
    <n v="35000"/>
    <n v="5"/>
    <n v="0"/>
    <n v="175000"/>
    <n v="0"/>
    <n v="175000"/>
    <n v="0"/>
    <n v="175000"/>
    <x v="2"/>
    <x v="0"/>
    <x v="4"/>
    <n v="1"/>
    <x v="0"/>
    <x v="0"/>
  </r>
  <r>
    <s v="ORD00197"/>
    <x v="92"/>
    <x v="0"/>
    <s v="Vina Fauziah"/>
    <s v="Merauke"/>
    <x v="1"/>
    <n v="5000"/>
    <n v="3"/>
    <n v="10"/>
    <n v="15000"/>
    <n v="1500"/>
    <n v="13500"/>
    <n v="59000"/>
    <n v="72500"/>
    <x v="0"/>
    <x v="1"/>
    <x v="1"/>
    <n v="3"/>
    <x v="0"/>
    <x v="0"/>
  </r>
  <r>
    <s v="ORD01781"/>
    <x v="93"/>
    <x v="0"/>
    <s v="Galih Iskandar"/>
    <s v="Ambon"/>
    <x v="26"/>
    <n v="18000"/>
    <n v="5"/>
    <n v="20"/>
    <n v="90000"/>
    <n v="18000"/>
    <n v="72000"/>
    <n v="49000"/>
    <n v="121000"/>
    <x v="0"/>
    <x v="0"/>
    <x v="0"/>
    <n v="4"/>
    <x v="1"/>
    <x v="2"/>
  </r>
  <r>
    <s v="ORD00741"/>
    <x v="94"/>
    <x v="0"/>
    <s v="Bella Ananda"/>
    <s v="Samarinda"/>
    <x v="1"/>
    <n v="5000"/>
    <n v="5"/>
    <n v="15"/>
    <n v="25000"/>
    <n v="3750"/>
    <n v="21250"/>
    <n v="43000"/>
    <n v="64250"/>
    <x v="1"/>
    <x v="0"/>
    <x v="3"/>
    <n v="2"/>
    <x v="0"/>
    <x v="0"/>
  </r>
  <r>
    <s v="ORD01544"/>
    <x v="95"/>
    <x v="0"/>
    <s v="Hana Wijaya"/>
    <s v="Sorong"/>
    <x v="10"/>
    <n v="15000"/>
    <n v="2"/>
    <n v="20"/>
    <n v="30000"/>
    <n v="6000"/>
    <n v="24000"/>
    <n v="87000"/>
    <n v="111000"/>
    <x v="1"/>
    <x v="0"/>
    <x v="3"/>
    <n v="5"/>
    <x v="0"/>
    <x v="1"/>
  </r>
  <r>
    <s v="ORD00800"/>
    <x v="96"/>
    <x v="0"/>
    <s v="Kartika Ananda"/>
    <s v="Pekanbaru"/>
    <x v="16"/>
    <n v="25000"/>
    <n v="5"/>
    <n v="15"/>
    <n v="125000"/>
    <n v="18750"/>
    <n v="106250"/>
    <n v="49000"/>
    <n v="155250"/>
    <x v="2"/>
    <x v="1"/>
    <x v="0"/>
    <n v="2"/>
    <x v="0"/>
    <x v="2"/>
  </r>
  <r>
    <s v="ORD00237"/>
    <x v="97"/>
    <x v="0"/>
    <s v="Clara Ananda"/>
    <s v="Bandung"/>
    <x v="8"/>
    <n v="16000"/>
    <n v="4"/>
    <n v="0"/>
    <n v="64000"/>
    <n v="0"/>
    <n v="64000"/>
    <n v="0"/>
    <n v="64000"/>
    <x v="1"/>
    <x v="0"/>
    <x v="3"/>
    <n v="4"/>
    <x v="0"/>
    <x v="0"/>
  </r>
  <r>
    <s v="ORD00632"/>
    <x v="98"/>
    <x v="0"/>
    <s v="Putri Ananda"/>
    <s v="Tanjung Selor"/>
    <x v="4"/>
    <n v="4000"/>
    <n v="1"/>
    <n v="20"/>
    <n v="4000"/>
    <n v="800"/>
    <n v="3200"/>
    <n v="26000"/>
    <n v="29200"/>
    <x v="2"/>
    <x v="0"/>
    <x v="4"/>
    <n v="1"/>
    <x v="0"/>
    <x v="0"/>
  </r>
  <r>
    <s v="ORD01455"/>
    <x v="99"/>
    <x v="0"/>
    <s v="Qori Halim"/>
    <s v="Pekanbaru"/>
    <x v="23"/>
    <n v="10000"/>
    <n v="4"/>
    <n v="0"/>
    <n v="40000"/>
    <n v="0"/>
    <n v="40000"/>
    <n v="49000"/>
    <n v="89000"/>
    <x v="0"/>
    <x v="0"/>
    <x v="0"/>
    <n v="2"/>
    <x v="0"/>
    <x v="0"/>
  </r>
  <r>
    <s v="ORD00198"/>
    <x v="100"/>
    <x v="0"/>
    <s v="Zahra Setiawan"/>
    <s v="Banjarbaru"/>
    <x v="18"/>
    <n v="6000"/>
    <n v="1"/>
    <n v="5"/>
    <n v="6000"/>
    <n v="300"/>
    <n v="5700"/>
    <n v="55000"/>
    <n v="60700"/>
    <x v="1"/>
    <x v="0"/>
    <x v="1"/>
    <n v="4"/>
    <x v="0"/>
    <x v="0"/>
  </r>
  <r>
    <s v="ORD01556"/>
    <x v="101"/>
    <x v="0"/>
    <s v="Dewi Puspita"/>
    <s v="Jayapura"/>
    <x v="16"/>
    <n v="25000"/>
    <n v="2"/>
    <n v="0"/>
    <n v="50000"/>
    <n v="0"/>
    <n v="50000"/>
    <n v="30000"/>
    <n v="80000"/>
    <x v="3"/>
    <x v="0"/>
    <x v="2"/>
    <n v="5"/>
    <x v="0"/>
    <x v="0"/>
  </r>
  <r>
    <s v="ORD01643"/>
    <x v="102"/>
    <x v="0"/>
    <s v="Budi Hidayat"/>
    <s v="Wamena"/>
    <x v="24"/>
    <n v="45000"/>
    <n v="2"/>
    <n v="15"/>
    <n v="90000"/>
    <n v="13500"/>
    <n v="76500"/>
    <n v="15000"/>
    <n v="91500"/>
    <x v="1"/>
    <x v="0"/>
    <x v="1"/>
    <n v="2"/>
    <x v="1"/>
    <x v="1"/>
  </r>
  <r>
    <s v="ORD00422"/>
    <x v="103"/>
    <x v="0"/>
    <s v="Gita Utami"/>
    <s v="Pangkalpinang"/>
    <x v="1"/>
    <n v="5000"/>
    <n v="5"/>
    <n v="5"/>
    <n v="25000"/>
    <n v="1250"/>
    <n v="23750"/>
    <n v="18000"/>
    <n v="41750"/>
    <x v="2"/>
    <x v="0"/>
    <x v="1"/>
    <n v="1"/>
    <x v="0"/>
    <x v="0"/>
  </r>
  <r>
    <s v="ORD00200"/>
    <x v="104"/>
    <x v="0"/>
    <s v="Zahra Maulana"/>
    <s v="Wamena"/>
    <x v="19"/>
    <n v="22000"/>
    <n v="4"/>
    <n v="5"/>
    <n v="88000"/>
    <n v="4400"/>
    <n v="83600"/>
    <n v="15000"/>
    <n v="98600"/>
    <x v="3"/>
    <x v="0"/>
    <x v="0"/>
    <n v="3"/>
    <x v="0"/>
    <x v="0"/>
  </r>
  <r>
    <s v="ORD00029"/>
    <x v="105"/>
    <x v="0"/>
    <s v="Galih Halim"/>
    <s v="Samarinda"/>
    <x v="22"/>
    <n v="18000"/>
    <n v="4"/>
    <n v="5"/>
    <n v="72000"/>
    <n v="3600"/>
    <n v="68400"/>
    <n v="43000"/>
    <n v="111400"/>
    <x v="0"/>
    <x v="1"/>
    <x v="3"/>
    <n v="3"/>
    <x v="1"/>
    <x v="0"/>
  </r>
  <r>
    <s v="ORD00612"/>
    <x v="106"/>
    <x v="0"/>
    <s v="Sari Puspita"/>
    <s v="Jakarta"/>
    <x v="17"/>
    <n v="30000"/>
    <n v="5"/>
    <n v="0"/>
    <n v="150000"/>
    <n v="0"/>
    <n v="150000"/>
    <n v="97000"/>
    <n v="247000"/>
    <x v="0"/>
    <x v="2"/>
    <x v="1"/>
    <n v="3"/>
    <x v="0"/>
    <x v="0"/>
  </r>
  <r>
    <s v="ORD01558"/>
    <x v="107"/>
    <x v="0"/>
    <s v="Tono Fauziah"/>
    <s v="Serang"/>
    <x v="23"/>
    <n v="10000"/>
    <n v="1"/>
    <n v="10"/>
    <n v="10000"/>
    <n v="1000"/>
    <n v="9000"/>
    <n v="57000"/>
    <n v="66000"/>
    <x v="1"/>
    <x v="0"/>
    <x v="4"/>
    <n v="4"/>
    <x v="1"/>
    <x v="0"/>
  </r>
  <r>
    <s v="ORD00874"/>
    <x v="108"/>
    <x v="0"/>
    <s v="Bella Hidayat"/>
    <s v="Medan"/>
    <x v="25"/>
    <n v="35000"/>
    <n v="4"/>
    <n v="15"/>
    <n v="140000"/>
    <n v="21000"/>
    <n v="119000"/>
    <n v="79000"/>
    <n v="198000"/>
    <x v="0"/>
    <x v="1"/>
    <x v="2"/>
    <n v="1"/>
    <x v="0"/>
    <x v="2"/>
  </r>
  <r>
    <s v="ORD01816"/>
    <x v="109"/>
    <x v="0"/>
    <s v="Arif Rahmawati"/>
    <s v="Palangka Raya"/>
    <x v="10"/>
    <n v="15000"/>
    <n v="1"/>
    <n v="15"/>
    <n v="15000"/>
    <n v="2250"/>
    <n v="12750"/>
    <n v="50000"/>
    <n v="62750"/>
    <x v="3"/>
    <x v="0"/>
    <x v="0"/>
    <n v="4"/>
    <x v="1"/>
    <x v="0"/>
  </r>
  <r>
    <s v="ORD01610"/>
    <x v="110"/>
    <x v="0"/>
    <s v="Ani Ramadhani"/>
    <s v="Sofifi"/>
    <x v="1"/>
    <n v="5000"/>
    <n v="3"/>
    <n v="15"/>
    <n v="15000"/>
    <n v="2250"/>
    <n v="12750"/>
    <n v="50000"/>
    <n v="62750"/>
    <x v="2"/>
    <x v="1"/>
    <x v="0"/>
    <n v="1"/>
    <x v="0"/>
    <x v="0"/>
  </r>
  <r>
    <s v="ORD01163"/>
    <x v="111"/>
    <x v="0"/>
    <s v="Clara Utami"/>
    <s v="Pangkalpinang"/>
    <x v="0"/>
    <n v="45000"/>
    <n v="1"/>
    <n v="5"/>
    <n v="45000"/>
    <n v="2250"/>
    <n v="42750"/>
    <n v="18000"/>
    <n v="60750"/>
    <x v="1"/>
    <x v="1"/>
    <x v="1"/>
    <n v="4"/>
    <x v="0"/>
    <x v="0"/>
  </r>
  <r>
    <s v="ORD00114"/>
    <x v="112"/>
    <x v="0"/>
    <s v="Vina Halim"/>
    <s v="Jambi"/>
    <x v="14"/>
    <n v="35000"/>
    <n v="1"/>
    <n v="10"/>
    <n v="35000"/>
    <n v="3500"/>
    <n v="31500"/>
    <n v="87000"/>
    <n v="118500"/>
    <x v="1"/>
    <x v="0"/>
    <x v="4"/>
    <n v="1"/>
    <x v="0"/>
    <x v="0"/>
  </r>
  <r>
    <s v="ORD00679"/>
    <x v="113"/>
    <x v="0"/>
    <s v="Sari Puspita"/>
    <s v="Jakarta"/>
    <x v="3"/>
    <n v="28000"/>
    <n v="4"/>
    <n v="0"/>
    <n v="112000"/>
    <n v="0"/>
    <n v="112000"/>
    <n v="97000"/>
    <n v="209000"/>
    <x v="2"/>
    <x v="0"/>
    <x v="2"/>
    <n v="2"/>
    <x v="0"/>
    <x v="0"/>
  </r>
  <r>
    <s v="ORD00186"/>
    <x v="114"/>
    <x v="0"/>
    <s v="Dewi Ananda"/>
    <s v="Palangka Raya"/>
    <x v="26"/>
    <n v="18000"/>
    <n v="1"/>
    <n v="20"/>
    <n v="18000"/>
    <n v="3600"/>
    <n v="14400"/>
    <n v="50000"/>
    <n v="64400"/>
    <x v="0"/>
    <x v="0"/>
    <x v="3"/>
    <n v="3"/>
    <x v="0"/>
    <x v="0"/>
  </r>
  <r>
    <s v="ORD00186"/>
    <x v="114"/>
    <x v="0"/>
    <s v="Dewi Ananda"/>
    <s v="Palangka Raya"/>
    <x v="4"/>
    <n v="4000"/>
    <n v="3"/>
    <n v="10"/>
    <n v="12000"/>
    <n v="1200"/>
    <n v="10800"/>
    <n v="0"/>
    <n v="10800"/>
    <x v="0"/>
    <x v="0"/>
    <x v="3"/>
    <n v="3"/>
    <x v="0"/>
    <x v="0"/>
  </r>
  <r>
    <s v="ORD00699"/>
    <x v="115"/>
    <x v="0"/>
    <s v="Ani Maulana"/>
    <s v="Nabire"/>
    <x v="13"/>
    <n v="17000"/>
    <n v="5"/>
    <n v="5"/>
    <n v="85000"/>
    <n v="4250"/>
    <n v="80750"/>
    <n v="89000"/>
    <n v="169750"/>
    <x v="2"/>
    <x v="0"/>
    <x v="0"/>
    <n v="4"/>
    <x v="0"/>
    <x v="0"/>
  </r>
  <r>
    <s v="ORD01751"/>
    <x v="116"/>
    <x v="0"/>
    <s v="Dimas Budiman"/>
    <s v="Jakarta"/>
    <x v="14"/>
    <n v="35000"/>
    <n v="4"/>
    <n v="0"/>
    <n v="140000"/>
    <n v="0"/>
    <n v="140000"/>
    <n v="97000"/>
    <n v="237000"/>
    <x v="0"/>
    <x v="0"/>
    <x v="0"/>
    <n v="1"/>
    <x v="1"/>
    <x v="0"/>
  </r>
  <r>
    <s v="ORD01833"/>
    <x v="117"/>
    <x v="0"/>
    <s v="Citra Maulana"/>
    <s v="Bengkulu"/>
    <x v="5"/>
    <n v="40000"/>
    <n v="4"/>
    <n v="0"/>
    <n v="160000"/>
    <n v="0"/>
    <n v="160000"/>
    <n v="72000"/>
    <n v="232000"/>
    <x v="2"/>
    <x v="0"/>
    <x v="4"/>
    <n v="3"/>
    <x v="0"/>
    <x v="0"/>
  </r>
  <r>
    <s v="ORD00378"/>
    <x v="118"/>
    <x v="0"/>
    <s v="Citra Maulana"/>
    <s v="Bengkulu"/>
    <x v="8"/>
    <n v="16000"/>
    <n v="1"/>
    <n v="15"/>
    <n v="16000"/>
    <n v="2400"/>
    <n v="13600"/>
    <n v="72000"/>
    <n v="85600"/>
    <x v="2"/>
    <x v="1"/>
    <x v="4"/>
    <n v="1"/>
    <x v="0"/>
    <x v="0"/>
  </r>
  <r>
    <s v="ORD00215"/>
    <x v="119"/>
    <x v="0"/>
    <s v="Dewi Hidayat"/>
    <s v="Manokwari"/>
    <x v="24"/>
    <n v="45000"/>
    <n v="4"/>
    <n v="10"/>
    <n v="180000"/>
    <n v="18000"/>
    <n v="162000"/>
    <n v="18000"/>
    <n v="180000"/>
    <x v="1"/>
    <x v="0"/>
    <x v="2"/>
    <n v="1"/>
    <x v="0"/>
    <x v="2"/>
  </r>
  <r>
    <s v="ORD00215"/>
    <x v="119"/>
    <x v="0"/>
    <s v="Dewi Hidayat"/>
    <s v="Manokwari"/>
    <x v="7"/>
    <n v="16000"/>
    <n v="3"/>
    <n v="10"/>
    <n v="48000"/>
    <n v="4800"/>
    <n v="43200"/>
    <n v="0"/>
    <n v="43200"/>
    <x v="1"/>
    <x v="0"/>
    <x v="2"/>
    <n v="1"/>
    <x v="0"/>
    <x v="0"/>
  </r>
  <r>
    <s v="ORD00336"/>
    <x v="120"/>
    <x v="0"/>
    <s v="Vina Saputra"/>
    <s v="Gorontalo"/>
    <x v="23"/>
    <n v="10000"/>
    <n v="3"/>
    <n v="5"/>
    <n v="30000"/>
    <n v="1500"/>
    <n v="28500"/>
    <n v="80000"/>
    <n v="108500"/>
    <x v="3"/>
    <x v="0"/>
    <x v="0"/>
    <n v="2"/>
    <x v="0"/>
    <x v="0"/>
  </r>
  <r>
    <s v="ORD01674"/>
    <x v="121"/>
    <x v="0"/>
    <s v="Rizky Budiman"/>
    <s v="Gorontalo"/>
    <x v="13"/>
    <n v="17000"/>
    <n v="5"/>
    <n v="15"/>
    <n v="85000"/>
    <n v="12750"/>
    <n v="72250"/>
    <n v="80000"/>
    <n v="152250"/>
    <x v="2"/>
    <x v="1"/>
    <x v="0"/>
    <n v="1"/>
    <x v="1"/>
    <x v="1"/>
  </r>
  <r>
    <s v="ORD00533"/>
    <x v="122"/>
    <x v="0"/>
    <s v="Hana Wijaya"/>
    <s v="Sorong"/>
    <x v="13"/>
    <n v="17000"/>
    <n v="4"/>
    <n v="10"/>
    <n v="68000"/>
    <n v="6800"/>
    <n v="61200"/>
    <n v="87000"/>
    <n v="148200"/>
    <x v="2"/>
    <x v="0"/>
    <x v="3"/>
    <n v="1"/>
    <x v="0"/>
    <x v="1"/>
  </r>
  <r>
    <s v="ORD00128"/>
    <x v="123"/>
    <x v="0"/>
    <s v="Fitri Ramadhani"/>
    <s v="Surabaya"/>
    <x v="6"/>
    <n v="14000"/>
    <n v="2"/>
    <n v="5"/>
    <n v="28000"/>
    <n v="1400"/>
    <n v="26600"/>
    <n v="74000"/>
    <n v="100600"/>
    <x v="2"/>
    <x v="0"/>
    <x v="1"/>
    <n v="1"/>
    <x v="0"/>
    <x v="0"/>
  </r>
  <r>
    <s v="ORD00956"/>
    <x v="124"/>
    <x v="0"/>
    <s v="Dewi Pradipta"/>
    <s v="Pontianak"/>
    <x v="18"/>
    <n v="6000"/>
    <n v="5"/>
    <n v="15"/>
    <n v="30000"/>
    <n v="4500"/>
    <n v="25500"/>
    <n v="85000"/>
    <n v="110500"/>
    <x v="3"/>
    <x v="0"/>
    <x v="0"/>
    <n v="2"/>
    <x v="0"/>
    <x v="0"/>
  </r>
  <r>
    <s v="ORD01063"/>
    <x v="125"/>
    <x v="0"/>
    <s v="Sari Puspita"/>
    <s v="Jakarta"/>
    <x v="19"/>
    <n v="22000"/>
    <n v="4"/>
    <n v="20"/>
    <n v="88000"/>
    <n v="17600"/>
    <n v="70400"/>
    <n v="97000"/>
    <n v="167400"/>
    <x v="3"/>
    <x v="0"/>
    <x v="1"/>
    <n v="3"/>
    <x v="0"/>
    <x v="2"/>
  </r>
  <r>
    <s v="ORD01770"/>
    <x v="126"/>
    <x v="0"/>
    <s v="Rizky Ramadhani"/>
    <s v="Pangkalpinang"/>
    <x v="6"/>
    <n v="14000"/>
    <n v="4"/>
    <n v="10"/>
    <n v="56000"/>
    <n v="5600"/>
    <n v="50400"/>
    <n v="18000"/>
    <n v="68400"/>
    <x v="3"/>
    <x v="0"/>
    <x v="3"/>
    <n v="3"/>
    <x v="1"/>
    <x v="1"/>
  </r>
  <r>
    <s v="ORD00455"/>
    <x v="127"/>
    <x v="0"/>
    <s v="Bella Iskandar"/>
    <s v="Kendari"/>
    <x v="2"/>
    <n v="16000"/>
    <n v="5"/>
    <n v="0"/>
    <n v="80000"/>
    <n v="0"/>
    <n v="80000"/>
    <n v="59000"/>
    <n v="139000"/>
    <x v="2"/>
    <x v="2"/>
    <x v="0"/>
    <n v="3"/>
    <x v="0"/>
    <x v="0"/>
  </r>
  <r>
    <s v="ORD01052"/>
    <x v="128"/>
    <x v="0"/>
    <s v="Fitri Wijaya"/>
    <s v="Serang"/>
    <x v="12"/>
    <n v="55000"/>
    <n v="2"/>
    <n v="0"/>
    <n v="110000"/>
    <n v="0"/>
    <n v="110000"/>
    <n v="57000"/>
    <n v="167000"/>
    <x v="1"/>
    <x v="0"/>
    <x v="0"/>
    <n v="5"/>
    <x v="0"/>
    <x v="0"/>
  </r>
  <r>
    <s v="ORD00155"/>
    <x v="129"/>
    <x v="0"/>
    <s v="Dewi Santoso"/>
    <s v="Mamuju"/>
    <x v="26"/>
    <n v="18000"/>
    <n v="3"/>
    <n v="15"/>
    <n v="54000"/>
    <n v="8100"/>
    <n v="45900"/>
    <n v="46000"/>
    <n v="91900"/>
    <x v="2"/>
    <x v="0"/>
    <x v="2"/>
    <n v="1"/>
    <x v="0"/>
    <x v="1"/>
  </r>
  <r>
    <s v="ORD00155"/>
    <x v="129"/>
    <x v="0"/>
    <s v="Dewi Santoso"/>
    <s v="Mamuju"/>
    <x v="14"/>
    <n v="35000"/>
    <n v="3"/>
    <n v="20"/>
    <n v="105000"/>
    <n v="21000"/>
    <n v="84000"/>
    <n v="0"/>
    <n v="84000"/>
    <x v="2"/>
    <x v="0"/>
    <x v="2"/>
    <n v="1"/>
    <x v="0"/>
    <x v="2"/>
  </r>
  <r>
    <s v="ORD00716"/>
    <x v="130"/>
    <x v="0"/>
    <s v="Hendra Wijaya"/>
    <s v="Wamena"/>
    <x v="5"/>
    <n v="40000"/>
    <n v="2"/>
    <n v="15"/>
    <n v="80000"/>
    <n v="12000"/>
    <n v="68000"/>
    <n v="15000"/>
    <n v="83000"/>
    <x v="2"/>
    <x v="0"/>
    <x v="3"/>
    <n v="5"/>
    <x v="1"/>
    <x v="1"/>
  </r>
  <r>
    <s v="ORD01014"/>
    <x v="131"/>
    <x v="0"/>
    <s v="Wahyu Pradipta"/>
    <s v="Jakarta"/>
    <x v="14"/>
    <n v="35000"/>
    <n v="2"/>
    <n v="5"/>
    <n v="70000"/>
    <n v="3500"/>
    <n v="66500"/>
    <n v="97000"/>
    <n v="163500"/>
    <x v="2"/>
    <x v="0"/>
    <x v="1"/>
    <n v="5"/>
    <x v="1"/>
    <x v="0"/>
  </r>
  <r>
    <s v="ORD01308"/>
    <x v="132"/>
    <x v="0"/>
    <s v="Bayu Fauziah"/>
    <s v="Surabaya"/>
    <x v="19"/>
    <n v="22000"/>
    <n v="5"/>
    <n v="0"/>
    <n v="110000"/>
    <n v="0"/>
    <n v="110000"/>
    <n v="74000"/>
    <n v="184000"/>
    <x v="3"/>
    <x v="0"/>
    <x v="4"/>
    <n v="5"/>
    <x v="1"/>
    <x v="0"/>
  </r>
  <r>
    <s v="ORD00585"/>
    <x v="133"/>
    <x v="0"/>
    <s v="Gita Syahputra"/>
    <s v="Merauke"/>
    <x v="9"/>
    <n v="50000"/>
    <n v="3"/>
    <n v="5"/>
    <n v="150000"/>
    <n v="7500"/>
    <n v="142500"/>
    <n v="59000"/>
    <n v="201500"/>
    <x v="2"/>
    <x v="0"/>
    <x v="3"/>
    <n v="1"/>
    <x v="0"/>
    <x v="1"/>
  </r>
  <r>
    <s v="ORD01638"/>
    <x v="134"/>
    <x v="0"/>
    <s v="Erna Hidayat"/>
    <s v="Bandar Lampung"/>
    <x v="1"/>
    <n v="5000"/>
    <n v="1"/>
    <n v="5"/>
    <n v="5000"/>
    <n v="250"/>
    <n v="4750"/>
    <n v="28000"/>
    <n v="32750"/>
    <x v="1"/>
    <x v="0"/>
    <x v="0"/>
    <n v="2"/>
    <x v="0"/>
    <x v="0"/>
  </r>
  <r>
    <s v="ORD01844"/>
    <x v="135"/>
    <x v="0"/>
    <s v="Joko Ananda"/>
    <s v="Makassar"/>
    <x v="16"/>
    <n v="25000"/>
    <n v="5"/>
    <n v="15"/>
    <n v="125000"/>
    <n v="18750"/>
    <n v="106250"/>
    <n v="84000"/>
    <n v="190250"/>
    <x v="3"/>
    <x v="0"/>
    <x v="1"/>
    <n v="2"/>
    <x v="1"/>
    <x v="2"/>
  </r>
  <r>
    <s v="ORD00023"/>
    <x v="136"/>
    <x v="0"/>
    <s v="Nanda Fauziah"/>
    <s v="Merauke"/>
    <x v="26"/>
    <n v="18000"/>
    <n v="2"/>
    <n v="20"/>
    <n v="36000"/>
    <n v="7200"/>
    <n v="28800"/>
    <n v="59000"/>
    <n v="87800"/>
    <x v="3"/>
    <x v="0"/>
    <x v="0"/>
    <n v="1"/>
    <x v="1"/>
    <x v="1"/>
  </r>
  <r>
    <s v="ORD01723"/>
    <x v="137"/>
    <x v="0"/>
    <s v="Gita Wijaya"/>
    <s v="Sorong"/>
    <x v="9"/>
    <n v="50000"/>
    <n v="1"/>
    <n v="15"/>
    <n v="50000"/>
    <n v="7500"/>
    <n v="42500"/>
    <n v="87000"/>
    <n v="129500"/>
    <x v="3"/>
    <x v="0"/>
    <x v="1"/>
    <n v="5"/>
    <x v="0"/>
    <x v="1"/>
  </r>
  <r>
    <s v="ORD00286"/>
    <x v="138"/>
    <x v="0"/>
    <s v="Fitri Rahmawati"/>
    <s v="Medan"/>
    <x v="14"/>
    <n v="35000"/>
    <n v="1"/>
    <n v="10"/>
    <n v="35000"/>
    <n v="3500"/>
    <n v="31500"/>
    <n v="79000"/>
    <n v="110500"/>
    <x v="2"/>
    <x v="0"/>
    <x v="1"/>
    <n v="1"/>
    <x v="0"/>
    <x v="0"/>
  </r>
  <r>
    <s v="ORD00927"/>
    <x v="139"/>
    <x v="0"/>
    <s v="Ani Fauziah"/>
    <s v="Jakarta"/>
    <x v="25"/>
    <n v="35000"/>
    <n v="2"/>
    <n v="10"/>
    <n v="70000"/>
    <n v="7000"/>
    <n v="63000"/>
    <n v="97000"/>
    <n v="160000"/>
    <x v="3"/>
    <x v="0"/>
    <x v="1"/>
    <n v="1"/>
    <x v="0"/>
    <x v="1"/>
  </r>
  <r>
    <s v="ORD00754"/>
    <x v="140"/>
    <x v="0"/>
    <s v="Qori Syahputra"/>
    <s v="Jayapura"/>
    <x v="10"/>
    <n v="15000"/>
    <n v="5"/>
    <n v="20"/>
    <n v="75000"/>
    <n v="15000"/>
    <n v="60000"/>
    <n v="30000"/>
    <n v="90000"/>
    <x v="1"/>
    <x v="0"/>
    <x v="4"/>
    <n v="4"/>
    <x v="0"/>
    <x v="1"/>
  </r>
  <r>
    <s v="ORD00014"/>
    <x v="141"/>
    <x v="0"/>
    <s v="Nanda Setiawan"/>
    <s v="Sorong"/>
    <x v="6"/>
    <n v="14000"/>
    <n v="4"/>
    <n v="5"/>
    <n v="56000"/>
    <n v="2800"/>
    <n v="53200"/>
    <n v="87000"/>
    <n v="140200"/>
    <x v="0"/>
    <x v="0"/>
    <x v="3"/>
    <n v="4"/>
    <x v="1"/>
    <x v="0"/>
  </r>
  <r>
    <s v="ORD00014"/>
    <x v="141"/>
    <x v="0"/>
    <s v="Nanda Setiawan"/>
    <s v="Sorong"/>
    <x v="26"/>
    <n v="18000"/>
    <n v="3"/>
    <n v="0"/>
    <n v="54000"/>
    <n v="0"/>
    <n v="54000"/>
    <n v="0"/>
    <n v="54000"/>
    <x v="0"/>
    <x v="0"/>
    <x v="3"/>
    <n v="4"/>
    <x v="1"/>
    <x v="0"/>
  </r>
  <r>
    <s v="ORD00746"/>
    <x v="142"/>
    <x v="0"/>
    <s v="Aulia Rahmawati"/>
    <s v="Jambi"/>
    <x v="26"/>
    <n v="18000"/>
    <n v="1"/>
    <n v="20"/>
    <n v="18000"/>
    <n v="3600"/>
    <n v="14400"/>
    <n v="87000"/>
    <n v="101400"/>
    <x v="1"/>
    <x v="1"/>
    <x v="3"/>
    <n v="3"/>
    <x v="0"/>
    <x v="0"/>
  </r>
  <r>
    <s v="ORD00229"/>
    <x v="143"/>
    <x v="0"/>
    <s v="Fitri Iskandar"/>
    <s v="Kendari"/>
    <x v="0"/>
    <n v="45000"/>
    <n v="1"/>
    <n v="10"/>
    <n v="45000"/>
    <n v="4500"/>
    <n v="40500"/>
    <n v="59000"/>
    <n v="99500"/>
    <x v="3"/>
    <x v="0"/>
    <x v="2"/>
    <n v="4"/>
    <x v="0"/>
    <x v="0"/>
  </r>
  <r>
    <s v="ORD00229"/>
    <x v="143"/>
    <x v="0"/>
    <s v="Fitri Iskandar"/>
    <s v="Kendari"/>
    <x v="0"/>
    <n v="45000"/>
    <n v="1"/>
    <n v="0"/>
    <n v="45000"/>
    <n v="0"/>
    <n v="45000"/>
    <n v="0"/>
    <n v="45000"/>
    <x v="3"/>
    <x v="0"/>
    <x v="2"/>
    <n v="4"/>
    <x v="0"/>
    <x v="0"/>
  </r>
  <r>
    <s v="ORD01201"/>
    <x v="144"/>
    <x v="0"/>
    <s v="Gita Saputra"/>
    <s v="Bengkulu"/>
    <x v="5"/>
    <n v="40000"/>
    <n v="3"/>
    <n v="5"/>
    <n v="120000"/>
    <n v="6000"/>
    <n v="114000"/>
    <n v="72000"/>
    <n v="186000"/>
    <x v="3"/>
    <x v="1"/>
    <x v="4"/>
    <n v="2"/>
    <x v="0"/>
    <x v="1"/>
  </r>
  <r>
    <s v="ORD00156"/>
    <x v="145"/>
    <x v="0"/>
    <s v="Dina Kurniawan"/>
    <s v="Sorong"/>
    <x v="9"/>
    <n v="50000"/>
    <n v="5"/>
    <n v="15"/>
    <n v="250000"/>
    <n v="37500"/>
    <n v="212500"/>
    <n v="87000"/>
    <n v="299500"/>
    <x v="1"/>
    <x v="0"/>
    <x v="0"/>
    <n v="1"/>
    <x v="0"/>
    <x v="3"/>
  </r>
  <r>
    <s v="ORD00640"/>
    <x v="146"/>
    <x v="0"/>
    <s v="Putri Wijaya"/>
    <s v="Jayapura"/>
    <x v="10"/>
    <n v="15000"/>
    <n v="3"/>
    <n v="20"/>
    <n v="45000"/>
    <n v="9000"/>
    <n v="36000"/>
    <n v="30000"/>
    <n v="66000"/>
    <x v="2"/>
    <x v="0"/>
    <x v="4"/>
    <n v="5"/>
    <x v="0"/>
    <x v="1"/>
  </r>
  <r>
    <s v="ORD01106"/>
    <x v="147"/>
    <x v="0"/>
    <s v="Vina Hidayat"/>
    <s v="Nabire"/>
    <x v="8"/>
    <n v="16000"/>
    <n v="4"/>
    <n v="15"/>
    <n v="64000"/>
    <n v="9600"/>
    <n v="54400"/>
    <n v="89000"/>
    <n v="143400"/>
    <x v="2"/>
    <x v="0"/>
    <x v="3"/>
    <n v="2"/>
    <x v="0"/>
    <x v="1"/>
  </r>
  <r>
    <s v="ORD01630"/>
    <x v="148"/>
    <x v="0"/>
    <s v="Bayu Maulana"/>
    <s v="Nabire"/>
    <x v="19"/>
    <n v="22000"/>
    <n v="4"/>
    <n v="5"/>
    <n v="88000"/>
    <n v="4400"/>
    <n v="83600"/>
    <n v="89000"/>
    <n v="172600"/>
    <x v="1"/>
    <x v="0"/>
    <x v="3"/>
    <n v="5"/>
    <x v="1"/>
    <x v="0"/>
  </r>
  <r>
    <s v="ORD01485"/>
    <x v="149"/>
    <x v="0"/>
    <s v="Ani Ananda"/>
    <s v="Serang"/>
    <x v="12"/>
    <n v="55000"/>
    <n v="1"/>
    <n v="5"/>
    <n v="55000"/>
    <n v="2750"/>
    <n v="52250"/>
    <n v="57000"/>
    <n v="109250"/>
    <x v="2"/>
    <x v="0"/>
    <x v="1"/>
    <n v="2"/>
    <x v="0"/>
    <x v="0"/>
  </r>
  <r>
    <s v="ORD00868"/>
    <x v="150"/>
    <x v="0"/>
    <s v="Eka Wijaya"/>
    <s v="Tanjung Selor"/>
    <x v="21"/>
    <n v="17000"/>
    <n v="3"/>
    <n v="20"/>
    <n v="51000"/>
    <n v="10200"/>
    <n v="40800"/>
    <n v="26000"/>
    <n v="66800"/>
    <x v="3"/>
    <x v="0"/>
    <x v="0"/>
    <n v="3"/>
    <x v="0"/>
    <x v="1"/>
  </r>
  <r>
    <s v="ORD01149"/>
    <x v="151"/>
    <x v="0"/>
    <s v="Putri Wijaya"/>
    <s v="Jayapura"/>
    <x v="18"/>
    <n v="6000"/>
    <n v="3"/>
    <n v="15"/>
    <n v="18000"/>
    <n v="2700"/>
    <n v="15300"/>
    <n v="30000"/>
    <n v="45300"/>
    <x v="3"/>
    <x v="0"/>
    <x v="2"/>
    <n v="5"/>
    <x v="0"/>
    <x v="0"/>
  </r>
  <r>
    <s v="ORD01707"/>
    <x v="152"/>
    <x v="0"/>
    <s v="Oka Santoso"/>
    <s v="Manokwari"/>
    <x v="15"/>
    <n v="14000"/>
    <n v="1"/>
    <n v="0"/>
    <n v="14000"/>
    <n v="0"/>
    <n v="14000"/>
    <n v="18000"/>
    <n v="32000"/>
    <x v="2"/>
    <x v="0"/>
    <x v="2"/>
    <n v="5"/>
    <x v="1"/>
    <x v="0"/>
  </r>
  <r>
    <s v="ORD01697"/>
    <x v="153"/>
    <x v="0"/>
    <s v="Rizky Ramadhani"/>
    <s v="Pangkalpinang"/>
    <x v="24"/>
    <n v="45000"/>
    <n v="4"/>
    <n v="15"/>
    <n v="180000"/>
    <n v="27000"/>
    <n v="153000"/>
    <n v="18000"/>
    <n v="171000"/>
    <x v="1"/>
    <x v="0"/>
    <x v="2"/>
    <n v="5"/>
    <x v="1"/>
    <x v="2"/>
  </r>
  <r>
    <s v="ORD00483"/>
    <x v="154"/>
    <x v="0"/>
    <s v="Bella Budiman"/>
    <s v="Palembang"/>
    <x v="23"/>
    <n v="10000"/>
    <n v="3"/>
    <n v="0"/>
    <n v="30000"/>
    <n v="0"/>
    <n v="30000"/>
    <n v="17000"/>
    <n v="47000"/>
    <x v="0"/>
    <x v="0"/>
    <x v="2"/>
    <n v="3"/>
    <x v="0"/>
    <x v="0"/>
  </r>
  <r>
    <s v="ORD00272"/>
    <x v="155"/>
    <x v="0"/>
    <s v="Yani Pradipta"/>
    <s v="Palembang"/>
    <x v="16"/>
    <n v="25000"/>
    <n v="1"/>
    <n v="5"/>
    <n v="25000"/>
    <n v="1250"/>
    <n v="23750"/>
    <n v="17000"/>
    <n v="40750"/>
    <x v="2"/>
    <x v="0"/>
    <x v="1"/>
    <n v="2"/>
    <x v="0"/>
    <x v="0"/>
  </r>
  <r>
    <s v="ORD01104"/>
    <x v="156"/>
    <x v="0"/>
    <s v="Andi Wijaya"/>
    <s v="Kupang"/>
    <x v="18"/>
    <n v="6000"/>
    <n v="5"/>
    <n v="5"/>
    <n v="30000"/>
    <n v="1500"/>
    <n v="28500"/>
    <n v="21000"/>
    <n v="49500"/>
    <x v="3"/>
    <x v="0"/>
    <x v="4"/>
    <n v="4"/>
    <x v="1"/>
    <x v="0"/>
  </r>
  <r>
    <s v="ORD00522"/>
    <x v="157"/>
    <x v="0"/>
    <s v="Dewi Halim"/>
    <s v="Tanjungpinang"/>
    <x v="14"/>
    <n v="35000"/>
    <n v="5"/>
    <n v="15"/>
    <n v="175000"/>
    <n v="26250"/>
    <n v="148750"/>
    <n v="48000"/>
    <n v="196750"/>
    <x v="1"/>
    <x v="0"/>
    <x v="3"/>
    <n v="4"/>
    <x v="0"/>
    <x v="2"/>
  </r>
  <r>
    <s v="ORD00807"/>
    <x v="158"/>
    <x v="0"/>
    <s v="Qori Saputra"/>
    <s v="Palembang"/>
    <x v="25"/>
    <n v="35000"/>
    <n v="5"/>
    <n v="10"/>
    <n v="175000"/>
    <n v="17500"/>
    <n v="157500"/>
    <n v="17000"/>
    <n v="174500"/>
    <x v="2"/>
    <x v="0"/>
    <x v="3"/>
    <n v="2"/>
    <x v="0"/>
    <x v="2"/>
  </r>
  <r>
    <s v="ORD00269"/>
    <x v="159"/>
    <x v="0"/>
    <s v="Yani Santoso"/>
    <s v="Pontianak"/>
    <x v="4"/>
    <n v="4000"/>
    <n v="2"/>
    <n v="0"/>
    <n v="8000"/>
    <n v="0"/>
    <n v="8000"/>
    <n v="85000"/>
    <n v="93000"/>
    <x v="3"/>
    <x v="1"/>
    <x v="0"/>
    <n v="3"/>
    <x v="0"/>
    <x v="0"/>
  </r>
  <r>
    <s v="ORD00733"/>
    <x v="160"/>
    <x v="0"/>
    <s v="Aulia Utami"/>
    <s v="Yogyakarta"/>
    <x v="5"/>
    <n v="40000"/>
    <n v="4"/>
    <n v="5"/>
    <n v="160000"/>
    <n v="8000"/>
    <n v="152000"/>
    <n v="78000"/>
    <n v="230000"/>
    <x v="2"/>
    <x v="0"/>
    <x v="0"/>
    <n v="5"/>
    <x v="0"/>
    <x v="1"/>
  </r>
  <r>
    <s v="ORD00544"/>
    <x v="161"/>
    <x v="0"/>
    <s v="Dewi Budiman"/>
    <s v="Kupang"/>
    <x v="11"/>
    <n v="40000"/>
    <n v="2"/>
    <n v="15"/>
    <n v="80000"/>
    <n v="12000"/>
    <n v="68000"/>
    <n v="21000"/>
    <n v="89000"/>
    <x v="3"/>
    <x v="2"/>
    <x v="4"/>
    <n v="5"/>
    <x v="0"/>
    <x v="1"/>
  </r>
  <r>
    <s v="ORD00910"/>
    <x v="162"/>
    <x v="0"/>
    <s v="Eko Pradipta"/>
    <s v="Samarinda"/>
    <x v="9"/>
    <n v="50000"/>
    <n v="1"/>
    <n v="5"/>
    <n v="50000"/>
    <n v="2500"/>
    <n v="47500"/>
    <n v="43000"/>
    <n v="90500"/>
    <x v="2"/>
    <x v="0"/>
    <x v="2"/>
    <n v="3"/>
    <x v="1"/>
    <x v="0"/>
  </r>
  <r>
    <s v="ORD00305"/>
    <x v="163"/>
    <x v="0"/>
    <s v="Dina Kusuma"/>
    <s v="Tanjungpinang"/>
    <x v="24"/>
    <n v="45000"/>
    <n v="5"/>
    <n v="10"/>
    <n v="225000"/>
    <n v="22500"/>
    <n v="202500"/>
    <n v="48000"/>
    <n v="250500"/>
    <x v="1"/>
    <x v="0"/>
    <x v="0"/>
    <n v="4"/>
    <x v="0"/>
    <x v="2"/>
  </r>
  <r>
    <s v="ORD01334"/>
    <x v="164"/>
    <x v="0"/>
    <s v="Fitri Puspita"/>
    <s v="Yogyakarta"/>
    <x v="24"/>
    <n v="45000"/>
    <n v="3"/>
    <n v="0"/>
    <n v="135000"/>
    <n v="0"/>
    <n v="135000"/>
    <n v="78000"/>
    <n v="213000"/>
    <x v="2"/>
    <x v="0"/>
    <x v="3"/>
    <n v="5"/>
    <x v="0"/>
    <x v="0"/>
  </r>
  <r>
    <s v="ORD00383"/>
    <x v="165"/>
    <x v="0"/>
    <s v="Ani Fauziah"/>
    <s v="Jakarta"/>
    <x v="6"/>
    <n v="14000"/>
    <n v="4"/>
    <n v="0"/>
    <n v="56000"/>
    <n v="0"/>
    <n v="56000"/>
    <n v="97000"/>
    <n v="153000"/>
    <x v="2"/>
    <x v="1"/>
    <x v="3"/>
    <n v="1"/>
    <x v="0"/>
    <x v="0"/>
  </r>
  <r>
    <s v="ORD00383"/>
    <x v="165"/>
    <x v="0"/>
    <s v="Ani Fauziah"/>
    <s v="Jakarta"/>
    <x v="21"/>
    <n v="17000"/>
    <n v="5"/>
    <n v="0"/>
    <n v="85000"/>
    <n v="0"/>
    <n v="85000"/>
    <n v="0"/>
    <n v="85000"/>
    <x v="2"/>
    <x v="1"/>
    <x v="3"/>
    <n v="1"/>
    <x v="0"/>
    <x v="0"/>
  </r>
  <r>
    <s v="ORD01601"/>
    <x v="166"/>
    <x v="0"/>
    <s v="Bella Saputra"/>
    <s v="Banda Aceh"/>
    <x v="17"/>
    <n v="30000"/>
    <n v="5"/>
    <n v="5"/>
    <n v="150000"/>
    <n v="7500"/>
    <n v="142500"/>
    <n v="18000"/>
    <n v="160500"/>
    <x v="0"/>
    <x v="0"/>
    <x v="1"/>
    <n v="2"/>
    <x v="0"/>
    <x v="1"/>
  </r>
  <r>
    <s v="ORD01477"/>
    <x v="167"/>
    <x v="0"/>
    <s v="Made Fauziah"/>
    <s v="Kendari"/>
    <x v="8"/>
    <n v="16000"/>
    <n v="1"/>
    <n v="20"/>
    <n v="16000"/>
    <n v="3200"/>
    <n v="12800"/>
    <n v="59000"/>
    <n v="71800"/>
    <x v="3"/>
    <x v="0"/>
    <x v="4"/>
    <n v="4"/>
    <x v="1"/>
    <x v="0"/>
  </r>
  <r>
    <s v="ORD01232"/>
    <x v="168"/>
    <x v="0"/>
    <s v="Eka Saputra"/>
    <s v="Tanjungpinang"/>
    <x v="16"/>
    <n v="25000"/>
    <n v="3"/>
    <n v="20"/>
    <n v="75000"/>
    <n v="15000"/>
    <n v="60000"/>
    <n v="48000"/>
    <n v="108000"/>
    <x v="2"/>
    <x v="1"/>
    <x v="2"/>
    <n v="4"/>
    <x v="0"/>
    <x v="1"/>
  </r>
  <r>
    <s v="ORD01409"/>
    <x v="169"/>
    <x v="0"/>
    <s v="Yani Puspita"/>
    <s v="Palembang"/>
    <x v="26"/>
    <n v="18000"/>
    <n v="1"/>
    <n v="5"/>
    <n v="18000"/>
    <n v="900"/>
    <n v="17100"/>
    <n v="17000"/>
    <n v="34100"/>
    <x v="3"/>
    <x v="1"/>
    <x v="1"/>
    <n v="2"/>
    <x v="0"/>
    <x v="0"/>
  </r>
  <r>
    <s v="ORD01435"/>
    <x v="170"/>
    <x v="0"/>
    <s v="Ani Halim"/>
    <s v="Sofifi"/>
    <x v="19"/>
    <n v="22000"/>
    <n v="3"/>
    <n v="5"/>
    <n v="66000"/>
    <n v="3300"/>
    <n v="62700"/>
    <n v="50000"/>
    <n v="112700"/>
    <x v="1"/>
    <x v="0"/>
    <x v="1"/>
    <n v="2"/>
    <x v="0"/>
    <x v="0"/>
  </r>
  <r>
    <s v="ORD01804"/>
    <x v="171"/>
    <x v="0"/>
    <s v="Dimas Maulana"/>
    <s v="Mataram"/>
    <x v="0"/>
    <n v="45000"/>
    <n v="1"/>
    <n v="20"/>
    <n v="45000"/>
    <n v="9000"/>
    <n v="36000"/>
    <n v="56000"/>
    <n v="92000"/>
    <x v="0"/>
    <x v="2"/>
    <x v="4"/>
    <n v="5"/>
    <x v="1"/>
    <x v="1"/>
  </r>
  <r>
    <s v="ORD01156"/>
    <x v="172"/>
    <x v="0"/>
    <s v="Clara Kusuma"/>
    <s v="Jakarta"/>
    <x v="22"/>
    <n v="18000"/>
    <n v="2"/>
    <n v="15"/>
    <n v="36000"/>
    <n v="5400"/>
    <n v="30600"/>
    <n v="97000"/>
    <n v="127600"/>
    <x v="2"/>
    <x v="0"/>
    <x v="4"/>
    <n v="5"/>
    <x v="0"/>
    <x v="1"/>
  </r>
  <r>
    <s v="ORD00747"/>
    <x v="173"/>
    <x v="0"/>
    <s v="Qori Syahputra"/>
    <s v="Jayapura"/>
    <x v="19"/>
    <n v="22000"/>
    <n v="2"/>
    <n v="10"/>
    <n v="44000"/>
    <n v="4400"/>
    <n v="39600"/>
    <n v="30000"/>
    <n v="69600"/>
    <x v="3"/>
    <x v="0"/>
    <x v="1"/>
    <n v="1"/>
    <x v="0"/>
    <x v="0"/>
  </r>
  <r>
    <s v="ORD00278"/>
    <x v="174"/>
    <x v="0"/>
    <s v="Qori Setiawan"/>
    <s v="Jambi"/>
    <x v="17"/>
    <n v="30000"/>
    <n v="1"/>
    <n v="10"/>
    <n v="30000"/>
    <n v="3000"/>
    <n v="27000"/>
    <n v="87000"/>
    <n v="114000"/>
    <x v="0"/>
    <x v="0"/>
    <x v="2"/>
    <n v="3"/>
    <x v="0"/>
    <x v="0"/>
  </r>
  <r>
    <s v="ORD00111"/>
    <x v="175"/>
    <x v="0"/>
    <s v="Sari Halim"/>
    <s v="Banjarbaru"/>
    <x v="25"/>
    <n v="35000"/>
    <n v="4"/>
    <n v="15"/>
    <n v="140000"/>
    <n v="21000"/>
    <n v="119000"/>
    <n v="55000"/>
    <n v="174000"/>
    <x v="0"/>
    <x v="0"/>
    <x v="4"/>
    <n v="2"/>
    <x v="0"/>
    <x v="2"/>
  </r>
  <r>
    <s v="ORD00987"/>
    <x v="176"/>
    <x v="0"/>
    <s v="Zahra Santoso"/>
    <s v="Nabire"/>
    <x v="0"/>
    <n v="45000"/>
    <n v="5"/>
    <n v="10"/>
    <n v="225000"/>
    <n v="22500"/>
    <n v="202500"/>
    <n v="89000"/>
    <n v="291500"/>
    <x v="1"/>
    <x v="0"/>
    <x v="1"/>
    <n v="3"/>
    <x v="0"/>
    <x v="2"/>
  </r>
  <r>
    <s v="ORD00131"/>
    <x v="177"/>
    <x v="0"/>
    <s v="Putri Puspita"/>
    <s v="Kendari"/>
    <x v="25"/>
    <n v="35000"/>
    <n v="1"/>
    <n v="0"/>
    <n v="35000"/>
    <n v="0"/>
    <n v="35000"/>
    <n v="59000"/>
    <n v="94000"/>
    <x v="1"/>
    <x v="0"/>
    <x v="2"/>
    <n v="1"/>
    <x v="0"/>
    <x v="0"/>
  </r>
  <r>
    <s v="ORD00131"/>
    <x v="177"/>
    <x v="0"/>
    <s v="Putri Puspita"/>
    <s v="Kendari"/>
    <x v="6"/>
    <n v="14000"/>
    <n v="3"/>
    <n v="20"/>
    <n v="42000"/>
    <n v="8400"/>
    <n v="33600"/>
    <n v="0"/>
    <n v="33600"/>
    <x v="1"/>
    <x v="0"/>
    <x v="2"/>
    <n v="1"/>
    <x v="0"/>
    <x v="1"/>
  </r>
  <r>
    <s v="ORD00995"/>
    <x v="178"/>
    <x v="0"/>
    <s v="Vina Budiman"/>
    <s v="Samarinda"/>
    <x v="8"/>
    <n v="16000"/>
    <n v="4"/>
    <n v="10"/>
    <n v="64000"/>
    <n v="6400"/>
    <n v="57600"/>
    <n v="43000"/>
    <n v="100600"/>
    <x v="1"/>
    <x v="1"/>
    <x v="4"/>
    <n v="4"/>
    <x v="0"/>
    <x v="1"/>
  </r>
  <r>
    <s v="ORD00230"/>
    <x v="179"/>
    <x v="0"/>
    <s v="Citra Halim"/>
    <s v="Merauke"/>
    <x v="5"/>
    <n v="40000"/>
    <n v="1"/>
    <n v="20"/>
    <n v="40000"/>
    <n v="8000"/>
    <n v="32000"/>
    <n v="59000"/>
    <n v="91000"/>
    <x v="2"/>
    <x v="0"/>
    <x v="4"/>
    <n v="2"/>
    <x v="0"/>
    <x v="1"/>
  </r>
  <r>
    <s v="ORD00307"/>
    <x v="180"/>
    <x v="0"/>
    <s v="Hana Wijaya"/>
    <s v="Sorong"/>
    <x v="17"/>
    <n v="30000"/>
    <n v="1"/>
    <n v="20"/>
    <n v="30000"/>
    <n v="6000"/>
    <n v="24000"/>
    <n v="87000"/>
    <n v="111000"/>
    <x v="1"/>
    <x v="0"/>
    <x v="1"/>
    <n v="2"/>
    <x v="0"/>
    <x v="1"/>
  </r>
  <r>
    <s v="ORD01202"/>
    <x v="181"/>
    <x v="0"/>
    <s v="Iwan Maulana"/>
    <s v="Pontianak"/>
    <x v="1"/>
    <n v="5000"/>
    <n v="3"/>
    <n v="10"/>
    <n v="15000"/>
    <n v="1500"/>
    <n v="13500"/>
    <n v="85000"/>
    <n v="98500"/>
    <x v="3"/>
    <x v="1"/>
    <x v="0"/>
    <n v="5"/>
    <x v="1"/>
    <x v="0"/>
  </r>
  <r>
    <s v="ORD00649"/>
    <x v="182"/>
    <x v="0"/>
    <s v="Citra Santoso"/>
    <s v="Pontianak"/>
    <x v="2"/>
    <n v="16000"/>
    <n v="4"/>
    <n v="0"/>
    <n v="64000"/>
    <n v="0"/>
    <n v="64000"/>
    <n v="85000"/>
    <n v="149000"/>
    <x v="0"/>
    <x v="0"/>
    <x v="3"/>
    <n v="3"/>
    <x v="0"/>
    <x v="0"/>
  </r>
  <r>
    <s v="ORD00024"/>
    <x v="183"/>
    <x v="0"/>
    <s v="Dimas Budiman"/>
    <s v="Jakarta"/>
    <x v="7"/>
    <n v="16000"/>
    <n v="2"/>
    <n v="10"/>
    <n v="32000"/>
    <n v="3200"/>
    <n v="28800"/>
    <n v="97000"/>
    <n v="125800"/>
    <x v="3"/>
    <x v="1"/>
    <x v="3"/>
    <n v="4"/>
    <x v="1"/>
    <x v="0"/>
  </r>
  <r>
    <s v="ORD01739"/>
    <x v="184"/>
    <x v="0"/>
    <s v="Qori Syahputra"/>
    <s v="Jayapura"/>
    <x v="25"/>
    <n v="35000"/>
    <n v="2"/>
    <n v="10"/>
    <n v="70000"/>
    <n v="7000"/>
    <n v="63000"/>
    <n v="30000"/>
    <n v="93000"/>
    <x v="2"/>
    <x v="0"/>
    <x v="4"/>
    <n v="5"/>
    <x v="0"/>
    <x v="1"/>
  </r>
  <r>
    <s v="ORD00660"/>
    <x v="185"/>
    <x v="0"/>
    <s v="Nanda Utami"/>
    <s v="Manado"/>
    <x v="10"/>
    <n v="15000"/>
    <n v="3"/>
    <n v="0"/>
    <n v="45000"/>
    <n v="0"/>
    <n v="45000"/>
    <n v="93000"/>
    <n v="138000"/>
    <x v="3"/>
    <x v="2"/>
    <x v="0"/>
    <n v="2"/>
    <x v="1"/>
    <x v="0"/>
  </r>
  <r>
    <s v="ORD00959"/>
    <x v="186"/>
    <x v="0"/>
    <s v="Clara Maulana"/>
    <s v="Pontianak"/>
    <x v="21"/>
    <n v="17000"/>
    <n v="1"/>
    <n v="0"/>
    <n v="17000"/>
    <n v="0"/>
    <n v="17000"/>
    <n v="85000"/>
    <n v="102000"/>
    <x v="0"/>
    <x v="0"/>
    <x v="2"/>
    <n v="1"/>
    <x v="0"/>
    <x v="0"/>
  </r>
  <r>
    <s v="ORD00801"/>
    <x v="187"/>
    <x v="0"/>
    <s v="Budi Saputra"/>
    <s v="Mataram"/>
    <x v="25"/>
    <n v="35000"/>
    <n v="2"/>
    <n v="10"/>
    <n v="70000"/>
    <n v="7000"/>
    <n v="63000"/>
    <n v="56000"/>
    <n v="119000"/>
    <x v="2"/>
    <x v="1"/>
    <x v="3"/>
    <n v="4"/>
    <x v="1"/>
    <x v="1"/>
  </r>
  <r>
    <s v="ORD00143"/>
    <x v="188"/>
    <x v="0"/>
    <s v="Bella Halim"/>
    <s v="Semarang"/>
    <x v="17"/>
    <n v="30000"/>
    <n v="3"/>
    <n v="5"/>
    <n v="90000"/>
    <n v="4500"/>
    <n v="85500"/>
    <n v="76000"/>
    <n v="161500"/>
    <x v="1"/>
    <x v="1"/>
    <x v="4"/>
    <n v="1"/>
    <x v="0"/>
    <x v="0"/>
  </r>
  <r>
    <s v="ORD00143"/>
    <x v="188"/>
    <x v="0"/>
    <s v="Bella Halim"/>
    <s v="Semarang"/>
    <x v="22"/>
    <n v="18000"/>
    <n v="2"/>
    <n v="10"/>
    <n v="36000"/>
    <n v="3600"/>
    <n v="32400"/>
    <n v="0"/>
    <n v="32400"/>
    <x v="1"/>
    <x v="1"/>
    <x v="4"/>
    <n v="1"/>
    <x v="0"/>
    <x v="0"/>
  </r>
  <r>
    <s v="ORD00219"/>
    <x v="189"/>
    <x v="0"/>
    <s v="Citra Budiman"/>
    <s v="Bandung"/>
    <x v="5"/>
    <n v="40000"/>
    <n v="5"/>
    <n v="15"/>
    <n v="200000"/>
    <n v="30000"/>
    <n v="170000"/>
    <n v="0"/>
    <n v="170000"/>
    <x v="1"/>
    <x v="1"/>
    <x v="3"/>
    <n v="2"/>
    <x v="0"/>
    <x v="2"/>
  </r>
  <r>
    <s v="ORD00228"/>
    <x v="190"/>
    <x v="0"/>
    <s v="Dina Wijaya"/>
    <s v="Palu"/>
    <x v="21"/>
    <n v="17000"/>
    <n v="2"/>
    <n v="20"/>
    <n v="34000"/>
    <n v="6800"/>
    <n v="27200"/>
    <n v="67000"/>
    <n v="94200"/>
    <x v="1"/>
    <x v="1"/>
    <x v="3"/>
    <n v="4"/>
    <x v="0"/>
    <x v="1"/>
  </r>
  <r>
    <s v="ORD01030"/>
    <x v="191"/>
    <x v="0"/>
    <s v="Bella Setiawan"/>
    <s v="Kupang"/>
    <x v="5"/>
    <n v="40000"/>
    <n v="3"/>
    <n v="5"/>
    <n v="120000"/>
    <n v="6000"/>
    <n v="114000"/>
    <n v="21000"/>
    <n v="135000"/>
    <x v="3"/>
    <x v="0"/>
    <x v="0"/>
    <n v="3"/>
    <x v="0"/>
    <x v="1"/>
  </r>
  <r>
    <s v="ORD00037"/>
    <x v="192"/>
    <x v="0"/>
    <s v="Galih Kusuma"/>
    <s v="Bandung"/>
    <x v="16"/>
    <n v="25000"/>
    <n v="1"/>
    <n v="0"/>
    <n v="25000"/>
    <n v="0"/>
    <n v="25000"/>
    <n v="0"/>
    <n v="25000"/>
    <x v="2"/>
    <x v="0"/>
    <x v="0"/>
    <n v="1"/>
    <x v="1"/>
    <x v="0"/>
  </r>
  <r>
    <s v="ORD01263"/>
    <x v="193"/>
    <x v="0"/>
    <s v="Umar Setiawan"/>
    <s v="Bengkulu"/>
    <x v="8"/>
    <n v="16000"/>
    <n v="2"/>
    <n v="0"/>
    <n v="32000"/>
    <n v="0"/>
    <n v="32000"/>
    <n v="72000"/>
    <n v="104000"/>
    <x v="3"/>
    <x v="0"/>
    <x v="3"/>
    <n v="1"/>
    <x v="1"/>
    <x v="0"/>
  </r>
  <r>
    <s v="ORD00782"/>
    <x v="194"/>
    <x v="0"/>
    <s v="Sari Pradipta"/>
    <s v="Banda Aceh"/>
    <x v="24"/>
    <n v="45000"/>
    <n v="4"/>
    <n v="15"/>
    <n v="180000"/>
    <n v="27000"/>
    <n v="153000"/>
    <n v="18000"/>
    <n v="171000"/>
    <x v="1"/>
    <x v="0"/>
    <x v="2"/>
    <n v="1"/>
    <x v="0"/>
    <x v="2"/>
  </r>
  <r>
    <s v="ORD01565"/>
    <x v="195"/>
    <x v="0"/>
    <s v="Made Setiawan"/>
    <s v="Denpasar"/>
    <x v="17"/>
    <n v="30000"/>
    <n v="1"/>
    <n v="20"/>
    <n v="30000"/>
    <n v="6000"/>
    <n v="24000"/>
    <n v="80000"/>
    <n v="104000"/>
    <x v="3"/>
    <x v="0"/>
    <x v="0"/>
    <n v="3"/>
    <x v="1"/>
    <x v="1"/>
  </r>
  <r>
    <s v="ORD01280"/>
    <x v="196"/>
    <x v="0"/>
    <s v="Wahyu Fauziah"/>
    <s v="Medan"/>
    <x v="13"/>
    <n v="17000"/>
    <n v="2"/>
    <n v="15"/>
    <n v="34000"/>
    <n v="5100"/>
    <n v="28900"/>
    <n v="79000"/>
    <n v="107900"/>
    <x v="2"/>
    <x v="1"/>
    <x v="1"/>
    <n v="5"/>
    <x v="1"/>
    <x v="1"/>
  </r>
  <r>
    <s v="ORD00277"/>
    <x v="197"/>
    <x v="0"/>
    <s v="Dewi Fauziah"/>
    <s v="Samarinda"/>
    <x v="26"/>
    <n v="18000"/>
    <n v="5"/>
    <n v="5"/>
    <n v="90000"/>
    <n v="4500"/>
    <n v="85500"/>
    <n v="43000"/>
    <n v="128500"/>
    <x v="1"/>
    <x v="0"/>
    <x v="4"/>
    <n v="2"/>
    <x v="0"/>
    <x v="0"/>
  </r>
  <r>
    <s v="ORD00277"/>
    <x v="197"/>
    <x v="0"/>
    <s v="Dewi Fauziah"/>
    <s v="Samarinda"/>
    <x v="24"/>
    <n v="45000"/>
    <n v="5"/>
    <n v="20"/>
    <n v="225000"/>
    <n v="45000"/>
    <n v="180000"/>
    <n v="0"/>
    <n v="180000"/>
    <x v="1"/>
    <x v="0"/>
    <x v="4"/>
    <n v="2"/>
    <x v="0"/>
    <x v="3"/>
  </r>
  <r>
    <s v="ORD01543"/>
    <x v="198"/>
    <x v="0"/>
    <s v="Bella Pradipta"/>
    <s v="Banjarbaru"/>
    <x v="2"/>
    <n v="16000"/>
    <n v="4"/>
    <n v="15"/>
    <n v="64000"/>
    <n v="9600"/>
    <n v="54400"/>
    <n v="55000"/>
    <n v="109400"/>
    <x v="2"/>
    <x v="0"/>
    <x v="2"/>
    <n v="1"/>
    <x v="0"/>
    <x v="1"/>
  </r>
  <r>
    <s v="ORD01046"/>
    <x v="199"/>
    <x v="0"/>
    <s v="Ani Budiman"/>
    <s v="Bengkulu"/>
    <x v="20"/>
    <n v="12000"/>
    <n v="4"/>
    <n v="5"/>
    <n v="48000"/>
    <n v="2400"/>
    <n v="45600"/>
    <n v="72000"/>
    <n v="117600"/>
    <x v="1"/>
    <x v="0"/>
    <x v="2"/>
    <n v="4"/>
    <x v="0"/>
    <x v="0"/>
  </r>
  <r>
    <s v="ORD01708"/>
    <x v="200"/>
    <x v="0"/>
    <s v="Oka Kusuma"/>
    <s v="Palembang"/>
    <x v="18"/>
    <n v="6000"/>
    <n v="4"/>
    <n v="10"/>
    <n v="24000"/>
    <n v="2400"/>
    <n v="21600"/>
    <n v="17000"/>
    <n v="38600"/>
    <x v="1"/>
    <x v="0"/>
    <x v="0"/>
    <n v="4"/>
    <x v="1"/>
    <x v="0"/>
  </r>
  <r>
    <s v="ORD00225"/>
    <x v="201"/>
    <x v="0"/>
    <s v="Yani Setiawan"/>
    <s v="Semarang"/>
    <x v="24"/>
    <n v="45000"/>
    <n v="3"/>
    <n v="15"/>
    <n v="135000"/>
    <n v="20250"/>
    <n v="114750"/>
    <n v="76000"/>
    <n v="190750"/>
    <x v="1"/>
    <x v="0"/>
    <x v="2"/>
    <n v="1"/>
    <x v="0"/>
    <x v="2"/>
  </r>
  <r>
    <s v="ORD00225"/>
    <x v="201"/>
    <x v="0"/>
    <s v="Yani Setiawan"/>
    <s v="Semarang"/>
    <x v="13"/>
    <n v="17000"/>
    <n v="4"/>
    <n v="20"/>
    <n v="68000"/>
    <n v="13600"/>
    <n v="54400"/>
    <n v="0"/>
    <n v="54400"/>
    <x v="1"/>
    <x v="0"/>
    <x v="2"/>
    <n v="1"/>
    <x v="0"/>
    <x v="1"/>
  </r>
  <r>
    <s v="ORD00796"/>
    <x v="202"/>
    <x v="0"/>
    <s v="Yani Wijaya"/>
    <s v="Surabaya"/>
    <x v="19"/>
    <n v="22000"/>
    <n v="3"/>
    <n v="10"/>
    <n v="66000"/>
    <n v="6600"/>
    <n v="59400"/>
    <n v="74000"/>
    <n v="133400"/>
    <x v="0"/>
    <x v="0"/>
    <x v="0"/>
    <n v="3"/>
    <x v="0"/>
    <x v="1"/>
  </r>
  <r>
    <s v="ORD01720"/>
    <x v="203"/>
    <x v="0"/>
    <s v="Dewi Rahmawati"/>
    <s v="Tanjung Selor"/>
    <x v="16"/>
    <n v="25000"/>
    <n v="3"/>
    <n v="10"/>
    <n v="75000"/>
    <n v="7500"/>
    <n v="67500"/>
    <n v="26000"/>
    <n v="93500"/>
    <x v="1"/>
    <x v="0"/>
    <x v="3"/>
    <n v="5"/>
    <x v="0"/>
    <x v="1"/>
  </r>
  <r>
    <s v="ORD00034"/>
    <x v="204"/>
    <x v="0"/>
    <s v="Bayu Nugroho"/>
    <s v="Jayapura"/>
    <x v="14"/>
    <n v="35000"/>
    <n v="3"/>
    <n v="0"/>
    <n v="105000"/>
    <n v="0"/>
    <n v="105000"/>
    <n v="30000"/>
    <n v="135000"/>
    <x v="2"/>
    <x v="0"/>
    <x v="2"/>
    <n v="1"/>
    <x v="1"/>
    <x v="0"/>
  </r>
  <r>
    <s v="ORD01547"/>
    <x v="205"/>
    <x v="0"/>
    <s v="Lestari Wijaya"/>
    <s v="Bandung"/>
    <x v="18"/>
    <n v="6000"/>
    <n v="5"/>
    <n v="15"/>
    <n v="30000"/>
    <n v="4500"/>
    <n v="25500"/>
    <n v="0"/>
    <n v="25500"/>
    <x v="2"/>
    <x v="0"/>
    <x v="2"/>
    <n v="3"/>
    <x v="0"/>
    <x v="0"/>
  </r>
  <r>
    <s v="ORD00519"/>
    <x v="206"/>
    <x v="0"/>
    <s v="Made Santoso"/>
    <s v="Medan"/>
    <x v="25"/>
    <n v="35000"/>
    <n v="4"/>
    <n v="20"/>
    <n v="140000"/>
    <n v="28000"/>
    <n v="112000"/>
    <n v="79000"/>
    <n v="191000"/>
    <x v="1"/>
    <x v="0"/>
    <x v="3"/>
    <n v="4"/>
    <x v="1"/>
    <x v="2"/>
  </r>
  <r>
    <s v="ORD01088"/>
    <x v="207"/>
    <x v="0"/>
    <s v="Qori Ramadhani"/>
    <s v="Merauke"/>
    <x v="11"/>
    <n v="40000"/>
    <n v="1"/>
    <n v="5"/>
    <n v="40000"/>
    <n v="2000"/>
    <n v="38000"/>
    <n v="59000"/>
    <n v="97000"/>
    <x v="0"/>
    <x v="0"/>
    <x v="4"/>
    <n v="5"/>
    <x v="0"/>
    <x v="0"/>
  </r>
  <r>
    <s v="ORD00905"/>
    <x v="208"/>
    <x v="0"/>
    <s v="Zahra Utami"/>
    <s v="Sofifi"/>
    <x v="22"/>
    <n v="18000"/>
    <n v="1"/>
    <n v="10"/>
    <n v="18000"/>
    <n v="1800"/>
    <n v="16200"/>
    <n v="50000"/>
    <n v="66200"/>
    <x v="2"/>
    <x v="0"/>
    <x v="2"/>
    <n v="4"/>
    <x v="0"/>
    <x v="0"/>
  </r>
  <r>
    <s v="ORD00589"/>
    <x v="209"/>
    <x v="0"/>
    <s v="Sari Iskandar"/>
    <s v="Bengkulu"/>
    <x v="18"/>
    <n v="6000"/>
    <n v="4"/>
    <n v="5"/>
    <n v="24000"/>
    <n v="1200"/>
    <n v="22800"/>
    <n v="72000"/>
    <n v="94800"/>
    <x v="3"/>
    <x v="0"/>
    <x v="3"/>
    <n v="2"/>
    <x v="0"/>
    <x v="0"/>
  </r>
  <r>
    <s v="ORD00328"/>
    <x v="210"/>
    <x v="0"/>
    <s v="Qori Saputra"/>
    <s v="Palembang"/>
    <x v="20"/>
    <n v="12000"/>
    <n v="1"/>
    <n v="0"/>
    <n v="12000"/>
    <n v="0"/>
    <n v="12000"/>
    <n v="17000"/>
    <n v="29000"/>
    <x v="2"/>
    <x v="0"/>
    <x v="0"/>
    <n v="4"/>
    <x v="0"/>
    <x v="0"/>
  </r>
  <r>
    <s v="ORD00510"/>
    <x v="211"/>
    <x v="0"/>
    <s v="Zahra Nugroho"/>
    <s v="Yogyakarta"/>
    <x v="15"/>
    <n v="14000"/>
    <n v="4"/>
    <n v="5"/>
    <n v="56000"/>
    <n v="2800"/>
    <n v="53200"/>
    <n v="78000"/>
    <n v="131200"/>
    <x v="1"/>
    <x v="1"/>
    <x v="0"/>
    <n v="1"/>
    <x v="0"/>
    <x v="0"/>
  </r>
  <r>
    <s v="ORD01325"/>
    <x v="212"/>
    <x v="0"/>
    <s v="Erna Rahmawati"/>
    <s v="Banda Aceh"/>
    <x v="2"/>
    <n v="16000"/>
    <n v="4"/>
    <n v="0"/>
    <n v="64000"/>
    <n v="0"/>
    <n v="64000"/>
    <n v="18000"/>
    <n v="82000"/>
    <x v="0"/>
    <x v="0"/>
    <x v="4"/>
    <n v="5"/>
    <x v="0"/>
    <x v="0"/>
  </r>
  <r>
    <s v="ORD00096"/>
    <x v="213"/>
    <x v="0"/>
    <s v="Wahyu Fauziah"/>
    <s v="Medan"/>
    <x v="0"/>
    <n v="45000"/>
    <n v="2"/>
    <n v="0"/>
    <n v="90000"/>
    <n v="0"/>
    <n v="90000"/>
    <n v="79000"/>
    <n v="169000"/>
    <x v="1"/>
    <x v="0"/>
    <x v="4"/>
    <n v="5"/>
    <x v="1"/>
    <x v="0"/>
  </r>
  <r>
    <s v="ORD00835"/>
    <x v="214"/>
    <x v="0"/>
    <s v="Qori Budiman"/>
    <s v="Tanjungpinang"/>
    <x v="12"/>
    <n v="55000"/>
    <n v="5"/>
    <n v="5"/>
    <n v="275000"/>
    <n v="13750"/>
    <n v="261250"/>
    <n v="48000"/>
    <n v="309250"/>
    <x v="2"/>
    <x v="1"/>
    <x v="4"/>
    <n v="1"/>
    <x v="0"/>
    <x v="1"/>
  </r>
  <r>
    <s v="ORD00859"/>
    <x v="215"/>
    <x v="0"/>
    <s v="Bayu Syahputra"/>
    <s v="Jakarta"/>
    <x v="13"/>
    <n v="17000"/>
    <n v="3"/>
    <n v="15"/>
    <n v="51000"/>
    <n v="7650"/>
    <n v="43350"/>
    <n v="97000"/>
    <n v="140350"/>
    <x v="3"/>
    <x v="0"/>
    <x v="2"/>
    <n v="5"/>
    <x v="1"/>
    <x v="1"/>
  </r>
  <r>
    <s v="ORD00238"/>
    <x v="216"/>
    <x v="0"/>
    <s v="Dewi Halim"/>
    <s v="Tanjungpinang"/>
    <x v="19"/>
    <n v="22000"/>
    <n v="5"/>
    <n v="10"/>
    <n v="110000"/>
    <n v="11000"/>
    <n v="99000"/>
    <n v="48000"/>
    <n v="147000"/>
    <x v="0"/>
    <x v="0"/>
    <x v="4"/>
    <n v="3"/>
    <x v="0"/>
    <x v="1"/>
  </r>
  <r>
    <s v="ORD00735"/>
    <x v="217"/>
    <x v="0"/>
    <s v="Lestari Budiman"/>
    <s v="Pontianak"/>
    <x v="19"/>
    <n v="22000"/>
    <n v="3"/>
    <n v="0"/>
    <n v="66000"/>
    <n v="0"/>
    <n v="66000"/>
    <n v="85000"/>
    <n v="151000"/>
    <x v="2"/>
    <x v="0"/>
    <x v="0"/>
    <n v="1"/>
    <x v="0"/>
    <x v="0"/>
  </r>
  <r>
    <s v="ORD01712"/>
    <x v="218"/>
    <x v="0"/>
    <s v="Citra Syahputra"/>
    <s v="Mamuju"/>
    <x v="7"/>
    <n v="16000"/>
    <n v="5"/>
    <n v="10"/>
    <n v="80000"/>
    <n v="8000"/>
    <n v="72000"/>
    <n v="46000"/>
    <n v="118000"/>
    <x v="1"/>
    <x v="0"/>
    <x v="1"/>
    <n v="4"/>
    <x v="0"/>
    <x v="1"/>
  </r>
  <r>
    <s v="ORD00696"/>
    <x v="219"/>
    <x v="0"/>
    <s v="Ani Fauziah"/>
    <s v="Jakarta"/>
    <x v="25"/>
    <n v="35000"/>
    <n v="1"/>
    <n v="15"/>
    <n v="35000"/>
    <n v="5250"/>
    <n v="29750"/>
    <n v="97000"/>
    <n v="126750"/>
    <x v="3"/>
    <x v="0"/>
    <x v="3"/>
    <n v="5"/>
    <x v="0"/>
    <x v="1"/>
  </r>
  <r>
    <s v="ORD01323"/>
    <x v="220"/>
    <x v="0"/>
    <s v="Dina Pradipta"/>
    <s v="Tanjungpinang"/>
    <x v="19"/>
    <n v="22000"/>
    <n v="3"/>
    <n v="0"/>
    <n v="66000"/>
    <n v="0"/>
    <n v="66000"/>
    <n v="48000"/>
    <n v="114000"/>
    <x v="3"/>
    <x v="0"/>
    <x v="2"/>
    <n v="2"/>
    <x v="0"/>
    <x v="0"/>
  </r>
  <r>
    <s v="ORD00952"/>
    <x v="221"/>
    <x v="0"/>
    <s v="Ani Hidayat"/>
    <s v="Samarinda"/>
    <x v="9"/>
    <n v="50000"/>
    <n v="5"/>
    <n v="15"/>
    <n v="250000"/>
    <n v="37500"/>
    <n v="212500"/>
    <n v="43000"/>
    <n v="255500"/>
    <x v="2"/>
    <x v="0"/>
    <x v="2"/>
    <n v="5"/>
    <x v="0"/>
    <x v="3"/>
  </r>
  <r>
    <s v="ORD01585"/>
    <x v="222"/>
    <x v="0"/>
    <s v="Vina Maulana"/>
    <s v="Wamena"/>
    <x v="20"/>
    <n v="12000"/>
    <n v="1"/>
    <n v="0"/>
    <n v="12000"/>
    <n v="0"/>
    <n v="12000"/>
    <n v="15000"/>
    <n v="27000"/>
    <x v="0"/>
    <x v="0"/>
    <x v="1"/>
    <n v="5"/>
    <x v="0"/>
    <x v="0"/>
  </r>
  <r>
    <s v="ORD01822"/>
    <x v="223"/>
    <x v="0"/>
    <s v="Ani Wijaya"/>
    <s v="Tanjungpinang"/>
    <x v="12"/>
    <n v="55000"/>
    <n v="3"/>
    <n v="0"/>
    <n v="165000"/>
    <n v="0"/>
    <n v="165000"/>
    <n v="48000"/>
    <n v="213000"/>
    <x v="3"/>
    <x v="0"/>
    <x v="1"/>
    <n v="2"/>
    <x v="0"/>
    <x v="0"/>
  </r>
  <r>
    <s v="ORD00069"/>
    <x v="224"/>
    <x v="0"/>
    <s v="Oka Ramadhani"/>
    <s v="Pekanbaru"/>
    <x v="0"/>
    <n v="45000"/>
    <n v="4"/>
    <n v="0"/>
    <n v="180000"/>
    <n v="0"/>
    <n v="180000"/>
    <n v="49000"/>
    <n v="229000"/>
    <x v="3"/>
    <x v="1"/>
    <x v="4"/>
    <n v="1"/>
    <x v="1"/>
    <x v="0"/>
  </r>
  <r>
    <s v="ORD01347"/>
    <x v="225"/>
    <x v="0"/>
    <s v="Qori Budiman"/>
    <s v="Tanjungpinang"/>
    <x v="25"/>
    <n v="35000"/>
    <n v="2"/>
    <n v="10"/>
    <n v="70000"/>
    <n v="7000"/>
    <n v="63000"/>
    <n v="48000"/>
    <n v="111000"/>
    <x v="2"/>
    <x v="0"/>
    <x v="4"/>
    <n v="1"/>
    <x v="0"/>
    <x v="1"/>
  </r>
  <r>
    <s v="ORD00993"/>
    <x v="226"/>
    <x v="0"/>
    <s v="Fajar Kurniawan"/>
    <s v="Manado"/>
    <x v="5"/>
    <n v="40000"/>
    <n v="5"/>
    <n v="0"/>
    <n v="200000"/>
    <n v="0"/>
    <n v="200000"/>
    <n v="93000"/>
    <n v="293000"/>
    <x v="0"/>
    <x v="0"/>
    <x v="0"/>
    <n v="2"/>
    <x v="1"/>
    <x v="0"/>
  </r>
  <r>
    <s v="ORD01105"/>
    <x v="227"/>
    <x v="0"/>
    <s v="Joko Maulana"/>
    <s v="Ambon"/>
    <x v="14"/>
    <n v="35000"/>
    <n v="5"/>
    <n v="10"/>
    <n v="175000"/>
    <n v="17500"/>
    <n v="157500"/>
    <n v="49000"/>
    <n v="206500"/>
    <x v="0"/>
    <x v="1"/>
    <x v="0"/>
    <n v="1"/>
    <x v="1"/>
    <x v="2"/>
  </r>
  <r>
    <s v="ORD01853"/>
    <x v="228"/>
    <x v="0"/>
    <s v="Dina Rahmawati"/>
    <s v="Merauke"/>
    <x v="1"/>
    <n v="5000"/>
    <n v="4"/>
    <n v="0"/>
    <n v="20000"/>
    <n v="0"/>
    <n v="20000"/>
    <n v="59000"/>
    <n v="79000"/>
    <x v="1"/>
    <x v="0"/>
    <x v="2"/>
    <n v="5"/>
    <x v="0"/>
    <x v="0"/>
  </r>
  <r>
    <s v="ORD00012"/>
    <x v="229"/>
    <x v="0"/>
    <s v="Andi Setiawan"/>
    <s v="Pontianak"/>
    <x v="26"/>
    <n v="18000"/>
    <n v="2"/>
    <n v="10"/>
    <n v="36000"/>
    <n v="3600"/>
    <n v="32400"/>
    <n v="85000"/>
    <n v="117400"/>
    <x v="1"/>
    <x v="0"/>
    <x v="1"/>
    <n v="1"/>
    <x v="1"/>
    <x v="0"/>
  </r>
  <r>
    <s v="ORD00836"/>
    <x v="230"/>
    <x v="0"/>
    <s v="Clara Pradipta"/>
    <s v="Jakarta"/>
    <x v="4"/>
    <n v="4000"/>
    <n v="4"/>
    <n v="0"/>
    <n v="16000"/>
    <n v="0"/>
    <n v="16000"/>
    <n v="97000"/>
    <n v="113000"/>
    <x v="3"/>
    <x v="0"/>
    <x v="4"/>
    <n v="2"/>
    <x v="0"/>
    <x v="0"/>
  </r>
  <r>
    <s v="ORD00575"/>
    <x v="231"/>
    <x v="0"/>
    <s v="Erna Maulana"/>
    <s v="Sorong"/>
    <x v="4"/>
    <n v="4000"/>
    <n v="3"/>
    <n v="20"/>
    <n v="12000"/>
    <n v="2400"/>
    <n v="9600"/>
    <n v="87000"/>
    <n v="96600"/>
    <x v="2"/>
    <x v="2"/>
    <x v="0"/>
    <n v="4"/>
    <x v="0"/>
    <x v="0"/>
  </r>
  <r>
    <s v="ORD00816"/>
    <x v="232"/>
    <x v="0"/>
    <s v="Zahra Setiawan"/>
    <s v="Banjarbaru"/>
    <x v="22"/>
    <n v="18000"/>
    <n v="3"/>
    <n v="10"/>
    <n v="54000"/>
    <n v="5400"/>
    <n v="48600"/>
    <n v="55000"/>
    <n v="103600"/>
    <x v="2"/>
    <x v="0"/>
    <x v="2"/>
    <n v="3"/>
    <x v="0"/>
    <x v="1"/>
  </r>
  <r>
    <s v="ORD00909"/>
    <x v="233"/>
    <x v="0"/>
    <s v="Vina Maulana"/>
    <s v="Wamena"/>
    <x v="6"/>
    <n v="14000"/>
    <n v="4"/>
    <n v="10"/>
    <n v="56000"/>
    <n v="5600"/>
    <n v="50400"/>
    <n v="15000"/>
    <n v="65400"/>
    <x v="3"/>
    <x v="2"/>
    <x v="4"/>
    <n v="2"/>
    <x v="0"/>
    <x v="1"/>
  </r>
  <r>
    <s v="ORD01328"/>
    <x v="234"/>
    <x v="0"/>
    <s v="Yoga Saputra"/>
    <s v="Wamena"/>
    <x v="23"/>
    <n v="10000"/>
    <n v="4"/>
    <n v="10"/>
    <n v="40000"/>
    <n v="4000"/>
    <n v="36000"/>
    <n v="15000"/>
    <n v="51000"/>
    <x v="3"/>
    <x v="0"/>
    <x v="2"/>
    <n v="5"/>
    <x v="1"/>
    <x v="0"/>
  </r>
  <r>
    <s v="ORD01259"/>
    <x v="235"/>
    <x v="0"/>
    <s v="Dina Hidayat"/>
    <s v="Pekanbaru"/>
    <x v="13"/>
    <n v="17000"/>
    <n v="2"/>
    <n v="0"/>
    <n v="34000"/>
    <n v="0"/>
    <n v="34000"/>
    <n v="49000"/>
    <n v="83000"/>
    <x v="0"/>
    <x v="0"/>
    <x v="0"/>
    <n v="4"/>
    <x v="0"/>
    <x v="0"/>
  </r>
  <r>
    <s v="ORD00681"/>
    <x v="236"/>
    <x v="0"/>
    <s v="Yani Pradipta"/>
    <s v="Palembang"/>
    <x v="10"/>
    <n v="15000"/>
    <n v="4"/>
    <n v="10"/>
    <n v="60000"/>
    <n v="6000"/>
    <n v="54000"/>
    <n v="17000"/>
    <n v="71000"/>
    <x v="0"/>
    <x v="0"/>
    <x v="3"/>
    <n v="2"/>
    <x v="0"/>
    <x v="1"/>
  </r>
  <r>
    <s v="ORD00972"/>
    <x v="237"/>
    <x v="0"/>
    <s v="Ani Kusuma"/>
    <s v="Tanjungpinang"/>
    <x v="18"/>
    <n v="6000"/>
    <n v="3"/>
    <n v="20"/>
    <n v="18000"/>
    <n v="3600"/>
    <n v="14400"/>
    <n v="48000"/>
    <n v="62400"/>
    <x v="0"/>
    <x v="0"/>
    <x v="0"/>
    <n v="3"/>
    <x v="0"/>
    <x v="0"/>
  </r>
  <r>
    <s v="ORD01206"/>
    <x v="238"/>
    <x v="0"/>
    <s v="Clara Ramadhani"/>
    <s v="Tanjungpinang"/>
    <x v="9"/>
    <n v="50000"/>
    <n v="1"/>
    <n v="5"/>
    <n v="50000"/>
    <n v="2500"/>
    <n v="47500"/>
    <n v="48000"/>
    <n v="95500"/>
    <x v="0"/>
    <x v="0"/>
    <x v="1"/>
    <n v="2"/>
    <x v="0"/>
    <x v="0"/>
  </r>
  <r>
    <s v="ORD01050"/>
    <x v="239"/>
    <x v="0"/>
    <s v="Qori Setiawan"/>
    <s v="Jambi"/>
    <x v="4"/>
    <n v="4000"/>
    <n v="2"/>
    <n v="5"/>
    <n v="8000"/>
    <n v="400"/>
    <n v="7600"/>
    <n v="87000"/>
    <n v="94600"/>
    <x v="1"/>
    <x v="0"/>
    <x v="1"/>
    <n v="3"/>
    <x v="0"/>
    <x v="0"/>
  </r>
  <r>
    <s v="ORD01422"/>
    <x v="240"/>
    <x v="0"/>
    <s v="Eka Wijaya"/>
    <s v="Tanjung Selor"/>
    <x v="14"/>
    <n v="35000"/>
    <n v="2"/>
    <n v="0"/>
    <n v="70000"/>
    <n v="0"/>
    <n v="70000"/>
    <n v="26000"/>
    <n v="96000"/>
    <x v="2"/>
    <x v="1"/>
    <x v="0"/>
    <n v="2"/>
    <x v="0"/>
    <x v="0"/>
  </r>
  <r>
    <s v="ORD00653"/>
    <x v="241"/>
    <x v="0"/>
    <s v="Qori Fauziah"/>
    <s v="Surabaya"/>
    <x v="12"/>
    <n v="55000"/>
    <n v="1"/>
    <n v="10"/>
    <n v="55000"/>
    <n v="5500"/>
    <n v="49500"/>
    <n v="74000"/>
    <n v="123500"/>
    <x v="0"/>
    <x v="1"/>
    <x v="1"/>
    <n v="3"/>
    <x v="0"/>
    <x v="1"/>
  </r>
  <r>
    <s v="ORD01732"/>
    <x v="242"/>
    <x v="0"/>
    <s v="Aulia Ananda"/>
    <s v="Pontianak"/>
    <x v="10"/>
    <n v="15000"/>
    <n v="1"/>
    <n v="5"/>
    <n v="15000"/>
    <n v="750"/>
    <n v="14250"/>
    <n v="85000"/>
    <n v="99250"/>
    <x v="0"/>
    <x v="0"/>
    <x v="2"/>
    <n v="5"/>
    <x v="0"/>
    <x v="0"/>
  </r>
  <r>
    <s v="ORD01700"/>
    <x v="243"/>
    <x v="0"/>
    <s v="Budi Hidayat"/>
    <s v="Wamena"/>
    <x v="11"/>
    <n v="40000"/>
    <n v="2"/>
    <n v="15"/>
    <n v="80000"/>
    <n v="12000"/>
    <n v="68000"/>
    <n v="15000"/>
    <n v="83000"/>
    <x v="2"/>
    <x v="2"/>
    <x v="3"/>
    <n v="3"/>
    <x v="1"/>
    <x v="1"/>
  </r>
  <r>
    <s v="ORD01410"/>
    <x v="244"/>
    <x v="0"/>
    <s v="Zahra Iskandar"/>
    <s v="Manokwari"/>
    <x v="24"/>
    <n v="45000"/>
    <n v="4"/>
    <n v="0"/>
    <n v="180000"/>
    <n v="0"/>
    <n v="180000"/>
    <n v="18000"/>
    <n v="198000"/>
    <x v="1"/>
    <x v="0"/>
    <x v="1"/>
    <n v="4"/>
    <x v="0"/>
    <x v="0"/>
  </r>
  <r>
    <s v="ORD00821"/>
    <x v="245"/>
    <x v="0"/>
    <s v="Fitri Setiawan"/>
    <s v="Pekanbaru"/>
    <x v="13"/>
    <n v="17000"/>
    <n v="1"/>
    <n v="20"/>
    <n v="17000"/>
    <n v="3400"/>
    <n v="13600"/>
    <n v="49000"/>
    <n v="62600"/>
    <x v="1"/>
    <x v="0"/>
    <x v="2"/>
    <n v="3"/>
    <x v="0"/>
    <x v="0"/>
  </r>
  <r>
    <s v="ORD01835"/>
    <x v="246"/>
    <x v="0"/>
    <s v="Citra Fauziah"/>
    <s v="Ambon"/>
    <x v="11"/>
    <n v="40000"/>
    <n v="4"/>
    <n v="0"/>
    <n v="160000"/>
    <n v="0"/>
    <n v="160000"/>
    <n v="49000"/>
    <n v="209000"/>
    <x v="1"/>
    <x v="0"/>
    <x v="0"/>
    <n v="1"/>
    <x v="0"/>
    <x v="0"/>
  </r>
  <r>
    <s v="ORD01124"/>
    <x v="247"/>
    <x v="0"/>
    <s v="Yani Setiawan"/>
    <s v="Semarang"/>
    <x v="8"/>
    <n v="16000"/>
    <n v="1"/>
    <n v="10"/>
    <n v="16000"/>
    <n v="1600"/>
    <n v="14400"/>
    <n v="76000"/>
    <n v="90400"/>
    <x v="2"/>
    <x v="1"/>
    <x v="3"/>
    <n v="1"/>
    <x v="0"/>
    <x v="0"/>
  </r>
  <r>
    <s v="ORD00753"/>
    <x v="248"/>
    <x v="0"/>
    <s v="Lestari Fauziah"/>
    <s v="Banjarbaru"/>
    <x v="26"/>
    <n v="18000"/>
    <n v="5"/>
    <n v="0"/>
    <n v="90000"/>
    <n v="0"/>
    <n v="90000"/>
    <n v="55000"/>
    <n v="145000"/>
    <x v="3"/>
    <x v="0"/>
    <x v="4"/>
    <n v="2"/>
    <x v="0"/>
    <x v="0"/>
  </r>
  <r>
    <s v="ORD00391"/>
    <x v="249"/>
    <x v="0"/>
    <s v="Clara Iskandar"/>
    <s v="Pangkalpinang"/>
    <x v="12"/>
    <n v="55000"/>
    <n v="3"/>
    <n v="0"/>
    <n v="165000"/>
    <n v="0"/>
    <n v="165000"/>
    <n v="18000"/>
    <n v="183000"/>
    <x v="0"/>
    <x v="0"/>
    <x v="1"/>
    <n v="2"/>
    <x v="0"/>
    <x v="0"/>
  </r>
  <r>
    <s v="ORD00391"/>
    <x v="249"/>
    <x v="0"/>
    <s v="Clara Iskandar"/>
    <s v="Pangkalpinang"/>
    <x v="1"/>
    <n v="5000"/>
    <n v="2"/>
    <n v="5"/>
    <n v="10000"/>
    <n v="500"/>
    <n v="9500"/>
    <n v="0"/>
    <n v="9500"/>
    <x v="0"/>
    <x v="0"/>
    <x v="1"/>
    <n v="2"/>
    <x v="0"/>
    <x v="0"/>
  </r>
  <r>
    <s v="ORD01125"/>
    <x v="250"/>
    <x v="0"/>
    <s v="Putri Puspita"/>
    <s v="Kendari"/>
    <x v="20"/>
    <n v="12000"/>
    <n v="2"/>
    <n v="15"/>
    <n v="24000"/>
    <n v="3600"/>
    <n v="20400"/>
    <n v="59000"/>
    <n v="79400"/>
    <x v="1"/>
    <x v="0"/>
    <x v="1"/>
    <n v="3"/>
    <x v="0"/>
    <x v="0"/>
  </r>
  <r>
    <s v="ORD01218"/>
    <x v="251"/>
    <x v="0"/>
    <s v="Qori Ramadhani"/>
    <s v="Merauke"/>
    <x v="20"/>
    <n v="12000"/>
    <n v="3"/>
    <n v="15"/>
    <n v="36000"/>
    <n v="5400"/>
    <n v="30600"/>
    <n v="59000"/>
    <n v="89600"/>
    <x v="3"/>
    <x v="0"/>
    <x v="1"/>
    <n v="3"/>
    <x v="0"/>
    <x v="1"/>
  </r>
  <r>
    <s v="ORD01307"/>
    <x v="252"/>
    <x v="0"/>
    <s v="Putri Puspita"/>
    <s v="Kendari"/>
    <x v="24"/>
    <n v="45000"/>
    <n v="4"/>
    <n v="15"/>
    <n v="180000"/>
    <n v="27000"/>
    <n v="153000"/>
    <n v="59000"/>
    <n v="212000"/>
    <x v="1"/>
    <x v="0"/>
    <x v="4"/>
    <n v="1"/>
    <x v="0"/>
    <x v="2"/>
  </r>
  <r>
    <s v="ORD01554"/>
    <x v="253"/>
    <x v="0"/>
    <s v="Fajar Puspita"/>
    <s v="Denpasar"/>
    <x v="23"/>
    <n v="10000"/>
    <n v="4"/>
    <n v="20"/>
    <n v="40000"/>
    <n v="8000"/>
    <n v="32000"/>
    <n v="80000"/>
    <n v="112000"/>
    <x v="0"/>
    <x v="0"/>
    <x v="0"/>
    <n v="3"/>
    <x v="1"/>
    <x v="1"/>
  </r>
  <r>
    <s v="ORD00795"/>
    <x v="254"/>
    <x v="0"/>
    <s v="Ani Ramadhani"/>
    <s v="Sofifi"/>
    <x v="24"/>
    <n v="45000"/>
    <n v="3"/>
    <n v="5"/>
    <n v="135000"/>
    <n v="6750"/>
    <n v="128250"/>
    <n v="50000"/>
    <n v="178250"/>
    <x v="1"/>
    <x v="0"/>
    <x v="2"/>
    <n v="3"/>
    <x v="0"/>
    <x v="1"/>
  </r>
  <r>
    <s v="ORD01775"/>
    <x v="255"/>
    <x v="0"/>
    <s v="Aulia Iskandar"/>
    <s v="Surabaya"/>
    <x v="6"/>
    <n v="14000"/>
    <n v="2"/>
    <n v="20"/>
    <n v="28000"/>
    <n v="5600"/>
    <n v="22400"/>
    <n v="74000"/>
    <n v="96400"/>
    <x v="2"/>
    <x v="0"/>
    <x v="0"/>
    <n v="4"/>
    <x v="0"/>
    <x v="1"/>
  </r>
  <r>
    <s v="ORD01293"/>
    <x v="256"/>
    <x v="0"/>
    <s v="Yoga Utami"/>
    <s v="Banjarbaru"/>
    <x v="2"/>
    <n v="16000"/>
    <n v="5"/>
    <n v="0"/>
    <n v="80000"/>
    <n v="0"/>
    <n v="80000"/>
    <n v="55000"/>
    <n v="135000"/>
    <x v="3"/>
    <x v="0"/>
    <x v="0"/>
    <n v="4"/>
    <x v="1"/>
    <x v="0"/>
  </r>
  <r>
    <s v="ORD00939"/>
    <x v="257"/>
    <x v="0"/>
    <s v="Zahra Puspita"/>
    <s v="Yogyakarta"/>
    <x v="16"/>
    <n v="25000"/>
    <n v="3"/>
    <n v="20"/>
    <n v="75000"/>
    <n v="15000"/>
    <n v="60000"/>
    <n v="78000"/>
    <n v="138000"/>
    <x v="3"/>
    <x v="0"/>
    <x v="2"/>
    <n v="4"/>
    <x v="0"/>
    <x v="1"/>
  </r>
  <r>
    <s v="ORD00794"/>
    <x v="258"/>
    <x v="0"/>
    <s v="Dina Ramadhani"/>
    <s v="Sofifi"/>
    <x v="10"/>
    <n v="15000"/>
    <n v="4"/>
    <n v="20"/>
    <n v="60000"/>
    <n v="12000"/>
    <n v="48000"/>
    <n v="50000"/>
    <n v="98000"/>
    <x v="0"/>
    <x v="0"/>
    <x v="0"/>
    <n v="4"/>
    <x v="0"/>
    <x v="1"/>
  </r>
  <r>
    <s v="ORD01316"/>
    <x v="259"/>
    <x v="0"/>
    <s v="Ani Maulana"/>
    <s v="Nabire"/>
    <x v="13"/>
    <n v="17000"/>
    <n v="4"/>
    <n v="15"/>
    <n v="68000"/>
    <n v="10200"/>
    <n v="57800"/>
    <n v="89000"/>
    <n v="146800"/>
    <x v="1"/>
    <x v="0"/>
    <x v="4"/>
    <n v="2"/>
    <x v="0"/>
    <x v="1"/>
  </r>
  <r>
    <s v="ORD00967"/>
    <x v="260"/>
    <x v="0"/>
    <s v="Iwan Rahmawati"/>
    <s v="Bandung"/>
    <x v="26"/>
    <n v="18000"/>
    <n v="3"/>
    <n v="10"/>
    <n v="54000"/>
    <n v="5400"/>
    <n v="48600"/>
    <n v="0"/>
    <n v="48600"/>
    <x v="2"/>
    <x v="0"/>
    <x v="1"/>
    <n v="2"/>
    <x v="1"/>
    <x v="1"/>
  </r>
  <r>
    <s v="ORD01003"/>
    <x v="261"/>
    <x v="0"/>
    <s v="Dewi Setiawan"/>
    <s v="Jakarta"/>
    <x v="5"/>
    <n v="40000"/>
    <n v="2"/>
    <n v="15"/>
    <n v="80000"/>
    <n v="12000"/>
    <n v="68000"/>
    <n v="97000"/>
    <n v="165000"/>
    <x v="1"/>
    <x v="2"/>
    <x v="2"/>
    <n v="1"/>
    <x v="0"/>
    <x v="1"/>
  </r>
  <r>
    <s v="ORD00058"/>
    <x v="262"/>
    <x v="0"/>
    <s v="Dimas Puspita"/>
    <s v="Pangkalpinang"/>
    <x v="15"/>
    <n v="14000"/>
    <n v="1"/>
    <n v="10"/>
    <n v="14000"/>
    <n v="1400"/>
    <n v="12600"/>
    <n v="18000"/>
    <n v="30600"/>
    <x v="0"/>
    <x v="2"/>
    <x v="0"/>
    <n v="5"/>
    <x v="1"/>
    <x v="0"/>
  </r>
  <r>
    <s v="ORD00674"/>
    <x v="263"/>
    <x v="0"/>
    <s v="Dina Nugroho"/>
    <s v="Jakarta"/>
    <x v="9"/>
    <n v="50000"/>
    <n v="5"/>
    <n v="10"/>
    <n v="250000"/>
    <n v="25000"/>
    <n v="225000"/>
    <n v="97000"/>
    <n v="322000"/>
    <x v="1"/>
    <x v="0"/>
    <x v="3"/>
    <n v="3"/>
    <x v="0"/>
    <x v="2"/>
  </r>
  <r>
    <s v="ORD00697"/>
    <x v="264"/>
    <x v="0"/>
    <s v="Oka Kusuma"/>
    <s v="Palembang"/>
    <x v="24"/>
    <n v="45000"/>
    <n v="3"/>
    <n v="0"/>
    <n v="135000"/>
    <n v="0"/>
    <n v="135000"/>
    <n v="17000"/>
    <n v="152000"/>
    <x v="1"/>
    <x v="0"/>
    <x v="0"/>
    <n v="2"/>
    <x v="1"/>
    <x v="0"/>
  </r>
  <r>
    <s v="ORD01101"/>
    <x v="265"/>
    <x v="0"/>
    <s v="Wahyu Pradipta"/>
    <s v="Jakarta"/>
    <x v="13"/>
    <n v="17000"/>
    <n v="1"/>
    <n v="20"/>
    <n v="17000"/>
    <n v="3400"/>
    <n v="13600"/>
    <n v="97000"/>
    <n v="110600"/>
    <x v="0"/>
    <x v="0"/>
    <x v="4"/>
    <n v="2"/>
    <x v="1"/>
    <x v="0"/>
  </r>
  <r>
    <s v="ORD01119"/>
    <x v="266"/>
    <x v="0"/>
    <s v="Zahra Budiman"/>
    <s v="Ambon"/>
    <x v="22"/>
    <n v="18000"/>
    <n v="5"/>
    <n v="0"/>
    <n v="90000"/>
    <n v="0"/>
    <n v="90000"/>
    <n v="49000"/>
    <n v="139000"/>
    <x v="1"/>
    <x v="0"/>
    <x v="4"/>
    <n v="5"/>
    <x v="0"/>
    <x v="0"/>
  </r>
  <r>
    <s v="ORD00627"/>
    <x v="267"/>
    <x v="0"/>
    <s v="Ani Hidayat"/>
    <s v="Samarinda"/>
    <x v="2"/>
    <n v="16000"/>
    <n v="5"/>
    <n v="10"/>
    <n v="80000"/>
    <n v="8000"/>
    <n v="72000"/>
    <n v="43000"/>
    <n v="115000"/>
    <x v="3"/>
    <x v="0"/>
    <x v="3"/>
    <n v="2"/>
    <x v="0"/>
    <x v="1"/>
  </r>
  <r>
    <s v="ORD00072"/>
    <x v="268"/>
    <x v="0"/>
    <s v="Iwan Rahmawati"/>
    <s v="Bandung"/>
    <x v="7"/>
    <n v="16000"/>
    <n v="2"/>
    <n v="20"/>
    <n v="32000"/>
    <n v="6400"/>
    <n v="25600"/>
    <n v="0"/>
    <n v="25600"/>
    <x v="0"/>
    <x v="0"/>
    <x v="0"/>
    <n v="4"/>
    <x v="1"/>
    <x v="1"/>
  </r>
  <r>
    <s v="ORD00072"/>
    <x v="268"/>
    <x v="0"/>
    <s v="Iwan Rahmawati"/>
    <s v="Bandung"/>
    <x v="16"/>
    <n v="25000"/>
    <n v="2"/>
    <n v="10"/>
    <n v="50000"/>
    <n v="5000"/>
    <n v="45000"/>
    <n v="0"/>
    <n v="45000"/>
    <x v="0"/>
    <x v="0"/>
    <x v="0"/>
    <n v="4"/>
    <x v="1"/>
    <x v="0"/>
  </r>
  <r>
    <s v="ORD01677"/>
    <x v="269"/>
    <x v="0"/>
    <s v="Ani Fauziah"/>
    <s v="Jakarta"/>
    <x v="9"/>
    <n v="50000"/>
    <n v="4"/>
    <n v="20"/>
    <n v="200000"/>
    <n v="40000"/>
    <n v="160000"/>
    <n v="97000"/>
    <n v="257000"/>
    <x v="3"/>
    <x v="0"/>
    <x v="2"/>
    <n v="5"/>
    <x v="0"/>
    <x v="3"/>
  </r>
  <r>
    <s v="ORD01327"/>
    <x v="270"/>
    <x v="0"/>
    <s v="Gita Saputra"/>
    <s v="Bengkulu"/>
    <x v="21"/>
    <n v="17000"/>
    <n v="5"/>
    <n v="5"/>
    <n v="85000"/>
    <n v="4250"/>
    <n v="80750"/>
    <n v="72000"/>
    <n v="152750"/>
    <x v="3"/>
    <x v="0"/>
    <x v="0"/>
    <n v="5"/>
    <x v="0"/>
    <x v="0"/>
  </r>
  <r>
    <s v="ORD00930"/>
    <x v="271"/>
    <x v="0"/>
    <s v="Lestari Kusuma"/>
    <s v="Palangka Raya"/>
    <x v="9"/>
    <n v="50000"/>
    <n v="3"/>
    <n v="15"/>
    <n v="150000"/>
    <n v="22500"/>
    <n v="127500"/>
    <n v="50000"/>
    <n v="177500"/>
    <x v="3"/>
    <x v="0"/>
    <x v="4"/>
    <n v="2"/>
    <x v="0"/>
    <x v="2"/>
  </r>
  <r>
    <s v="ORD00088"/>
    <x v="272"/>
    <x v="0"/>
    <s v="Yoga Utami"/>
    <s v="Banjarbaru"/>
    <x v="10"/>
    <n v="15000"/>
    <n v="3"/>
    <n v="10"/>
    <n v="45000"/>
    <n v="4500"/>
    <n v="40500"/>
    <n v="55000"/>
    <n v="95500"/>
    <x v="2"/>
    <x v="0"/>
    <x v="4"/>
    <n v="1"/>
    <x v="1"/>
    <x v="0"/>
  </r>
  <r>
    <s v="ORD01200"/>
    <x v="273"/>
    <x v="0"/>
    <s v="Yani Budiman"/>
    <s v="Sofifi"/>
    <x v="23"/>
    <n v="10000"/>
    <n v="4"/>
    <n v="20"/>
    <n v="40000"/>
    <n v="8000"/>
    <n v="32000"/>
    <n v="50000"/>
    <n v="82000"/>
    <x v="0"/>
    <x v="0"/>
    <x v="4"/>
    <n v="2"/>
    <x v="0"/>
    <x v="1"/>
  </r>
  <r>
    <s v="ORD01619"/>
    <x v="274"/>
    <x v="0"/>
    <s v="Clara Pradipta"/>
    <s v="Jakarta"/>
    <x v="16"/>
    <n v="25000"/>
    <n v="1"/>
    <n v="0"/>
    <n v="25000"/>
    <n v="0"/>
    <n v="25000"/>
    <n v="97000"/>
    <n v="122000"/>
    <x v="3"/>
    <x v="0"/>
    <x v="2"/>
    <n v="5"/>
    <x v="0"/>
    <x v="0"/>
  </r>
  <r>
    <s v="ORD00827"/>
    <x v="275"/>
    <x v="0"/>
    <s v="Clara Santoso"/>
    <s v="Palu"/>
    <x v="21"/>
    <n v="17000"/>
    <n v="1"/>
    <n v="20"/>
    <n v="17000"/>
    <n v="3400"/>
    <n v="13600"/>
    <n v="67000"/>
    <n v="80600"/>
    <x v="1"/>
    <x v="0"/>
    <x v="3"/>
    <n v="2"/>
    <x v="0"/>
    <x v="0"/>
  </r>
  <r>
    <s v="ORD00781"/>
    <x v="276"/>
    <x v="0"/>
    <s v="Hana Nugroho"/>
    <s v="Surabaya"/>
    <x v="23"/>
    <n v="10000"/>
    <n v="1"/>
    <n v="20"/>
    <n v="10000"/>
    <n v="2000"/>
    <n v="8000"/>
    <n v="74000"/>
    <n v="82000"/>
    <x v="3"/>
    <x v="0"/>
    <x v="1"/>
    <n v="4"/>
    <x v="0"/>
    <x v="0"/>
  </r>
  <r>
    <s v="ORD00904"/>
    <x v="277"/>
    <x v="0"/>
    <s v="Lestari Ananda"/>
    <s v="Semarang"/>
    <x v="8"/>
    <n v="16000"/>
    <n v="3"/>
    <n v="10"/>
    <n v="48000"/>
    <n v="4800"/>
    <n v="43200"/>
    <n v="76000"/>
    <n v="119200"/>
    <x v="1"/>
    <x v="1"/>
    <x v="3"/>
    <n v="2"/>
    <x v="0"/>
    <x v="0"/>
  </r>
  <r>
    <s v="ORD00334"/>
    <x v="278"/>
    <x v="0"/>
    <s v="Yani Nugroho"/>
    <s v="Palembang"/>
    <x v="22"/>
    <n v="18000"/>
    <n v="2"/>
    <n v="5"/>
    <n v="36000"/>
    <n v="1800"/>
    <n v="34200"/>
    <n v="17000"/>
    <n v="51200"/>
    <x v="1"/>
    <x v="2"/>
    <x v="3"/>
    <n v="4"/>
    <x v="0"/>
    <x v="0"/>
  </r>
  <r>
    <s v="ORD00438"/>
    <x v="279"/>
    <x v="0"/>
    <s v="Clara Ramadhani"/>
    <s v="Tanjungpinang"/>
    <x v="13"/>
    <n v="17000"/>
    <n v="3"/>
    <n v="10"/>
    <n v="51000"/>
    <n v="5100"/>
    <n v="45900"/>
    <n v="48000"/>
    <n v="93900"/>
    <x v="2"/>
    <x v="0"/>
    <x v="2"/>
    <n v="3"/>
    <x v="0"/>
    <x v="1"/>
  </r>
  <r>
    <s v="ORD00438"/>
    <x v="279"/>
    <x v="0"/>
    <s v="Clara Ramadhani"/>
    <s v="Tanjungpinang"/>
    <x v="9"/>
    <n v="50000"/>
    <n v="1"/>
    <n v="0"/>
    <n v="50000"/>
    <n v="0"/>
    <n v="50000"/>
    <n v="0"/>
    <n v="50000"/>
    <x v="2"/>
    <x v="0"/>
    <x v="2"/>
    <n v="3"/>
    <x v="0"/>
    <x v="0"/>
  </r>
  <r>
    <s v="ORD00875"/>
    <x v="280"/>
    <x v="0"/>
    <s v="Arif Fauziah"/>
    <s v="Denpasar"/>
    <x v="25"/>
    <n v="35000"/>
    <n v="3"/>
    <n v="0"/>
    <n v="105000"/>
    <n v="0"/>
    <n v="105000"/>
    <n v="80000"/>
    <n v="185000"/>
    <x v="2"/>
    <x v="0"/>
    <x v="2"/>
    <n v="1"/>
    <x v="1"/>
    <x v="0"/>
  </r>
  <r>
    <s v="ORD01116"/>
    <x v="281"/>
    <x v="0"/>
    <s v="Yani Setiawan"/>
    <s v="Semarang"/>
    <x v="9"/>
    <n v="50000"/>
    <n v="5"/>
    <n v="15"/>
    <n v="250000"/>
    <n v="37500"/>
    <n v="212500"/>
    <n v="76000"/>
    <n v="288500"/>
    <x v="3"/>
    <x v="0"/>
    <x v="1"/>
    <n v="2"/>
    <x v="0"/>
    <x v="3"/>
  </r>
  <r>
    <s v="ORD01672"/>
    <x v="282"/>
    <x v="0"/>
    <s v="Lestari Setiawan"/>
    <s v="Tanjung Selor"/>
    <x v="8"/>
    <n v="16000"/>
    <n v="1"/>
    <n v="10"/>
    <n v="16000"/>
    <n v="1600"/>
    <n v="14400"/>
    <n v="26000"/>
    <n v="40400"/>
    <x v="2"/>
    <x v="0"/>
    <x v="3"/>
    <n v="4"/>
    <x v="0"/>
    <x v="0"/>
  </r>
  <r>
    <s v="ORD00908"/>
    <x v="283"/>
    <x v="0"/>
    <s v="Ani Fauziah"/>
    <s v="Jakarta"/>
    <x v="10"/>
    <n v="15000"/>
    <n v="3"/>
    <n v="5"/>
    <n v="45000"/>
    <n v="2250"/>
    <n v="42750"/>
    <n v="97000"/>
    <n v="139750"/>
    <x v="2"/>
    <x v="0"/>
    <x v="4"/>
    <n v="4"/>
    <x v="0"/>
    <x v="0"/>
  </r>
  <r>
    <s v="ORD00453"/>
    <x v="284"/>
    <x v="0"/>
    <s v="Dewi Setiawan"/>
    <s v="Jakarta"/>
    <x v="20"/>
    <n v="12000"/>
    <n v="1"/>
    <n v="20"/>
    <n v="12000"/>
    <n v="2400"/>
    <n v="9600"/>
    <n v="97000"/>
    <n v="106600"/>
    <x v="3"/>
    <x v="0"/>
    <x v="4"/>
    <n v="3"/>
    <x v="0"/>
    <x v="0"/>
  </r>
  <r>
    <s v="ORD00453"/>
    <x v="284"/>
    <x v="0"/>
    <s v="Dewi Setiawan"/>
    <s v="Jakarta"/>
    <x v="13"/>
    <n v="17000"/>
    <n v="5"/>
    <n v="10"/>
    <n v="85000"/>
    <n v="8500"/>
    <n v="76500"/>
    <n v="0"/>
    <n v="76500"/>
    <x v="3"/>
    <x v="0"/>
    <x v="4"/>
    <n v="3"/>
    <x v="0"/>
    <x v="1"/>
  </r>
  <r>
    <s v="ORD01340"/>
    <x v="285"/>
    <x v="0"/>
    <s v="Kartika Saputra"/>
    <s v="Palu"/>
    <x v="19"/>
    <n v="22000"/>
    <n v="1"/>
    <n v="15"/>
    <n v="22000"/>
    <n v="3300"/>
    <n v="18700"/>
    <n v="67000"/>
    <n v="85700"/>
    <x v="1"/>
    <x v="1"/>
    <x v="0"/>
    <n v="2"/>
    <x v="0"/>
    <x v="0"/>
  </r>
  <r>
    <s v="ORD01851"/>
    <x v="286"/>
    <x v="0"/>
    <s v="Hana Pradipta"/>
    <s v="Jayapura"/>
    <x v="1"/>
    <n v="5000"/>
    <n v="4"/>
    <n v="0"/>
    <n v="20000"/>
    <n v="0"/>
    <n v="20000"/>
    <n v="30000"/>
    <n v="50000"/>
    <x v="0"/>
    <x v="1"/>
    <x v="4"/>
    <n v="2"/>
    <x v="0"/>
    <x v="0"/>
  </r>
  <r>
    <s v="ORD00576"/>
    <x v="287"/>
    <x v="0"/>
    <s v="Putri Ananda"/>
    <s v="Tanjung Selor"/>
    <x v="25"/>
    <n v="35000"/>
    <n v="2"/>
    <n v="10"/>
    <n v="70000"/>
    <n v="7000"/>
    <n v="63000"/>
    <n v="26000"/>
    <n v="89000"/>
    <x v="1"/>
    <x v="1"/>
    <x v="2"/>
    <n v="2"/>
    <x v="0"/>
    <x v="1"/>
  </r>
  <r>
    <s v="ORD00541"/>
    <x v="288"/>
    <x v="0"/>
    <s v="Bella Ramadhani"/>
    <s v="Pontianak"/>
    <x v="10"/>
    <n v="15000"/>
    <n v="4"/>
    <n v="5"/>
    <n v="60000"/>
    <n v="3000"/>
    <n v="57000"/>
    <n v="85000"/>
    <n v="142000"/>
    <x v="3"/>
    <x v="0"/>
    <x v="4"/>
    <n v="4"/>
    <x v="0"/>
    <x v="0"/>
  </r>
  <r>
    <s v="ORD00661"/>
    <x v="289"/>
    <x v="0"/>
    <s v="Citra Iskandar"/>
    <s v="Palangka Raya"/>
    <x v="0"/>
    <n v="45000"/>
    <n v="2"/>
    <n v="15"/>
    <n v="90000"/>
    <n v="13500"/>
    <n v="76500"/>
    <n v="50000"/>
    <n v="126500"/>
    <x v="2"/>
    <x v="0"/>
    <x v="1"/>
    <n v="5"/>
    <x v="0"/>
    <x v="1"/>
  </r>
  <r>
    <s v="ORD00684"/>
    <x v="290"/>
    <x v="0"/>
    <s v="Wahyu Santoso"/>
    <s v="Pangkalpinang"/>
    <x v="11"/>
    <n v="40000"/>
    <n v="2"/>
    <n v="10"/>
    <n v="80000"/>
    <n v="8000"/>
    <n v="72000"/>
    <n v="18000"/>
    <n v="90000"/>
    <x v="1"/>
    <x v="0"/>
    <x v="2"/>
    <n v="4"/>
    <x v="1"/>
    <x v="1"/>
  </r>
  <r>
    <s v="ORD01413"/>
    <x v="291"/>
    <x v="0"/>
    <s v="Hana Nugroho"/>
    <s v="Surabaya"/>
    <x v="22"/>
    <n v="18000"/>
    <n v="1"/>
    <n v="20"/>
    <n v="18000"/>
    <n v="3600"/>
    <n v="14400"/>
    <n v="74000"/>
    <n v="88400"/>
    <x v="1"/>
    <x v="0"/>
    <x v="0"/>
    <n v="1"/>
    <x v="0"/>
    <x v="0"/>
  </r>
  <r>
    <s v="ORD01605"/>
    <x v="292"/>
    <x v="0"/>
    <s v="Aulia Santoso"/>
    <s v="Bandar Lampung"/>
    <x v="4"/>
    <n v="4000"/>
    <n v="1"/>
    <n v="0"/>
    <n v="4000"/>
    <n v="0"/>
    <n v="4000"/>
    <n v="28000"/>
    <n v="32000"/>
    <x v="3"/>
    <x v="0"/>
    <x v="2"/>
    <n v="4"/>
    <x v="0"/>
    <x v="0"/>
  </r>
  <r>
    <s v="ORD01704"/>
    <x v="293"/>
    <x v="0"/>
    <s v="Erna Budiman"/>
    <s v="Sorong"/>
    <x v="22"/>
    <n v="18000"/>
    <n v="2"/>
    <n v="5"/>
    <n v="36000"/>
    <n v="1800"/>
    <n v="34200"/>
    <n v="87000"/>
    <n v="121200"/>
    <x v="0"/>
    <x v="0"/>
    <x v="3"/>
    <n v="4"/>
    <x v="0"/>
    <x v="0"/>
  </r>
  <r>
    <s v="ORD00471"/>
    <x v="294"/>
    <x v="0"/>
    <s v="Hana Budiman"/>
    <s v="Jakarta"/>
    <x v="19"/>
    <n v="22000"/>
    <n v="5"/>
    <n v="5"/>
    <n v="110000"/>
    <n v="5500"/>
    <n v="104500"/>
    <n v="97000"/>
    <n v="201500"/>
    <x v="0"/>
    <x v="0"/>
    <x v="1"/>
    <n v="4"/>
    <x v="0"/>
    <x v="1"/>
  </r>
  <r>
    <s v="ORD01177"/>
    <x v="295"/>
    <x v="0"/>
    <s v="Zahra Pradipta"/>
    <s v="Nabire"/>
    <x v="2"/>
    <n v="16000"/>
    <n v="3"/>
    <n v="20"/>
    <n v="48000"/>
    <n v="9600"/>
    <n v="38400"/>
    <n v="89000"/>
    <n v="127400"/>
    <x v="1"/>
    <x v="0"/>
    <x v="2"/>
    <n v="3"/>
    <x v="0"/>
    <x v="1"/>
  </r>
  <r>
    <s v="ORD00870"/>
    <x v="296"/>
    <x v="0"/>
    <s v="Zahra Kusuma"/>
    <s v="Tanjung Selor"/>
    <x v="25"/>
    <n v="35000"/>
    <n v="1"/>
    <n v="5"/>
    <n v="35000"/>
    <n v="1750"/>
    <n v="33250"/>
    <n v="26000"/>
    <n v="59250"/>
    <x v="1"/>
    <x v="0"/>
    <x v="3"/>
    <n v="4"/>
    <x v="0"/>
    <x v="0"/>
  </r>
  <r>
    <s v="ORD01057"/>
    <x v="297"/>
    <x v="0"/>
    <s v="Sari Pradipta"/>
    <s v="Banda Aceh"/>
    <x v="7"/>
    <n v="16000"/>
    <n v="2"/>
    <n v="5"/>
    <n v="32000"/>
    <n v="1600"/>
    <n v="30400"/>
    <n v="18000"/>
    <n v="48400"/>
    <x v="2"/>
    <x v="0"/>
    <x v="2"/>
    <n v="2"/>
    <x v="0"/>
    <x v="0"/>
  </r>
  <r>
    <s v="ORD00144"/>
    <x v="298"/>
    <x v="0"/>
    <s v="Erna Kusuma"/>
    <s v="Bandung"/>
    <x v="16"/>
    <n v="25000"/>
    <n v="4"/>
    <n v="0"/>
    <n v="100000"/>
    <n v="0"/>
    <n v="100000"/>
    <n v="0"/>
    <n v="100000"/>
    <x v="0"/>
    <x v="0"/>
    <x v="3"/>
    <n v="3"/>
    <x v="0"/>
    <x v="0"/>
  </r>
  <r>
    <s v="ORD00706"/>
    <x v="299"/>
    <x v="0"/>
    <s v="Dewi Iskandar"/>
    <s v="Banda Aceh"/>
    <x v="2"/>
    <n v="16000"/>
    <n v="3"/>
    <n v="20"/>
    <n v="48000"/>
    <n v="9600"/>
    <n v="38400"/>
    <n v="18000"/>
    <n v="56400"/>
    <x v="1"/>
    <x v="1"/>
    <x v="0"/>
    <n v="1"/>
    <x v="0"/>
    <x v="1"/>
  </r>
  <r>
    <s v="ORD00297"/>
    <x v="300"/>
    <x v="0"/>
    <s v="Ani Utami"/>
    <s v="Banjarbaru"/>
    <x v="12"/>
    <n v="55000"/>
    <n v="4"/>
    <n v="20"/>
    <n v="220000"/>
    <n v="44000"/>
    <n v="176000"/>
    <n v="55000"/>
    <n v="231000"/>
    <x v="1"/>
    <x v="0"/>
    <x v="3"/>
    <n v="2"/>
    <x v="0"/>
    <x v="3"/>
  </r>
  <r>
    <s v="ORD00513"/>
    <x v="301"/>
    <x v="0"/>
    <s v="Citra Halim"/>
    <s v="Merauke"/>
    <x v="3"/>
    <n v="28000"/>
    <n v="5"/>
    <n v="5"/>
    <n v="140000"/>
    <n v="7000"/>
    <n v="133000"/>
    <n v="59000"/>
    <n v="192000"/>
    <x v="3"/>
    <x v="0"/>
    <x v="3"/>
    <n v="1"/>
    <x v="0"/>
    <x v="1"/>
  </r>
  <r>
    <s v="ORD01798"/>
    <x v="302"/>
    <x v="0"/>
    <s v="Erna Santoso"/>
    <s v="Samarinda"/>
    <x v="20"/>
    <n v="12000"/>
    <n v="1"/>
    <n v="0"/>
    <n v="12000"/>
    <n v="0"/>
    <n v="12000"/>
    <n v="43000"/>
    <n v="55000"/>
    <x v="0"/>
    <x v="0"/>
    <x v="1"/>
    <n v="4"/>
    <x v="0"/>
    <x v="0"/>
  </r>
  <r>
    <s v="ORD01505"/>
    <x v="303"/>
    <x v="0"/>
    <s v="Aulia Kusuma"/>
    <s v="Surabaya"/>
    <x v="17"/>
    <n v="30000"/>
    <n v="2"/>
    <n v="15"/>
    <n v="60000"/>
    <n v="9000"/>
    <n v="51000"/>
    <n v="74000"/>
    <n v="125000"/>
    <x v="3"/>
    <x v="0"/>
    <x v="4"/>
    <n v="2"/>
    <x v="0"/>
    <x v="1"/>
  </r>
  <r>
    <s v="ORD00618"/>
    <x v="304"/>
    <x v="0"/>
    <s v="Zahra Setiawan"/>
    <s v="Banjarbaru"/>
    <x v="7"/>
    <n v="16000"/>
    <n v="4"/>
    <n v="15"/>
    <n v="64000"/>
    <n v="9600"/>
    <n v="54400"/>
    <n v="55000"/>
    <n v="109400"/>
    <x v="1"/>
    <x v="0"/>
    <x v="2"/>
    <n v="1"/>
    <x v="0"/>
    <x v="1"/>
  </r>
  <r>
    <s v="ORD00366"/>
    <x v="305"/>
    <x v="0"/>
    <s v="Clara Pradipta"/>
    <s v="Jakarta"/>
    <x v="0"/>
    <n v="45000"/>
    <n v="2"/>
    <n v="20"/>
    <n v="90000"/>
    <n v="18000"/>
    <n v="72000"/>
    <n v="97000"/>
    <n v="169000"/>
    <x v="2"/>
    <x v="0"/>
    <x v="0"/>
    <n v="2"/>
    <x v="0"/>
    <x v="2"/>
  </r>
  <r>
    <s v="ORD00366"/>
    <x v="305"/>
    <x v="0"/>
    <s v="Clara Pradipta"/>
    <s v="Jakarta"/>
    <x v="13"/>
    <n v="17000"/>
    <n v="1"/>
    <n v="5"/>
    <n v="17000"/>
    <n v="850"/>
    <n v="16150"/>
    <n v="0"/>
    <n v="16150"/>
    <x v="2"/>
    <x v="0"/>
    <x v="0"/>
    <n v="2"/>
    <x v="0"/>
    <x v="0"/>
  </r>
  <r>
    <s v="ORD00428"/>
    <x v="306"/>
    <x v="0"/>
    <s v="Yani Ramadhani"/>
    <s v="Kupang"/>
    <x v="3"/>
    <n v="28000"/>
    <n v="2"/>
    <n v="10"/>
    <n v="56000"/>
    <n v="5600"/>
    <n v="50400"/>
    <n v="21000"/>
    <n v="71400"/>
    <x v="0"/>
    <x v="0"/>
    <x v="0"/>
    <n v="1"/>
    <x v="0"/>
    <x v="1"/>
  </r>
  <r>
    <s v="ORD01725"/>
    <x v="307"/>
    <x v="0"/>
    <s v="Dewi Wijaya"/>
    <s v="Jayapura"/>
    <x v="10"/>
    <n v="15000"/>
    <n v="3"/>
    <n v="15"/>
    <n v="45000"/>
    <n v="6750"/>
    <n v="38250"/>
    <n v="30000"/>
    <n v="68250"/>
    <x v="2"/>
    <x v="0"/>
    <x v="1"/>
    <n v="4"/>
    <x v="0"/>
    <x v="1"/>
  </r>
  <r>
    <s v="ORD01108"/>
    <x v="308"/>
    <x v="0"/>
    <s v="Kartika Saputra"/>
    <s v="Palu"/>
    <x v="14"/>
    <n v="35000"/>
    <n v="5"/>
    <n v="0"/>
    <n v="175000"/>
    <n v="0"/>
    <n v="175000"/>
    <n v="67000"/>
    <n v="242000"/>
    <x v="1"/>
    <x v="1"/>
    <x v="4"/>
    <n v="2"/>
    <x v="0"/>
    <x v="0"/>
  </r>
  <r>
    <s v="ORD00380"/>
    <x v="309"/>
    <x v="0"/>
    <s v="Dina Kurniawan"/>
    <s v="Sorong"/>
    <x v="0"/>
    <n v="45000"/>
    <n v="3"/>
    <n v="20"/>
    <n v="135000"/>
    <n v="27000"/>
    <n v="108000"/>
    <n v="87000"/>
    <n v="195000"/>
    <x v="0"/>
    <x v="0"/>
    <x v="4"/>
    <n v="1"/>
    <x v="0"/>
    <x v="2"/>
  </r>
  <r>
    <s v="ORD01214"/>
    <x v="310"/>
    <x v="0"/>
    <s v="Gita Puspita"/>
    <s v="Palu"/>
    <x v="24"/>
    <n v="45000"/>
    <n v="3"/>
    <n v="20"/>
    <n v="135000"/>
    <n v="27000"/>
    <n v="108000"/>
    <n v="67000"/>
    <n v="175000"/>
    <x v="3"/>
    <x v="0"/>
    <x v="2"/>
    <n v="2"/>
    <x v="0"/>
    <x v="2"/>
  </r>
  <r>
    <s v="ORD00358"/>
    <x v="311"/>
    <x v="0"/>
    <s v="Gita Ramadhani"/>
    <s v="Palangka Raya"/>
    <x v="22"/>
    <n v="18000"/>
    <n v="2"/>
    <n v="15"/>
    <n v="36000"/>
    <n v="5400"/>
    <n v="30600"/>
    <n v="50000"/>
    <n v="80600"/>
    <x v="3"/>
    <x v="0"/>
    <x v="1"/>
    <n v="2"/>
    <x v="0"/>
    <x v="1"/>
  </r>
  <r>
    <s v="ORD01580"/>
    <x v="312"/>
    <x v="0"/>
    <s v="Dimas Utami"/>
    <s v="Bandung"/>
    <x v="10"/>
    <n v="15000"/>
    <n v="3"/>
    <n v="0"/>
    <n v="45000"/>
    <n v="0"/>
    <n v="45000"/>
    <n v="0"/>
    <n v="45000"/>
    <x v="1"/>
    <x v="0"/>
    <x v="3"/>
    <n v="2"/>
    <x v="1"/>
    <x v="0"/>
  </r>
  <r>
    <s v="ORD01460"/>
    <x v="313"/>
    <x v="0"/>
    <s v="Erna Setiawan"/>
    <s v="Denpasar"/>
    <x v="2"/>
    <n v="16000"/>
    <n v="1"/>
    <n v="10"/>
    <n v="16000"/>
    <n v="1600"/>
    <n v="14400"/>
    <n v="80000"/>
    <n v="94400"/>
    <x v="1"/>
    <x v="0"/>
    <x v="4"/>
    <n v="2"/>
    <x v="0"/>
    <x v="0"/>
  </r>
  <r>
    <s v="ORD00162"/>
    <x v="314"/>
    <x v="0"/>
    <s v="Lestari Ramadhani"/>
    <s v="Banda Aceh"/>
    <x v="19"/>
    <n v="22000"/>
    <n v="5"/>
    <n v="10"/>
    <n v="110000"/>
    <n v="11000"/>
    <n v="99000"/>
    <n v="18000"/>
    <n v="117000"/>
    <x v="1"/>
    <x v="0"/>
    <x v="4"/>
    <n v="5"/>
    <x v="0"/>
    <x v="1"/>
  </r>
  <r>
    <s v="ORD00843"/>
    <x v="315"/>
    <x v="0"/>
    <s v="Fitri Maulana"/>
    <s v="Palangka Raya"/>
    <x v="5"/>
    <n v="40000"/>
    <n v="5"/>
    <n v="0"/>
    <n v="200000"/>
    <n v="0"/>
    <n v="200000"/>
    <n v="50000"/>
    <n v="250000"/>
    <x v="2"/>
    <x v="1"/>
    <x v="3"/>
    <n v="5"/>
    <x v="0"/>
    <x v="0"/>
  </r>
  <r>
    <s v="ORD01584"/>
    <x v="316"/>
    <x v="0"/>
    <s v="Sari Kurniawan"/>
    <s v="Medan"/>
    <x v="13"/>
    <n v="17000"/>
    <n v="3"/>
    <n v="5"/>
    <n v="51000"/>
    <n v="2550"/>
    <n v="48450"/>
    <n v="79000"/>
    <n v="127450"/>
    <x v="1"/>
    <x v="0"/>
    <x v="3"/>
    <n v="1"/>
    <x v="0"/>
    <x v="0"/>
  </r>
  <r>
    <s v="ORD00657"/>
    <x v="317"/>
    <x v="0"/>
    <s v="Dina Hidayat"/>
    <s v="Pekanbaru"/>
    <x v="5"/>
    <n v="40000"/>
    <n v="4"/>
    <n v="10"/>
    <n v="160000"/>
    <n v="16000"/>
    <n v="144000"/>
    <n v="49000"/>
    <n v="193000"/>
    <x v="1"/>
    <x v="0"/>
    <x v="3"/>
    <n v="4"/>
    <x v="0"/>
    <x v="2"/>
  </r>
  <r>
    <s v="ORD01438"/>
    <x v="318"/>
    <x v="0"/>
    <s v="Aulia Ananda"/>
    <s v="Pontianak"/>
    <x v="17"/>
    <n v="30000"/>
    <n v="2"/>
    <n v="15"/>
    <n v="60000"/>
    <n v="9000"/>
    <n v="51000"/>
    <n v="85000"/>
    <n v="136000"/>
    <x v="2"/>
    <x v="0"/>
    <x v="3"/>
    <n v="4"/>
    <x v="0"/>
    <x v="1"/>
  </r>
  <r>
    <s v="ORD00409"/>
    <x v="319"/>
    <x v="0"/>
    <s v="Qori Budiman"/>
    <s v="Tanjungpinang"/>
    <x v="26"/>
    <n v="18000"/>
    <n v="2"/>
    <n v="10"/>
    <n v="36000"/>
    <n v="3600"/>
    <n v="32400"/>
    <n v="48000"/>
    <n v="80400"/>
    <x v="1"/>
    <x v="0"/>
    <x v="0"/>
    <n v="4"/>
    <x v="0"/>
    <x v="0"/>
  </r>
  <r>
    <s v="ORD01353"/>
    <x v="320"/>
    <x v="0"/>
    <s v="Tono Syahputra"/>
    <s v="Wamena"/>
    <x v="0"/>
    <n v="45000"/>
    <n v="1"/>
    <n v="0"/>
    <n v="45000"/>
    <n v="0"/>
    <n v="45000"/>
    <n v="15000"/>
    <n v="60000"/>
    <x v="2"/>
    <x v="0"/>
    <x v="3"/>
    <n v="3"/>
    <x v="1"/>
    <x v="0"/>
  </r>
  <r>
    <s v="ORD00511"/>
    <x v="321"/>
    <x v="0"/>
    <s v="Joko Halim"/>
    <s v="Kendari"/>
    <x v="5"/>
    <n v="40000"/>
    <n v="2"/>
    <n v="5"/>
    <n v="80000"/>
    <n v="4000"/>
    <n v="76000"/>
    <n v="59000"/>
    <n v="135000"/>
    <x v="2"/>
    <x v="0"/>
    <x v="0"/>
    <n v="3"/>
    <x v="1"/>
    <x v="0"/>
  </r>
  <r>
    <s v="ORD00548"/>
    <x v="322"/>
    <x v="0"/>
    <s v="Sari Syahputra"/>
    <s v="Merauke"/>
    <x v="10"/>
    <n v="15000"/>
    <n v="1"/>
    <n v="10"/>
    <n v="15000"/>
    <n v="1500"/>
    <n v="13500"/>
    <n v="59000"/>
    <n v="72500"/>
    <x v="0"/>
    <x v="0"/>
    <x v="0"/>
    <n v="4"/>
    <x v="0"/>
    <x v="0"/>
  </r>
  <r>
    <s v="ORD00504"/>
    <x v="323"/>
    <x v="0"/>
    <s v="Hana Fauziah"/>
    <s v="Pontianak"/>
    <x v="4"/>
    <n v="4000"/>
    <n v="2"/>
    <n v="0"/>
    <n v="8000"/>
    <n v="0"/>
    <n v="8000"/>
    <n v="85000"/>
    <n v="93000"/>
    <x v="0"/>
    <x v="0"/>
    <x v="3"/>
    <n v="5"/>
    <x v="0"/>
    <x v="0"/>
  </r>
  <r>
    <s v="ORD00832"/>
    <x v="324"/>
    <x v="0"/>
    <s v="Gita Saputra"/>
    <s v="Bengkulu"/>
    <x v="5"/>
    <n v="40000"/>
    <n v="5"/>
    <n v="0"/>
    <n v="200000"/>
    <n v="0"/>
    <n v="200000"/>
    <n v="72000"/>
    <n v="272000"/>
    <x v="3"/>
    <x v="1"/>
    <x v="4"/>
    <n v="2"/>
    <x v="0"/>
    <x v="0"/>
  </r>
  <r>
    <s v="ORD00090"/>
    <x v="325"/>
    <x v="0"/>
    <s v="Rizky Fauziah"/>
    <s v="Sorong"/>
    <x v="2"/>
    <n v="16000"/>
    <n v="2"/>
    <n v="10"/>
    <n v="32000"/>
    <n v="3200"/>
    <n v="28800"/>
    <n v="87000"/>
    <n v="115800"/>
    <x v="0"/>
    <x v="0"/>
    <x v="3"/>
    <n v="5"/>
    <x v="1"/>
    <x v="0"/>
  </r>
  <r>
    <s v="ORD00346"/>
    <x v="326"/>
    <x v="0"/>
    <s v="Zahra Iskandar"/>
    <s v="Manokwari"/>
    <x v="10"/>
    <n v="15000"/>
    <n v="3"/>
    <n v="0"/>
    <n v="45000"/>
    <n v="0"/>
    <n v="45000"/>
    <n v="18000"/>
    <n v="63000"/>
    <x v="3"/>
    <x v="0"/>
    <x v="3"/>
    <n v="5"/>
    <x v="0"/>
    <x v="0"/>
  </r>
  <r>
    <s v="ORD01768"/>
    <x v="327"/>
    <x v="0"/>
    <s v="Ani Kusuma"/>
    <s v="Tanjungpinang"/>
    <x v="19"/>
    <n v="22000"/>
    <n v="5"/>
    <n v="0"/>
    <n v="110000"/>
    <n v="0"/>
    <n v="110000"/>
    <n v="48000"/>
    <n v="158000"/>
    <x v="1"/>
    <x v="0"/>
    <x v="0"/>
    <n v="1"/>
    <x v="0"/>
    <x v="0"/>
  </r>
  <r>
    <s v="ORD00662"/>
    <x v="328"/>
    <x v="0"/>
    <s v="Putri Halim"/>
    <s v="Padang"/>
    <x v="12"/>
    <n v="55000"/>
    <n v="2"/>
    <n v="5"/>
    <n v="110000"/>
    <n v="5500"/>
    <n v="104500"/>
    <n v="68000"/>
    <n v="172500"/>
    <x v="0"/>
    <x v="0"/>
    <x v="1"/>
    <n v="2"/>
    <x v="0"/>
    <x v="1"/>
  </r>
  <r>
    <s v="ORD00888"/>
    <x v="329"/>
    <x v="0"/>
    <s v="Yani Hidayat"/>
    <s v="Gorontalo"/>
    <x v="24"/>
    <n v="45000"/>
    <n v="5"/>
    <n v="15"/>
    <n v="225000"/>
    <n v="33750"/>
    <n v="191250"/>
    <n v="80000"/>
    <n v="271250"/>
    <x v="3"/>
    <x v="0"/>
    <x v="2"/>
    <n v="2"/>
    <x v="0"/>
    <x v="3"/>
  </r>
  <r>
    <s v="ORD00444"/>
    <x v="330"/>
    <x v="0"/>
    <s v="Clara Utami"/>
    <s v="Pangkalpinang"/>
    <x v="20"/>
    <n v="12000"/>
    <n v="5"/>
    <n v="15"/>
    <n v="60000"/>
    <n v="9000"/>
    <n v="51000"/>
    <n v="18000"/>
    <n v="69000"/>
    <x v="1"/>
    <x v="0"/>
    <x v="0"/>
    <n v="5"/>
    <x v="0"/>
    <x v="1"/>
  </r>
  <r>
    <s v="ORD00444"/>
    <x v="330"/>
    <x v="0"/>
    <s v="Clara Utami"/>
    <s v="Pangkalpinang"/>
    <x v="3"/>
    <n v="28000"/>
    <n v="2"/>
    <n v="5"/>
    <n v="56000"/>
    <n v="2800"/>
    <n v="53200"/>
    <n v="0"/>
    <n v="53200"/>
    <x v="1"/>
    <x v="0"/>
    <x v="0"/>
    <n v="5"/>
    <x v="0"/>
    <x v="0"/>
  </r>
  <r>
    <s v="ORD01769"/>
    <x v="331"/>
    <x v="0"/>
    <s v="Dimas Puspita"/>
    <s v="Pangkalpinang"/>
    <x v="6"/>
    <n v="14000"/>
    <n v="1"/>
    <n v="15"/>
    <n v="14000"/>
    <n v="2100"/>
    <n v="11900"/>
    <n v="18000"/>
    <n v="29900"/>
    <x v="3"/>
    <x v="0"/>
    <x v="1"/>
    <n v="5"/>
    <x v="1"/>
    <x v="0"/>
  </r>
  <r>
    <s v="ORD01636"/>
    <x v="332"/>
    <x v="0"/>
    <s v="Dewi Wijaya"/>
    <s v="Jayapura"/>
    <x v="17"/>
    <n v="30000"/>
    <n v="4"/>
    <n v="15"/>
    <n v="120000"/>
    <n v="18000"/>
    <n v="102000"/>
    <n v="30000"/>
    <n v="132000"/>
    <x v="2"/>
    <x v="0"/>
    <x v="3"/>
    <n v="2"/>
    <x v="0"/>
    <x v="2"/>
  </r>
  <r>
    <s v="ORD00376"/>
    <x v="333"/>
    <x v="0"/>
    <s v="Yani Ananda"/>
    <s v="Mataram"/>
    <x v="5"/>
    <n v="40000"/>
    <n v="3"/>
    <n v="5"/>
    <n v="120000"/>
    <n v="6000"/>
    <n v="114000"/>
    <n v="56000"/>
    <n v="170000"/>
    <x v="0"/>
    <x v="0"/>
    <x v="3"/>
    <n v="1"/>
    <x v="0"/>
    <x v="1"/>
  </r>
  <r>
    <s v="ORD00376"/>
    <x v="333"/>
    <x v="0"/>
    <s v="Yani Ananda"/>
    <s v="Mataram"/>
    <x v="5"/>
    <n v="40000"/>
    <n v="3"/>
    <n v="5"/>
    <n v="120000"/>
    <n v="6000"/>
    <n v="114000"/>
    <n v="0"/>
    <n v="114000"/>
    <x v="0"/>
    <x v="0"/>
    <x v="3"/>
    <n v="1"/>
    <x v="0"/>
    <x v="1"/>
  </r>
  <r>
    <s v="ORD00646"/>
    <x v="334"/>
    <x v="0"/>
    <s v="Wahyu Budiman"/>
    <s v="Tanjungpinang"/>
    <x v="15"/>
    <n v="14000"/>
    <n v="1"/>
    <n v="15"/>
    <n v="14000"/>
    <n v="2100"/>
    <n v="11900"/>
    <n v="48000"/>
    <n v="59900"/>
    <x v="0"/>
    <x v="1"/>
    <x v="3"/>
    <n v="1"/>
    <x v="1"/>
    <x v="0"/>
  </r>
  <r>
    <s v="ORD00580"/>
    <x v="335"/>
    <x v="0"/>
    <s v="Galih Kusuma"/>
    <s v="Bandung"/>
    <x v="24"/>
    <n v="45000"/>
    <n v="5"/>
    <n v="5"/>
    <n v="225000"/>
    <n v="11250"/>
    <n v="213750"/>
    <n v="0"/>
    <n v="213750"/>
    <x v="2"/>
    <x v="0"/>
    <x v="4"/>
    <n v="5"/>
    <x v="1"/>
    <x v="1"/>
  </r>
  <r>
    <s v="ORD00535"/>
    <x v="336"/>
    <x v="0"/>
    <s v="Dina Maulana"/>
    <s v="Kupang"/>
    <x v="10"/>
    <n v="15000"/>
    <n v="2"/>
    <n v="0"/>
    <n v="30000"/>
    <n v="0"/>
    <n v="30000"/>
    <n v="21000"/>
    <n v="51000"/>
    <x v="0"/>
    <x v="0"/>
    <x v="4"/>
    <n v="1"/>
    <x v="0"/>
    <x v="0"/>
  </r>
  <r>
    <s v="ORD01406"/>
    <x v="337"/>
    <x v="0"/>
    <s v="Oka Kurniawan"/>
    <s v="Sorong"/>
    <x v="5"/>
    <n v="40000"/>
    <n v="3"/>
    <n v="0"/>
    <n v="120000"/>
    <n v="0"/>
    <n v="120000"/>
    <n v="87000"/>
    <n v="207000"/>
    <x v="3"/>
    <x v="0"/>
    <x v="3"/>
    <n v="2"/>
    <x v="1"/>
    <x v="0"/>
  </r>
  <r>
    <s v="ORD00213"/>
    <x v="338"/>
    <x v="0"/>
    <s v="Kartika Nugroho"/>
    <s v="Samarinda"/>
    <x v="2"/>
    <n v="16000"/>
    <n v="3"/>
    <n v="20"/>
    <n v="48000"/>
    <n v="9600"/>
    <n v="38400"/>
    <n v="43000"/>
    <n v="81400"/>
    <x v="0"/>
    <x v="0"/>
    <x v="3"/>
    <n v="4"/>
    <x v="0"/>
    <x v="1"/>
  </r>
  <r>
    <s v="ORD00213"/>
    <x v="338"/>
    <x v="0"/>
    <s v="Kartika Nugroho"/>
    <s v="Samarinda"/>
    <x v="6"/>
    <n v="14000"/>
    <n v="2"/>
    <n v="15"/>
    <n v="28000"/>
    <n v="4200"/>
    <n v="23800"/>
    <n v="0"/>
    <n v="23800"/>
    <x v="0"/>
    <x v="0"/>
    <x v="3"/>
    <n v="4"/>
    <x v="0"/>
    <x v="0"/>
  </r>
  <r>
    <s v="ORD00394"/>
    <x v="339"/>
    <x v="0"/>
    <s v="Fitri Puspita"/>
    <s v="Yogyakarta"/>
    <x v="1"/>
    <n v="5000"/>
    <n v="4"/>
    <n v="5"/>
    <n v="20000"/>
    <n v="1000"/>
    <n v="19000"/>
    <n v="78000"/>
    <n v="97000"/>
    <x v="1"/>
    <x v="1"/>
    <x v="1"/>
    <n v="5"/>
    <x v="0"/>
    <x v="0"/>
  </r>
  <r>
    <s v="ORD00379"/>
    <x v="340"/>
    <x v="0"/>
    <s v="Hana Halim"/>
    <s v="Sorong"/>
    <x v="0"/>
    <n v="45000"/>
    <n v="1"/>
    <n v="20"/>
    <n v="45000"/>
    <n v="9000"/>
    <n v="36000"/>
    <n v="87000"/>
    <n v="123000"/>
    <x v="3"/>
    <x v="0"/>
    <x v="4"/>
    <n v="4"/>
    <x v="0"/>
    <x v="1"/>
  </r>
  <r>
    <s v="ORD00397"/>
    <x v="341"/>
    <x v="0"/>
    <s v="Lestari Nugroho"/>
    <s v="Samarinda"/>
    <x v="2"/>
    <n v="16000"/>
    <n v="3"/>
    <n v="5"/>
    <n v="48000"/>
    <n v="2400"/>
    <n v="45600"/>
    <n v="43000"/>
    <n v="88600"/>
    <x v="0"/>
    <x v="0"/>
    <x v="2"/>
    <n v="3"/>
    <x v="0"/>
    <x v="0"/>
  </r>
  <r>
    <s v="ORD00397"/>
    <x v="341"/>
    <x v="0"/>
    <s v="Lestari Nugroho"/>
    <s v="Samarinda"/>
    <x v="20"/>
    <n v="12000"/>
    <n v="4"/>
    <n v="0"/>
    <n v="48000"/>
    <n v="0"/>
    <n v="48000"/>
    <n v="0"/>
    <n v="48000"/>
    <x v="0"/>
    <x v="0"/>
    <x v="2"/>
    <n v="3"/>
    <x v="0"/>
    <x v="0"/>
  </r>
  <r>
    <s v="ORD00249"/>
    <x v="342"/>
    <x v="0"/>
    <s v="Putri Ananda"/>
    <s v="Tanjung Selor"/>
    <x v="9"/>
    <n v="50000"/>
    <n v="2"/>
    <n v="15"/>
    <n v="100000"/>
    <n v="15000"/>
    <n v="85000"/>
    <n v="26000"/>
    <n v="111000"/>
    <x v="1"/>
    <x v="0"/>
    <x v="4"/>
    <n v="1"/>
    <x v="0"/>
    <x v="1"/>
  </r>
  <r>
    <s v="ORD01403"/>
    <x v="343"/>
    <x v="0"/>
    <s v="Clara Budiman"/>
    <s v="Manado"/>
    <x v="7"/>
    <n v="16000"/>
    <n v="2"/>
    <n v="5"/>
    <n v="32000"/>
    <n v="1600"/>
    <n v="30400"/>
    <n v="93000"/>
    <n v="123400"/>
    <x v="1"/>
    <x v="1"/>
    <x v="3"/>
    <n v="1"/>
    <x v="0"/>
    <x v="0"/>
  </r>
  <r>
    <s v="ORD01579"/>
    <x v="344"/>
    <x v="0"/>
    <s v="Fitri Iskandar"/>
    <s v="Kendari"/>
    <x v="11"/>
    <n v="40000"/>
    <n v="5"/>
    <n v="5"/>
    <n v="200000"/>
    <n v="10000"/>
    <n v="190000"/>
    <n v="59000"/>
    <n v="249000"/>
    <x v="3"/>
    <x v="0"/>
    <x v="4"/>
    <n v="3"/>
    <x v="0"/>
    <x v="1"/>
  </r>
  <r>
    <s v="ORD00191"/>
    <x v="345"/>
    <x v="0"/>
    <s v="Sari Utami"/>
    <s v="Kendari"/>
    <x v="20"/>
    <n v="12000"/>
    <n v="2"/>
    <n v="20"/>
    <n v="24000"/>
    <n v="4800"/>
    <n v="19200"/>
    <n v="59000"/>
    <n v="78200"/>
    <x v="0"/>
    <x v="0"/>
    <x v="3"/>
    <n v="1"/>
    <x v="0"/>
    <x v="0"/>
  </r>
  <r>
    <s v="ORD00191"/>
    <x v="345"/>
    <x v="0"/>
    <s v="Sari Utami"/>
    <s v="Kendari"/>
    <x v="6"/>
    <n v="14000"/>
    <n v="4"/>
    <n v="0"/>
    <n v="56000"/>
    <n v="0"/>
    <n v="56000"/>
    <n v="0"/>
    <n v="56000"/>
    <x v="0"/>
    <x v="0"/>
    <x v="3"/>
    <n v="1"/>
    <x v="0"/>
    <x v="0"/>
  </r>
  <r>
    <s v="ORD01667"/>
    <x v="346"/>
    <x v="0"/>
    <s v="Zahra Maulana"/>
    <s v="Wamena"/>
    <x v="26"/>
    <n v="18000"/>
    <n v="4"/>
    <n v="15"/>
    <n v="72000"/>
    <n v="10800"/>
    <n v="61200"/>
    <n v="15000"/>
    <n v="76200"/>
    <x v="1"/>
    <x v="0"/>
    <x v="4"/>
    <n v="3"/>
    <x v="0"/>
    <x v="1"/>
  </r>
  <r>
    <s v="ORD00515"/>
    <x v="347"/>
    <x v="0"/>
    <s v="Bella Nugroho"/>
    <s v="Banjarbaru"/>
    <x v="9"/>
    <n v="50000"/>
    <n v="4"/>
    <n v="5"/>
    <n v="200000"/>
    <n v="10000"/>
    <n v="190000"/>
    <n v="55000"/>
    <n v="245000"/>
    <x v="1"/>
    <x v="0"/>
    <x v="0"/>
    <n v="3"/>
    <x v="0"/>
    <x v="1"/>
  </r>
  <r>
    <s v="ORD00402"/>
    <x v="348"/>
    <x v="0"/>
    <s v="Fitri Utami"/>
    <s v="Padang"/>
    <x v="8"/>
    <n v="16000"/>
    <n v="5"/>
    <n v="0"/>
    <n v="80000"/>
    <n v="0"/>
    <n v="80000"/>
    <n v="68000"/>
    <n v="148000"/>
    <x v="2"/>
    <x v="1"/>
    <x v="2"/>
    <n v="2"/>
    <x v="0"/>
    <x v="0"/>
  </r>
  <r>
    <s v="ORD00105"/>
    <x v="349"/>
    <x v="0"/>
    <s v="Clara Santoso"/>
    <s v="Palu"/>
    <x v="19"/>
    <n v="22000"/>
    <n v="3"/>
    <n v="15"/>
    <n v="66000"/>
    <n v="9900"/>
    <n v="56100"/>
    <n v="67000"/>
    <n v="123100"/>
    <x v="1"/>
    <x v="0"/>
    <x v="4"/>
    <n v="4"/>
    <x v="0"/>
    <x v="1"/>
  </r>
  <r>
    <s v="ORD00105"/>
    <x v="349"/>
    <x v="0"/>
    <s v="Clara Santoso"/>
    <s v="Palu"/>
    <x v="25"/>
    <n v="35000"/>
    <n v="1"/>
    <n v="20"/>
    <n v="35000"/>
    <n v="7000"/>
    <n v="28000"/>
    <n v="0"/>
    <n v="28000"/>
    <x v="1"/>
    <x v="0"/>
    <x v="4"/>
    <n v="4"/>
    <x v="0"/>
    <x v="1"/>
  </r>
  <r>
    <s v="ORD01205"/>
    <x v="350"/>
    <x v="0"/>
    <s v="Citra Halim"/>
    <s v="Merauke"/>
    <x v="25"/>
    <n v="35000"/>
    <n v="3"/>
    <n v="20"/>
    <n v="105000"/>
    <n v="21000"/>
    <n v="84000"/>
    <n v="59000"/>
    <n v="143000"/>
    <x v="1"/>
    <x v="0"/>
    <x v="0"/>
    <n v="3"/>
    <x v="0"/>
    <x v="2"/>
  </r>
  <r>
    <s v="ORD00538"/>
    <x v="351"/>
    <x v="0"/>
    <s v="Aulia Ananda"/>
    <s v="Pontianak"/>
    <x v="2"/>
    <n v="16000"/>
    <n v="3"/>
    <n v="0"/>
    <n v="48000"/>
    <n v="0"/>
    <n v="48000"/>
    <n v="85000"/>
    <n v="133000"/>
    <x v="0"/>
    <x v="0"/>
    <x v="1"/>
    <n v="5"/>
    <x v="0"/>
    <x v="0"/>
  </r>
  <r>
    <s v="ORD00761"/>
    <x v="352"/>
    <x v="0"/>
    <s v="Budi Saputra"/>
    <s v="Mataram"/>
    <x v="21"/>
    <n v="17000"/>
    <n v="2"/>
    <n v="15"/>
    <n v="34000"/>
    <n v="5100"/>
    <n v="28900"/>
    <n v="56000"/>
    <n v="84900"/>
    <x v="2"/>
    <x v="1"/>
    <x v="2"/>
    <n v="3"/>
    <x v="1"/>
    <x v="1"/>
  </r>
  <r>
    <s v="ORD01616"/>
    <x v="353"/>
    <x v="0"/>
    <s v="Nanda Fauziah"/>
    <s v="Merauke"/>
    <x v="4"/>
    <n v="4000"/>
    <n v="4"/>
    <n v="20"/>
    <n v="16000"/>
    <n v="3200"/>
    <n v="12800"/>
    <n v="59000"/>
    <n v="71800"/>
    <x v="0"/>
    <x v="0"/>
    <x v="0"/>
    <n v="5"/>
    <x v="1"/>
    <x v="0"/>
  </r>
  <r>
    <s v="ORD00220"/>
    <x v="354"/>
    <x v="0"/>
    <s v="Ani Halim"/>
    <s v="Sofifi"/>
    <x v="22"/>
    <n v="18000"/>
    <n v="1"/>
    <n v="15"/>
    <n v="18000"/>
    <n v="2700"/>
    <n v="15300"/>
    <n v="50000"/>
    <n v="65300"/>
    <x v="3"/>
    <x v="0"/>
    <x v="4"/>
    <n v="4"/>
    <x v="0"/>
    <x v="0"/>
  </r>
  <r>
    <s v="ORD01539"/>
    <x v="355"/>
    <x v="0"/>
    <s v="Erna Kusuma"/>
    <s v="Bandung"/>
    <x v="12"/>
    <n v="55000"/>
    <n v="2"/>
    <n v="10"/>
    <n v="110000"/>
    <n v="11000"/>
    <n v="99000"/>
    <n v="0"/>
    <n v="99000"/>
    <x v="2"/>
    <x v="0"/>
    <x v="1"/>
    <n v="4"/>
    <x v="0"/>
    <x v="1"/>
  </r>
  <r>
    <s v="ORD00879"/>
    <x v="356"/>
    <x v="0"/>
    <s v="Vina Puspita"/>
    <s v="Manokwari"/>
    <x v="12"/>
    <n v="55000"/>
    <n v="4"/>
    <n v="10"/>
    <n v="220000"/>
    <n v="22000"/>
    <n v="198000"/>
    <n v="18000"/>
    <n v="216000"/>
    <x v="2"/>
    <x v="0"/>
    <x v="1"/>
    <n v="2"/>
    <x v="0"/>
    <x v="2"/>
  </r>
  <r>
    <s v="ORD01198"/>
    <x v="357"/>
    <x v="0"/>
    <s v="Putri Ramadhani"/>
    <s v="Pangkalpinang"/>
    <x v="2"/>
    <n v="16000"/>
    <n v="5"/>
    <n v="5"/>
    <n v="80000"/>
    <n v="4000"/>
    <n v="76000"/>
    <n v="18000"/>
    <n v="94000"/>
    <x v="2"/>
    <x v="0"/>
    <x v="4"/>
    <n v="5"/>
    <x v="0"/>
    <x v="0"/>
  </r>
  <r>
    <s v="ORD00038"/>
    <x v="358"/>
    <x v="0"/>
    <s v="Galih Budiman"/>
    <s v="Palembang"/>
    <x v="24"/>
    <n v="45000"/>
    <n v="5"/>
    <n v="15"/>
    <n v="225000"/>
    <n v="33750"/>
    <n v="191250"/>
    <n v="17000"/>
    <n v="208250"/>
    <x v="2"/>
    <x v="1"/>
    <x v="1"/>
    <n v="1"/>
    <x v="1"/>
    <x v="3"/>
  </r>
  <r>
    <s v="ORD00903"/>
    <x v="359"/>
    <x v="0"/>
    <s v="Ani Halim"/>
    <s v="Sofifi"/>
    <x v="13"/>
    <n v="17000"/>
    <n v="2"/>
    <n v="15"/>
    <n v="34000"/>
    <n v="5100"/>
    <n v="28900"/>
    <n v="50000"/>
    <n v="78900"/>
    <x v="2"/>
    <x v="0"/>
    <x v="4"/>
    <n v="3"/>
    <x v="0"/>
    <x v="1"/>
  </r>
  <r>
    <s v="ORD01827"/>
    <x v="360"/>
    <x v="0"/>
    <s v="Fajar Kurniawan"/>
    <s v="Manado"/>
    <x v="0"/>
    <n v="45000"/>
    <n v="2"/>
    <n v="20"/>
    <n v="90000"/>
    <n v="18000"/>
    <n v="72000"/>
    <n v="93000"/>
    <n v="165000"/>
    <x v="2"/>
    <x v="0"/>
    <x v="2"/>
    <n v="3"/>
    <x v="1"/>
    <x v="2"/>
  </r>
  <r>
    <s v="ORD00084"/>
    <x v="361"/>
    <x v="0"/>
    <s v="Bayu Syahputra"/>
    <s v="Jakarta"/>
    <x v="2"/>
    <n v="16000"/>
    <n v="4"/>
    <n v="0"/>
    <n v="64000"/>
    <n v="0"/>
    <n v="64000"/>
    <n v="97000"/>
    <n v="161000"/>
    <x v="3"/>
    <x v="2"/>
    <x v="4"/>
    <n v="2"/>
    <x v="1"/>
    <x v="0"/>
  </r>
  <r>
    <s v="ORD00780"/>
    <x v="362"/>
    <x v="0"/>
    <s v="Vina Ananda"/>
    <s v="Jayapura"/>
    <x v="13"/>
    <n v="17000"/>
    <n v="2"/>
    <n v="20"/>
    <n v="34000"/>
    <n v="6800"/>
    <n v="27200"/>
    <n v="30000"/>
    <n v="57200"/>
    <x v="0"/>
    <x v="0"/>
    <x v="4"/>
    <n v="3"/>
    <x v="0"/>
    <x v="1"/>
  </r>
  <r>
    <s v="ORD00059"/>
    <x v="363"/>
    <x v="0"/>
    <s v="Indra Puspita"/>
    <s v="Ambon"/>
    <x v="15"/>
    <n v="14000"/>
    <n v="2"/>
    <n v="20"/>
    <n v="28000"/>
    <n v="5600"/>
    <n v="22400"/>
    <n v="49000"/>
    <n v="71400"/>
    <x v="0"/>
    <x v="1"/>
    <x v="1"/>
    <n v="3"/>
    <x v="1"/>
    <x v="1"/>
  </r>
  <r>
    <s v="ORD00451"/>
    <x v="364"/>
    <x v="0"/>
    <s v="Putri Ramadhani"/>
    <s v="Pangkalpinang"/>
    <x v="24"/>
    <n v="45000"/>
    <n v="2"/>
    <n v="5"/>
    <n v="90000"/>
    <n v="4500"/>
    <n v="85500"/>
    <n v="18000"/>
    <n v="103500"/>
    <x v="3"/>
    <x v="0"/>
    <x v="0"/>
    <n v="4"/>
    <x v="0"/>
    <x v="0"/>
  </r>
  <r>
    <s v="ORD00404"/>
    <x v="365"/>
    <x v="0"/>
    <s v="Eka Pradipta"/>
    <s v="Bandung"/>
    <x v="17"/>
    <n v="30000"/>
    <n v="5"/>
    <n v="10"/>
    <n v="150000"/>
    <n v="15000"/>
    <n v="135000"/>
    <n v="0"/>
    <n v="135000"/>
    <x v="1"/>
    <x v="1"/>
    <x v="0"/>
    <n v="1"/>
    <x v="0"/>
    <x v="1"/>
  </r>
  <r>
    <s v="ORD00404"/>
    <x v="365"/>
    <x v="0"/>
    <s v="Eka Pradipta"/>
    <s v="Bandung"/>
    <x v="1"/>
    <n v="5000"/>
    <n v="1"/>
    <n v="20"/>
    <n v="5000"/>
    <n v="1000"/>
    <n v="4000"/>
    <n v="0"/>
    <n v="4000"/>
    <x v="1"/>
    <x v="1"/>
    <x v="0"/>
    <n v="1"/>
    <x v="0"/>
    <x v="0"/>
  </r>
  <r>
    <s v="ORD01506"/>
    <x v="366"/>
    <x v="0"/>
    <s v="Vina Setiawan"/>
    <s v="Bandung"/>
    <x v="21"/>
    <n v="17000"/>
    <n v="3"/>
    <n v="5"/>
    <n v="51000"/>
    <n v="2550"/>
    <n v="48450"/>
    <n v="0"/>
    <n v="48450"/>
    <x v="1"/>
    <x v="0"/>
    <x v="4"/>
    <n v="5"/>
    <x v="0"/>
    <x v="0"/>
  </r>
  <r>
    <s v="ORD00025"/>
    <x v="367"/>
    <x v="0"/>
    <s v="Dimas Halim"/>
    <s v="Palangka Raya"/>
    <x v="15"/>
    <n v="14000"/>
    <n v="4"/>
    <n v="10"/>
    <n v="56000"/>
    <n v="5600"/>
    <n v="50400"/>
    <n v="50000"/>
    <n v="100400"/>
    <x v="0"/>
    <x v="0"/>
    <x v="3"/>
    <n v="4"/>
    <x v="1"/>
    <x v="1"/>
  </r>
  <r>
    <s v="ORD00025"/>
    <x v="367"/>
    <x v="0"/>
    <s v="Dimas Halim"/>
    <s v="Palangka Raya"/>
    <x v="5"/>
    <n v="40000"/>
    <n v="2"/>
    <n v="15"/>
    <n v="80000"/>
    <n v="12000"/>
    <n v="68000"/>
    <n v="0"/>
    <n v="68000"/>
    <x v="0"/>
    <x v="0"/>
    <x v="3"/>
    <n v="4"/>
    <x v="1"/>
    <x v="1"/>
  </r>
  <r>
    <s v="ORD01439"/>
    <x v="368"/>
    <x v="0"/>
    <s v="Joko Nugroho"/>
    <s v="Bandar Lampung"/>
    <x v="23"/>
    <n v="10000"/>
    <n v="4"/>
    <n v="0"/>
    <n v="40000"/>
    <n v="0"/>
    <n v="40000"/>
    <n v="28000"/>
    <n v="68000"/>
    <x v="2"/>
    <x v="1"/>
    <x v="4"/>
    <n v="5"/>
    <x v="1"/>
    <x v="0"/>
  </r>
  <r>
    <s v="ORD01586"/>
    <x v="369"/>
    <x v="0"/>
    <s v="Clara Pradipta"/>
    <s v="Jakarta"/>
    <x v="24"/>
    <n v="45000"/>
    <n v="4"/>
    <n v="20"/>
    <n v="180000"/>
    <n v="36000"/>
    <n v="144000"/>
    <n v="97000"/>
    <n v="241000"/>
    <x v="3"/>
    <x v="0"/>
    <x v="0"/>
    <n v="4"/>
    <x v="0"/>
    <x v="3"/>
  </r>
  <r>
    <s v="ORD01330"/>
    <x v="370"/>
    <x v="0"/>
    <s v="Erna Budiman"/>
    <s v="Sorong"/>
    <x v="12"/>
    <n v="55000"/>
    <n v="3"/>
    <n v="5"/>
    <n v="165000"/>
    <n v="8250"/>
    <n v="156750"/>
    <n v="87000"/>
    <n v="243750"/>
    <x v="1"/>
    <x v="0"/>
    <x v="4"/>
    <n v="2"/>
    <x v="0"/>
    <x v="1"/>
  </r>
  <r>
    <s v="ORD00789"/>
    <x v="371"/>
    <x v="0"/>
    <s v="Dewi Ramadhani"/>
    <s v="Yogyakarta"/>
    <x v="4"/>
    <n v="4000"/>
    <n v="2"/>
    <n v="5"/>
    <n v="8000"/>
    <n v="400"/>
    <n v="7600"/>
    <n v="78000"/>
    <n v="85600"/>
    <x v="0"/>
    <x v="0"/>
    <x v="4"/>
    <n v="2"/>
    <x v="0"/>
    <x v="0"/>
  </r>
  <r>
    <s v="ORD00273"/>
    <x v="372"/>
    <x v="0"/>
    <s v="Yani Syahputra"/>
    <s v="Serang"/>
    <x v="10"/>
    <n v="15000"/>
    <n v="2"/>
    <n v="10"/>
    <n v="30000"/>
    <n v="3000"/>
    <n v="27000"/>
    <n v="57000"/>
    <n v="84000"/>
    <x v="2"/>
    <x v="0"/>
    <x v="0"/>
    <n v="4"/>
    <x v="0"/>
    <x v="0"/>
  </r>
  <r>
    <s v="ORD01109"/>
    <x v="373"/>
    <x v="0"/>
    <s v="Bella Rahmawati"/>
    <s v="Kendari"/>
    <x v="26"/>
    <n v="18000"/>
    <n v="4"/>
    <n v="0"/>
    <n v="72000"/>
    <n v="0"/>
    <n v="72000"/>
    <n v="59000"/>
    <n v="131000"/>
    <x v="0"/>
    <x v="0"/>
    <x v="3"/>
    <n v="5"/>
    <x v="0"/>
    <x v="0"/>
  </r>
  <r>
    <s v="ORD01857"/>
    <x v="374"/>
    <x v="0"/>
    <s v="Erna Iskandar"/>
    <s v="Bengkulu"/>
    <x v="17"/>
    <n v="30000"/>
    <n v="4"/>
    <n v="20"/>
    <n v="120000"/>
    <n v="24000"/>
    <n v="96000"/>
    <n v="72000"/>
    <n v="168000"/>
    <x v="3"/>
    <x v="0"/>
    <x v="0"/>
    <n v="4"/>
    <x v="0"/>
    <x v="2"/>
  </r>
  <r>
    <s v="ORD00458"/>
    <x v="375"/>
    <x v="0"/>
    <s v="Bella Rahmawati"/>
    <s v="Kendari"/>
    <x v="25"/>
    <n v="35000"/>
    <n v="2"/>
    <n v="20"/>
    <n v="70000"/>
    <n v="14000"/>
    <n v="56000"/>
    <n v="59000"/>
    <n v="115000"/>
    <x v="2"/>
    <x v="0"/>
    <x v="1"/>
    <n v="3"/>
    <x v="0"/>
    <x v="1"/>
  </r>
  <r>
    <s v="ORD00330"/>
    <x v="376"/>
    <x v="0"/>
    <s v="Hana Setiawan"/>
    <s v="Mataram"/>
    <x v="0"/>
    <n v="45000"/>
    <n v="4"/>
    <n v="10"/>
    <n v="180000"/>
    <n v="18000"/>
    <n v="162000"/>
    <n v="56000"/>
    <n v="218000"/>
    <x v="0"/>
    <x v="0"/>
    <x v="0"/>
    <n v="5"/>
    <x v="0"/>
    <x v="2"/>
  </r>
  <r>
    <s v="ORD01495"/>
    <x v="377"/>
    <x v="0"/>
    <s v="Dewi Pradipta"/>
    <s v="Pontianak"/>
    <x v="26"/>
    <n v="18000"/>
    <n v="1"/>
    <n v="0"/>
    <n v="18000"/>
    <n v="0"/>
    <n v="18000"/>
    <n v="85000"/>
    <n v="103000"/>
    <x v="0"/>
    <x v="1"/>
    <x v="1"/>
    <n v="3"/>
    <x v="0"/>
    <x v="0"/>
  </r>
  <r>
    <s v="ORD00175"/>
    <x v="378"/>
    <x v="0"/>
    <s v="Dewi Nugroho"/>
    <s v="Pangkalpinang"/>
    <x v="9"/>
    <n v="50000"/>
    <n v="4"/>
    <n v="10"/>
    <n v="200000"/>
    <n v="20000"/>
    <n v="180000"/>
    <n v="18000"/>
    <n v="198000"/>
    <x v="1"/>
    <x v="0"/>
    <x v="3"/>
    <n v="4"/>
    <x v="0"/>
    <x v="2"/>
  </r>
  <r>
    <s v="ORD00175"/>
    <x v="378"/>
    <x v="0"/>
    <s v="Dewi Nugroho"/>
    <s v="Pangkalpinang"/>
    <x v="22"/>
    <n v="18000"/>
    <n v="1"/>
    <n v="0"/>
    <n v="18000"/>
    <n v="0"/>
    <n v="18000"/>
    <n v="0"/>
    <n v="18000"/>
    <x v="1"/>
    <x v="0"/>
    <x v="3"/>
    <n v="4"/>
    <x v="0"/>
    <x v="0"/>
  </r>
  <r>
    <s v="ORD00645"/>
    <x v="379"/>
    <x v="0"/>
    <s v="Yani Kusuma"/>
    <s v="Kendari"/>
    <x v="11"/>
    <n v="40000"/>
    <n v="2"/>
    <n v="10"/>
    <n v="80000"/>
    <n v="8000"/>
    <n v="72000"/>
    <n v="59000"/>
    <n v="131000"/>
    <x v="1"/>
    <x v="0"/>
    <x v="4"/>
    <n v="4"/>
    <x v="0"/>
    <x v="1"/>
  </r>
  <r>
    <s v="ORD01123"/>
    <x v="380"/>
    <x v="0"/>
    <s v="Bayu Nugroho"/>
    <s v="Jayapura"/>
    <x v="2"/>
    <n v="16000"/>
    <n v="3"/>
    <n v="0"/>
    <n v="48000"/>
    <n v="0"/>
    <n v="48000"/>
    <n v="30000"/>
    <n v="78000"/>
    <x v="2"/>
    <x v="0"/>
    <x v="4"/>
    <n v="4"/>
    <x v="1"/>
    <x v="0"/>
  </r>
  <r>
    <s v="ORD00365"/>
    <x v="381"/>
    <x v="0"/>
    <s v="Citra Halim"/>
    <s v="Merauke"/>
    <x v="25"/>
    <n v="35000"/>
    <n v="3"/>
    <n v="15"/>
    <n v="105000"/>
    <n v="15750"/>
    <n v="89250"/>
    <n v="59000"/>
    <n v="148250"/>
    <x v="3"/>
    <x v="2"/>
    <x v="3"/>
    <n v="5"/>
    <x v="0"/>
    <x v="2"/>
  </r>
  <r>
    <s v="ORD01670"/>
    <x v="382"/>
    <x v="0"/>
    <s v="Gita Saputra"/>
    <s v="Bengkulu"/>
    <x v="20"/>
    <n v="12000"/>
    <n v="3"/>
    <n v="20"/>
    <n v="36000"/>
    <n v="7200"/>
    <n v="28800"/>
    <n v="72000"/>
    <n v="100800"/>
    <x v="1"/>
    <x v="0"/>
    <x v="3"/>
    <n v="2"/>
    <x v="0"/>
    <x v="1"/>
  </r>
  <r>
    <s v="ORD00017"/>
    <x v="383"/>
    <x v="0"/>
    <s v="Galih Iskandar"/>
    <s v="Ambon"/>
    <x v="1"/>
    <n v="5000"/>
    <n v="2"/>
    <n v="15"/>
    <n v="10000"/>
    <n v="1500"/>
    <n v="8500"/>
    <n v="49000"/>
    <n v="57500"/>
    <x v="1"/>
    <x v="0"/>
    <x v="3"/>
    <n v="4"/>
    <x v="1"/>
    <x v="0"/>
  </r>
  <r>
    <s v="ORD01511"/>
    <x v="384"/>
    <x v="0"/>
    <s v="Fitri Halim"/>
    <s v="Denpasar"/>
    <x v="21"/>
    <n v="17000"/>
    <n v="1"/>
    <n v="0"/>
    <n v="17000"/>
    <n v="0"/>
    <n v="17000"/>
    <n v="80000"/>
    <n v="97000"/>
    <x v="2"/>
    <x v="0"/>
    <x v="4"/>
    <n v="1"/>
    <x v="0"/>
    <x v="0"/>
  </r>
  <r>
    <s v="ORD00315"/>
    <x v="385"/>
    <x v="0"/>
    <s v="Erna Syahputra"/>
    <s v="Banda Aceh"/>
    <x v="12"/>
    <n v="55000"/>
    <n v="3"/>
    <n v="0"/>
    <n v="165000"/>
    <n v="0"/>
    <n v="165000"/>
    <n v="18000"/>
    <n v="183000"/>
    <x v="0"/>
    <x v="1"/>
    <x v="2"/>
    <n v="3"/>
    <x v="0"/>
    <x v="0"/>
  </r>
  <r>
    <s v="ORD01131"/>
    <x v="386"/>
    <x v="0"/>
    <s v="Yoga Nugroho"/>
    <s v="Banda Aceh"/>
    <x v="12"/>
    <n v="55000"/>
    <n v="1"/>
    <n v="0"/>
    <n v="55000"/>
    <n v="0"/>
    <n v="55000"/>
    <n v="18000"/>
    <n v="73000"/>
    <x v="3"/>
    <x v="0"/>
    <x v="2"/>
    <n v="4"/>
    <x v="1"/>
    <x v="0"/>
  </r>
  <r>
    <s v="ORD01711"/>
    <x v="387"/>
    <x v="0"/>
    <s v="Sari Halim"/>
    <s v="Banjarbaru"/>
    <x v="3"/>
    <n v="28000"/>
    <n v="3"/>
    <n v="10"/>
    <n v="84000"/>
    <n v="8400"/>
    <n v="75600"/>
    <n v="55000"/>
    <n v="130600"/>
    <x v="0"/>
    <x v="0"/>
    <x v="4"/>
    <n v="5"/>
    <x v="0"/>
    <x v="1"/>
  </r>
  <r>
    <s v="ORD00539"/>
    <x v="388"/>
    <x v="0"/>
    <s v="Kartika Santoso"/>
    <s v="Jambi"/>
    <x v="8"/>
    <n v="16000"/>
    <n v="3"/>
    <n v="10"/>
    <n v="48000"/>
    <n v="4800"/>
    <n v="43200"/>
    <n v="87000"/>
    <n v="130200"/>
    <x v="3"/>
    <x v="0"/>
    <x v="1"/>
    <n v="5"/>
    <x v="0"/>
    <x v="0"/>
  </r>
  <r>
    <s v="ORD01659"/>
    <x v="389"/>
    <x v="0"/>
    <s v="Yani Setiawan"/>
    <s v="Semarang"/>
    <x v="23"/>
    <n v="10000"/>
    <n v="5"/>
    <n v="0"/>
    <n v="50000"/>
    <n v="0"/>
    <n v="50000"/>
    <n v="76000"/>
    <n v="126000"/>
    <x v="2"/>
    <x v="0"/>
    <x v="3"/>
    <n v="1"/>
    <x v="0"/>
    <x v="0"/>
  </r>
  <r>
    <s v="ORD01278"/>
    <x v="390"/>
    <x v="0"/>
    <s v="Ani Setiawan"/>
    <s v="Mamuju"/>
    <x v="7"/>
    <n v="16000"/>
    <n v="4"/>
    <n v="5"/>
    <n v="64000"/>
    <n v="3200"/>
    <n v="60800"/>
    <n v="46000"/>
    <n v="106800"/>
    <x v="2"/>
    <x v="0"/>
    <x v="4"/>
    <n v="1"/>
    <x v="0"/>
    <x v="0"/>
  </r>
  <r>
    <s v="ORD01773"/>
    <x v="391"/>
    <x v="0"/>
    <s v="Lestari Setiawan"/>
    <s v="Tanjung Selor"/>
    <x v="1"/>
    <n v="5000"/>
    <n v="1"/>
    <n v="0"/>
    <n v="5000"/>
    <n v="0"/>
    <n v="5000"/>
    <n v="26000"/>
    <n v="31000"/>
    <x v="2"/>
    <x v="0"/>
    <x v="2"/>
    <n v="4"/>
    <x v="0"/>
    <x v="0"/>
  </r>
  <r>
    <s v="ORD01695"/>
    <x v="392"/>
    <x v="0"/>
    <s v="Yani Hidayat"/>
    <s v="Gorontalo"/>
    <x v="16"/>
    <n v="25000"/>
    <n v="1"/>
    <n v="10"/>
    <n v="25000"/>
    <n v="2500"/>
    <n v="22500"/>
    <n v="80000"/>
    <n v="102500"/>
    <x v="2"/>
    <x v="2"/>
    <x v="3"/>
    <n v="4"/>
    <x v="0"/>
    <x v="0"/>
  </r>
  <r>
    <s v="ORD01193"/>
    <x v="393"/>
    <x v="0"/>
    <s v="Dina Kurniawan"/>
    <s v="Sorong"/>
    <x v="24"/>
    <n v="45000"/>
    <n v="2"/>
    <n v="10"/>
    <n v="90000"/>
    <n v="9000"/>
    <n v="81000"/>
    <n v="87000"/>
    <n v="168000"/>
    <x v="1"/>
    <x v="0"/>
    <x v="2"/>
    <n v="5"/>
    <x v="0"/>
    <x v="1"/>
  </r>
  <r>
    <s v="ORD00386"/>
    <x v="394"/>
    <x v="0"/>
    <s v="Putri Ananda"/>
    <s v="Tanjung Selor"/>
    <x v="6"/>
    <n v="14000"/>
    <n v="5"/>
    <n v="0"/>
    <n v="70000"/>
    <n v="0"/>
    <n v="70000"/>
    <n v="26000"/>
    <n v="96000"/>
    <x v="3"/>
    <x v="0"/>
    <x v="3"/>
    <n v="5"/>
    <x v="0"/>
    <x v="0"/>
  </r>
  <r>
    <s v="ORD01304"/>
    <x v="395"/>
    <x v="0"/>
    <s v="Hana Nugroho"/>
    <s v="Surabaya"/>
    <x v="7"/>
    <n v="16000"/>
    <n v="3"/>
    <n v="20"/>
    <n v="48000"/>
    <n v="9600"/>
    <n v="38400"/>
    <n v="74000"/>
    <n v="112400"/>
    <x v="2"/>
    <x v="2"/>
    <x v="2"/>
    <n v="5"/>
    <x v="0"/>
    <x v="1"/>
  </r>
  <r>
    <s v="ORD01710"/>
    <x v="396"/>
    <x v="0"/>
    <s v="Erna Fauziah"/>
    <s v="Mataram"/>
    <x v="2"/>
    <n v="16000"/>
    <n v="1"/>
    <n v="0"/>
    <n v="16000"/>
    <n v="0"/>
    <n v="16000"/>
    <n v="56000"/>
    <n v="72000"/>
    <x v="1"/>
    <x v="1"/>
    <x v="1"/>
    <n v="5"/>
    <x v="0"/>
    <x v="0"/>
  </r>
  <r>
    <s v="ORD01519"/>
    <x v="397"/>
    <x v="0"/>
    <s v="Qori Utami"/>
    <s v="Serang"/>
    <x v="11"/>
    <n v="40000"/>
    <n v="5"/>
    <n v="15"/>
    <n v="200000"/>
    <n v="30000"/>
    <n v="170000"/>
    <n v="57000"/>
    <n v="227000"/>
    <x v="0"/>
    <x v="1"/>
    <x v="2"/>
    <n v="4"/>
    <x v="0"/>
    <x v="2"/>
  </r>
  <r>
    <s v="ORD00167"/>
    <x v="398"/>
    <x v="0"/>
    <s v="Dewi Pradipta"/>
    <s v="Pontianak"/>
    <x v="19"/>
    <n v="22000"/>
    <n v="2"/>
    <n v="0"/>
    <n v="44000"/>
    <n v="0"/>
    <n v="44000"/>
    <n v="85000"/>
    <n v="129000"/>
    <x v="1"/>
    <x v="0"/>
    <x v="0"/>
    <n v="4"/>
    <x v="0"/>
    <x v="0"/>
  </r>
  <r>
    <s v="ORD00167"/>
    <x v="398"/>
    <x v="0"/>
    <s v="Dewi Pradipta"/>
    <s v="Pontianak"/>
    <x v="20"/>
    <n v="12000"/>
    <n v="3"/>
    <n v="20"/>
    <n v="36000"/>
    <n v="7200"/>
    <n v="28800"/>
    <n v="0"/>
    <n v="28800"/>
    <x v="1"/>
    <x v="0"/>
    <x v="0"/>
    <n v="4"/>
    <x v="0"/>
    <x v="1"/>
  </r>
  <r>
    <s v="ORD01246"/>
    <x v="399"/>
    <x v="0"/>
    <s v="Kartika Halim"/>
    <s v="Kupang"/>
    <x v="14"/>
    <n v="35000"/>
    <n v="2"/>
    <n v="0"/>
    <n v="70000"/>
    <n v="0"/>
    <n v="70000"/>
    <n v="21000"/>
    <n v="91000"/>
    <x v="2"/>
    <x v="0"/>
    <x v="1"/>
    <n v="1"/>
    <x v="0"/>
    <x v="0"/>
  </r>
  <r>
    <s v="ORD01607"/>
    <x v="400"/>
    <x v="0"/>
    <s v="Dewi Setiawan"/>
    <s v="Jakarta"/>
    <x v="11"/>
    <n v="40000"/>
    <n v="3"/>
    <n v="0"/>
    <n v="120000"/>
    <n v="0"/>
    <n v="120000"/>
    <n v="97000"/>
    <n v="217000"/>
    <x v="0"/>
    <x v="0"/>
    <x v="4"/>
    <n v="5"/>
    <x v="0"/>
    <x v="0"/>
  </r>
  <r>
    <s v="ORD00261"/>
    <x v="401"/>
    <x v="0"/>
    <s v="Erna Setiawan"/>
    <s v="Denpasar"/>
    <x v="6"/>
    <n v="14000"/>
    <n v="1"/>
    <n v="5"/>
    <n v="14000"/>
    <n v="700"/>
    <n v="13300"/>
    <n v="80000"/>
    <n v="93300"/>
    <x v="3"/>
    <x v="0"/>
    <x v="4"/>
    <n v="4"/>
    <x v="0"/>
    <x v="0"/>
  </r>
  <r>
    <s v="ORD00542"/>
    <x v="402"/>
    <x v="0"/>
    <s v="Bella Utami"/>
    <s v="Padang"/>
    <x v="6"/>
    <n v="14000"/>
    <n v="4"/>
    <n v="0"/>
    <n v="56000"/>
    <n v="0"/>
    <n v="56000"/>
    <n v="68000"/>
    <n v="124000"/>
    <x v="3"/>
    <x v="0"/>
    <x v="4"/>
    <n v="1"/>
    <x v="0"/>
    <x v="0"/>
  </r>
  <r>
    <s v="ORD01498"/>
    <x v="403"/>
    <x v="0"/>
    <s v="Sari Hidayat"/>
    <s v="Semarang"/>
    <x v="24"/>
    <n v="45000"/>
    <n v="2"/>
    <n v="15"/>
    <n v="90000"/>
    <n v="13500"/>
    <n v="76500"/>
    <n v="76000"/>
    <n v="152500"/>
    <x v="3"/>
    <x v="1"/>
    <x v="2"/>
    <n v="4"/>
    <x v="0"/>
    <x v="1"/>
  </r>
  <r>
    <s v="ORD01464"/>
    <x v="404"/>
    <x v="0"/>
    <s v="Lestari Hidayat"/>
    <s v="Surabaya"/>
    <x v="19"/>
    <n v="22000"/>
    <n v="5"/>
    <n v="20"/>
    <n v="110000"/>
    <n v="22000"/>
    <n v="88000"/>
    <n v="74000"/>
    <n v="162000"/>
    <x v="3"/>
    <x v="0"/>
    <x v="4"/>
    <n v="4"/>
    <x v="0"/>
    <x v="2"/>
  </r>
  <r>
    <s v="ORD00932"/>
    <x v="405"/>
    <x v="0"/>
    <s v="Dewi Rahmawati"/>
    <s v="Tanjung Selor"/>
    <x v="18"/>
    <n v="6000"/>
    <n v="2"/>
    <n v="0"/>
    <n v="12000"/>
    <n v="0"/>
    <n v="12000"/>
    <n v="26000"/>
    <n v="38000"/>
    <x v="1"/>
    <x v="0"/>
    <x v="3"/>
    <n v="1"/>
    <x v="0"/>
    <x v="0"/>
  </r>
  <r>
    <s v="ORD00028"/>
    <x v="406"/>
    <x v="0"/>
    <s v="Andi Utami"/>
    <s v="Bandar Lampung"/>
    <x v="26"/>
    <n v="18000"/>
    <n v="2"/>
    <n v="5"/>
    <n v="36000"/>
    <n v="1800"/>
    <n v="34200"/>
    <n v="28000"/>
    <n v="62200"/>
    <x v="3"/>
    <x v="0"/>
    <x v="4"/>
    <n v="3"/>
    <x v="1"/>
    <x v="0"/>
  </r>
  <r>
    <s v="ORD00028"/>
    <x v="406"/>
    <x v="0"/>
    <s v="Andi Utami"/>
    <s v="Bandar Lampung"/>
    <x v="22"/>
    <n v="18000"/>
    <n v="2"/>
    <n v="20"/>
    <n v="36000"/>
    <n v="7200"/>
    <n v="28800"/>
    <n v="0"/>
    <n v="28800"/>
    <x v="3"/>
    <x v="0"/>
    <x v="4"/>
    <n v="3"/>
    <x v="1"/>
    <x v="1"/>
  </r>
  <r>
    <s v="ORD00876"/>
    <x v="407"/>
    <x v="0"/>
    <s v="Galih Kusuma"/>
    <s v="Bandung"/>
    <x v="21"/>
    <n v="17000"/>
    <n v="3"/>
    <n v="20"/>
    <n v="51000"/>
    <n v="10200"/>
    <n v="40800"/>
    <n v="0"/>
    <n v="40800"/>
    <x v="2"/>
    <x v="0"/>
    <x v="3"/>
    <n v="4"/>
    <x v="1"/>
    <x v="1"/>
  </r>
  <r>
    <s v="ORD00678"/>
    <x v="408"/>
    <x v="0"/>
    <s v="Hana Nugroho"/>
    <s v="Surabaya"/>
    <x v="20"/>
    <n v="12000"/>
    <n v="4"/>
    <n v="20"/>
    <n v="48000"/>
    <n v="9600"/>
    <n v="38400"/>
    <n v="74000"/>
    <n v="112400"/>
    <x v="1"/>
    <x v="0"/>
    <x v="3"/>
    <n v="2"/>
    <x v="0"/>
    <x v="1"/>
  </r>
  <r>
    <s v="ORD01535"/>
    <x v="409"/>
    <x v="0"/>
    <s v="Erna Wijaya"/>
    <s v="Bandar Lampung"/>
    <x v="12"/>
    <n v="55000"/>
    <n v="1"/>
    <n v="15"/>
    <n v="55000"/>
    <n v="8250"/>
    <n v="46750"/>
    <n v="28000"/>
    <n v="74750"/>
    <x v="3"/>
    <x v="2"/>
    <x v="1"/>
    <n v="5"/>
    <x v="0"/>
    <x v="1"/>
  </r>
  <r>
    <s v="ORD00566"/>
    <x v="410"/>
    <x v="0"/>
    <s v="Joko Nugroho"/>
    <s v="Bandar Lampung"/>
    <x v="14"/>
    <n v="35000"/>
    <n v="4"/>
    <n v="5"/>
    <n v="140000"/>
    <n v="7000"/>
    <n v="133000"/>
    <n v="28000"/>
    <n v="161000"/>
    <x v="0"/>
    <x v="0"/>
    <x v="0"/>
    <n v="1"/>
    <x v="1"/>
    <x v="1"/>
  </r>
  <r>
    <s v="ORD01212"/>
    <x v="411"/>
    <x v="0"/>
    <s v="Indra Syahputra"/>
    <s v="Semarang"/>
    <x v="5"/>
    <n v="40000"/>
    <n v="2"/>
    <n v="20"/>
    <n v="80000"/>
    <n v="16000"/>
    <n v="64000"/>
    <n v="76000"/>
    <n v="140000"/>
    <x v="1"/>
    <x v="0"/>
    <x v="1"/>
    <n v="5"/>
    <x v="1"/>
    <x v="2"/>
  </r>
  <r>
    <s v="ORD00918"/>
    <x v="412"/>
    <x v="0"/>
    <s v="Ani Hidayat"/>
    <s v="Samarinda"/>
    <x v="1"/>
    <n v="5000"/>
    <n v="4"/>
    <n v="5"/>
    <n v="20000"/>
    <n v="1000"/>
    <n v="19000"/>
    <n v="43000"/>
    <n v="62000"/>
    <x v="3"/>
    <x v="0"/>
    <x v="2"/>
    <n v="3"/>
    <x v="0"/>
    <x v="0"/>
  </r>
  <r>
    <s v="ORD00536"/>
    <x v="413"/>
    <x v="0"/>
    <s v="Yani Utami"/>
    <s v="Jambi"/>
    <x v="21"/>
    <n v="17000"/>
    <n v="4"/>
    <n v="5"/>
    <n v="68000"/>
    <n v="3400"/>
    <n v="64600"/>
    <n v="87000"/>
    <n v="151600"/>
    <x v="0"/>
    <x v="0"/>
    <x v="3"/>
    <n v="1"/>
    <x v="0"/>
    <x v="0"/>
  </r>
  <r>
    <s v="ORD01192"/>
    <x v="414"/>
    <x v="0"/>
    <s v="Yani Ramadhani"/>
    <s v="Kupang"/>
    <x v="16"/>
    <n v="25000"/>
    <n v="2"/>
    <n v="5"/>
    <n v="50000"/>
    <n v="2500"/>
    <n v="47500"/>
    <n v="21000"/>
    <n v="68500"/>
    <x v="3"/>
    <x v="0"/>
    <x v="4"/>
    <n v="5"/>
    <x v="0"/>
    <x v="0"/>
  </r>
  <r>
    <s v="ORD01010"/>
    <x v="415"/>
    <x v="0"/>
    <s v="Oka Santoso"/>
    <s v="Manokwari"/>
    <x v="1"/>
    <n v="5000"/>
    <n v="3"/>
    <n v="20"/>
    <n v="15000"/>
    <n v="3000"/>
    <n v="12000"/>
    <n v="18000"/>
    <n v="30000"/>
    <x v="2"/>
    <x v="2"/>
    <x v="4"/>
    <n v="4"/>
    <x v="1"/>
    <x v="0"/>
  </r>
  <r>
    <s v="ORD00439"/>
    <x v="416"/>
    <x v="0"/>
    <s v="Sari Kurniawan"/>
    <s v="Medan"/>
    <x v="0"/>
    <n v="45000"/>
    <n v="3"/>
    <n v="20"/>
    <n v="135000"/>
    <n v="27000"/>
    <n v="108000"/>
    <n v="79000"/>
    <n v="187000"/>
    <x v="2"/>
    <x v="1"/>
    <x v="3"/>
    <n v="5"/>
    <x v="0"/>
    <x v="2"/>
  </r>
  <r>
    <s v="ORD01514"/>
    <x v="417"/>
    <x v="0"/>
    <s v="Yani Saputra"/>
    <s v="Jayapura"/>
    <x v="18"/>
    <n v="6000"/>
    <n v="4"/>
    <n v="10"/>
    <n v="24000"/>
    <n v="2400"/>
    <n v="21600"/>
    <n v="30000"/>
    <n v="51600"/>
    <x v="2"/>
    <x v="1"/>
    <x v="0"/>
    <n v="2"/>
    <x v="0"/>
    <x v="0"/>
  </r>
  <r>
    <s v="ORD01375"/>
    <x v="418"/>
    <x v="0"/>
    <s v="Sari Halim"/>
    <s v="Banjarbaru"/>
    <x v="15"/>
    <n v="14000"/>
    <n v="5"/>
    <n v="10"/>
    <n v="70000"/>
    <n v="7000"/>
    <n v="63000"/>
    <n v="55000"/>
    <n v="118000"/>
    <x v="2"/>
    <x v="0"/>
    <x v="2"/>
    <n v="2"/>
    <x v="0"/>
    <x v="1"/>
  </r>
  <r>
    <s v="ORD00431"/>
    <x v="419"/>
    <x v="0"/>
    <s v="Gita Saputra"/>
    <s v="Bengkulu"/>
    <x v="7"/>
    <n v="16000"/>
    <n v="4"/>
    <n v="15"/>
    <n v="64000"/>
    <n v="9600"/>
    <n v="54400"/>
    <n v="72000"/>
    <n v="126400"/>
    <x v="0"/>
    <x v="1"/>
    <x v="3"/>
    <n v="5"/>
    <x v="0"/>
    <x v="1"/>
  </r>
  <r>
    <s v="ORD00940"/>
    <x v="420"/>
    <x v="0"/>
    <s v="Yani Budiman"/>
    <s v="Sofifi"/>
    <x v="19"/>
    <n v="22000"/>
    <n v="3"/>
    <n v="10"/>
    <n v="66000"/>
    <n v="6600"/>
    <n v="59400"/>
    <n v="50000"/>
    <n v="109400"/>
    <x v="0"/>
    <x v="0"/>
    <x v="0"/>
    <n v="5"/>
    <x v="0"/>
    <x v="1"/>
  </r>
  <r>
    <s v="ORD00779"/>
    <x v="421"/>
    <x v="0"/>
    <s v="Fitri Budiman"/>
    <s v="Manokwari"/>
    <x v="13"/>
    <n v="17000"/>
    <n v="5"/>
    <n v="20"/>
    <n v="85000"/>
    <n v="17000"/>
    <n v="68000"/>
    <n v="18000"/>
    <n v="86000"/>
    <x v="1"/>
    <x v="0"/>
    <x v="0"/>
    <n v="1"/>
    <x v="0"/>
    <x v="2"/>
  </r>
  <r>
    <s v="ORD01099"/>
    <x v="422"/>
    <x v="0"/>
    <s v="Lestari Santoso"/>
    <s v="Pangkalpinang"/>
    <x v="22"/>
    <n v="18000"/>
    <n v="1"/>
    <n v="5"/>
    <n v="18000"/>
    <n v="900"/>
    <n v="17100"/>
    <n v="18000"/>
    <n v="35100"/>
    <x v="0"/>
    <x v="0"/>
    <x v="4"/>
    <n v="3"/>
    <x v="0"/>
    <x v="0"/>
  </r>
  <r>
    <s v="ORD01767"/>
    <x v="423"/>
    <x v="0"/>
    <s v="Putri Saputra"/>
    <s v="Pontianak"/>
    <x v="12"/>
    <n v="55000"/>
    <n v="4"/>
    <n v="10"/>
    <n v="220000"/>
    <n v="22000"/>
    <n v="198000"/>
    <n v="85000"/>
    <n v="283000"/>
    <x v="3"/>
    <x v="0"/>
    <x v="1"/>
    <n v="2"/>
    <x v="0"/>
    <x v="2"/>
  </r>
  <r>
    <s v="ORD01006"/>
    <x v="424"/>
    <x v="0"/>
    <s v="Clara Ananda"/>
    <s v="Bandung"/>
    <x v="26"/>
    <n v="18000"/>
    <n v="2"/>
    <n v="10"/>
    <n v="36000"/>
    <n v="3600"/>
    <n v="32400"/>
    <n v="0"/>
    <n v="32400"/>
    <x v="2"/>
    <x v="0"/>
    <x v="3"/>
    <n v="2"/>
    <x v="0"/>
    <x v="0"/>
  </r>
  <r>
    <s v="ORD01815"/>
    <x v="425"/>
    <x v="0"/>
    <s v="Erna Fauziah"/>
    <s v="Mataram"/>
    <x v="5"/>
    <n v="40000"/>
    <n v="5"/>
    <n v="15"/>
    <n v="200000"/>
    <n v="30000"/>
    <n v="170000"/>
    <n v="56000"/>
    <n v="226000"/>
    <x v="3"/>
    <x v="0"/>
    <x v="4"/>
    <n v="4"/>
    <x v="0"/>
    <x v="2"/>
  </r>
  <r>
    <s v="ORD01678"/>
    <x v="426"/>
    <x v="0"/>
    <s v="Clara Setiawan"/>
    <s v="Manokwari"/>
    <x v="6"/>
    <n v="14000"/>
    <n v="1"/>
    <n v="20"/>
    <n v="14000"/>
    <n v="2800"/>
    <n v="11200"/>
    <n v="18000"/>
    <n v="29200"/>
    <x v="3"/>
    <x v="0"/>
    <x v="3"/>
    <n v="2"/>
    <x v="0"/>
    <x v="0"/>
  </r>
  <r>
    <s v="ORD01658"/>
    <x v="427"/>
    <x v="0"/>
    <s v="Kartika Fauziah"/>
    <s v="Mataram"/>
    <x v="15"/>
    <n v="14000"/>
    <n v="1"/>
    <n v="5"/>
    <n v="14000"/>
    <n v="700"/>
    <n v="13300"/>
    <n v="56000"/>
    <n v="69300"/>
    <x v="2"/>
    <x v="0"/>
    <x v="0"/>
    <n v="1"/>
    <x v="0"/>
    <x v="0"/>
  </r>
  <r>
    <s v="ORD01428"/>
    <x v="428"/>
    <x v="0"/>
    <s v="Hana Saputra"/>
    <s v="Bengkulu"/>
    <x v="0"/>
    <n v="45000"/>
    <n v="2"/>
    <n v="10"/>
    <n v="90000"/>
    <n v="9000"/>
    <n v="81000"/>
    <n v="72000"/>
    <n v="153000"/>
    <x v="2"/>
    <x v="1"/>
    <x v="3"/>
    <n v="1"/>
    <x v="0"/>
    <x v="1"/>
  </r>
  <r>
    <s v="ORD01138"/>
    <x v="429"/>
    <x v="0"/>
    <s v="Aulia Budiman"/>
    <s v="Jakarta"/>
    <x v="7"/>
    <n v="16000"/>
    <n v="2"/>
    <n v="5"/>
    <n v="32000"/>
    <n v="1600"/>
    <n v="30400"/>
    <n v="97000"/>
    <n v="127400"/>
    <x v="0"/>
    <x v="0"/>
    <x v="4"/>
    <n v="5"/>
    <x v="0"/>
    <x v="0"/>
  </r>
  <r>
    <s v="ORD00564"/>
    <x v="430"/>
    <x v="0"/>
    <s v="Zahra Santoso"/>
    <s v="Nabire"/>
    <x v="3"/>
    <n v="28000"/>
    <n v="3"/>
    <n v="20"/>
    <n v="84000"/>
    <n v="16800"/>
    <n v="67200"/>
    <n v="89000"/>
    <n v="156200"/>
    <x v="3"/>
    <x v="2"/>
    <x v="0"/>
    <n v="2"/>
    <x v="0"/>
    <x v="2"/>
  </r>
  <r>
    <s v="ORD01649"/>
    <x v="431"/>
    <x v="0"/>
    <s v="Rizky Budiman"/>
    <s v="Gorontalo"/>
    <x v="6"/>
    <n v="14000"/>
    <n v="5"/>
    <n v="20"/>
    <n v="70000"/>
    <n v="14000"/>
    <n v="56000"/>
    <n v="80000"/>
    <n v="136000"/>
    <x v="0"/>
    <x v="1"/>
    <x v="3"/>
    <n v="5"/>
    <x v="1"/>
    <x v="1"/>
  </r>
  <r>
    <s v="ORD01561"/>
    <x v="432"/>
    <x v="0"/>
    <s v="Zahra Rahmawati"/>
    <s v="Bengkulu"/>
    <x v="7"/>
    <n v="16000"/>
    <n v="1"/>
    <n v="5"/>
    <n v="16000"/>
    <n v="800"/>
    <n v="15200"/>
    <n v="72000"/>
    <n v="87200"/>
    <x v="1"/>
    <x v="0"/>
    <x v="1"/>
    <n v="3"/>
    <x v="0"/>
    <x v="0"/>
  </r>
  <r>
    <s v="ORD00762"/>
    <x v="433"/>
    <x v="0"/>
    <s v="Lestari Wijaya"/>
    <s v="Bandung"/>
    <x v="17"/>
    <n v="30000"/>
    <n v="1"/>
    <n v="15"/>
    <n v="30000"/>
    <n v="4500"/>
    <n v="25500"/>
    <n v="0"/>
    <n v="25500"/>
    <x v="2"/>
    <x v="0"/>
    <x v="3"/>
    <n v="4"/>
    <x v="0"/>
    <x v="0"/>
  </r>
  <r>
    <s v="ORD00871"/>
    <x v="434"/>
    <x v="0"/>
    <s v="Putri Kurniawan"/>
    <s v="Nabire"/>
    <x v="19"/>
    <n v="22000"/>
    <n v="1"/>
    <n v="20"/>
    <n v="22000"/>
    <n v="4400"/>
    <n v="17600"/>
    <n v="89000"/>
    <n v="106600"/>
    <x v="2"/>
    <x v="0"/>
    <x v="3"/>
    <n v="2"/>
    <x v="0"/>
    <x v="0"/>
  </r>
  <r>
    <s v="ORD00887"/>
    <x v="435"/>
    <x v="0"/>
    <s v="Bayu Maulana"/>
    <s v="Nabire"/>
    <x v="15"/>
    <n v="14000"/>
    <n v="4"/>
    <n v="20"/>
    <n v="56000"/>
    <n v="11200"/>
    <n v="44800"/>
    <n v="89000"/>
    <n v="133800"/>
    <x v="0"/>
    <x v="0"/>
    <x v="2"/>
    <n v="2"/>
    <x v="1"/>
    <x v="1"/>
  </r>
  <r>
    <s v="ORD00991"/>
    <x v="436"/>
    <x v="0"/>
    <s v="Indra Halim"/>
    <s v="Tanjung Selor"/>
    <x v="12"/>
    <n v="55000"/>
    <n v="2"/>
    <n v="5"/>
    <n v="110000"/>
    <n v="5500"/>
    <n v="104500"/>
    <n v="26000"/>
    <n v="130500"/>
    <x v="1"/>
    <x v="0"/>
    <x v="3"/>
    <n v="4"/>
    <x v="1"/>
    <x v="1"/>
  </r>
  <r>
    <s v="ORD00808"/>
    <x v="437"/>
    <x v="0"/>
    <s v="Zahra Ananda"/>
    <s v="Bandung"/>
    <x v="1"/>
    <n v="5000"/>
    <n v="4"/>
    <n v="0"/>
    <n v="20000"/>
    <n v="0"/>
    <n v="20000"/>
    <n v="0"/>
    <n v="20000"/>
    <x v="0"/>
    <x v="0"/>
    <x v="4"/>
    <n v="4"/>
    <x v="0"/>
    <x v="0"/>
  </r>
  <r>
    <s v="ORD01538"/>
    <x v="438"/>
    <x v="0"/>
    <s v="Zahra Santoso"/>
    <s v="Nabire"/>
    <x v="20"/>
    <n v="12000"/>
    <n v="2"/>
    <n v="10"/>
    <n v="24000"/>
    <n v="2400"/>
    <n v="21600"/>
    <n v="89000"/>
    <n v="110600"/>
    <x v="3"/>
    <x v="0"/>
    <x v="3"/>
    <n v="5"/>
    <x v="0"/>
    <x v="0"/>
  </r>
  <r>
    <s v="ORD00584"/>
    <x v="439"/>
    <x v="0"/>
    <s v="Wahyu Fauziah"/>
    <s v="Medan"/>
    <x v="9"/>
    <n v="50000"/>
    <n v="2"/>
    <n v="15"/>
    <n v="100000"/>
    <n v="15000"/>
    <n v="85000"/>
    <n v="79000"/>
    <n v="164000"/>
    <x v="3"/>
    <x v="0"/>
    <x v="4"/>
    <n v="1"/>
    <x v="1"/>
    <x v="1"/>
  </r>
  <r>
    <s v="ORD01655"/>
    <x v="440"/>
    <x v="0"/>
    <s v="Zahra Budiman"/>
    <s v="Ambon"/>
    <x v="6"/>
    <n v="14000"/>
    <n v="5"/>
    <n v="15"/>
    <n v="70000"/>
    <n v="10500"/>
    <n v="59500"/>
    <n v="49000"/>
    <n v="108500"/>
    <x v="0"/>
    <x v="0"/>
    <x v="1"/>
    <n v="4"/>
    <x v="0"/>
    <x v="1"/>
  </r>
  <r>
    <s v="ORD00320"/>
    <x v="441"/>
    <x v="0"/>
    <s v="Zahra Kurniawan"/>
    <s v="Wamena"/>
    <x v="21"/>
    <n v="17000"/>
    <n v="3"/>
    <n v="20"/>
    <n v="51000"/>
    <n v="10200"/>
    <n v="40800"/>
    <n v="15000"/>
    <n v="55800"/>
    <x v="2"/>
    <x v="0"/>
    <x v="2"/>
    <n v="4"/>
    <x v="0"/>
    <x v="1"/>
  </r>
  <r>
    <s v="ORD00320"/>
    <x v="441"/>
    <x v="0"/>
    <s v="Zahra Kurniawan"/>
    <s v="Wamena"/>
    <x v="7"/>
    <n v="16000"/>
    <n v="4"/>
    <n v="5"/>
    <n v="64000"/>
    <n v="3200"/>
    <n v="60800"/>
    <n v="0"/>
    <n v="60800"/>
    <x v="2"/>
    <x v="0"/>
    <x v="2"/>
    <n v="4"/>
    <x v="0"/>
    <x v="0"/>
  </r>
  <r>
    <s v="ORD01373"/>
    <x v="442"/>
    <x v="0"/>
    <s v="Kartika Hidayat"/>
    <s v="Makassar"/>
    <x v="1"/>
    <n v="5000"/>
    <n v="3"/>
    <n v="20"/>
    <n v="15000"/>
    <n v="3000"/>
    <n v="12000"/>
    <n v="84000"/>
    <n v="96000"/>
    <x v="0"/>
    <x v="0"/>
    <x v="3"/>
    <n v="4"/>
    <x v="0"/>
    <x v="0"/>
  </r>
  <r>
    <s v="ORD01582"/>
    <x v="443"/>
    <x v="0"/>
    <s v="Eka Rahmawati"/>
    <s v="Samarinda"/>
    <x v="11"/>
    <n v="40000"/>
    <n v="2"/>
    <n v="5"/>
    <n v="80000"/>
    <n v="4000"/>
    <n v="76000"/>
    <n v="43000"/>
    <n v="119000"/>
    <x v="1"/>
    <x v="2"/>
    <x v="4"/>
    <n v="5"/>
    <x v="0"/>
    <x v="0"/>
  </r>
  <r>
    <s v="ORD00922"/>
    <x v="444"/>
    <x v="0"/>
    <s v="Bella Hidayat"/>
    <s v="Medan"/>
    <x v="22"/>
    <n v="18000"/>
    <n v="2"/>
    <n v="15"/>
    <n v="36000"/>
    <n v="5400"/>
    <n v="30600"/>
    <n v="79000"/>
    <n v="109600"/>
    <x v="1"/>
    <x v="0"/>
    <x v="1"/>
    <n v="5"/>
    <x v="0"/>
    <x v="1"/>
  </r>
  <r>
    <s v="ORD00936"/>
    <x v="445"/>
    <x v="0"/>
    <s v="Yani Ananda"/>
    <s v="Mataram"/>
    <x v="7"/>
    <n v="16000"/>
    <n v="5"/>
    <n v="15"/>
    <n v="80000"/>
    <n v="12000"/>
    <n v="68000"/>
    <n v="56000"/>
    <n v="124000"/>
    <x v="3"/>
    <x v="0"/>
    <x v="2"/>
    <n v="5"/>
    <x v="0"/>
    <x v="1"/>
  </r>
  <r>
    <s v="ORD00289"/>
    <x v="446"/>
    <x v="0"/>
    <s v="Erna Kurniawan"/>
    <s v="Tanjung Selor"/>
    <x v="2"/>
    <n v="16000"/>
    <n v="3"/>
    <n v="10"/>
    <n v="48000"/>
    <n v="4800"/>
    <n v="43200"/>
    <n v="26000"/>
    <n v="69200"/>
    <x v="1"/>
    <x v="0"/>
    <x v="4"/>
    <n v="1"/>
    <x v="0"/>
    <x v="0"/>
  </r>
  <r>
    <s v="ORD01404"/>
    <x v="447"/>
    <x v="0"/>
    <s v="Qori Saputra"/>
    <s v="Palembang"/>
    <x v="2"/>
    <n v="16000"/>
    <n v="3"/>
    <n v="0"/>
    <n v="48000"/>
    <n v="0"/>
    <n v="48000"/>
    <n v="17000"/>
    <n v="65000"/>
    <x v="3"/>
    <x v="0"/>
    <x v="4"/>
    <n v="5"/>
    <x v="0"/>
    <x v="0"/>
  </r>
  <r>
    <s v="ORD01574"/>
    <x v="448"/>
    <x v="0"/>
    <s v="Dewi Puspita"/>
    <s v="Jayapura"/>
    <x v="5"/>
    <n v="40000"/>
    <n v="5"/>
    <n v="10"/>
    <n v="200000"/>
    <n v="20000"/>
    <n v="180000"/>
    <n v="30000"/>
    <n v="210000"/>
    <x v="1"/>
    <x v="0"/>
    <x v="1"/>
    <n v="3"/>
    <x v="0"/>
    <x v="2"/>
  </r>
  <r>
    <s v="ORD00591"/>
    <x v="449"/>
    <x v="0"/>
    <s v="Eka Maulana"/>
    <s v="Semarang"/>
    <x v="2"/>
    <n v="16000"/>
    <n v="3"/>
    <n v="0"/>
    <n v="48000"/>
    <n v="0"/>
    <n v="48000"/>
    <n v="76000"/>
    <n v="124000"/>
    <x v="0"/>
    <x v="0"/>
    <x v="1"/>
    <n v="3"/>
    <x v="0"/>
    <x v="0"/>
  </r>
  <r>
    <s v="ORD01248"/>
    <x v="450"/>
    <x v="0"/>
    <s v="Citra Maulana"/>
    <s v="Bengkulu"/>
    <x v="16"/>
    <n v="25000"/>
    <n v="5"/>
    <n v="0"/>
    <n v="125000"/>
    <n v="0"/>
    <n v="125000"/>
    <n v="72000"/>
    <n v="197000"/>
    <x v="0"/>
    <x v="0"/>
    <x v="0"/>
    <n v="5"/>
    <x v="0"/>
    <x v="0"/>
  </r>
  <r>
    <s v="ORD00573"/>
    <x v="451"/>
    <x v="0"/>
    <s v="Vina Syahputra"/>
    <s v="Pekanbaru"/>
    <x v="9"/>
    <n v="50000"/>
    <n v="3"/>
    <n v="5"/>
    <n v="150000"/>
    <n v="7500"/>
    <n v="142500"/>
    <n v="49000"/>
    <n v="191500"/>
    <x v="1"/>
    <x v="0"/>
    <x v="2"/>
    <n v="1"/>
    <x v="0"/>
    <x v="1"/>
  </r>
  <r>
    <s v="ORD01044"/>
    <x v="452"/>
    <x v="0"/>
    <s v="Citra Rahmawati"/>
    <s v="Sofifi"/>
    <x v="6"/>
    <n v="14000"/>
    <n v="4"/>
    <n v="20"/>
    <n v="56000"/>
    <n v="11200"/>
    <n v="44800"/>
    <n v="50000"/>
    <n v="94800"/>
    <x v="1"/>
    <x v="0"/>
    <x v="4"/>
    <n v="2"/>
    <x v="0"/>
    <x v="1"/>
  </r>
  <r>
    <s v="ORD01644"/>
    <x v="453"/>
    <x v="0"/>
    <s v="Zahra Budiman"/>
    <s v="Ambon"/>
    <x v="5"/>
    <n v="40000"/>
    <n v="4"/>
    <n v="15"/>
    <n v="160000"/>
    <n v="24000"/>
    <n v="136000"/>
    <n v="49000"/>
    <n v="185000"/>
    <x v="1"/>
    <x v="0"/>
    <x v="2"/>
    <n v="2"/>
    <x v="0"/>
    <x v="2"/>
  </r>
  <r>
    <s v="ORD00372"/>
    <x v="454"/>
    <x v="0"/>
    <s v="Aulia Utami"/>
    <s v="Yogyakarta"/>
    <x v="9"/>
    <n v="50000"/>
    <n v="4"/>
    <n v="15"/>
    <n v="200000"/>
    <n v="30000"/>
    <n v="170000"/>
    <n v="78000"/>
    <n v="248000"/>
    <x v="3"/>
    <x v="0"/>
    <x v="1"/>
    <n v="2"/>
    <x v="0"/>
    <x v="2"/>
  </r>
  <r>
    <s v="ORD00300"/>
    <x v="455"/>
    <x v="0"/>
    <s v="Hana Syahputra"/>
    <s v="Makassar"/>
    <x v="15"/>
    <n v="14000"/>
    <n v="4"/>
    <n v="10"/>
    <n v="56000"/>
    <n v="5600"/>
    <n v="50400"/>
    <n v="84000"/>
    <n v="134400"/>
    <x v="0"/>
    <x v="0"/>
    <x v="2"/>
    <n v="5"/>
    <x v="0"/>
    <x v="1"/>
  </r>
  <r>
    <s v="ORD01187"/>
    <x v="456"/>
    <x v="0"/>
    <s v="Citra Hidayat"/>
    <s v="Merauke"/>
    <x v="20"/>
    <n v="12000"/>
    <n v="4"/>
    <n v="20"/>
    <n v="48000"/>
    <n v="9600"/>
    <n v="38400"/>
    <n v="59000"/>
    <n v="97400"/>
    <x v="3"/>
    <x v="0"/>
    <x v="0"/>
    <n v="1"/>
    <x v="0"/>
    <x v="1"/>
  </r>
  <r>
    <s v="ORD00355"/>
    <x v="457"/>
    <x v="0"/>
    <s v="Eka Ananda"/>
    <s v="Makassar"/>
    <x v="1"/>
    <n v="5000"/>
    <n v="2"/>
    <n v="0"/>
    <n v="10000"/>
    <n v="0"/>
    <n v="10000"/>
    <n v="84000"/>
    <n v="94000"/>
    <x v="1"/>
    <x v="0"/>
    <x v="4"/>
    <n v="4"/>
    <x v="0"/>
    <x v="0"/>
  </r>
  <r>
    <s v="ORD00400"/>
    <x v="458"/>
    <x v="0"/>
    <s v="Dewi Pradipta"/>
    <s v="Pontianak"/>
    <x v="8"/>
    <n v="16000"/>
    <n v="3"/>
    <n v="10"/>
    <n v="48000"/>
    <n v="4800"/>
    <n v="43200"/>
    <n v="85000"/>
    <n v="128200"/>
    <x v="2"/>
    <x v="0"/>
    <x v="3"/>
    <n v="1"/>
    <x v="0"/>
    <x v="0"/>
  </r>
  <r>
    <s v="ORD00400"/>
    <x v="458"/>
    <x v="0"/>
    <s v="Dewi Pradipta"/>
    <s v="Pontianak"/>
    <x v="21"/>
    <n v="17000"/>
    <n v="4"/>
    <n v="5"/>
    <n v="68000"/>
    <n v="3400"/>
    <n v="64600"/>
    <n v="0"/>
    <n v="64600"/>
    <x v="2"/>
    <x v="0"/>
    <x v="3"/>
    <n v="1"/>
    <x v="0"/>
    <x v="0"/>
  </r>
  <r>
    <s v="ORD00638"/>
    <x v="459"/>
    <x v="0"/>
    <s v="Iwan Rahmawati"/>
    <s v="Bandung"/>
    <x v="19"/>
    <n v="22000"/>
    <n v="1"/>
    <n v="20"/>
    <n v="22000"/>
    <n v="4400"/>
    <n v="17600"/>
    <n v="0"/>
    <n v="17600"/>
    <x v="2"/>
    <x v="0"/>
    <x v="3"/>
    <n v="1"/>
    <x v="1"/>
    <x v="0"/>
  </r>
  <r>
    <s v="ORD01036"/>
    <x v="460"/>
    <x v="0"/>
    <s v="Yani Santoso"/>
    <s v="Pontianak"/>
    <x v="22"/>
    <n v="18000"/>
    <n v="5"/>
    <n v="5"/>
    <n v="90000"/>
    <n v="4500"/>
    <n v="85500"/>
    <n v="85000"/>
    <n v="170500"/>
    <x v="3"/>
    <x v="1"/>
    <x v="2"/>
    <n v="5"/>
    <x v="0"/>
    <x v="0"/>
  </r>
  <r>
    <s v="ORD01661"/>
    <x v="461"/>
    <x v="0"/>
    <s v="Qori Santoso"/>
    <s v="Wamena"/>
    <x v="24"/>
    <n v="45000"/>
    <n v="1"/>
    <n v="20"/>
    <n v="45000"/>
    <n v="9000"/>
    <n v="36000"/>
    <n v="15000"/>
    <n v="51000"/>
    <x v="3"/>
    <x v="0"/>
    <x v="4"/>
    <n v="1"/>
    <x v="0"/>
    <x v="1"/>
  </r>
  <r>
    <s v="ORD00352"/>
    <x v="462"/>
    <x v="0"/>
    <s v="Aulia Iskandar"/>
    <s v="Surabaya"/>
    <x v="3"/>
    <n v="28000"/>
    <n v="3"/>
    <n v="15"/>
    <n v="84000"/>
    <n v="12600"/>
    <n v="71400"/>
    <n v="74000"/>
    <n v="145400"/>
    <x v="0"/>
    <x v="1"/>
    <x v="4"/>
    <n v="5"/>
    <x v="0"/>
    <x v="1"/>
  </r>
  <r>
    <s v="ORD00352"/>
    <x v="462"/>
    <x v="0"/>
    <s v="Aulia Iskandar"/>
    <s v="Surabaya"/>
    <x v="10"/>
    <n v="15000"/>
    <n v="4"/>
    <n v="15"/>
    <n v="60000"/>
    <n v="9000"/>
    <n v="51000"/>
    <n v="0"/>
    <n v="51000"/>
    <x v="0"/>
    <x v="1"/>
    <x v="4"/>
    <n v="5"/>
    <x v="0"/>
    <x v="1"/>
  </r>
  <r>
    <s v="ORD00030"/>
    <x v="463"/>
    <x v="0"/>
    <s v="Indra Halim"/>
    <s v="Tanjung Selor"/>
    <x v="21"/>
    <n v="17000"/>
    <n v="1"/>
    <n v="20"/>
    <n v="17000"/>
    <n v="3400"/>
    <n v="13600"/>
    <n v="26000"/>
    <n v="39600"/>
    <x v="0"/>
    <x v="1"/>
    <x v="0"/>
    <n v="4"/>
    <x v="1"/>
    <x v="0"/>
  </r>
  <r>
    <s v="ORD01078"/>
    <x v="464"/>
    <x v="0"/>
    <s v="Qori Utami"/>
    <s v="Serang"/>
    <x v="13"/>
    <n v="17000"/>
    <n v="3"/>
    <n v="5"/>
    <n v="51000"/>
    <n v="2550"/>
    <n v="48450"/>
    <n v="57000"/>
    <n v="105450"/>
    <x v="3"/>
    <x v="0"/>
    <x v="3"/>
    <n v="1"/>
    <x v="0"/>
    <x v="0"/>
  </r>
  <r>
    <s v="ORD01290"/>
    <x v="465"/>
    <x v="0"/>
    <s v="Putri Setiawan"/>
    <s v="Merauke"/>
    <x v="13"/>
    <n v="17000"/>
    <n v="3"/>
    <n v="5"/>
    <n v="51000"/>
    <n v="2550"/>
    <n v="48450"/>
    <n v="59000"/>
    <n v="107450"/>
    <x v="3"/>
    <x v="0"/>
    <x v="0"/>
    <n v="4"/>
    <x v="0"/>
    <x v="0"/>
  </r>
  <r>
    <s v="ORD01380"/>
    <x v="466"/>
    <x v="0"/>
    <s v="Indra Setiawan"/>
    <s v="Mataram"/>
    <x v="24"/>
    <n v="45000"/>
    <n v="1"/>
    <n v="10"/>
    <n v="45000"/>
    <n v="4500"/>
    <n v="40500"/>
    <n v="56000"/>
    <n v="96500"/>
    <x v="2"/>
    <x v="0"/>
    <x v="1"/>
    <n v="5"/>
    <x v="1"/>
    <x v="0"/>
  </r>
  <r>
    <s v="ORD00667"/>
    <x v="467"/>
    <x v="0"/>
    <s v="Iwan Budiman"/>
    <s v="Semarang"/>
    <x v="11"/>
    <n v="40000"/>
    <n v="2"/>
    <n v="5"/>
    <n v="80000"/>
    <n v="4000"/>
    <n v="76000"/>
    <n v="76000"/>
    <n v="152000"/>
    <x v="0"/>
    <x v="1"/>
    <x v="2"/>
    <n v="2"/>
    <x v="1"/>
    <x v="0"/>
  </r>
  <r>
    <s v="ORD01487"/>
    <x v="468"/>
    <x v="0"/>
    <s v="Dimas Halim"/>
    <s v="Palangka Raya"/>
    <x v="26"/>
    <n v="18000"/>
    <n v="4"/>
    <n v="20"/>
    <n v="72000"/>
    <n v="14400"/>
    <n v="57600"/>
    <n v="50000"/>
    <n v="107600"/>
    <x v="0"/>
    <x v="0"/>
    <x v="0"/>
    <n v="2"/>
    <x v="1"/>
    <x v="1"/>
  </r>
  <r>
    <s v="ORD01600"/>
    <x v="469"/>
    <x v="0"/>
    <s v="Gita Utami"/>
    <s v="Pangkalpinang"/>
    <x v="3"/>
    <n v="28000"/>
    <n v="3"/>
    <n v="0"/>
    <n v="84000"/>
    <n v="0"/>
    <n v="84000"/>
    <n v="18000"/>
    <n v="102000"/>
    <x v="3"/>
    <x v="1"/>
    <x v="3"/>
    <n v="3"/>
    <x v="0"/>
    <x v="0"/>
  </r>
  <r>
    <s v="ORD01146"/>
    <x v="470"/>
    <x v="0"/>
    <s v="Arif Fauziah"/>
    <s v="Denpasar"/>
    <x v="19"/>
    <n v="22000"/>
    <n v="1"/>
    <n v="10"/>
    <n v="22000"/>
    <n v="2200"/>
    <n v="19800"/>
    <n v="80000"/>
    <n v="99800"/>
    <x v="2"/>
    <x v="0"/>
    <x v="2"/>
    <n v="5"/>
    <x v="1"/>
    <x v="0"/>
  </r>
  <r>
    <s v="ORD00234"/>
    <x v="471"/>
    <x v="0"/>
    <s v="Dina Nugroho"/>
    <s v="Jakarta"/>
    <x v="24"/>
    <n v="45000"/>
    <n v="3"/>
    <n v="0"/>
    <n v="135000"/>
    <n v="0"/>
    <n v="135000"/>
    <n v="97000"/>
    <n v="232000"/>
    <x v="0"/>
    <x v="2"/>
    <x v="3"/>
    <n v="3"/>
    <x v="0"/>
    <x v="0"/>
  </r>
  <r>
    <s v="ORD00943"/>
    <x v="472"/>
    <x v="0"/>
    <s v="Citra Iskandar"/>
    <s v="Palangka Raya"/>
    <x v="24"/>
    <n v="45000"/>
    <n v="2"/>
    <n v="10"/>
    <n v="90000"/>
    <n v="9000"/>
    <n v="81000"/>
    <n v="50000"/>
    <n v="131000"/>
    <x v="2"/>
    <x v="1"/>
    <x v="4"/>
    <n v="5"/>
    <x v="0"/>
    <x v="1"/>
  </r>
  <r>
    <s v="ORD01017"/>
    <x v="473"/>
    <x v="0"/>
    <s v="Aulia Rahmawati"/>
    <s v="Jambi"/>
    <x v="6"/>
    <n v="14000"/>
    <n v="5"/>
    <n v="20"/>
    <n v="70000"/>
    <n v="14000"/>
    <n v="56000"/>
    <n v="87000"/>
    <n v="143000"/>
    <x v="1"/>
    <x v="0"/>
    <x v="1"/>
    <n v="3"/>
    <x v="0"/>
    <x v="1"/>
  </r>
  <r>
    <s v="ORD01045"/>
    <x v="474"/>
    <x v="0"/>
    <s v="Dewi Utami"/>
    <s v="Bandung"/>
    <x v="13"/>
    <n v="17000"/>
    <n v="3"/>
    <n v="0"/>
    <n v="51000"/>
    <n v="0"/>
    <n v="51000"/>
    <n v="0"/>
    <n v="51000"/>
    <x v="3"/>
    <x v="0"/>
    <x v="2"/>
    <n v="1"/>
    <x v="0"/>
    <x v="0"/>
  </r>
  <r>
    <s v="ORD00214"/>
    <x v="475"/>
    <x v="0"/>
    <s v="Eka Syahputra"/>
    <s v="Jakarta"/>
    <x v="18"/>
    <n v="6000"/>
    <n v="2"/>
    <n v="10"/>
    <n v="12000"/>
    <n v="1200"/>
    <n v="10800"/>
    <n v="97000"/>
    <n v="107800"/>
    <x v="2"/>
    <x v="0"/>
    <x v="1"/>
    <n v="2"/>
    <x v="0"/>
    <x v="0"/>
  </r>
  <r>
    <s v="ORD01831"/>
    <x v="476"/>
    <x v="0"/>
    <s v="Yani Santoso"/>
    <s v="Pontianak"/>
    <x v="19"/>
    <n v="22000"/>
    <n v="3"/>
    <n v="10"/>
    <n v="66000"/>
    <n v="6600"/>
    <n v="59400"/>
    <n v="85000"/>
    <n v="144400"/>
    <x v="3"/>
    <x v="0"/>
    <x v="0"/>
    <n v="2"/>
    <x v="0"/>
    <x v="1"/>
  </r>
  <r>
    <s v="ORD01753"/>
    <x v="477"/>
    <x v="0"/>
    <s v="Dina Hidayat"/>
    <s v="Pekanbaru"/>
    <x v="19"/>
    <n v="22000"/>
    <n v="1"/>
    <n v="15"/>
    <n v="22000"/>
    <n v="3300"/>
    <n v="18700"/>
    <n v="49000"/>
    <n v="67700"/>
    <x v="0"/>
    <x v="1"/>
    <x v="1"/>
    <n v="4"/>
    <x v="0"/>
    <x v="0"/>
  </r>
  <r>
    <s v="ORD01345"/>
    <x v="478"/>
    <x v="0"/>
    <s v="Citra Kurniawan"/>
    <s v="Merauke"/>
    <x v="15"/>
    <n v="14000"/>
    <n v="5"/>
    <n v="5"/>
    <n v="70000"/>
    <n v="3500"/>
    <n v="66500"/>
    <n v="59000"/>
    <n v="125500"/>
    <x v="3"/>
    <x v="0"/>
    <x v="2"/>
    <n v="1"/>
    <x v="0"/>
    <x v="0"/>
  </r>
  <r>
    <s v="ORD01310"/>
    <x v="479"/>
    <x v="0"/>
    <s v="Tono Ananda"/>
    <s v="Kendari"/>
    <x v="14"/>
    <n v="35000"/>
    <n v="1"/>
    <n v="20"/>
    <n v="35000"/>
    <n v="7000"/>
    <n v="28000"/>
    <n v="59000"/>
    <n v="87000"/>
    <x v="3"/>
    <x v="0"/>
    <x v="2"/>
    <n v="5"/>
    <x v="1"/>
    <x v="1"/>
  </r>
  <r>
    <s v="ORD00361"/>
    <x v="480"/>
    <x v="0"/>
    <s v="Gita Iskandar"/>
    <s v="Banjarbaru"/>
    <x v="6"/>
    <n v="14000"/>
    <n v="3"/>
    <n v="20"/>
    <n v="42000"/>
    <n v="8400"/>
    <n v="33600"/>
    <n v="55000"/>
    <n v="88600"/>
    <x v="0"/>
    <x v="0"/>
    <x v="2"/>
    <n v="5"/>
    <x v="0"/>
    <x v="1"/>
  </r>
  <r>
    <s v="ORD00098"/>
    <x v="481"/>
    <x v="0"/>
    <s v="Hendra Ramadhani"/>
    <s v="Jayapura"/>
    <x v="10"/>
    <n v="15000"/>
    <n v="4"/>
    <n v="15"/>
    <n v="60000"/>
    <n v="9000"/>
    <n v="51000"/>
    <n v="30000"/>
    <n v="81000"/>
    <x v="1"/>
    <x v="0"/>
    <x v="1"/>
    <n v="3"/>
    <x v="1"/>
    <x v="1"/>
  </r>
  <r>
    <s v="ORD01001"/>
    <x v="482"/>
    <x v="0"/>
    <s v="Sari Saputra"/>
    <s v="Gorontalo"/>
    <x v="8"/>
    <n v="16000"/>
    <n v="5"/>
    <n v="0"/>
    <n v="80000"/>
    <n v="0"/>
    <n v="80000"/>
    <n v="80000"/>
    <n v="160000"/>
    <x v="0"/>
    <x v="1"/>
    <x v="2"/>
    <n v="2"/>
    <x v="0"/>
    <x v="0"/>
  </r>
  <r>
    <s v="ORD01497"/>
    <x v="483"/>
    <x v="0"/>
    <s v="Erna Santoso"/>
    <s v="Samarinda"/>
    <x v="22"/>
    <n v="18000"/>
    <n v="2"/>
    <n v="10"/>
    <n v="36000"/>
    <n v="3600"/>
    <n v="32400"/>
    <n v="43000"/>
    <n v="75400"/>
    <x v="3"/>
    <x v="0"/>
    <x v="4"/>
    <n v="4"/>
    <x v="0"/>
    <x v="0"/>
  </r>
  <r>
    <s v="ORD01023"/>
    <x v="484"/>
    <x v="0"/>
    <s v="Bella Nugroho"/>
    <s v="Banjarbaru"/>
    <x v="15"/>
    <n v="14000"/>
    <n v="4"/>
    <n v="15"/>
    <n v="56000"/>
    <n v="8400"/>
    <n v="47600"/>
    <n v="55000"/>
    <n v="102600"/>
    <x v="2"/>
    <x v="0"/>
    <x v="4"/>
    <n v="5"/>
    <x v="0"/>
    <x v="1"/>
  </r>
  <r>
    <s v="ORD00031"/>
    <x v="485"/>
    <x v="0"/>
    <s v="Budi Fauziah"/>
    <s v="Manado"/>
    <x v="15"/>
    <n v="14000"/>
    <n v="2"/>
    <n v="10"/>
    <n v="28000"/>
    <n v="2800"/>
    <n v="25200"/>
    <n v="93000"/>
    <n v="118200"/>
    <x v="3"/>
    <x v="0"/>
    <x v="1"/>
    <n v="1"/>
    <x v="1"/>
    <x v="0"/>
  </r>
  <r>
    <s v="ORD00031"/>
    <x v="485"/>
    <x v="0"/>
    <s v="Budi Fauziah"/>
    <s v="Manado"/>
    <x v="1"/>
    <n v="5000"/>
    <n v="2"/>
    <n v="0"/>
    <n v="10000"/>
    <n v="0"/>
    <n v="10000"/>
    <n v="0"/>
    <n v="10000"/>
    <x v="3"/>
    <x v="0"/>
    <x v="1"/>
    <n v="1"/>
    <x v="1"/>
    <x v="0"/>
  </r>
  <r>
    <s v="ORD00512"/>
    <x v="486"/>
    <x v="0"/>
    <s v="Aulia Utami"/>
    <s v="Yogyakarta"/>
    <x v="23"/>
    <n v="10000"/>
    <n v="4"/>
    <n v="20"/>
    <n v="40000"/>
    <n v="8000"/>
    <n v="32000"/>
    <n v="78000"/>
    <n v="110000"/>
    <x v="2"/>
    <x v="0"/>
    <x v="2"/>
    <n v="4"/>
    <x v="0"/>
    <x v="1"/>
  </r>
  <r>
    <s v="ORD01515"/>
    <x v="487"/>
    <x v="0"/>
    <s v="Dewi Ananda"/>
    <s v="Palangka Raya"/>
    <x v="19"/>
    <n v="22000"/>
    <n v="1"/>
    <n v="5"/>
    <n v="22000"/>
    <n v="1100"/>
    <n v="20900"/>
    <n v="50000"/>
    <n v="70900"/>
    <x v="2"/>
    <x v="0"/>
    <x v="2"/>
    <n v="2"/>
    <x v="0"/>
    <x v="0"/>
  </r>
  <r>
    <s v="ORD01449"/>
    <x v="488"/>
    <x v="0"/>
    <s v="Citra Maulana"/>
    <s v="Bengkulu"/>
    <x v="19"/>
    <n v="22000"/>
    <n v="1"/>
    <n v="0"/>
    <n v="22000"/>
    <n v="0"/>
    <n v="22000"/>
    <n v="72000"/>
    <n v="94000"/>
    <x v="0"/>
    <x v="0"/>
    <x v="2"/>
    <n v="2"/>
    <x v="0"/>
    <x v="0"/>
  </r>
  <r>
    <s v="ORD01144"/>
    <x v="489"/>
    <x v="0"/>
    <s v="Ani Ramadhani"/>
    <s v="Sofifi"/>
    <x v="1"/>
    <n v="5000"/>
    <n v="3"/>
    <n v="5"/>
    <n v="15000"/>
    <n v="750"/>
    <n v="14250"/>
    <n v="50000"/>
    <n v="64250"/>
    <x v="1"/>
    <x v="0"/>
    <x v="3"/>
    <n v="5"/>
    <x v="0"/>
    <x v="0"/>
  </r>
  <r>
    <s v="ORD00520"/>
    <x v="490"/>
    <x v="0"/>
    <s v="Zahra Santoso"/>
    <s v="Nabire"/>
    <x v="17"/>
    <n v="30000"/>
    <n v="1"/>
    <n v="10"/>
    <n v="30000"/>
    <n v="3000"/>
    <n v="27000"/>
    <n v="89000"/>
    <n v="116000"/>
    <x v="0"/>
    <x v="0"/>
    <x v="1"/>
    <n v="2"/>
    <x v="0"/>
    <x v="0"/>
  </r>
  <r>
    <s v="ORD00865"/>
    <x v="491"/>
    <x v="0"/>
    <s v="Wahyu Hidayat"/>
    <s v="Wamena"/>
    <x v="19"/>
    <n v="22000"/>
    <n v="1"/>
    <n v="0"/>
    <n v="22000"/>
    <n v="0"/>
    <n v="22000"/>
    <n v="15000"/>
    <n v="37000"/>
    <x v="3"/>
    <x v="0"/>
    <x v="0"/>
    <n v="5"/>
    <x v="1"/>
    <x v="0"/>
  </r>
  <r>
    <s v="ORD01034"/>
    <x v="492"/>
    <x v="0"/>
    <s v="Erna Maulana"/>
    <s v="Sorong"/>
    <x v="3"/>
    <n v="28000"/>
    <n v="4"/>
    <n v="20"/>
    <n v="112000"/>
    <n v="22400"/>
    <n v="89600"/>
    <n v="87000"/>
    <n v="176600"/>
    <x v="0"/>
    <x v="0"/>
    <x v="2"/>
    <n v="3"/>
    <x v="0"/>
    <x v="2"/>
  </r>
  <r>
    <s v="ORD00725"/>
    <x v="493"/>
    <x v="0"/>
    <s v="Fitri Halim"/>
    <s v="Denpasar"/>
    <x v="24"/>
    <n v="45000"/>
    <n v="3"/>
    <n v="0"/>
    <n v="135000"/>
    <n v="0"/>
    <n v="135000"/>
    <n v="80000"/>
    <n v="215000"/>
    <x v="1"/>
    <x v="0"/>
    <x v="0"/>
    <n v="4"/>
    <x v="0"/>
    <x v="0"/>
  </r>
  <r>
    <s v="ORD00989"/>
    <x v="494"/>
    <x v="0"/>
    <s v="Eka Syahputra"/>
    <s v="Jakarta"/>
    <x v="26"/>
    <n v="18000"/>
    <n v="1"/>
    <n v="5"/>
    <n v="18000"/>
    <n v="900"/>
    <n v="17100"/>
    <n v="97000"/>
    <n v="114100"/>
    <x v="3"/>
    <x v="0"/>
    <x v="4"/>
    <n v="3"/>
    <x v="0"/>
    <x v="0"/>
  </r>
  <r>
    <s v="ORD01265"/>
    <x v="495"/>
    <x v="0"/>
    <s v="Clara Iskandar"/>
    <s v="Pangkalpinang"/>
    <x v="24"/>
    <n v="45000"/>
    <n v="1"/>
    <n v="10"/>
    <n v="45000"/>
    <n v="4500"/>
    <n v="40500"/>
    <n v="18000"/>
    <n v="58500"/>
    <x v="0"/>
    <x v="1"/>
    <x v="3"/>
    <n v="4"/>
    <x v="0"/>
    <x v="0"/>
  </r>
  <r>
    <s v="ORD00434"/>
    <x v="496"/>
    <x v="0"/>
    <s v="Bella Utami"/>
    <s v="Padang"/>
    <x v="20"/>
    <n v="12000"/>
    <n v="5"/>
    <n v="15"/>
    <n v="60000"/>
    <n v="9000"/>
    <n v="51000"/>
    <n v="68000"/>
    <n v="119000"/>
    <x v="3"/>
    <x v="2"/>
    <x v="3"/>
    <n v="5"/>
    <x v="0"/>
    <x v="1"/>
  </r>
  <r>
    <s v="ORD00823"/>
    <x v="497"/>
    <x v="0"/>
    <s v="Sari Pradipta"/>
    <s v="Banda Aceh"/>
    <x v="19"/>
    <n v="22000"/>
    <n v="5"/>
    <n v="20"/>
    <n v="110000"/>
    <n v="22000"/>
    <n v="88000"/>
    <n v="18000"/>
    <n v="106000"/>
    <x v="0"/>
    <x v="0"/>
    <x v="1"/>
    <n v="1"/>
    <x v="0"/>
    <x v="2"/>
  </r>
  <r>
    <s v="ORD00493"/>
    <x v="498"/>
    <x v="0"/>
    <s v="Putri Syahputra"/>
    <s v="Mamuju"/>
    <x v="10"/>
    <n v="15000"/>
    <n v="2"/>
    <n v="20"/>
    <n v="30000"/>
    <n v="6000"/>
    <n v="24000"/>
    <n v="46000"/>
    <n v="70000"/>
    <x v="0"/>
    <x v="0"/>
    <x v="3"/>
    <n v="2"/>
    <x v="0"/>
    <x v="1"/>
  </r>
  <r>
    <s v="ORD01465"/>
    <x v="499"/>
    <x v="0"/>
    <s v="Fitri Saputra"/>
    <s v="Jakarta"/>
    <x v="8"/>
    <n v="16000"/>
    <n v="1"/>
    <n v="5"/>
    <n v="16000"/>
    <n v="800"/>
    <n v="15200"/>
    <n v="97000"/>
    <n v="112200"/>
    <x v="3"/>
    <x v="1"/>
    <x v="0"/>
    <n v="2"/>
    <x v="0"/>
    <x v="0"/>
  </r>
  <r>
    <s v="ORD00882"/>
    <x v="500"/>
    <x v="0"/>
    <s v="Ani Fauziah"/>
    <s v="Jakarta"/>
    <x v="10"/>
    <n v="15000"/>
    <n v="5"/>
    <n v="20"/>
    <n v="75000"/>
    <n v="15000"/>
    <n v="60000"/>
    <n v="97000"/>
    <n v="157000"/>
    <x v="2"/>
    <x v="0"/>
    <x v="1"/>
    <n v="3"/>
    <x v="0"/>
    <x v="1"/>
  </r>
  <r>
    <s v="ORD01357"/>
    <x v="501"/>
    <x v="0"/>
    <s v="Aulia Rahmawati"/>
    <s v="Jambi"/>
    <x v="6"/>
    <n v="14000"/>
    <n v="2"/>
    <n v="15"/>
    <n v="28000"/>
    <n v="4200"/>
    <n v="23800"/>
    <n v="87000"/>
    <n v="110800"/>
    <x v="0"/>
    <x v="0"/>
    <x v="1"/>
    <n v="4"/>
    <x v="0"/>
    <x v="0"/>
  </r>
  <r>
    <s v="ORD00316"/>
    <x v="502"/>
    <x v="0"/>
    <s v="Bella Budiman"/>
    <s v="Palembang"/>
    <x v="3"/>
    <n v="28000"/>
    <n v="3"/>
    <n v="5"/>
    <n v="84000"/>
    <n v="4200"/>
    <n v="79800"/>
    <n v="17000"/>
    <n v="96800"/>
    <x v="0"/>
    <x v="0"/>
    <x v="4"/>
    <n v="2"/>
    <x v="0"/>
    <x v="0"/>
  </r>
  <r>
    <s v="ORD00475"/>
    <x v="503"/>
    <x v="0"/>
    <s v="Kartika Ananda"/>
    <s v="Pekanbaru"/>
    <x v="10"/>
    <n v="15000"/>
    <n v="2"/>
    <n v="0"/>
    <n v="30000"/>
    <n v="0"/>
    <n v="30000"/>
    <n v="49000"/>
    <n v="79000"/>
    <x v="2"/>
    <x v="0"/>
    <x v="1"/>
    <n v="3"/>
    <x v="0"/>
    <x v="0"/>
  </r>
  <r>
    <s v="ORD00475"/>
    <x v="503"/>
    <x v="0"/>
    <s v="Kartika Ananda"/>
    <s v="Pekanbaru"/>
    <x v="14"/>
    <n v="35000"/>
    <n v="1"/>
    <n v="5"/>
    <n v="35000"/>
    <n v="1750"/>
    <n v="33250"/>
    <n v="0"/>
    <n v="33250"/>
    <x v="2"/>
    <x v="0"/>
    <x v="1"/>
    <n v="3"/>
    <x v="0"/>
    <x v="0"/>
  </r>
  <r>
    <s v="ORD00071"/>
    <x v="504"/>
    <x v="0"/>
    <s v="Galih Puspita"/>
    <s v="Manado"/>
    <x v="19"/>
    <n v="22000"/>
    <n v="2"/>
    <n v="10"/>
    <n v="44000"/>
    <n v="4400"/>
    <n v="39600"/>
    <n v="93000"/>
    <n v="132600"/>
    <x v="3"/>
    <x v="0"/>
    <x v="1"/>
    <n v="1"/>
    <x v="1"/>
    <x v="0"/>
  </r>
  <r>
    <s v="ORD00071"/>
    <x v="504"/>
    <x v="0"/>
    <s v="Galih Puspita"/>
    <s v="Manado"/>
    <x v="1"/>
    <n v="5000"/>
    <n v="2"/>
    <n v="10"/>
    <n v="10000"/>
    <n v="1000"/>
    <n v="9000"/>
    <n v="0"/>
    <n v="9000"/>
    <x v="3"/>
    <x v="0"/>
    <x v="1"/>
    <n v="1"/>
    <x v="1"/>
    <x v="0"/>
  </r>
  <r>
    <s v="ORD01139"/>
    <x v="505"/>
    <x v="0"/>
    <s v="Clara Utami"/>
    <s v="Pangkalpinang"/>
    <x v="18"/>
    <n v="6000"/>
    <n v="3"/>
    <n v="15"/>
    <n v="18000"/>
    <n v="2700"/>
    <n v="15300"/>
    <n v="18000"/>
    <n v="33300"/>
    <x v="3"/>
    <x v="0"/>
    <x v="1"/>
    <n v="2"/>
    <x v="0"/>
    <x v="0"/>
  </r>
  <r>
    <s v="ORD00120"/>
    <x v="506"/>
    <x v="0"/>
    <s v="Yani Puspita"/>
    <s v="Palembang"/>
    <x v="1"/>
    <n v="5000"/>
    <n v="4"/>
    <n v="15"/>
    <n v="20000"/>
    <n v="3000"/>
    <n v="17000"/>
    <n v="17000"/>
    <n v="34000"/>
    <x v="0"/>
    <x v="0"/>
    <x v="0"/>
    <n v="5"/>
    <x v="0"/>
    <x v="0"/>
  </r>
  <r>
    <s v="ORD01813"/>
    <x v="507"/>
    <x v="0"/>
    <s v="Ani Hidayat"/>
    <s v="Samarinda"/>
    <x v="19"/>
    <n v="22000"/>
    <n v="2"/>
    <n v="15"/>
    <n v="44000"/>
    <n v="6600"/>
    <n v="37400"/>
    <n v="43000"/>
    <n v="80400"/>
    <x v="1"/>
    <x v="2"/>
    <x v="3"/>
    <n v="2"/>
    <x v="0"/>
    <x v="1"/>
  </r>
  <r>
    <s v="ORD00710"/>
    <x v="508"/>
    <x v="0"/>
    <s v="Nanda Iskandar"/>
    <s v="Pontianak"/>
    <x v="16"/>
    <n v="25000"/>
    <n v="5"/>
    <n v="20"/>
    <n v="125000"/>
    <n v="25000"/>
    <n v="100000"/>
    <n v="85000"/>
    <n v="185000"/>
    <x v="0"/>
    <x v="0"/>
    <x v="2"/>
    <n v="5"/>
    <x v="1"/>
    <x v="2"/>
  </r>
  <r>
    <s v="ORD00509"/>
    <x v="509"/>
    <x v="0"/>
    <s v="Kartika Fauziah"/>
    <s v="Mataram"/>
    <x v="21"/>
    <n v="17000"/>
    <n v="4"/>
    <n v="20"/>
    <n v="68000"/>
    <n v="13600"/>
    <n v="54400"/>
    <n v="56000"/>
    <n v="110400"/>
    <x v="1"/>
    <x v="0"/>
    <x v="4"/>
    <n v="3"/>
    <x v="0"/>
    <x v="1"/>
  </r>
  <r>
    <s v="ORD00996"/>
    <x v="510"/>
    <x v="0"/>
    <s v="Eka Halim"/>
    <s v="Manado"/>
    <x v="9"/>
    <n v="50000"/>
    <n v="2"/>
    <n v="0"/>
    <n v="100000"/>
    <n v="0"/>
    <n v="100000"/>
    <n v="93000"/>
    <n v="193000"/>
    <x v="2"/>
    <x v="0"/>
    <x v="3"/>
    <n v="1"/>
    <x v="0"/>
    <x v="0"/>
  </r>
  <r>
    <s v="ORD00663"/>
    <x v="511"/>
    <x v="0"/>
    <s v="Made Kusuma"/>
    <s v="Makassar"/>
    <x v="22"/>
    <n v="18000"/>
    <n v="4"/>
    <n v="5"/>
    <n v="72000"/>
    <n v="3600"/>
    <n v="68400"/>
    <n v="84000"/>
    <n v="152400"/>
    <x v="2"/>
    <x v="0"/>
    <x v="3"/>
    <n v="1"/>
    <x v="1"/>
    <x v="0"/>
  </r>
  <r>
    <s v="ORD00508"/>
    <x v="512"/>
    <x v="0"/>
    <s v="Yani Saputra"/>
    <s v="Jayapura"/>
    <x v="25"/>
    <n v="35000"/>
    <n v="1"/>
    <n v="10"/>
    <n v="35000"/>
    <n v="3500"/>
    <n v="31500"/>
    <n v="30000"/>
    <n v="61500"/>
    <x v="3"/>
    <x v="0"/>
    <x v="4"/>
    <n v="3"/>
    <x v="0"/>
    <x v="0"/>
  </r>
  <r>
    <s v="ORD00824"/>
    <x v="513"/>
    <x v="0"/>
    <s v="Hendra Wijaya"/>
    <s v="Wamena"/>
    <x v="17"/>
    <n v="30000"/>
    <n v="2"/>
    <n v="20"/>
    <n v="60000"/>
    <n v="12000"/>
    <n v="48000"/>
    <n v="15000"/>
    <n v="63000"/>
    <x v="0"/>
    <x v="0"/>
    <x v="4"/>
    <n v="1"/>
    <x v="1"/>
    <x v="1"/>
  </r>
  <r>
    <s v="ORD00916"/>
    <x v="514"/>
    <x v="0"/>
    <s v="Bella Rahmawati"/>
    <s v="Kendari"/>
    <x v="1"/>
    <n v="5000"/>
    <n v="3"/>
    <n v="10"/>
    <n v="15000"/>
    <n v="1500"/>
    <n v="13500"/>
    <n v="59000"/>
    <n v="72500"/>
    <x v="0"/>
    <x v="1"/>
    <x v="1"/>
    <n v="4"/>
    <x v="0"/>
    <x v="0"/>
  </r>
  <r>
    <s v="ORD01728"/>
    <x v="515"/>
    <x v="0"/>
    <s v="Dimas Puspita"/>
    <s v="Pangkalpinang"/>
    <x v="22"/>
    <n v="18000"/>
    <n v="2"/>
    <n v="0"/>
    <n v="36000"/>
    <n v="0"/>
    <n v="36000"/>
    <n v="18000"/>
    <n v="54000"/>
    <x v="1"/>
    <x v="2"/>
    <x v="3"/>
    <n v="2"/>
    <x v="1"/>
    <x v="0"/>
  </r>
  <r>
    <s v="ORD00861"/>
    <x v="516"/>
    <x v="0"/>
    <s v="Ani Ramadhani"/>
    <s v="Sofifi"/>
    <x v="15"/>
    <n v="14000"/>
    <n v="5"/>
    <n v="15"/>
    <n v="70000"/>
    <n v="10500"/>
    <n v="59500"/>
    <n v="50000"/>
    <n v="109500"/>
    <x v="0"/>
    <x v="0"/>
    <x v="3"/>
    <n v="5"/>
    <x v="0"/>
    <x v="1"/>
  </r>
  <r>
    <s v="ORD00108"/>
    <x v="517"/>
    <x v="0"/>
    <s v="Sari Budiman"/>
    <s v="Sorong"/>
    <x v="23"/>
    <n v="10000"/>
    <n v="4"/>
    <n v="5"/>
    <n v="40000"/>
    <n v="2000"/>
    <n v="38000"/>
    <n v="87000"/>
    <n v="125000"/>
    <x v="1"/>
    <x v="0"/>
    <x v="4"/>
    <n v="2"/>
    <x v="0"/>
    <x v="0"/>
  </r>
  <r>
    <s v="ORD00785"/>
    <x v="518"/>
    <x v="0"/>
    <s v="Qori Hidayat"/>
    <s v="Palembang"/>
    <x v="2"/>
    <n v="16000"/>
    <n v="4"/>
    <n v="15"/>
    <n v="64000"/>
    <n v="9600"/>
    <n v="54400"/>
    <n v="17000"/>
    <n v="71400"/>
    <x v="1"/>
    <x v="1"/>
    <x v="4"/>
    <n v="2"/>
    <x v="0"/>
    <x v="1"/>
  </r>
  <r>
    <s v="ORD00145"/>
    <x v="519"/>
    <x v="0"/>
    <s v="Erna Wijaya"/>
    <s v="Bandar Lampung"/>
    <x v="4"/>
    <n v="4000"/>
    <n v="1"/>
    <n v="5"/>
    <n v="4000"/>
    <n v="200"/>
    <n v="3800"/>
    <n v="28000"/>
    <n v="31800"/>
    <x v="2"/>
    <x v="0"/>
    <x v="1"/>
    <n v="1"/>
    <x v="0"/>
    <x v="0"/>
  </r>
  <r>
    <s v="ORD01652"/>
    <x v="520"/>
    <x v="0"/>
    <s v="Yani Santoso"/>
    <s v="Pontianak"/>
    <x v="21"/>
    <n v="17000"/>
    <n v="3"/>
    <n v="0"/>
    <n v="51000"/>
    <n v="0"/>
    <n v="51000"/>
    <n v="85000"/>
    <n v="136000"/>
    <x v="3"/>
    <x v="1"/>
    <x v="1"/>
    <n v="4"/>
    <x v="0"/>
    <x v="0"/>
  </r>
  <r>
    <s v="ORD00086"/>
    <x v="521"/>
    <x v="0"/>
    <s v="Yoga Wijaya"/>
    <s v="Medan"/>
    <x v="13"/>
    <n v="17000"/>
    <n v="3"/>
    <n v="0"/>
    <n v="51000"/>
    <n v="0"/>
    <n v="51000"/>
    <n v="79000"/>
    <n v="130000"/>
    <x v="1"/>
    <x v="1"/>
    <x v="2"/>
    <n v="4"/>
    <x v="1"/>
    <x v="0"/>
  </r>
  <r>
    <s v="ORD01029"/>
    <x v="522"/>
    <x v="0"/>
    <s v="Galih Iskandar"/>
    <s v="Ambon"/>
    <x v="10"/>
    <n v="15000"/>
    <n v="2"/>
    <n v="0"/>
    <n v="30000"/>
    <n v="0"/>
    <n v="30000"/>
    <n v="49000"/>
    <n v="79000"/>
    <x v="1"/>
    <x v="0"/>
    <x v="0"/>
    <n v="4"/>
    <x v="1"/>
    <x v="0"/>
  </r>
  <r>
    <s v="ORD00748"/>
    <x v="523"/>
    <x v="0"/>
    <s v="Vina Hidayat"/>
    <s v="Nabire"/>
    <x v="6"/>
    <n v="14000"/>
    <n v="1"/>
    <n v="10"/>
    <n v="14000"/>
    <n v="1400"/>
    <n v="12600"/>
    <n v="89000"/>
    <n v="101600"/>
    <x v="1"/>
    <x v="0"/>
    <x v="0"/>
    <n v="1"/>
    <x v="0"/>
    <x v="0"/>
  </r>
  <r>
    <s v="ORD00044"/>
    <x v="524"/>
    <x v="0"/>
    <s v="Nanda Utami"/>
    <s v="Manado"/>
    <x v="12"/>
    <n v="55000"/>
    <n v="2"/>
    <n v="10"/>
    <n v="110000"/>
    <n v="11000"/>
    <n v="99000"/>
    <n v="93000"/>
    <n v="192000"/>
    <x v="0"/>
    <x v="0"/>
    <x v="3"/>
    <n v="1"/>
    <x v="1"/>
    <x v="1"/>
  </r>
  <r>
    <s v="ORD00961"/>
    <x v="525"/>
    <x v="0"/>
    <s v="Clara Iskandar"/>
    <s v="Pangkalpinang"/>
    <x v="18"/>
    <n v="6000"/>
    <n v="5"/>
    <n v="5"/>
    <n v="30000"/>
    <n v="1500"/>
    <n v="28500"/>
    <n v="18000"/>
    <n v="46500"/>
    <x v="2"/>
    <x v="0"/>
    <x v="0"/>
    <n v="3"/>
    <x v="0"/>
    <x v="0"/>
  </r>
  <r>
    <s v="ORD00262"/>
    <x v="526"/>
    <x v="0"/>
    <s v="Dewi Ramadhani"/>
    <s v="Yogyakarta"/>
    <x v="14"/>
    <n v="35000"/>
    <n v="3"/>
    <n v="0"/>
    <n v="105000"/>
    <n v="0"/>
    <n v="105000"/>
    <n v="78000"/>
    <n v="183000"/>
    <x v="1"/>
    <x v="0"/>
    <x v="1"/>
    <n v="5"/>
    <x v="0"/>
    <x v="0"/>
  </r>
  <r>
    <s v="ORD01764"/>
    <x v="527"/>
    <x v="0"/>
    <s v="Qori Fauziah"/>
    <s v="Surabaya"/>
    <x v="4"/>
    <n v="4000"/>
    <n v="4"/>
    <n v="10"/>
    <n v="16000"/>
    <n v="1600"/>
    <n v="14400"/>
    <n v="74000"/>
    <n v="88400"/>
    <x v="2"/>
    <x v="1"/>
    <x v="3"/>
    <n v="5"/>
    <x v="0"/>
    <x v="0"/>
  </r>
  <r>
    <s v="ORD00406"/>
    <x v="528"/>
    <x v="0"/>
    <s v="Eka Maulana"/>
    <s v="Semarang"/>
    <x v="23"/>
    <n v="10000"/>
    <n v="4"/>
    <n v="10"/>
    <n v="40000"/>
    <n v="4000"/>
    <n v="36000"/>
    <n v="76000"/>
    <n v="112000"/>
    <x v="1"/>
    <x v="0"/>
    <x v="2"/>
    <n v="1"/>
    <x v="0"/>
    <x v="0"/>
  </r>
  <r>
    <s v="ORD00406"/>
    <x v="528"/>
    <x v="0"/>
    <s v="Eka Maulana"/>
    <s v="Semarang"/>
    <x v="12"/>
    <n v="55000"/>
    <n v="2"/>
    <n v="15"/>
    <n v="110000"/>
    <n v="16500"/>
    <n v="93500"/>
    <n v="0"/>
    <n v="93500"/>
    <x v="1"/>
    <x v="0"/>
    <x v="2"/>
    <n v="1"/>
    <x v="0"/>
    <x v="2"/>
  </r>
  <r>
    <s v="ORD00233"/>
    <x v="529"/>
    <x v="0"/>
    <s v="Gita Puspita"/>
    <s v="Palu"/>
    <x v="6"/>
    <n v="14000"/>
    <n v="1"/>
    <n v="20"/>
    <n v="14000"/>
    <n v="2800"/>
    <n v="11200"/>
    <n v="67000"/>
    <n v="78200"/>
    <x v="2"/>
    <x v="0"/>
    <x v="4"/>
    <n v="4"/>
    <x v="0"/>
    <x v="0"/>
  </r>
  <r>
    <s v="ORD01065"/>
    <x v="530"/>
    <x v="0"/>
    <s v="Dewi Budiman"/>
    <s v="Kupang"/>
    <x v="18"/>
    <n v="6000"/>
    <n v="3"/>
    <n v="20"/>
    <n v="18000"/>
    <n v="3600"/>
    <n v="14400"/>
    <n v="21000"/>
    <n v="35400"/>
    <x v="2"/>
    <x v="0"/>
    <x v="3"/>
    <n v="5"/>
    <x v="0"/>
    <x v="0"/>
  </r>
  <r>
    <s v="ORD01491"/>
    <x v="531"/>
    <x v="1"/>
    <s v="Hana Wijaya"/>
    <s v="Sorong"/>
    <x v="7"/>
    <n v="16000"/>
    <n v="5"/>
    <n v="0"/>
    <n v="80000"/>
    <n v="0"/>
    <n v="80000"/>
    <n v="87000"/>
    <n v="167000"/>
    <x v="2"/>
    <x v="0"/>
    <x v="2"/>
    <n v="4"/>
    <x v="0"/>
    <x v="0"/>
  </r>
  <r>
    <s v="ORD00442"/>
    <x v="532"/>
    <x v="1"/>
    <s v="Gita Kusuma"/>
    <s v="Pekanbaru"/>
    <x v="5"/>
    <n v="40000"/>
    <n v="4"/>
    <n v="20"/>
    <n v="160000"/>
    <n v="32000"/>
    <n v="128000"/>
    <n v="49000"/>
    <n v="177000"/>
    <x v="0"/>
    <x v="0"/>
    <x v="0"/>
    <n v="4"/>
    <x v="0"/>
    <x v="3"/>
  </r>
  <r>
    <s v="ORD00223"/>
    <x v="533"/>
    <x v="1"/>
    <s v="Aulia Syahputra"/>
    <s v="Medan"/>
    <x v="20"/>
    <n v="12000"/>
    <n v="4"/>
    <n v="20"/>
    <n v="48000"/>
    <n v="9600"/>
    <n v="38400"/>
    <n v="79000"/>
    <n v="117400"/>
    <x v="3"/>
    <x v="0"/>
    <x v="1"/>
    <n v="2"/>
    <x v="0"/>
    <x v="1"/>
  </r>
  <r>
    <s v="ORD00724"/>
    <x v="534"/>
    <x v="1"/>
    <s v="Vina Maulana"/>
    <s v="Wamena"/>
    <x v="17"/>
    <n v="30000"/>
    <n v="3"/>
    <n v="20"/>
    <n v="90000"/>
    <n v="18000"/>
    <n v="72000"/>
    <n v="15000"/>
    <n v="87000"/>
    <x v="3"/>
    <x v="0"/>
    <x v="4"/>
    <n v="4"/>
    <x v="0"/>
    <x v="2"/>
  </r>
  <r>
    <s v="ORD01549"/>
    <x v="535"/>
    <x v="1"/>
    <s v="Fitri Ramadhani"/>
    <s v="Surabaya"/>
    <x v="3"/>
    <n v="28000"/>
    <n v="5"/>
    <n v="5"/>
    <n v="140000"/>
    <n v="7000"/>
    <n v="133000"/>
    <n v="74000"/>
    <n v="207000"/>
    <x v="2"/>
    <x v="0"/>
    <x v="3"/>
    <n v="3"/>
    <x v="0"/>
    <x v="1"/>
  </r>
  <r>
    <s v="ORD01854"/>
    <x v="536"/>
    <x v="1"/>
    <s v="Tono Kurniawan"/>
    <s v="Semarang"/>
    <x v="18"/>
    <n v="6000"/>
    <n v="4"/>
    <n v="10"/>
    <n v="24000"/>
    <n v="2400"/>
    <n v="21600"/>
    <n v="76000"/>
    <n v="97600"/>
    <x v="1"/>
    <x v="1"/>
    <x v="2"/>
    <n v="3"/>
    <x v="1"/>
    <x v="0"/>
  </r>
  <r>
    <s v="ORD00642"/>
    <x v="537"/>
    <x v="1"/>
    <s v="Hendra Syahputra"/>
    <s v="Wamena"/>
    <x v="19"/>
    <n v="22000"/>
    <n v="1"/>
    <n v="10"/>
    <n v="22000"/>
    <n v="2200"/>
    <n v="19800"/>
    <n v="15000"/>
    <n v="34800"/>
    <x v="2"/>
    <x v="0"/>
    <x v="1"/>
    <n v="1"/>
    <x v="1"/>
    <x v="0"/>
  </r>
  <r>
    <s v="ORD01352"/>
    <x v="538"/>
    <x v="1"/>
    <s v="Indra Halim"/>
    <s v="Tanjung Selor"/>
    <x v="22"/>
    <n v="18000"/>
    <n v="1"/>
    <n v="5"/>
    <n v="18000"/>
    <n v="900"/>
    <n v="17100"/>
    <n v="26000"/>
    <n v="43100"/>
    <x v="1"/>
    <x v="0"/>
    <x v="1"/>
    <n v="5"/>
    <x v="1"/>
    <x v="0"/>
  </r>
  <r>
    <s v="ORD00616"/>
    <x v="539"/>
    <x v="1"/>
    <s v="Wahyu Hidayat"/>
    <s v="Wamena"/>
    <x v="4"/>
    <n v="4000"/>
    <n v="1"/>
    <n v="20"/>
    <n v="4000"/>
    <n v="800"/>
    <n v="3200"/>
    <n v="15000"/>
    <n v="18200"/>
    <x v="3"/>
    <x v="0"/>
    <x v="3"/>
    <n v="3"/>
    <x v="1"/>
    <x v="0"/>
  </r>
  <r>
    <s v="ORD00528"/>
    <x v="540"/>
    <x v="1"/>
    <s v="Zahra Setiawan"/>
    <s v="Banjarbaru"/>
    <x v="21"/>
    <n v="17000"/>
    <n v="1"/>
    <n v="10"/>
    <n v="17000"/>
    <n v="1700"/>
    <n v="15300"/>
    <n v="55000"/>
    <n v="70300"/>
    <x v="0"/>
    <x v="1"/>
    <x v="2"/>
    <n v="2"/>
    <x v="0"/>
    <x v="0"/>
  </r>
  <r>
    <s v="ORD00809"/>
    <x v="541"/>
    <x v="1"/>
    <s v="Yani Ananda"/>
    <s v="Mataram"/>
    <x v="10"/>
    <n v="15000"/>
    <n v="2"/>
    <n v="0"/>
    <n v="30000"/>
    <n v="0"/>
    <n v="30000"/>
    <n v="56000"/>
    <n v="86000"/>
    <x v="3"/>
    <x v="0"/>
    <x v="0"/>
    <n v="1"/>
    <x v="0"/>
    <x v="0"/>
  </r>
  <r>
    <s v="ORD00413"/>
    <x v="542"/>
    <x v="1"/>
    <s v="Kartika Saputra"/>
    <s v="Palu"/>
    <x v="8"/>
    <n v="16000"/>
    <n v="2"/>
    <n v="10"/>
    <n v="32000"/>
    <n v="3200"/>
    <n v="28800"/>
    <n v="67000"/>
    <n v="95800"/>
    <x v="0"/>
    <x v="0"/>
    <x v="1"/>
    <n v="3"/>
    <x v="0"/>
    <x v="0"/>
  </r>
  <r>
    <s v="ORD00413"/>
    <x v="542"/>
    <x v="1"/>
    <s v="Kartika Saputra"/>
    <s v="Palu"/>
    <x v="0"/>
    <n v="45000"/>
    <n v="1"/>
    <n v="20"/>
    <n v="45000"/>
    <n v="9000"/>
    <n v="36000"/>
    <n v="0"/>
    <n v="36000"/>
    <x v="0"/>
    <x v="0"/>
    <x v="1"/>
    <n v="3"/>
    <x v="0"/>
    <x v="1"/>
  </r>
  <r>
    <s v="ORD00677"/>
    <x v="543"/>
    <x v="1"/>
    <s v="Zahra Utami"/>
    <s v="Sofifi"/>
    <x v="25"/>
    <n v="35000"/>
    <n v="4"/>
    <n v="15"/>
    <n v="140000"/>
    <n v="21000"/>
    <n v="119000"/>
    <n v="50000"/>
    <n v="169000"/>
    <x v="2"/>
    <x v="0"/>
    <x v="3"/>
    <n v="2"/>
    <x v="0"/>
    <x v="2"/>
  </r>
  <r>
    <s v="ORD00212"/>
    <x v="544"/>
    <x v="1"/>
    <s v="Eka Saputra"/>
    <s v="Tanjungpinang"/>
    <x v="12"/>
    <n v="55000"/>
    <n v="1"/>
    <n v="10"/>
    <n v="55000"/>
    <n v="5500"/>
    <n v="49500"/>
    <n v="48000"/>
    <n v="97500"/>
    <x v="0"/>
    <x v="1"/>
    <x v="4"/>
    <n v="2"/>
    <x v="0"/>
    <x v="1"/>
  </r>
  <r>
    <s v="ORD00670"/>
    <x v="545"/>
    <x v="1"/>
    <s v="Wahyu Pradipta"/>
    <s v="Jakarta"/>
    <x v="8"/>
    <n v="16000"/>
    <n v="1"/>
    <n v="15"/>
    <n v="16000"/>
    <n v="2400"/>
    <n v="13600"/>
    <n v="97000"/>
    <n v="110600"/>
    <x v="3"/>
    <x v="1"/>
    <x v="2"/>
    <n v="4"/>
    <x v="1"/>
    <x v="0"/>
  </r>
  <r>
    <s v="ORD00556"/>
    <x v="546"/>
    <x v="1"/>
    <s v="Fajar Puspita"/>
    <s v="Denpasar"/>
    <x v="5"/>
    <n v="40000"/>
    <n v="4"/>
    <n v="15"/>
    <n v="160000"/>
    <n v="24000"/>
    <n v="136000"/>
    <n v="80000"/>
    <n v="216000"/>
    <x v="3"/>
    <x v="0"/>
    <x v="4"/>
    <n v="5"/>
    <x v="1"/>
    <x v="2"/>
  </r>
  <r>
    <s v="ORD00221"/>
    <x v="547"/>
    <x v="1"/>
    <s v="Putri Halim"/>
    <s v="Padang"/>
    <x v="25"/>
    <n v="35000"/>
    <n v="4"/>
    <n v="15"/>
    <n v="140000"/>
    <n v="21000"/>
    <n v="119000"/>
    <n v="68000"/>
    <n v="187000"/>
    <x v="2"/>
    <x v="0"/>
    <x v="1"/>
    <n v="4"/>
    <x v="0"/>
    <x v="2"/>
  </r>
  <r>
    <s v="ORD00221"/>
    <x v="547"/>
    <x v="1"/>
    <s v="Putri Halim"/>
    <s v="Padang"/>
    <x v="21"/>
    <n v="17000"/>
    <n v="5"/>
    <n v="20"/>
    <n v="85000"/>
    <n v="17000"/>
    <n v="68000"/>
    <n v="0"/>
    <n v="68000"/>
    <x v="2"/>
    <x v="0"/>
    <x v="1"/>
    <n v="4"/>
    <x v="0"/>
    <x v="2"/>
  </r>
  <r>
    <s v="ORD01121"/>
    <x v="548"/>
    <x v="1"/>
    <s v="Yani Puspita"/>
    <s v="Palembang"/>
    <x v="12"/>
    <n v="55000"/>
    <n v="4"/>
    <n v="0"/>
    <n v="220000"/>
    <n v="0"/>
    <n v="220000"/>
    <n v="17000"/>
    <n v="237000"/>
    <x v="2"/>
    <x v="0"/>
    <x v="2"/>
    <n v="3"/>
    <x v="0"/>
    <x v="0"/>
  </r>
  <r>
    <s v="ORD01394"/>
    <x v="549"/>
    <x v="1"/>
    <s v="Sari Kurniawan"/>
    <s v="Medan"/>
    <x v="4"/>
    <n v="4000"/>
    <n v="5"/>
    <n v="10"/>
    <n v="20000"/>
    <n v="2000"/>
    <n v="18000"/>
    <n v="79000"/>
    <n v="97000"/>
    <x v="3"/>
    <x v="0"/>
    <x v="1"/>
    <n v="2"/>
    <x v="0"/>
    <x v="0"/>
  </r>
  <r>
    <s v="ORD01758"/>
    <x v="550"/>
    <x v="1"/>
    <s v="Fitri Halim"/>
    <s v="Denpasar"/>
    <x v="14"/>
    <n v="35000"/>
    <n v="1"/>
    <n v="5"/>
    <n v="35000"/>
    <n v="1750"/>
    <n v="33250"/>
    <n v="80000"/>
    <n v="113250"/>
    <x v="2"/>
    <x v="0"/>
    <x v="3"/>
    <n v="2"/>
    <x v="0"/>
    <x v="0"/>
  </r>
  <r>
    <s v="ORD00184"/>
    <x v="551"/>
    <x v="1"/>
    <s v="Yani Wijaya"/>
    <s v="Surabaya"/>
    <x v="4"/>
    <n v="4000"/>
    <n v="3"/>
    <n v="15"/>
    <n v="12000"/>
    <n v="1800"/>
    <n v="10200"/>
    <n v="74000"/>
    <n v="84200"/>
    <x v="2"/>
    <x v="0"/>
    <x v="0"/>
    <n v="1"/>
    <x v="0"/>
    <x v="0"/>
  </r>
  <r>
    <s v="ORD00184"/>
    <x v="551"/>
    <x v="1"/>
    <s v="Yani Wijaya"/>
    <s v="Surabaya"/>
    <x v="21"/>
    <n v="17000"/>
    <n v="2"/>
    <n v="10"/>
    <n v="34000"/>
    <n v="3400"/>
    <n v="30600"/>
    <n v="0"/>
    <n v="30600"/>
    <x v="2"/>
    <x v="0"/>
    <x v="0"/>
    <n v="1"/>
    <x v="0"/>
    <x v="0"/>
  </r>
  <r>
    <s v="ORD00656"/>
    <x v="552"/>
    <x v="1"/>
    <s v="Qori Utami"/>
    <s v="Serang"/>
    <x v="1"/>
    <n v="5000"/>
    <n v="5"/>
    <n v="0"/>
    <n v="25000"/>
    <n v="0"/>
    <n v="25000"/>
    <n v="57000"/>
    <n v="82000"/>
    <x v="0"/>
    <x v="0"/>
    <x v="4"/>
    <n v="1"/>
    <x v="0"/>
    <x v="0"/>
  </r>
  <r>
    <s v="ORD01520"/>
    <x v="553"/>
    <x v="1"/>
    <s v="Dewi Ananda"/>
    <s v="Palangka Raya"/>
    <x v="8"/>
    <n v="16000"/>
    <n v="1"/>
    <n v="5"/>
    <n v="16000"/>
    <n v="800"/>
    <n v="15200"/>
    <n v="50000"/>
    <n v="65200"/>
    <x v="3"/>
    <x v="0"/>
    <x v="3"/>
    <n v="1"/>
    <x v="0"/>
    <x v="0"/>
  </r>
  <r>
    <s v="ORD00851"/>
    <x v="554"/>
    <x v="1"/>
    <s v="Citra Budiman"/>
    <s v="Bandung"/>
    <x v="10"/>
    <n v="15000"/>
    <n v="1"/>
    <n v="15"/>
    <n v="15000"/>
    <n v="2250"/>
    <n v="12750"/>
    <n v="0"/>
    <n v="12750"/>
    <x v="2"/>
    <x v="0"/>
    <x v="0"/>
    <n v="1"/>
    <x v="0"/>
    <x v="0"/>
  </r>
  <r>
    <s v="ORD01433"/>
    <x v="555"/>
    <x v="1"/>
    <s v="Clara Iskandar"/>
    <s v="Pangkalpinang"/>
    <x v="23"/>
    <n v="10000"/>
    <n v="1"/>
    <n v="5"/>
    <n v="10000"/>
    <n v="500"/>
    <n v="9500"/>
    <n v="18000"/>
    <n v="27500"/>
    <x v="0"/>
    <x v="0"/>
    <x v="0"/>
    <n v="3"/>
    <x v="0"/>
    <x v="0"/>
  </r>
  <r>
    <s v="ORD01803"/>
    <x v="556"/>
    <x v="1"/>
    <s v="Erna Hidayat"/>
    <s v="Bandar Lampung"/>
    <x v="21"/>
    <n v="17000"/>
    <n v="5"/>
    <n v="10"/>
    <n v="85000"/>
    <n v="8500"/>
    <n v="76500"/>
    <n v="28000"/>
    <n v="104500"/>
    <x v="3"/>
    <x v="1"/>
    <x v="2"/>
    <n v="5"/>
    <x v="0"/>
    <x v="1"/>
  </r>
  <r>
    <s v="ORD00081"/>
    <x v="557"/>
    <x v="1"/>
    <s v="Hendra Wijaya"/>
    <s v="Wamena"/>
    <x v="10"/>
    <n v="15000"/>
    <n v="3"/>
    <n v="15"/>
    <n v="45000"/>
    <n v="6750"/>
    <n v="38250"/>
    <n v="15000"/>
    <n v="53250"/>
    <x v="1"/>
    <x v="0"/>
    <x v="4"/>
    <n v="4"/>
    <x v="1"/>
    <x v="1"/>
  </r>
  <r>
    <s v="ORD00430"/>
    <x v="558"/>
    <x v="1"/>
    <s v="Gita Wijaya"/>
    <s v="Sorong"/>
    <x v="3"/>
    <n v="28000"/>
    <n v="5"/>
    <n v="10"/>
    <n v="140000"/>
    <n v="14000"/>
    <n v="126000"/>
    <n v="87000"/>
    <n v="213000"/>
    <x v="0"/>
    <x v="1"/>
    <x v="0"/>
    <n v="5"/>
    <x v="0"/>
    <x v="1"/>
  </r>
  <r>
    <s v="ORD00430"/>
    <x v="558"/>
    <x v="1"/>
    <s v="Gita Wijaya"/>
    <s v="Sorong"/>
    <x v="22"/>
    <n v="18000"/>
    <n v="4"/>
    <n v="10"/>
    <n v="72000"/>
    <n v="7200"/>
    <n v="64800"/>
    <n v="0"/>
    <n v="64800"/>
    <x v="0"/>
    <x v="1"/>
    <x v="0"/>
    <n v="5"/>
    <x v="0"/>
    <x v="1"/>
  </r>
  <r>
    <s v="ORD01337"/>
    <x v="559"/>
    <x v="1"/>
    <s v="Citra Maulana"/>
    <s v="Bengkulu"/>
    <x v="24"/>
    <n v="45000"/>
    <n v="4"/>
    <n v="0"/>
    <n v="180000"/>
    <n v="0"/>
    <n v="180000"/>
    <n v="72000"/>
    <n v="252000"/>
    <x v="2"/>
    <x v="0"/>
    <x v="2"/>
    <n v="4"/>
    <x v="0"/>
    <x v="0"/>
  </r>
  <r>
    <s v="ORD00951"/>
    <x v="560"/>
    <x v="1"/>
    <s v="Dimas Utami"/>
    <s v="Bandung"/>
    <x v="14"/>
    <n v="35000"/>
    <n v="3"/>
    <n v="15"/>
    <n v="105000"/>
    <n v="15750"/>
    <n v="89250"/>
    <n v="0"/>
    <n v="89250"/>
    <x v="0"/>
    <x v="0"/>
    <x v="3"/>
    <n v="1"/>
    <x v="1"/>
    <x v="2"/>
  </r>
  <r>
    <s v="ORD00009"/>
    <x v="561"/>
    <x v="1"/>
    <s v="Tono Syahputra"/>
    <s v="Wamena"/>
    <x v="4"/>
    <n v="4000"/>
    <n v="3"/>
    <n v="10"/>
    <n v="12000"/>
    <n v="1200"/>
    <n v="10800"/>
    <n v="15000"/>
    <n v="25800"/>
    <x v="0"/>
    <x v="0"/>
    <x v="0"/>
    <n v="4"/>
    <x v="1"/>
    <x v="0"/>
  </r>
  <r>
    <s v="ORD01054"/>
    <x v="562"/>
    <x v="1"/>
    <s v="Putri Syahputra"/>
    <s v="Mamuju"/>
    <x v="26"/>
    <n v="18000"/>
    <n v="3"/>
    <n v="5"/>
    <n v="54000"/>
    <n v="2700"/>
    <n v="51300"/>
    <n v="46000"/>
    <n v="97300"/>
    <x v="1"/>
    <x v="0"/>
    <x v="1"/>
    <n v="2"/>
    <x v="0"/>
    <x v="0"/>
  </r>
  <r>
    <s v="ORD01071"/>
    <x v="563"/>
    <x v="1"/>
    <s v="Qori Fauziah"/>
    <s v="Surabaya"/>
    <x v="23"/>
    <n v="10000"/>
    <n v="2"/>
    <n v="10"/>
    <n v="20000"/>
    <n v="2000"/>
    <n v="18000"/>
    <n v="74000"/>
    <n v="92000"/>
    <x v="2"/>
    <x v="0"/>
    <x v="4"/>
    <n v="5"/>
    <x v="0"/>
    <x v="0"/>
  </r>
  <r>
    <s v="ORD00331"/>
    <x v="564"/>
    <x v="1"/>
    <s v="Yani Utami"/>
    <s v="Jambi"/>
    <x v="10"/>
    <n v="15000"/>
    <n v="3"/>
    <n v="20"/>
    <n v="45000"/>
    <n v="9000"/>
    <n v="36000"/>
    <n v="87000"/>
    <n v="123000"/>
    <x v="0"/>
    <x v="0"/>
    <x v="3"/>
    <n v="2"/>
    <x v="0"/>
    <x v="1"/>
  </r>
  <r>
    <s v="ORD00704"/>
    <x v="565"/>
    <x v="1"/>
    <s v="Bella Halim"/>
    <s v="Semarang"/>
    <x v="19"/>
    <n v="22000"/>
    <n v="1"/>
    <n v="10"/>
    <n v="22000"/>
    <n v="2200"/>
    <n v="19800"/>
    <n v="76000"/>
    <n v="95800"/>
    <x v="0"/>
    <x v="0"/>
    <x v="4"/>
    <n v="3"/>
    <x v="0"/>
    <x v="0"/>
  </r>
  <r>
    <s v="ORD00445"/>
    <x v="566"/>
    <x v="1"/>
    <s v="Citra Kusuma"/>
    <s v="Manado"/>
    <x v="19"/>
    <n v="22000"/>
    <n v="4"/>
    <n v="15"/>
    <n v="88000"/>
    <n v="13200"/>
    <n v="74800"/>
    <n v="93000"/>
    <n v="167800"/>
    <x v="0"/>
    <x v="0"/>
    <x v="0"/>
    <n v="2"/>
    <x v="0"/>
    <x v="1"/>
  </r>
  <r>
    <s v="ORD00445"/>
    <x v="566"/>
    <x v="1"/>
    <s v="Citra Kusuma"/>
    <s v="Manado"/>
    <x v="9"/>
    <n v="50000"/>
    <n v="2"/>
    <n v="10"/>
    <n v="100000"/>
    <n v="10000"/>
    <n v="90000"/>
    <n v="0"/>
    <n v="90000"/>
    <x v="0"/>
    <x v="0"/>
    <x v="0"/>
    <n v="2"/>
    <x v="0"/>
    <x v="1"/>
  </r>
  <r>
    <s v="ORD01051"/>
    <x v="567"/>
    <x v="1"/>
    <s v="Bella Santoso"/>
    <s v="Tanjung Selor"/>
    <x v="5"/>
    <n v="40000"/>
    <n v="3"/>
    <n v="0"/>
    <n v="120000"/>
    <n v="0"/>
    <n v="120000"/>
    <n v="26000"/>
    <n v="146000"/>
    <x v="1"/>
    <x v="0"/>
    <x v="2"/>
    <n v="1"/>
    <x v="0"/>
    <x v="0"/>
  </r>
  <r>
    <s v="ORD00590"/>
    <x v="568"/>
    <x v="1"/>
    <s v="Sari Puspita"/>
    <s v="Jakarta"/>
    <x v="1"/>
    <n v="5000"/>
    <n v="2"/>
    <n v="15"/>
    <n v="10000"/>
    <n v="1500"/>
    <n v="8500"/>
    <n v="97000"/>
    <n v="105500"/>
    <x v="3"/>
    <x v="0"/>
    <x v="3"/>
    <n v="5"/>
    <x v="0"/>
    <x v="0"/>
  </r>
  <r>
    <s v="ORD00063"/>
    <x v="569"/>
    <x v="1"/>
    <s v="Tono Ananda"/>
    <s v="Kendari"/>
    <x v="3"/>
    <n v="28000"/>
    <n v="4"/>
    <n v="20"/>
    <n v="112000"/>
    <n v="22400"/>
    <n v="89600"/>
    <n v="59000"/>
    <n v="148600"/>
    <x v="1"/>
    <x v="0"/>
    <x v="2"/>
    <n v="1"/>
    <x v="1"/>
    <x v="2"/>
  </r>
  <r>
    <s v="ORD00845"/>
    <x v="570"/>
    <x v="1"/>
    <s v="Aulia Puspita"/>
    <s v="Tanjungpinang"/>
    <x v="21"/>
    <n v="17000"/>
    <n v="2"/>
    <n v="5"/>
    <n v="34000"/>
    <n v="1700"/>
    <n v="32300"/>
    <n v="48000"/>
    <n v="80300"/>
    <x v="0"/>
    <x v="0"/>
    <x v="3"/>
    <n v="2"/>
    <x v="0"/>
    <x v="0"/>
  </r>
  <r>
    <s v="ORD01022"/>
    <x v="571"/>
    <x v="1"/>
    <s v="Gita Saputra"/>
    <s v="Bengkulu"/>
    <x v="25"/>
    <n v="35000"/>
    <n v="5"/>
    <n v="15"/>
    <n v="175000"/>
    <n v="26250"/>
    <n v="148750"/>
    <n v="72000"/>
    <n v="220750"/>
    <x v="2"/>
    <x v="0"/>
    <x v="1"/>
    <n v="3"/>
    <x v="0"/>
    <x v="2"/>
  </r>
  <r>
    <s v="ORD00601"/>
    <x v="572"/>
    <x v="1"/>
    <s v="Ani Ramadhani"/>
    <s v="Sofifi"/>
    <x v="22"/>
    <n v="18000"/>
    <n v="2"/>
    <n v="0"/>
    <n v="36000"/>
    <n v="0"/>
    <n v="36000"/>
    <n v="50000"/>
    <n v="86000"/>
    <x v="0"/>
    <x v="0"/>
    <x v="1"/>
    <n v="3"/>
    <x v="0"/>
    <x v="0"/>
  </r>
  <r>
    <s v="ORD00974"/>
    <x v="573"/>
    <x v="1"/>
    <s v="Yani Ramadhani"/>
    <s v="Kupang"/>
    <x v="0"/>
    <n v="45000"/>
    <n v="4"/>
    <n v="0"/>
    <n v="180000"/>
    <n v="0"/>
    <n v="180000"/>
    <n v="21000"/>
    <n v="201000"/>
    <x v="3"/>
    <x v="2"/>
    <x v="4"/>
    <n v="4"/>
    <x v="0"/>
    <x v="0"/>
  </r>
  <r>
    <s v="ORD00393"/>
    <x v="574"/>
    <x v="1"/>
    <s v="Vina Budiman"/>
    <s v="Samarinda"/>
    <x v="5"/>
    <n v="40000"/>
    <n v="1"/>
    <n v="0"/>
    <n v="40000"/>
    <n v="0"/>
    <n v="40000"/>
    <n v="43000"/>
    <n v="83000"/>
    <x v="2"/>
    <x v="1"/>
    <x v="3"/>
    <n v="1"/>
    <x v="0"/>
    <x v="0"/>
  </r>
  <r>
    <s v="ORD00393"/>
    <x v="574"/>
    <x v="1"/>
    <s v="Vina Budiman"/>
    <s v="Samarinda"/>
    <x v="13"/>
    <n v="17000"/>
    <n v="1"/>
    <n v="10"/>
    <n v="17000"/>
    <n v="1700"/>
    <n v="15300"/>
    <n v="0"/>
    <n v="15300"/>
    <x v="2"/>
    <x v="1"/>
    <x v="3"/>
    <n v="1"/>
    <x v="0"/>
    <x v="0"/>
  </r>
  <r>
    <s v="ORD00960"/>
    <x v="575"/>
    <x v="1"/>
    <s v="Clara Pradipta"/>
    <s v="Jakarta"/>
    <x v="6"/>
    <n v="14000"/>
    <n v="4"/>
    <n v="10"/>
    <n v="56000"/>
    <n v="5600"/>
    <n v="50400"/>
    <n v="97000"/>
    <n v="147400"/>
    <x v="1"/>
    <x v="0"/>
    <x v="0"/>
    <n v="3"/>
    <x v="0"/>
    <x v="1"/>
  </r>
  <r>
    <s v="ORD01133"/>
    <x v="576"/>
    <x v="1"/>
    <s v="Ani Fauziah"/>
    <s v="Jakarta"/>
    <x v="19"/>
    <n v="22000"/>
    <n v="5"/>
    <n v="20"/>
    <n v="110000"/>
    <n v="22000"/>
    <n v="88000"/>
    <n v="97000"/>
    <n v="185000"/>
    <x v="1"/>
    <x v="0"/>
    <x v="1"/>
    <n v="4"/>
    <x v="0"/>
    <x v="2"/>
  </r>
  <r>
    <s v="ORD01821"/>
    <x v="577"/>
    <x v="1"/>
    <s v="Hana Nugroho"/>
    <s v="Surabaya"/>
    <x v="20"/>
    <n v="12000"/>
    <n v="2"/>
    <n v="10"/>
    <n v="24000"/>
    <n v="2400"/>
    <n v="21600"/>
    <n v="74000"/>
    <n v="95600"/>
    <x v="3"/>
    <x v="0"/>
    <x v="1"/>
    <n v="1"/>
    <x v="0"/>
    <x v="0"/>
  </r>
  <r>
    <s v="ORD01675"/>
    <x v="578"/>
    <x v="1"/>
    <s v="Ani Fauziah"/>
    <s v="Jakarta"/>
    <x v="6"/>
    <n v="14000"/>
    <n v="2"/>
    <n v="0"/>
    <n v="28000"/>
    <n v="0"/>
    <n v="28000"/>
    <n v="97000"/>
    <n v="125000"/>
    <x v="2"/>
    <x v="0"/>
    <x v="1"/>
    <n v="5"/>
    <x v="0"/>
    <x v="0"/>
  </r>
  <r>
    <s v="ORD00169"/>
    <x v="579"/>
    <x v="1"/>
    <s v="Dewi Maulana"/>
    <s v="Mataram"/>
    <x v="26"/>
    <n v="18000"/>
    <n v="3"/>
    <n v="10"/>
    <n v="54000"/>
    <n v="5400"/>
    <n v="48600"/>
    <n v="56000"/>
    <n v="104600"/>
    <x v="1"/>
    <x v="0"/>
    <x v="4"/>
    <n v="3"/>
    <x v="0"/>
    <x v="1"/>
  </r>
  <r>
    <s v="ORD00395"/>
    <x v="580"/>
    <x v="1"/>
    <s v="Yani Wijaya"/>
    <s v="Surabaya"/>
    <x v="14"/>
    <n v="35000"/>
    <n v="4"/>
    <n v="15"/>
    <n v="140000"/>
    <n v="21000"/>
    <n v="119000"/>
    <n v="74000"/>
    <n v="193000"/>
    <x v="3"/>
    <x v="0"/>
    <x v="4"/>
    <n v="1"/>
    <x v="0"/>
    <x v="2"/>
  </r>
  <r>
    <s v="ORD00395"/>
    <x v="580"/>
    <x v="1"/>
    <s v="Yani Wijaya"/>
    <s v="Surabaya"/>
    <x v="15"/>
    <n v="14000"/>
    <n v="3"/>
    <n v="10"/>
    <n v="42000"/>
    <n v="4200"/>
    <n v="37800"/>
    <n v="0"/>
    <n v="37800"/>
    <x v="3"/>
    <x v="0"/>
    <x v="4"/>
    <n v="1"/>
    <x v="0"/>
    <x v="0"/>
  </r>
  <r>
    <s v="ORD01291"/>
    <x v="581"/>
    <x v="1"/>
    <s v="Sari Syahputra"/>
    <s v="Merauke"/>
    <x v="0"/>
    <n v="45000"/>
    <n v="1"/>
    <n v="5"/>
    <n v="45000"/>
    <n v="2250"/>
    <n v="42750"/>
    <n v="59000"/>
    <n v="101750"/>
    <x v="0"/>
    <x v="1"/>
    <x v="3"/>
    <n v="4"/>
    <x v="0"/>
    <x v="0"/>
  </r>
  <r>
    <s v="ORD00546"/>
    <x v="582"/>
    <x v="1"/>
    <s v="Zahra Kusuma"/>
    <s v="Tanjung Selor"/>
    <x v="21"/>
    <n v="17000"/>
    <n v="4"/>
    <n v="5"/>
    <n v="68000"/>
    <n v="3400"/>
    <n v="64600"/>
    <n v="26000"/>
    <n v="90600"/>
    <x v="2"/>
    <x v="1"/>
    <x v="0"/>
    <n v="3"/>
    <x v="0"/>
    <x v="0"/>
  </r>
  <r>
    <s v="ORD00362"/>
    <x v="583"/>
    <x v="1"/>
    <s v="Dewi Hidayat"/>
    <s v="Manokwari"/>
    <x v="3"/>
    <n v="28000"/>
    <n v="5"/>
    <n v="10"/>
    <n v="140000"/>
    <n v="14000"/>
    <n v="126000"/>
    <n v="18000"/>
    <n v="144000"/>
    <x v="3"/>
    <x v="0"/>
    <x v="2"/>
    <n v="1"/>
    <x v="0"/>
    <x v="1"/>
  </r>
  <r>
    <s v="ORD00362"/>
    <x v="583"/>
    <x v="1"/>
    <s v="Dewi Hidayat"/>
    <s v="Manokwari"/>
    <x v="20"/>
    <n v="12000"/>
    <n v="3"/>
    <n v="5"/>
    <n v="36000"/>
    <n v="1800"/>
    <n v="34200"/>
    <n v="0"/>
    <n v="34200"/>
    <x v="3"/>
    <x v="0"/>
    <x v="2"/>
    <n v="1"/>
    <x v="0"/>
    <x v="0"/>
  </r>
  <r>
    <s v="ORD01182"/>
    <x v="584"/>
    <x v="1"/>
    <s v="Zahra Ananda"/>
    <s v="Bandung"/>
    <x v="23"/>
    <n v="10000"/>
    <n v="4"/>
    <n v="15"/>
    <n v="40000"/>
    <n v="6000"/>
    <n v="34000"/>
    <n v="0"/>
    <n v="34000"/>
    <x v="1"/>
    <x v="0"/>
    <x v="0"/>
    <n v="3"/>
    <x v="0"/>
    <x v="1"/>
  </r>
  <r>
    <s v="ORD01066"/>
    <x v="585"/>
    <x v="1"/>
    <s v="Putri Iskandar"/>
    <s v="Tanjungpinang"/>
    <x v="4"/>
    <n v="4000"/>
    <n v="3"/>
    <n v="20"/>
    <n v="12000"/>
    <n v="2400"/>
    <n v="9600"/>
    <n v="48000"/>
    <n v="57600"/>
    <x v="1"/>
    <x v="0"/>
    <x v="1"/>
    <n v="3"/>
    <x v="0"/>
    <x v="0"/>
  </r>
  <r>
    <s v="ORD00421"/>
    <x v="586"/>
    <x v="1"/>
    <s v="Bella Maulana"/>
    <s v="Pekanbaru"/>
    <x v="5"/>
    <n v="40000"/>
    <n v="1"/>
    <n v="10"/>
    <n v="40000"/>
    <n v="4000"/>
    <n v="36000"/>
    <n v="49000"/>
    <n v="85000"/>
    <x v="3"/>
    <x v="1"/>
    <x v="4"/>
    <n v="1"/>
    <x v="0"/>
    <x v="0"/>
  </r>
  <r>
    <s v="ORD00641"/>
    <x v="587"/>
    <x v="1"/>
    <s v="Sari Wijaya"/>
    <s v="Samarinda"/>
    <x v="17"/>
    <n v="30000"/>
    <n v="3"/>
    <n v="10"/>
    <n v="90000"/>
    <n v="9000"/>
    <n v="81000"/>
    <n v="43000"/>
    <n v="124000"/>
    <x v="2"/>
    <x v="0"/>
    <x v="3"/>
    <n v="2"/>
    <x v="0"/>
    <x v="1"/>
  </r>
  <r>
    <s v="ORD00977"/>
    <x v="588"/>
    <x v="1"/>
    <s v="Wahyu Santoso"/>
    <s v="Pangkalpinang"/>
    <x v="11"/>
    <n v="40000"/>
    <n v="2"/>
    <n v="5"/>
    <n v="80000"/>
    <n v="4000"/>
    <n v="76000"/>
    <n v="18000"/>
    <n v="94000"/>
    <x v="2"/>
    <x v="2"/>
    <x v="4"/>
    <n v="4"/>
    <x v="1"/>
    <x v="0"/>
  </r>
  <r>
    <s v="ORD01848"/>
    <x v="589"/>
    <x v="1"/>
    <s v="Dewi Hidayat"/>
    <s v="Manokwari"/>
    <x v="4"/>
    <n v="4000"/>
    <n v="3"/>
    <n v="10"/>
    <n v="12000"/>
    <n v="1200"/>
    <n v="10800"/>
    <n v="18000"/>
    <n v="28800"/>
    <x v="1"/>
    <x v="2"/>
    <x v="2"/>
    <n v="2"/>
    <x v="0"/>
    <x v="0"/>
  </r>
  <r>
    <s v="ORD00035"/>
    <x v="590"/>
    <x v="1"/>
    <s v="Tono Hidayat"/>
    <s v="Pangkalpinang"/>
    <x v="25"/>
    <n v="35000"/>
    <n v="2"/>
    <n v="5"/>
    <n v="70000"/>
    <n v="3500"/>
    <n v="66500"/>
    <n v="18000"/>
    <n v="84500"/>
    <x v="2"/>
    <x v="1"/>
    <x v="3"/>
    <n v="2"/>
    <x v="1"/>
    <x v="0"/>
  </r>
  <r>
    <s v="ORD01251"/>
    <x v="591"/>
    <x v="1"/>
    <s v="Lestari Syahputra"/>
    <s v="Banda Aceh"/>
    <x v="16"/>
    <n v="25000"/>
    <n v="4"/>
    <n v="0"/>
    <n v="100000"/>
    <n v="0"/>
    <n v="100000"/>
    <n v="18000"/>
    <n v="118000"/>
    <x v="0"/>
    <x v="1"/>
    <x v="3"/>
    <n v="5"/>
    <x v="0"/>
    <x v="0"/>
  </r>
  <r>
    <s v="ORD01639"/>
    <x v="592"/>
    <x v="1"/>
    <s v="Joko Maulana"/>
    <s v="Ambon"/>
    <x v="23"/>
    <n v="10000"/>
    <n v="3"/>
    <n v="15"/>
    <n v="30000"/>
    <n v="4500"/>
    <n v="25500"/>
    <n v="49000"/>
    <n v="74500"/>
    <x v="3"/>
    <x v="0"/>
    <x v="1"/>
    <n v="3"/>
    <x v="1"/>
    <x v="0"/>
  </r>
  <r>
    <s v="ORD01451"/>
    <x v="593"/>
    <x v="1"/>
    <s v="Kartika Nugroho"/>
    <s v="Samarinda"/>
    <x v="14"/>
    <n v="35000"/>
    <n v="3"/>
    <n v="5"/>
    <n v="105000"/>
    <n v="5250"/>
    <n v="99750"/>
    <n v="43000"/>
    <n v="142750"/>
    <x v="1"/>
    <x v="1"/>
    <x v="3"/>
    <n v="3"/>
    <x v="0"/>
    <x v="1"/>
  </r>
  <r>
    <s v="ORD00148"/>
    <x v="594"/>
    <x v="1"/>
    <s v="Ani Budiman"/>
    <s v="Bengkulu"/>
    <x v="17"/>
    <n v="30000"/>
    <n v="2"/>
    <n v="10"/>
    <n v="60000"/>
    <n v="6000"/>
    <n v="54000"/>
    <n v="72000"/>
    <n v="126000"/>
    <x v="3"/>
    <x v="2"/>
    <x v="1"/>
    <n v="5"/>
    <x v="0"/>
    <x v="1"/>
  </r>
  <r>
    <s v="ORD00207"/>
    <x v="595"/>
    <x v="1"/>
    <s v="Yani Rahmawati"/>
    <s v="Ambon"/>
    <x v="21"/>
    <n v="17000"/>
    <n v="4"/>
    <n v="20"/>
    <n v="68000"/>
    <n v="13600"/>
    <n v="54400"/>
    <n v="49000"/>
    <n v="103400"/>
    <x v="0"/>
    <x v="0"/>
    <x v="4"/>
    <n v="1"/>
    <x v="0"/>
    <x v="1"/>
  </r>
  <r>
    <s v="ORD00207"/>
    <x v="595"/>
    <x v="1"/>
    <s v="Yani Rahmawati"/>
    <s v="Ambon"/>
    <x v="23"/>
    <n v="10000"/>
    <n v="4"/>
    <n v="10"/>
    <n v="40000"/>
    <n v="4000"/>
    <n v="36000"/>
    <n v="0"/>
    <n v="36000"/>
    <x v="0"/>
    <x v="0"/>
    <x v="4"/>
    <n v="1"/>
    <x v="0"/>
    <x v="0"/>
  </r>
  <r>
    <s v="ORD00569"/>
    <x v="596"/>
    <x v="1"/>
    <s v="Tono Hidayat"/>
    <s v="Pangkalpinang"/>
    <x v="17"/>
    <n v="30000"/>
    <n v="5"/>
    <n v="5"/>
    <n v="150000"/>
    <n v="7500"/>
    <n v="142500"/>
    <n v="18000"/>
    <n v="160500"/>
    <x v="0"/>
    <x v="2"/>
    <x v="0"/>
    <n v="4"/>
    <x v="1"/>
    <x v="1"/>
  </r>
  <r>
    <s v="ORD01805"/>
    <x v="597"/>
    <x v="1"/>
    <s v="Clara Ananda"/>
    <s v="Bandung"/>
    <x v="18"/>
    <n v="6000"/>
    <n v="2"/>
    <n v="0"/>
    <n v="12000"/>
    <n v="0"/>
    <n v="12000"/>
    <n v="0"/>
    <n v="12000"/>
    <x v="2"/>
    <x v="0"/>
    <x v="3"/>
    <n v="5"/>
    <x v="0"/>
    <x v="0"/>
  </r>
  <r>
    <s v="ORD00599"/>
    <x v="598"/>
    <x v="1"/>
    <s v="Dimas Puspita"/>
    <s v="Pangkalpinang"/>
    <x v="22"/>
    <n v="18000"/>
    <n v="4"/>
    <n v="10"/>
    <n v="72000"/>
    <n v="7200"/>
    <n v="64800"/>
    <n v="18000"/>
    <n v="82800"/>
    <x v="0"/>
    <x v="0"/>
    <x v="3"/>
    <n v="3"/>
    <x v="1"/>
    <x v="1"/>
  </r>
  <r>
    <s v="ORD01518"/>
    <x v="599"/>
    <x v="1"/>
    <s v="Joko Ananda"/>
    <s v="Makassar"/>
    <x v="2"/>
    <n v="16000"/>
    <n v="5"/>
    <n v="0"/>
    <n v="80000"/>
    <n v="0"/>
    <n v="80000"/>
    <n v="84000"/>
    <n v="164000"/>
    <x v="3"/>
    <x v="0"/>
    <x v="3"/>
    <n v="3"/>
    <x v="1"/>
    <x v="0"/>
  </r>
  <r>
    <s v="ORD00199"/>
    <x v="600"/>
    <x v="1"/>
    <s v="Erna Fauziah"/>
    <s v="Mataram"/>
    <x v="16"/>
    <n v="25000"/>
    <n v="3"/>
    <n v="0"/>
    <n v="75000"/>
    <n v="0"/>
    <n v="75000"/>
    <n v="56000"/>
    <n v="131000"/>
    <x v="0"/>
    <x v="0"/>
    <x v="3"/>
    <n v="3"/>
    <x v="0"/>
    <x v="0"/>
  </r>
  <r>
    <s v="ORD00005"/>
    <x v="601"/>
    <x v="1"/>
    <s v="Iwan Budiman"/>
    <s v="Semarang"/>
    <x v="11"/>
    <n v="40000"/>
    <n v="5"/>
    <n v="10"/>
    <n v="200000"/>
    <n v="20000"/>
    <n v="180000"/>
    <n v="76000"/>
    <n v="256000"/>
    <x v="3"/>
    <x v="2"/>
    <x v="0"/>
    <n v="5"/>
    <x v="1"/>
    <x v="2"/>
  </r>
  <r>
    <s v="ORD00173"/>
    <x v="602"/>
    <x v="1"/>
    <s v="Bella Santoso"/>
    <s v="Tanjung Selor"/>
    <x v="20"/>
    <n v="12000"/>
    <n v="4"/>
    <n v="0"/>
    <n v="48000"/>
    <n v="0"/>
    <n v="48000"/>
    <n v="26000"/>
    <n v="74000"/>
    <x v="0"/>
    <x v="0"/>
    <x v="2"/>
    <n v="2"/>
    <x v="0"/>
    <x v="0"/>
  </r>
  <r>
    <s v="ORD01715"/>
    <x v="603"/>
    <x v="1"/>
    <s v="Aulia Iskandar"/>
    <s v="Surabaya"/>
    <x v="12"/>
    <n v="55000"/>
    <n v="5"/>
    <n v="20"/>
    <n v="275000"/>
    <n v="55000"/>
    <n v="220000"/>
    <n v="74000"/>
    <n v="294000"/>
    <x v="2"/>
    <x v="0"/>
    <x v="4"/>
    <n v="4"/>
    <x v="0"/>
    <x v="4"/>
  </r>
  <r>
    <s v="ORD01234"/>
    <x v="604"/>
    <x v="1"/>
    <s v="Fitri Iskandar"/>
    <s v="Kendari"/>
    <x v="2"/>
    <n v="16000"/>
    <n v="4"/>
    <n v="0"/>
    <n v="64000"/>
    <n v="0"/>
    <n v="64000"/>
    <n v="59000"/>
    <n v="123000"/>
    <x v="2"/>
    <x v="0"/>
    <x v="4"/>
    <n v="2"/>
    <x v="0"/>
    <x v="0"/>
  </r>
  <r>
    <s v="ORD00410"/>
    <x v="605"/>
    <x v="1"/>
    <s v="Lestari Wijaya"/>
    <s v="Bandung"/>
    <x v="1"/>
    <n v="5000"/>
    <n v="4"/>
    <n v="5"/>
    <n v="20000"/>
    <n v="1000"/>
    <n v="19000"/>
    <n v="0"/>
    <n v="19000"/>
    <x v="3"/>
    <x v="0"/>
    <x v="3"/>
    <n v="3"/>
    <x v="0"/>
    <x v="0"/>
  </r>
  <r>
    <s v="ORD00623"/>
    <x v="606"/>
    <x v="1"/>
    <s v="Umar Setiawan"/>
    <s v="Bengkulu"/>
    <x v="3"/>
    <n v="28000"/>
    <n v="2"/>
    <n v="20"/>
    <n v="56000"/>
    <n v="11200"/>
    <n v="44800"/>
    <n v="72000"/>
    <n v="116800"/>
    <x v="1"/>
    <x v="0"/>
    <x v="0"/>
    <n v="2"/>
    <x v="1"/>
    <x v="1"/>
  </r>
  <r>
    <s v="ORD00980"/>
    <x v="607"/>
    <x v="1"/>
    <s v="Hana Puspita"/>
    <s v="Pangkalpinang"/>
    <x v="3"/>
    <n v="28000"/>
    <n v="3"/>
    <n v="0"/>
    <n v="84000"/>
    <n v="0"/>
    <n v="84000"/>
    <n v="18000"/>
    <n v="102000"/>
    <x v="0"/>
    <x v="0"/>
    <x v="4"/>
    <n v="1"/>
    <x v="0"/>
    <x v="0"/>
  </r>
  <r>
    <s v="ORD00226"/>
    <x v="608"/>
    <x v="1"/>
    <s v="Aulia Pradipta"/>
    <s v="Yogyakarta"/>
    <x v="11"/>
    <n v="40000"/>
    <n v="1"/>
    <n v="0"/>
    <n v="40000"/>
    <n v="0"/>
    <n v="40000"/>
    <n v="78000"/>
    <n v="118000"/>
    <x v="2"/>
    <x v="0"/>
    <x v="0"/>
    <n v="5"/>
    <x v="0"/>
    <x v="0"/>
  </r>
  <r>
    <s v="ORD00371"/>
    <x v="609"/>
    <x v="1"/>
    <s v="Fitri Setiawan"/>
    <s v="Pekanbaru"/>
    <x v="2"/>
    <n v="16000"/>
    <n v="3"/>
    <n v="0"/>
    <n v="48000"/>
    <n v="0"/>
    <n v="48000"/>
    <n v="49000"/>
    <n v="97000"/>
    <x v="2"/>
    <x v="0"/>
    <x v="3"/>
    <n v="3"/>
    <x v="0"/>
    <x v="0"/>
  </r>
  <r>
    <s v="ORD00830"/>
    <x v="610"/>
    <x v="1"/>
    <s v="Yani Wijaya"/>
    <s v="Surabaya"/>
    <x v="6"/>
    <n v="14000"/>
    <n v="5"/>
    <n v="5"/>
    <n v="70000"/>
    <n v="3500"/>
    <n v="66500"/>
    <n v="74000"/>
    <n v="140500"/>
    <x v="0"/>
    <x v="0"/>
    <x v="2"/>
    <n v="2"/>
    <x v="0"/>
    <x v="0"/>
  </r>
  <r>
    <s v="ORD00925"/>
    <x v="611"/>
    <x v="1"/>
    <s v="Dina Kusuma"/>
    <s v="Tanjungpinang"/>
    <x v="16"/>
    <n v="25000"/>
    <n v="3"/>
    <n v="0"/>
    <n v="75000"/>
    <n v="0"/>
    <n v="75000"/>
    <n v="48000"/>
    <n v="123000"/>
    <x v="0"/>
    <x v="0"/>
    <x v="1"/>
    <n v="4"/>
    <x v="0"/>
    <x v="0"/>
  </r>
  <r>
    <s v="ORD00658"/>
    <x v="612"/>
    <x v="1"/>
    <s v="Lestari Utami"/>
    <s v="Manado"/>
    <x v="14"/>
    <n v="35000"/>
    <n v="3"/>
    <n v="10"/>
    <n v="105000"/>
    <n v="10500"/>
    <n v="94500"/>
    <n v="93000"/>
    <n v="187500"/>
    <x v="1"/>
    <x v="0"/>
    <x v="1"/>
    <n v="4"/>
    <x v="0"/>
    <x v="1"/>
  </r>
  <r>
    <s v="ORD00170"/>
    <x v="613"/>
    <x v="1"/>
    <s v="Ani Fauziah"/>
    <s v="Jakarta"/>
    <x v="17"/>
    <n v="30000"/>
    <n v="3"/>
    <n v="5"/>
    <n v="90000"/>
    <n v="4500"/>
    <n v="85500"/>
    <n v="97000"/>
    <n v="182500"/>
    <x v="1"/>
    <x v="0"/>
    <x v="1"/>
    <n v="5"/>
    <x v="0"/>
    <x v="0"/>
  </r>
  <r>
    <s v="ORD00170"/>
    <x v="613"/>
    <x v="1"/>
    <s v="Ani Fauziah"/>
    <s v="Jakarta"/>
    <x v="4"/>
    <n v="4000"/>
    <n v="2"/>
    <n v="15"/>
    <n v="8000"/>
    <n v="1200"/>
    <n v="6800"/>
    <n v="0"/>
    <n v="6800"/>
    <x v="1"/>
    <x v="0"/>
    <x v="1"/>
    <n v="5"/>
    <x v="0"/>
    <x v="0"/>
  </r>
  <r>
    <s v="ORD00006"/>
    <x v="614"/>
    <x v="1"/>
    <s v="Eko Iskandar"/>
    <s v="Mataram"/>
    <x v="9"/>
    <n v="50000"/>
    <n v="2"/>
    <n v="10"/>
    <n v="100000"/>
    <n v="10000"/>
    <n v="90000"/>
    <n v="56000"/>
    <n v="146000"/>
    <x v="1"/>
    <x v="0"/>
    <x v="3"/>
    <n v="5"/>
    <x v="1"/>
    <x v="1"/>
  </r>
  <r>
    <s v="ORD01850"/>
    <x v="615"/>
    <x v="1"/>
    <s v="Wahyu Fauziah"/>
    <s v="Medan"/>
    <x v="3"/>
    <n v="28000"/>
    <n v="2"/>
    <n v="20"/>
    <n v="56000"/>
    <n v="11200"/>
    <n v="44800"/>
    <n v="79000"/>
    <n v="123800"/>
    <x v="3"/>
    <x v="1"/>
    <x v="4"/>
    <n v="3"/>
    <x v="1"/>
    <x v="1"/>
  </r>
  <r>
    <s v="ORD01424"/>
    <x v="616"/>
    <x v="1"/>
    <s v="Hana Setiawan"/>
    <s v="Mataram"/>
    <x v="19"/>
    <n v="22000"/>
    <n v="4"/>
    <n v="15"/>
    <n v="88000"/>
    <n v="13200"/>
    <n v="74800"/>
    <n v="56000"/>
    <n v="130800"/>
    <x v="3"/>
    <x v="0"/>
    <x v="4"/>
    <n v="4"/>
    <x v="0"/>
    <x v="1"/>
  </r>
  <r>
    <s v="ORD01500"/>
    <x v="617"/>
    <x v="1"/>
    <s v="Dewi Pradipta"/>
    <s v="Pontianak"/>
    <x v="0"/>
    <n v="45000"/>
    <n v="3"/>
    <n v="10"/>
    <n v="135000"/>
    <n v="13500"/>
    <n v="121500"/>
    <n v="85000"/>
    <n v="206500"/>
    <x v="0"/>
    <x v="0"/>
    <x v="1"/>
    <n v="2"/>
    <x v="0"/>
    <x v="1"/>
  </r>
  <r>
    <s v="ORD00050"/>
    <x v="618"/>
    <x v="1"/>
    <s v="Fajar Kurniawan"/>
    <s v="Manado"/>
    <x v="22"/>
    <n v="18000"/>
    <n v="1"/>
    <n v="20"/>
    <n v="18000"/>
    <n v="3600"/>
    <n v="14400"/>
    <n v="93000"/>
    <n v="107400"/>
    <x v="2"/>
    <x v="2"/>
    <x v="0"/>
    <n v="3"/>
    <x v="1"/>
    <x v="0"/>
  </r>
  <r>
    <s v="ORD01342"/>
    <x v="619"/>
    <x v="1"/>
    <s v="Fitri Halim"/>
    <s v="Denpasar"/>
    <x v="3"/>
    <n v="28000"/>
    <n v="1"/>
    <n v="5"/>
    <n v="28000"/>
    <n v="1400"/>
    <n v="26600"/>
    <n v="80000"/>
    <n v="106600"/>
    <x v="0"/>
    <x v="0"/>
    <x v="3"/>
    <n v="2"/>
    <x v="0"/>
    <x v="0"/>
  </r>
  <r>
    <s v="ORD00256"/>
    <x v="620"/>
    <x v="1"/>
    <s v="Zahra Santoso"/>
    <s v="Nabire"/>
    <x v="18"/>
    <n v="6000"/>
    <n v="5"/>
    <n v="20"/>
    <n v="30000"/>
    <n v="6000"/>
    <n v="24000"/>
    <n v="89000"/>
    <n v="113000"/>
    <x v="0"/>
    <x v="0"/>
    <x v="1"/>
    <n v="5"/>
    <x v="0"/>
    <x v="1"/>
  </r>
  <r>
    <s v="ORD01292"/>
    <x v="621"/>
    <x v="1"/>
    <s v="Aulia Syahputra"/>
    <s v="Medan"/>
    <x v="23"/>
    <n v="10000"/>
    <n v="4"/>
    <n v="15"/>
    <n v="40000"/>
    <n v="6000"/>
    <n v="34000"/>
    <n v="79000"/>
    <n v="113000"/>
    <x v="3"/>
    <x v="0"/>
    <x v="1"/>
    <n v="2"/>
    <x v="0"/>
    <x v="1"/>
  </r>
  <r>
    <s v="ORD00026"/>
    <x v="622"/>
    <x v="1"/>
    <s v="Oka Kurniawan"/>
    <s v="Sorong"/>
    <x v="10"/>
    <n v="15000"/>
    <n v="1"/>
    <n v="0"/>
    <n v="15000"/>
    <n v="0"/>
    <n v="15000"/>
    <n v="87000"/>
    <n v="102000"/>
    <x v="2"/>
    <x v="0"/>
    <x v="1"/>
    <n v="4"/>
    <x v="1"/>
    <x v="0"/>
  </r>
  <r>
    <s v="ORD00812"/>
    <x v="623"/>
    <x v="1"/>
    <s v="Lestari Pradipta"/>
    <s v="Mataram"/>
    <x v="23"/>
    <n v="10000"/>
    <n v="4"/>
    <n v="15"/>
    <n v="40000"/>
    <n v="6000"/>
    <n v="34000"/>
    <n v="56000"/>
    <n v="90000"/>
    <x v="0"/>
    <x v="0"/>
    <x v="0"/>
    <n v="2"/>
    <x v="0"/>
    <x v="1"/>
  </r>
  <r>
    <s v="ORD01062"/>
    <x v="624"/>
    <x v="1"/>
    <s v="Indra Setiawan"/>
    <s v="Mataram"/>
    <x v="18"/>
    <n v="6000"/>
    <n v="1"/>
    <n v="20"/>
    <n v="6000"/>
    <n v="1200"/>
    <n v="4800"/>
    <n v="56000"/>
    <n v="60800"/>
    <x v="1"/>
    <x v="1"/>
    <x v="4"/>
    <n v="4"/>
    <x v="1"/>
    <x v="0"/>
  </r>
  <r>
    <s v="ORD01461"/>
    <x v="625"/>
    <x v="1"/>
    <s v="Dina Puspita"/>
    <s v="Bandung"/>
    <x v="2"/>
    <n v="16000"/>
    <n v="4"/>
    <n v="5"/>
    <n v="64000"/>
    <n v="3200"/>
    <n v="60800"/>
    <n v="0"/>
    <n v="60800"/>
    <x v="1"/>
    <x v="0"/>
    <x v="0"/>
    <n v="5"/>
    <x v="0"/>
    <x v="0"/>
  </r>
  <r>
    <s v="ORD00931"/>
    <x v="626"/>
    <x v="1"/>
    <s v="Bella Utami"/>
    <s v="Padang"/>
    <x v="23"/>
    <n v="10000"/>
    <n v="1"/>
    <n v="20"/>
    <n v="10000"/>
    <n v="2000"/>
    <n v="8000"/>
    <n v="68000"/>
    <n v="76000"/>
    <x v="2"/>
    <x v="0"/>
    <x v="0"/>
    <n v="5"/>
    <x v="0"/>
    <x v="0"/>
  </r>
  <r>
    <s v="ORD01702"/>
    <x v="627"/>
    <x v="1"/>
    <s v="Dina Wijaya"/>
    <s v="Palu"/>
    <x v="4"/>
    <n v="4000"/>
    <n v="2"/>
    <n v="5"/>
    <n v="8000"/>
    <n v="400"/>
    <n v="7600"/>
    <n v="67000"/>
    <n v="74600"/>
    <x v="0"/>
    <x v="1"/>
    <x v="4"/>
    <n v="2"/>
    <x v="0"/>
    <x v="0"/>
  </r>
  <r>
    <s v="ORD01369"/>
    <x v="628"/>
    <x v="1"/>
    <s v="Sari Pradipta"/>
    <s v="Banda Aceh"/>
    <x v="9"/>
    <n v="50000"/>
    <n v="3"/>
    <n v="20"/>
    <n v="150000"/>
    <n v="30000"/>
    <n v="120000"/>
    <n v="18000"/>
    <n v="138000"/>
    <x v="1"/>
    <x v="0"/>
    <x v="0"/>
    <n v="5"/>
    <x v="0"/>
    <x v="2"/>
  </r>
  <r>
    <s v="ORD00523"/>
    <x v="629"/>
    <x v="1"/>
    <s v="Aulia Utami"/>
    <s v="Yogyakarta"/>
    <x v="26"/>
    <n v="18000"/>
    <n v="4"/>
    <n v="20"/>
    <n v="72000"/>
    <n v="14400"/>
    <n v="57600"/>
    <n v="78000"/>
    <n v="135600"/>
    <x v="0"/>
    <x v="0"/>
    <x v="3"/>
    <n v="2"/>
    <x v="0"/>
    <x v="1"/>
  </r>
  <r>
    <s v="ORD00763"/>
    <x v="630"/>
    <x v="1"/>
    <s v="Vina Kurniawan"/>
    <s v="Yogyakarta"/>
    <x v="3"/>
    <n v="28000"/>
    <n v="5"/>
    <n v="10"/>
    <n v="140000"/>
    <n v="14000"/>
    <n v="126000"/>
    <n v="78000"/>
    <n v="204000"/>
    <x v="3"/>
    <x v="0"/>
    <x v="0"/>
    <n v="5"/>
    <x v="0"/>
    <x v="1"/>
  </r>
  <r>
    <s v="ORD00534"/>
    <x v="631"/>
    <x v="1"/>
    <s v="Yani Syahputra"/>
    <s v="Serang"/>
    <x v="3"/>
    <n v="28000"/>
    <n v="2"/>
    <n v="20"/>
    <n v="56000"/>
    <n v="11200"/>
    <n v="44800"/>
    <n v="57000"/>
    <n v="101800"/>
    <x v="1"/>
    <x v="0"/>
    <x v="4"/>
    <n v="4"/>
    <x v="0"/>
    <x v="1"/>
  </r>
  <r>
    <s v="ORD00281"/>
    <x v="632"/>
    <x v="1"/>
    <s v="Lestari Puspita"/>
    <s v="Yogyakarta"/>
    <x v="3"/>
    <n v="28000"/>
    <n v="2"/>
    <n v="15"/>
    <n v="56000"/>
    <n v="8400"/>
    <n v="47600"/>
    <n v="78000"/>
    <n v="125600"/>
    <x v="2"/>
    <x v="0"/>
    <x v="0"/>
    <n v="3"/>
    <x v="0"/>
    <x v="1"/>
  </r>
  <r>
    <s v="ORD00102"/>
    <x v="633"/>
    <x v="1"/>
    <s v="Aulia Saputra"/>
    <s v="Kendari"/>
    <x v="0"/>
    <n v="45000"/>
    <n v="4"/>
    <n v="15"/>
    <n v="180000"/>
    <n v="27000"/>
    <n v="153000"/>
    <n v="59000"/>
    <n v="212000"/>
    <x v="1"/>
    <x v="0"/>
    <x v="0"/>
    <n v="4"/>
    <x v="0"/>
    <x v="2"/>
  </r>
  <r>
    <s v="ORD00102"/>
    <x v="633"/>
    <x v="1"/>
    <s v="Aulia Saputra"/>
    <s v="Kendari"/>
    <x v="7"/>
    <n v="16000"/>
    <n v="1"/>
    <n v="10"/>
    <n v="16000"/>
    <n v="1600"/>
    <n v="14400"/>
    <n v="0"/>
    <n v="14400"/>
    <x v="1"/>
    <x v="0"/>
    <x v="0"/>
    <n v="4"/>
    <x v="0"/>
    <x v="0"/>
  </r>
  <r>
    <s v="ORD01681"/>
    <x v="634"/>
    <x v="1"/>
    <s v="Bella Utami"/>
    <s v="Padang"/>
    <x v="9"/>
    <n v="50000"/>
    <n v="5"/>
    <n v="20"/>
    <n v="250000"/>
    <n v="50000"/>
    <n v="200000"/>
    <n v="68000"/>
    <n v="268000"/>
    <x v="3"/>
    <x v="0"/>
    <x v="4"/>
    <n v="3"/>
    <x v="0"/>
    <x v="3"/>
  </r>
  <r>
    <s v="ORD01729"/>
    <x v="635"/>
    <x v="1"/>
    <s v="Qori Maulana"/>
    <s v="Banda Aceh"/>
    <x v="23"/>
    <n v="10000"/>
    <n v="3"/>
    <n v="5"/>
    <n v="30000"/>
    <n v="1500"/>
    <n v="28500"/>
    <n v="18000"/>
    <n v="46500"/>
    <x v="1"/>
    <x v="0"/>
    <x v="3"/>
    <n v="3"/>
    <x v="0"/>
    <x v="0"/>
  </r>
  <r>
    <s v="ORD00187"/>
    <x v="636"/>
    <x v="1"/>
    <s v="Qori Pradipta"/>
    <s v="Tanjung Selor"/>
    <x v="18"/>
    <n v="6000"/>
    <n v="2"/>
    <n v="20"/>
    <n v="12000"/>
    <n v="2400"/>
    <n v="9600"/>
    <n v="26000"/>
    <n v="35600"/>
    <x v="1"/>
    <x v="0"/>
    <x v="1"/>
    <n v="1"/>
    <x v="0"/>
    <x v="0"/>
  </r>
  <r>
    <s v="ORD00614"/>
    <x v="637"/>
    <x v="1"/>
    <s v="Erna Setiawan"/>
    <s v="Denpasar"/>
    <x v="13"/>
    <n v="17000"/>
    <n v="2"/>
    <n v="0"/>
    <n v="34000"/>
    <n v="0"/>
    <n v="34000"/>
    <n v="80000"/>
    <n v="114000"/>
    <x v="1"/>
    <x v="0"/>
    <x v="2"/>
    <n v="4"/>
    <x v="0"/>
    <x v="0"/>
  </r>
  <r>
    <s v="ORD00337"/>
    <x v="638"/>
    <x v="1"/>
    <s v="Qori Hidayat"/>
    <s v="Palembang"/>
    <x v="1"/>
    <n v="5000"/>
    <n v="3"/>
    <n v="10"/>
    <n v="15000"/>
    <n v="1500"/>
    <n v="13500"/>
    <n v="17000"/>
    <n v="30500"/>
    <x v="3"/>
    <x v="0"/>
    <x v="3"/>
    <n v="4"/>
    <x v="0"/>
    <x v="0"/>
  </r>
  <r>
    <s v="ORD00419"/>
    <x v="639"/>
    <x v="1"/>
    <s v="Clara Iskandar"/>
    <s v="Pangkalpinang"/>
    <x v="0"/>
    <n v="45000"/>
    <n v="5"/>
    <n v="15"/>
    <n v="225000"/>
    <n v="33750"/>
    <n v="191250"/>
    <n v="18000"/>
    <n v="209250"/>
    <x v="1"/>
    <x v="0"/>
    <x v="1"/>
    <n v="3"/>
    <x v="0"/>
    <x v="3"/>
  </r>
  <r>
    <s v="ORD00419"/>
    <x v="639"/>
    <x v="1"/>
    <s v="Clara Iskandar"/>
    <s v="Pangkalpinang"/>
    <x v="8"/>
    <n v="16000"/>
    <n v="4"/>
    <n v="0"/>
    <n v="64000"/>
    <n v="0"/>
    <n v="64000"/>
    <n v="0"/>
    <n v="64000"/>
    <x v="1"/>
    <x v="0"/>
    <x v="1"/>
    <n v="3"/>
    <x v="0"/>
    <x v="0"/>
  </r>
  <r>
    <s v="ORD00749"/>
    <x v="640"/>
    <x v="1"/>
    <s v="Dewi Utami"/>
    <s v="Bandung"/>
    <x v="7"/>
    <n v="16000"/>
    <n v="1"/>
    <n v="0"/>
    <n v="16000"/>
    <n v="0"/>
    <n v="16000"/>
    <n v="0"/>
    <n v="16000"/>
    <x v="1"/>
    <x v="1"/>
    <x v="2"/>
    <n v="4"/>
    <x v="0"/>
    <x v="0"/>
  </r>
  <r>
    <s v="ORD01817"/>
    <x v="641"/>
    <x v="1"/>
    <s v="Yani Wijaya"/>
    <s v="Surabaya"/>
    <x v="22"/>
    <n v="18000"/>
    <n v="5"/>
    <n v="0"/>
    <n v="90000"/>
    <n v="0"/>
    <n v="90000"/>
    <n v="74000"/>
    <n v="164000"/>
    <x v="0"/>
    <x v="0"/>
    <x v="2"/>
    <n v="1"/>
    <x v="0"/>
    <x v="0"/>
  </r>
  <r>
    <s v="ORD00712"/>
    <x v="642"/>
    <x v="1"/>
    <s v="Putri Hidayat"/>
    <s v="Padang"/>
    <x v="10"/>
    <n v="15000"/>
    <n v="5"/>
    <n v="5"/>
    <n v="75000"/>
    <n v="3750"/>
    <n v="71250"/>
    <n v="68000"/>
    <n v="139250"/>
    <x v="1"/>
    <x v="0"/>
    <x v="3"/>
    <n v="4"/>
    <x v="0"/>
    <x v="0"/>
  </r>
  <r>
    <s v="ORD00531"/>
    <x v="643"/>
    <x v="1"/>
    <s v="Erna Maulana"/>
    <s v="Sorong"/>
    <x v="6"/>
    <n v="14000"/>
    <n v="3"/>
    <n v="10"/>
    <n v="42000"/>
    <n v="4200"/>
    <n v="37800"/>
    <n v="87000"/>
    <n v="124800"/>
    <x v="2"/>
    <x v="0"/>
    <x v="0"/>
    <n v="5"/>
    <x v="0"/>
    <x v="0"/>
  </r>
  <r>
    <s v="ORD00185"/>
    <x v="644"/>
    <x v="1"/>
    <s v="Zahra Halim"/>
    <s v="Jayapura"/>
    <x v="22"/>
    <n v="18000"/>
    <n v="4"/>
    <n v="10"/>
    <n v="72000"/>
    <n v="7200"/>
    <n v="64800"/>
    <n v="30000"/>
    <n v="94800"/>
    <x v="0"/>
    <x v="0"/>
    <x v="2"/>
    <n v="5"/>
    <x v="0"/>
    <x v="1"/>
  </r>
  <r>
    <s v="ORD00948"/>
    <x v="645"/>
    <x v="1"/>
    <s v="Hana Nugroho"/>
    <s v="Surabaya"/>
    <x v="8"/>
    <n v="16000"/>
    <n v="2"/>
    <n v="20"/>
    <n v="32000"/>
    <n v="6400"/>
    <n v="25600"/>
    <n v="74000"/>
    <n v="99600"/>
    <x v="0"/>
    <x v="0"/>
    <x v="2"/>
    <n v="2"/>
    <x v="0"/>
    <x v="1"/>
  </r>
  <r>
    <s v="ORD00480"/>
    <x v="646"/>
    <x v="1"/>
    <s v="Eka Iskandar"/>
    <s v="Surabaya"/>
    <x v="17"/>
    <n v="30000"/>
    <n v="4"/>
    <n v="0"/>
    <n v="120000"/>
    <n v="0"/>
    <n v="120000"/>
    <n v="74000"/>
    <n v="194000"/>
    <x v="2"/>
    <x v="1"/>
    <x v="2"/>
    <n v="1"/>
    <x v="0"/>
    <x v="0"/>
  </r>
  <r>
    <s v="ORD00129"/>
    <x v="647"/>
    <x v="1"/>
    <s v="Hana Kusuma"/>
    <s v="Denpasar"/>
    <x v="12"/>
    <n v="55000"/>
    <n v="3"/>
    <n v="0"/>
    <n v="165000"/>
    <n v="0"/>
    <n v="165000"/>
    <n v="80000"/>
    <n v="245000"/>
    <x v="2"/>
    <x v="0"/>
    <x v="2"/>
    <n v="5"/>
    <x v="0"/>
    <x v="0"/>
  </r>
  <r>
    <s v="ORD01320"/>
    <x v="648"/>
    <x v="1"/>
    <s v="Erna Setiawan"/>
    <s v="Denpasar"/>
    <x v="19"/>
    <n v="22000"/>
    <n v="3"/>
    <n v="5"/>
    <n v="66000"/>
    <n v="3300"/>
    <n v="62700"/>
    <n v="80000"/>
    <n v="142700"/>
    <x v="2"/>
    <x v="0"/>
    <x v="4"/>
    <n v="4"/>
    <x v="0"/>
    <x v="0"/>
  </r>
  <r>
    <s v="ORD01673"/>
    <x v="649"/>
    <x v="1"/>
    <s v="Rizky Fauziah"/>
    <s v="Sorong"/>
    <x v="0"/>
    <n v="45000"/>
    <n v="1"/>
    <n v="10"/>
    <n v="45000"/>
    <n v="4500"/>
    <n v="40500"/>
    <n v="87000"/>
    <n v="127500"/>
    <x v="2"/>
    <x v="1"/>
    <x v="2"/>
    <n v="2"/>
    <x v="1"/>
    <x v="0"/>
  </r>
  <r>
    <s v="ORD01053"/>
    <x v="650"/>
    <x v="1"/>
    <s v="Clara Kusuma"/>
    <s v="Jakarta"/>
    <x v="22"/>
    <n v="18000"/>
    <n v="1"/>
    <n v="15"/>
    <n v="18000"/>
    <n v="2700"/>
    <n v="15300"/>
    <n v="97000"/>
    <n v="112300"/>
    <x v="2"/>
    <x v="1"/>
    <x v="4"/>
    <n v="4"/>
    <x v="0"/>
    <x v="0"/>
  </r>
  <r>
    <s v="ORD01516"/>
    <x v="651"/>
    <x v="1"/>
    <s v="Clara Ramadhani"/>
    <s v="Tanjungpinang"/>
    <x v="1"/>
    <n v="5000"/>
    <n v="3"/>
    <n v="0"/>
    <n v="15000"/>
    <n v="0"/>
    <n v="15000"/>
    <n v="48000"/>
    <n v="63000"/>
    <x v="1"/>
    <x v="0"/>
    <x v="2"/>
    <n v="5"/>
    <x v="0"/>
    <x v="0"/>
  </r>
  <r>
    <s v="ORD01569"/>
    <x v="652"/>
    <x v="1"/>
    <s v="Bayu Ananda"/>
    <s v="Manado"/>
    <x v="13"/>
    <n v="17000"/>
    <n v="3"/>
    <n v="20"/>
    <n v="51000"/>
    <n v="10200"/>
    <n v="40800"/>
    <n v="93000"/>
    <n v="133800"/>
    <x v="0"/>
    <x v="0"/>
    <x v="0"/>
    <n v="1"/>
    <x v="1"/>
    <x v="1"/>
  </r>
  <r>
    <s v="ORD00204"/>
    <x v="653"/>
    <x v="1"/>
    <s v="Hana Ramadhani"/>
    <s v="Pekanbaru"/>
    <x v="21"/>
    <n v="17000"/>
    <n v="2"/>
    <n v="15"/>
    <n v="34000"/>
    <n v="5100"/>
    <n v="28900"/>
    <n v="49000"/>
    <n v="77900"/>
    <x v="0"/>
    <x v="0"/>
    <x v="2"/>
    <n v="1"/>
    <x v="0"/>
    <x v="1"/>
  </r>
  <r>
    <s v="ORD01363"/>
    <x v="654"/>
    <x v="1"/>
    <s v="Lestari Ramadhani"/>
    <s v="Banda Aceh"/>
    <x v="4"/>
    <n v="4000"/>
    <n v="2"/>
    <n v="15"/>
    <n v="8000"/>
    <n v="1200"/>
    <n v="6800"/>
    <n v="18000"/>
    <n v="24800"/>
    <x v="3"/>
    <x v="0"/>
    <x v="0"/>
    <n v="1"/>
    <x v="0"/>
    <x v="0"/>
  </r>
  <r>
    <s v="ORD01008"/>
    <x v="655"/>
    <x v="1"/>
    <s v="Dewi Syahputra"/>
    <s v="Manokwari"/>
    <x v="10"/>
    <n v="15000"/>
    <n v="3"/>
    <n v="15"/>
    <n v="45000"/>
    <n v="6750"/>
    <n v="38250"/>
    <n v="18000"/>
    <n v="56250"/>
    <x v="2"/>
    <x v="1"/>
    <x v="4"/>
    <n v="3"/>
    <x v="0"/>
    <x v="1"/>
  </r>
  <r>
    <s v="ORD00968"/>
    <x v="656"/>
    <x v="1"/>
    <s v="Lestari Syahputra"/>
    <s v="Banda Aceh"/>
    <x v="22"/>
    <n v="18000"/>
    <n v="5"/>
    <n v="20"/>
    <n v="90000"/>
    <n v="18000"/>
    <n v="72000"/>
    <n v="18000"/>
    <n v="90000"/>
    <x v="1"/>
    <x v="0"/>
    <x v="0"/>
    <n v="3"/>
    <x v="0"/>
    <x v="2"/>
  </r>
  <r>
    <s v="ORD01239"/>
    <x v="657"/>
    <x v="1"/>
    <s v="Fitri Kurniawan"/>
    <s v="Serang"/>
    <x v="5"/>
    <n v="40000"/>
    <n v="2"/>
    <n v="15"/>
    <n v="80000"/>
    <n v="12000"/>
    <n v="68000"/>
    <n v="57000"/>
    <n v="125000"/>
    <x v="1"/>
    <x v="1"/>
    <x v="1"/>
    <n v="1"/>
    <x v="0"/>
    <x v="1"/>
  </r>
  <r>
    <s v="ORD01127"/>
    <x v="658"/>
    <x v="1"/>
    <s v="Lestari Ananda"/>
    <s v="Semarang"/>
    <x v="6"/>
    <n v="14000"/>
    <n v="1"/>
    <n v="5"/>
    <n v="14000"/>
    <n v="700"/>
    <n v="13300"/>
    <n v="76000"/>
    <n v="89300"/>
    <x v="3"/>
    <x v="0"/>
    <x v="0"/>
    <n v="5"/>
    <x v="0"/>
    <x v="0"/>
  </r>
  <r>
    <s v="ORD00592"/>
    <x v="659"/>
    <x v="1"/>
    <s v="Clara Santoso"/>
    <s v="Palu"/>
    <x v="5"/>
    <n v="40000"/>
    <n v="3"/>
    <n v="5"/>
    <n v="120000"/>
    <n v="6000"/>
    <n v="114000"/>
    <n v="67000"/>
    <n v="181000"/>
    <x v="2"/>
    <x v="0"/>
    <x v="1"/>
    <n v="3"/>
    <x v="0"/>
    <x v="1"/>
  </r>
  <r>
    <s v="ORD00872"/>
    <x v="660"/>
    <x v="1"/>
    <s v="Zahra Saputra"/>
    <s v="Palembang"/>
    <x v="9"/>
    <n v="50000"/>
    <n v="5"/>
    <n v="10"/>
    <n v="250000"/>
    <n v="25000"/>
    <n v="225000"/>
    <n v="17000"/>
    <n v="242000"/>
    <x v="1"/>
    <x v="0"/>
    <x v="1"/>
    <n v="1"/>
    <x v="0"/>
    <x v="2"/>
  </r>
  <r>
    <s v="ORD00479"/>
    <x v="661"/>
    <x v="1"/>
    <s v="Erna Kurniawan"/>
    <s v="Tanjung Selor"/>
    <x v="25"/>
    <n v="35000"/>
    <n v="4"/>
    <n v="20"/>
    <n v="140000"/>
    <n v="28000"/>
    <n v="112000"/>
    <n v="26000"/>
    <n v="138000"/>
    <x v="2"/>
    <x v="0"/>
    <x v="1"/>
    <n v="5"/>
    <x v="0"/>
    <x v="2"/>
  </r>
  <r>
    <s v="ORD00477"/>
    <x v="662"/>
    <x v="1"/>
    <s v="Putri Wijaya"/>
    <s v="Jayapura"/>
    <x v="10"/>
    <n v="15000"/>
    <n v="3"/>
    <n v="15"/>
    <n v="45000"/>
    <n v="6750"/>
    <n v="38250"/>
    <n v="30000"/>
    <n v="68250"/>
    <x v="3"/>
    <x v="0"/>
    <x v="2"/>
    <n v="1"/>
    <x v="0"/>
    <x v="1"/>
  </r>
  <r>
    <s v="ORD01288"/>
    <x v="663"/>
    <x v="1"/>
    <s v="Lestari Puspita"/>
    <s v="Yogyakarta"/>
    <x v="19"/>
    <n v="22000"/>
    <n v="3"/>
    <n v="15"/>
    <n v="66000"/>
    <n v="9900"/>
    <n v="56100"/>
    <n v="78000"/>
    <n v="134100"/>
    <x v="3"/>
    <x v="0"/>
    <x v="1"/>
    <n v="3"/>
    <x v="0"/>
    <x v="1"/>
  </r>
  <r>
    <s v="ORD00124"/>
    <x v="664"/>
    <x v="1"/>
    <s v="Ani Ananda"/>
    <s v="Serang"/>
    <x v="16"/>
    <n v="25000"/>
    <n v="3"/>
    <n v="5"/>
    <n v="75000"/>
    <n v="3750"/>
    <n v="71250"/>
    <n v="57000"/>
    <n v="128250"/>
    <x v="3"/>
    <x v="0"/>
    <x v="1"/>
    <n v="4"/>
    <x v="0"/>
    <x v="0"/>
  </r>
  <r>
    <s v="ORD01782"/>
    <x v="665"/>
    <x v="1"/>
    <s v="Tono Fauziah"/>
    <s v="Serang"/>
    <x v="9"/>
    <n v="50000"/>
    <n v="5"/>
    <n v="10"/>
    <n v="250000"/>
    <n v="25000"/>
    <n v="225000"/>
    <n v="57000"/>
    <n v="282000"/>
    <x v="0"/>
    <x v="0"/>
    <x v="3"/>
    <n v="3"/>
    <x v="1"/>
    <x v="2"/>
  </r>
  <r>
    <s v="ORD01077"/>
    <x v="666"/>
    <x v="1"/>
    <s v="Erna Setiawan"/>
    <s v="Denpasar"/>
    <x v="22"/>
    <n v="18000"/>
    <n v="5"/>
    <n v="20"/>
    <n v="90000"/>
    <n v="18000"/>
    <n v="72000"/>
    <n v="80000"/>
    <n v="152000"/>
    <x v="1"/>
    <x v="0"/>
    <x v="1"/>
    <n v="3"/>
    <x v="0"/>
    <x v="2"/>
  </r>
  <r>
    <s v="ORD01567"/>
    <x v="667"/>
    <x v="1"/>
    <s v="Kartika Saputra"/>
    <s v="Palu"/>
    <x v="1"/>
    <n v="5000"/>
    <n v="5"/>
    <n v="10"/>
    <n v="25000"/>
    <n v="2500"/>
    <n v="22500"/>
    <n v="67000"/>
    <n v="89500"/>
    <x v="0"/>
    <x v="0"/>
    <x v="1"/>
    <n v="4"/>
    <x v="0"/>
    <x v="0"/>
  </r>
  <r>
    <s v="ORD01238"/>
    <x v="668"/>
    <x v="1"/>
    <s v="Hana Halim"/>
    <s v="Sorong"/>
    <x v="17"/>
    <n v="30000"/>
    <n v="4"/>
    <n v="15"/>
    <n v="120000"/>
    <n v="18000"/>
    <n v="102000"/>
    <n v="87000"/>
    <n v="189000"/>
    <x v="1"/>
    <x v="0"/>
    <x v="0"/>
    <n v="5"/>
    <x v="0"/>
    <x v="2"/>
  </r>
  <r>
    <s v="ORD01489"/>
    <x v="669"/>
    <x v="1"/>
    <s v="Clara Hidayat"/>
    <s v="Mamuju"/>
    <x v="2"/>
    <n v="16000"/>
    <n v="3"/>
    <n v="20"/>
    <n v="48000"/>
    <n v="9600"/>
    <n v="38400"/>
    <n v="46000"/>
    <n v="84400"/>
    <x v="0"/>
    <x v="0"/>
    <x v="3"/>
    <n v="2"/>
    <x v="0"/>
    <x v="1"/>
  </r>
  <r>
    <s v="ORD01240"/>
    <x v="670"/>
    <x v="1"/>
    <s v="Aulia Puspita"/>
    <s v="Tanjungpinang"/>
    <x v="16"/>
    <n v="25000"/>
    <n v="5"/>
    <n v="0"/>
    <n v="125000"/>
    <n v="0"/>
    <n v="125000"/>
    <n v="48000"/>
    <n v="173000"/>
    <x v="2"/>
    <x v="0"/>
    <x v="0"/>
    <n v="5"/>
    <x v="0"/>
    <x v="0"/>
  </r>
  <r>
    <s v="ORD01235"/>
    <x v="671"/>
    <x v="1"/>
    <s v="Qori Setiawan"/>
    <s v="Jambi"/>
    <x v="6"/>
    <n v="14000"/>
    <n v="2"/>
    <n v="15"/>
    <n v="28000"/>
    <n v="4200"/>
    <n v="23800"/>
    <n v="87000"/>
    <n v="110800"/>
    <x v="0"/>
    <x v="0"/>
    <x v="4"/>
    <n v="3"/>
    <x v="0"/>
    <x v="0"/>
  </r>
  <r>
    <s v="ORD01371"/>
    <x v="672"/>
    <x v="1"/>
    <s v="Aulia Wijaya"/>
    <s v="Palangka Raya"/>
    <x v="0"/>
    <n v="45000"/>
    <n v="5"/>
    <n v="0"/>
    <n v="225000"/>
    <n v="0"/>
    <n v="225000"/>
    <n v="50000"/>
    <n v="275000"/>
    <x v="1"/>
    <x v="0"/>
    <x v="4"/>
    <n v="5"/>
    <x v="0"/>
    <x v="0"/>
  </r>
  <r>
    <s v="ORD01606"/>
    <x v="673"/>
    <x v="1"/>
    <s v="Yani Utami"/>
    <s v="Jambi"/>
    <x v="13"/>
    <n v="17000"/>
    <n v="4"/>
    <n v="0"/>
    <n v="68000"/>
    <n v="0"/>
    <n v="68000"/>
    <n v="87000"/>
    <n v="155000"/>
    <x v="3"/>
    <x v="0"/>
    <x v="4"/>
    <n v="4"/>
    <x v="0"/>
    <x v="0"/>
  </r>
  <r>
    <s v="ORD01376"/>
    <x v="674"/>
    <x v="1"/>
    <s v="Zahra Santoso"/>
    <s v="Nabire"/>
    <x v="18"/>
    <n v="6000"/>
    <n v="5"/>
    <n v="10"/>
    <n v="30000"/>
    <n v="3000"/>
    <n v="27000"/>
    <n v="89000"/>
    <n v="116000"/>
    <x v="0"/>
    <x v="1"/>
    <x v="2"/>
    <n v="5"/>
    <x v="0"/>
    <x v="0"/>
  </r>
  <r>
    <s v="ORD00061"/>
    <x v="675"/>
    <x v="1"/>
    <s v="Fajar Fauziah"/>
    <s v="Padang"/>
    <x v="9"/>
    <n v="50000"/>
    <n v="2"/>
    <n v="10"/>
    <n v="100000"/>
    <n v="10000"/>
    <n v="90000"/>
    <n v="68000"/>
    <n v="158000"/>
    <x v="0"/>
    <x v="0"/>
    <x v="1"/>
    <n v="4"/>
    <x v="1"/>
    <x v="1"/>
  </r>
  <r>
    <s v="ORD01318"/>
    <x v="676"/>
    <x v="1"/>
    <s v="Zahra Pradipta"/>
    <s v="Nabire"/>
    <x v="5"/>
    <n v="40000"/>
    <n v="1"/>
    <n v="15"/>
    <n v="40000"/>
    <n v="6000"/>
    <n v="34000"/>
    <n v="89000"/>
    <n v="123000"/>
    <x v="1"/>
    <x v="0"/>
    <x v="1"/>
    <n v="4"/>
    <x v="0"/>
    <x v="1"/>
  </r>
  <r>
    <s v="ORD00773"/>
    <x v="677"/>
    <x v="1"/>
    <s v="Yani Nugroho"/>
    <s v="Palembang"/>
    <x v="15"/>
    <n v="14000"/>
    <n v="2"/>
    <n v="15"/>
    <n v="28000"/>
    <n v="4200"/>
    <n v="23800"/>
    <n v="17000"/>
    <n v="40800"/>
    <x v="1"/>
    <x v="0"/>
    <x v="0"/>
    <n v="4"/>
    <x v="0"/>
    <x v="0"/>
  </r>
  <r>
    <s v="ORD00254"/>
    <x v="678"/>
    <x v="1"/>
    <s v="Fitri Kurniawan"/>
    <s v="Serang"/>
    <x v="1"/>
    <n v="5000"/>
    <n v="1"/>
    <n v="15"/>
    <n v="5000"/>
    <n v="750"/>
    <n v="4250"/>
    <n v="57000"/>
    <n v="61250"/>
    <x v="2"/>
    <x v="0"/>
    <x v="2"/>
    <n v="2"/>
    <x v="0"/>
    <x v="0"/>
  </r>
  <r>
    <s v="ORD00999"/>
    <x v="679"/>
    <x v="1"/>
    <s v="Putri Syahputra"/>
    <s v="Mamuju"/>
    <x v="16"/>
    <n v="25000"/>
    <n v="4"/>
    <n v="0"/>
    <n v="100000"/>
    <n v="0"/>
    <n v="100000"/>
    <n v="46000"/>
    <n v="146000"/>
    <x v="3"/>
    <x v="0"/>
    <x v="1"/>
    <n v="1"/>
    <x v="0"/>
    <x v="0"/>
  </r>
  <r>
    <s v="ORD00586"/>
    <x v="680"/>
    <x v="1"/>
    <s v="Dina Kusuma"/>
    <s v="Tanjungpinang"/>
    <x v="15"/>
    <n v="14000"/>
    <n v="2"/>
    <n v="10"/>
    <n v="28000"/>
    <n v="2800"/>
    <n v="25200"/>
    <n v="48000"/>
    <n v="73200"/>
    <x v="2"/>
    <x v="0"/>
    <x v="0"/>
    <n v="4"/>
    <x v="0"/>
    <x v="0"/>
  </r>
  <r>
    <s v="ORD01335"/>
    <x v="681"/>
    <x v="1"/>
    <s v="Indra Ananda"/>
    <s v="Makassar"/>
    <x v="8"/>
    <n v="16000"/>
    <n v="1"/>
    <n v="10"/>
    <n v="16000"/>
    <n v="1600"/>
    <n v="14400"/>
    <n v="84000"/>
    <n v="98400"/>
    <x v="0"/>
    <x v="0"/>
    <x v="4"/>
    <n v="2"/>
    <x v="1"/>
    <x v="0"/>
  </r>
  <r>
    <s v="ORD00082"/>
    <x v="682"/>
    <x v="1"/>
    <s v="Joko Ananda"/>
    <s v="Makassar"/>
    <x v="1"/>
    <n v="5000"/>
    <n v="3"/>
    <n v="15"/>
    <n v="15000"/>
    <n v="2250"/>
    <n v="12750"/>
    <n v="84000"/>
    <n v="96750"/>
    <x v="1"/>
    <x v="0"/>
    <x v="2"/>
    <n v="4"/>
    <x v="1"/>
    <x v="0"/>
  </r>
  <r>
    <s v="ORD00462"/>
    <x v="683"/>
    <x v="1"/>
    <s v="Zahra Kusuma"/>
    <s v="Tanjung Selor"/>
    <x v="4"/>
    <n v="4000"/>
    <n v="2"/>
    <n v="5"/>
    <n v="8000"/>
    <n v="400"/>
    <n v="7600"/>
    <n v="26000"/>
    <n v="33600"/>
    <x v="1"/>
    <x v="0"/>
    <x v="2"/>
    <n v="1"/>
    <x v="0"/>
    <x v="0"/>
  </r>
  <r>
    <s v="ORD00462"/>
    <x v="683"/>
    <x v="1"/>
    <s v="Zahra Kusuma"/>
    <s v="Tanjung Selor"/>
    <x v="18"/>
    <n v="6000"/>
    <n v="1"/>
    <n v="20"/>
    <n v="6000"/>
    <n v="1200"/>
    <n v="4800"/>
    <n v="0"/>
    <n v="4800"/>
    <x v="1"/>
    <x v="0"/>
    <x v="2"/>
    <n v="1"/>
    <x v="0"/>
    <x v="0"/>
  </r>
  <r>
    <s v="ORD01180"/>
    <x v="684"/>
    <x v="1"/>
    <s v="Erna Rahmawati"/>
    <s v="Banda Aceh"/>
    <x v="6"/>
    <n v="14000"/>
    <n v="1"/>
    <n v="15"/>
    <n v="14000"/>
    <n v="2100"/>
    <n v="11900"/>
    <n v="18000"/>
    <n v="29900"/>
    <x v="1"/>
    <x v="0"/>
    <x v="4"/>
    <n v="4"/>
    <x v="0"/>
    <x v="0"/>
  </r>
  <r>
    <s v="ORD00803"/>
    <x v="685"/>
    <x v="1"/>
    <s v="Rizky Fauziah"/>
    <s v="Sorong"/>
    <x v="4"/>
    <n v="4000"/>
    <n v="5"/>
    <n v="0"/>
    <n v="20000"/>
    <n v="0"/>
    <n v="20000"/>
    <n v="87000"/>
    <n v="107000"/>
    <x v="0"/>
    <x v="0"/>
    <x v="3"/>
    <n v="3"/>
    <x v="1"/>
    <x v="0"/>
  </r>
  <r>
    <s v="ORD01091"/>
    <x v="686"/>
    <x v="1"/>
    <s v="Ani Hidayat"/>
    <s v="Samarinda"/>
    <x v="19"/>
    <n v="22000"/>
    <n v="5"/>
    <n v="10"/>
    <n v="110000"/>
    <n v="11000"/>
    <n v="99000"/>
    <n v="43000"/>
    <n v="142000"/>
    <x v="2"/>
    <x v="0"/>
    <x v="3"/>
    <n v="4"/>
    <x v="0"/>
    <x v="1"/>
  </r>
  <r>
    <s v="ORD01762"/>
    <x v="687"/>
    <x v="1"/>
    <s v="Yani Ananda"/>
    <s v="Mataram"/>
    <x v="12"/>
    <n v="55000"/>
    <n v="5"/>
    <n v="10"/>
    <n v="275000"/>
    <n v="27500"/>
    <n v="247500"/>
    <n v="56000"/>
    <n v="303500"/>
    <x v="1"/>
    <x v="0"/>
    <x v="2"/>
    <n v="1"/>
    <x v="0"/>
    <x v="2"/>
  </r>
  <r>
    <s v="ORD00166"/>
    <x v="688"/>
    <x v="1"/>
    <s v="Hana Maulana"/>
    <s v="Nabire"/>
    <x v="21"/>
    <n v="17000"/>
    <n v="4"/>
    <n v="10"/>
    <n v="68000"/>
    <n v="6800"/>
    <n v="61200"/>
    <n v="89000"/>
    <n v="150200"/>
    <x v="3"/>
    <x v="2"/>
    <x v="1"/>
    <n v="1"/>
    <x v="0"/>
    <x v="1"/>
  </r>
  <r>
    <s v="ORD00609"/>
    <x v="689"/>
    <x v="1"/>
    <s v="Dimas Budiman"/>
    <s v="Jakarta"/>
    <x v="11"/>
    <n v="40000"/>
    <n v="3"/>
    <n v="5"/>
    <n v="120000"/>
    <n v="6000"/>
    <n v="114000"/>
    <n v="97000"/>
    <n v="211000"/>
    <x v="2"/>
    <x v="0"/>
    <x v="0"/>
    <n v="3"/>
    <x v="1"/>
    <x v="1"/>
  </r>
  <r>
    <s v="ORD00264"/>
    <x v="690"/>
    <x v="1"/>
    <s v="Bella Nugroho"/>
    <s v="Banjarbaru"/>
    <x v="18"/>
    <n v="6000"/>
    <n v="1"/>
    <n v="20"/>
    <n v="6000"/>
    <n v="1200"/>
    <n v="4800"/>
    <n v="55000"/>
    <n v="59800"/>
    <x v="3"/>
    <x v="0"/>
    <x v="2"/>
    <n v="3"/>
    <x v="0"/>
    <x v="0"/>
  </r>
  <r>
    <s v="ORD00976"/>
    <x v="691"/>
    <x v="1"/>
    <s v="Eka Ananda"/>
    <s v="Makassar"/>
    <x v="14"/>
    <n v="35000"/>
    <n v="3"/>
    <n v="0"/>
    <n v="105000"/>
    <n v="0"/>
    <n v="105000"/>
    <n v="84000"/>
    <n v="189000"/>
    <x v="2"/>
    <x v="0"/>
    <x v="2"/>
    <n v="2"/>
    <x v="0"/>
    <x v="0"/>
  </r>
  <r>
    <s v="ORD00045"/>
    <x v="692"/>
    <x v="1"/>
    <s v="Budi Puspita"/>
    <s v="Banjarbaru"/>
    <x v="21"/>
    <n v="17000"/>
    <n v="1"/>
    <n v="5"/>
    <n v="17000"/>
    <n v="850"/>
    <n v="16150"/>
    <n v="55000"/>
    <n v="71150"/>
    <x v="2"/>
    <x v="0"/>
    <x v="1"/>
    <n v="2"/>
    <x v="1"/>
    <x v="0"/>
  </r>
  <r>
    <s v="ORD00206"/>
    <x v="693"/>
    <x v="1"/>
    <s v="Citra Syahputra"/>
    <s v="Mamuju"/>
    <x v="12"/>
    <n v="55000"/>
    <n v="2"/>
    <n v="20"/>
    <n v="110000"/>
    <n v="22000"/>
    <n v="88000"/>
    <n v="46000"/>
    <n v="134000"/>
    <x v="0"/>
    <x v="2"/>
    <x v="1"/>
    <n v="2"/>
    <x v="0"/>
    <x v="2"/>
  </r>
  <r>
    <s v="ORD01407"/>
    <x v="694"/>
    <x v="1"/>
    <s v="Qori Utami"/>
    <s v="Serang"/>
    <x v="22"/>
    <n v="18000"/>
    <n v="5"/>
    <n v="20"/>
    <n v="90000"/>
    <n v="18000"/>
    <n v="72000"/>
    <n v="57000"/>
    <n v="129000"/>
    <x v="0"/>
    <x v="0"/>
    <x v="1"/>
    <n v="3"/>
    <x v="0"/>
    <x v="2"/>
  </r>
  <r>
    <s v="ORD01168"/>
    <x v="695"/>
    <x v="1"/>
    <s v="Bayu Nugroho"/>
    <s v="Jayapura"/>
    <x v="9"/>
    <n v="50000"/>
    <n v="1"/>
    <n v="15"/>
    <n v="50000"/>
    <n v="7500"/>
    <n v="42500"/>
    <n v="30000"/>
    <n v="72500"/>
    <x v="1"/>
    <x v="0"/>
    <x v="3"/>
    <n v="3"/>
    <x v="1"/>
    <x v="1"/>
  </r>
  <r>
    <s v="ORD01691"/>
    <x v="696"/>
    <x v="1"/>
    <s v="Hana Nugroho"/>
    <s v="Surabaya"/>
    <x v="19"/>
    <n v="22000"/>
    <n v="4"/>
    <n v="20"/>
    <n v="88000"/>
    <n v="17600"/>
    <n v="70400"/>
    <n v="74000"/>
    <n v="144400"/>
    <x v="1"/>
    <x v="0"/>
    <x v="3"/>
    <n v="2"/>
    <x v="0"/>
    <x v="2"/>
  </r>
  <r>
    <s v="ORD00494"/>
    <x v="697"/>
    <x v="1"/>
    <s v="Fitri Kusuma"/>
    <s v="Makassar"/>
    <x v="26"/>
    <n v="18000"/>
    <n v="1"/>
    <n v="10"/>
    <n v="18000"/>
    <n v="1800"/>
    <n v="16200"/>
    <n v="84000"/>
    <n v="100200"/>
    <x v="3"/>
    <x v="1"/>
    <x v="4"/>
    <n v="1"/>
    <x v="0"/>
    <x v="0"/>
  </r>
  <r>
    <s v="ORD01341"/>
    <x v="698"/>
    <x v="1"/>
    <s v="Ani Fauziah"/>
    <s v="Jakarta"/>
    <x v="20"/>
    <n v="12000"/>
    <n v="5"/>
    <n v="20"/>
    <n v="60000"/>
    <n v="12000"/>
    <n v="48000"/>
    <n v="97000"/>
    <n v="145000"/>
    <x v="1"/>
    <x v="0"/>
    <x v="2"/>
    <n v="3"/>
    <x v="0"/>
    <x v="1"/>
  </r>
  <r>
    <s v="ORD01189"/>
    <x v="699"/>
    <x v="1"/>
    <s v="Fitri Nugroho"/>
    <s v="Ambon"/>
    <x v="8"/>
    <n v="16000"/>
    <n v="4"/>
    <n v="15"/>
    <n v="64000"/>
    <n v="9600"/>
    <n v="54400"/>
    <n v="49000"/>
    <n v="103400"/>
    <x v="3"/>
    <x v="0"/>
    <x v="0"/>
    <n v="4"/>
    <x v="0"/>
    <x v="1"/>
  </r>
  <r>
    <s v="ORD00464"/>
    <x v="700"/>
    <x v="1"/>
    <s v="Aulia Ramadhani"/>
    <s v="Semarang"/>
    <x v="0"/>
    <n v="45000"/>
    <n v="4"/>
    <n v="15"/>
    <n v="180000"/>
    <n v="27000"/>
    <n v="153000"/>
    <n v="76000"/>
    <n v="229000"/>
    <x v="2"/>
    <x v="1"/>
    <x v="3"/>
    <n v="4"/>
    <x v="0"/>
    <x v="2"/>
  </r>
  <r>
    <s v="ORD00464"/>
    <x v="700"/>
    <x v="1"/>
    <s v="Aulia Ramadhani"/>
    <s v="Semarang"/>
    <x v="26"/>
    <n v="18000"/>
    <n v="5"/>
    <n v="10"/>
    <n v="90000"/>
    <n v="9000"/>
    <n v="81000"/>
    <n v="0"/>
    <n v="81000"/>
    <x v="2"/>
    <x v="1"/>
    <x v="3"/>
    <n v="4"/>
    <x v="0"/>
    <x v="1"/>
  </r>
  <r>
    <s v="ORD00988"/>
    <x v="701"/>
    <x v="1"/>
    <s v="Dewi Halim"/>
    <s v="Tanjungpinang"/>
    <x v="6"/>
    <n v="14000"/>
    <n v="2"/>
    <n v="0"/>
    <n v="28000"/>
    <n v="0"/>
    <n v="28000"/>
    <n v="48000"/>
    <n v="76000"/>
    <x v="3"/>
    <x v="0"/>
    <x v="0"/>
    <n v="4"/>
    <x v="0"/>
    <x v="0"/>
  </r>
  <r>
    <s v="ORD00224"/>
    <x v="702"/>
    <x v="1"/>
    <s v="Hana Utami"/>
    <s v="Mamuju"/>
    <x v="5"/>
    <n v="40000"/>
    <n v="1"/>
    <n v="15"/>
    <n v="40000"/>
    <n v="6000"/>
    <n v="34000"/>
    <n v="46000"/>
    <n v="80000"/>
    <x v="0"/>
    <x v="0"/>
    <x v="3"/>
    <n v="1"/>
    <x v="0"/>
    <x v="1"/>
  </r>
  <r>
    <s v="ORD01504"/>
    <x v="703"/>
    <x v="1"/>
    <s v="Budi Hidayat"/>
    <s v="Wamena"/>
    <x v="14"/>
    <n v="35000"/>
    <n v="3"/>
    <n v="5"/>
    <n v="105000"/>
    <n v="5250"/>
    <n v="99750"/>
    <n v="15000"/>
    <n v="114750"/>
    <x v="1"/>
    <x v="0"/>
    <x v="1"/>
    <n v="3"/>
    <x v="1"/>
    <x v="1"/>
  </r>
  <r>
    <s v="ORD00574"/>
    <x v="704"/>
    <x v="1"/>
    <s v="Vina Iskandar"/>
    <s v="Manokwari"/>
    <x v="23"/>
    <n v="10000"/>
    <n v="5"/>
    <n v="20"/>
    <n v="50000"/>
    <n v="10000"/>
    <n v="40000"/>
    <n v="18000"/>
    <n v="58000"/>
    <x v="0"/>
    <x v="0"/>
    <x v="3"/>
    <n v="4"/>
    <x v="0"/>
    <x v="1"/>
  </r>
  <r>
    <s v="ORD01480"/>
    <x v="705"/>
    <x v="1"/>
    <s v="Yani Maulana"/>
    <s v="Yogyakarta"/>
    <x v="12"/>
    <n v="55000"/>
    <n v="5"/>
    <n v="20"/>
    <n v="275000"/>
    <n v="55000"/>
    <n v="220000"/>
    <n v="78000"/>
    <n v="298000"/>
    <x v="2"/>
    <x v="0"/>
    <x v="4"/>
    <n v="2"/>
    <x v="0"/>
    <x v="4"/>
  </r>
  <r>
    <s v="ORD01778"/>
    <x v="706"/>
    <x v="1"/>
    <s v="Yani Wijaya"/>
    <s v="Surabaya"/>
    <x v="21"/>
    <n v="17000"/>
    <n v="5"/>
    <n v="15"/>
    <n v="85000"/>
    <n v="12750"/>
    <n v="72250"/>
    <n v="74000"/>
    <n v="146250"/>
    <x v="3"/>
    <x v="0"/>
    <x v="0"/>
    <n v="1"/>
    <x v="0"/>
    <x v="1"/>
  </r>
  <r>
    <s v="ORD00311"/>
    <x v="707"/>
    <x v="1"/>
    <s v="Gita Ananda"/>
    <s v="Surabaya"/>
    <x v="15"/>
    <n v="14000"/>
    <n v="5"/>
    <n v="15"/>
    <n v="70000"/>
    <n v="10500"/>
    <n v="59500"/>
    <n v="74000"/>
    <n v="133500"/>
    <x v="2"/>
    <x v="0"/>
    <x v="3"/>
    <n v="5"/>
    <x v="0"/>
    <x v="1"/>
  </r>
  <r>
    <s v="ORD01266"/>
    <x v="708"/>
    <x v="1"/>
    <s v="Umar Setiawan"/>
    <s v="Bengkulu"/>
    <x v="9"/>
    <n v="50000"/>
    <n v="4"/>
    <n v="5"/>
    <n v="200000"/>
    <n v="10000"/>
    <n v="190000"/>
    <n v="72000"/>
    <n v="262000"/>
    <x v="1"/>
    <x v="0"/>
    <x v="2"/>
    <n v="3"/>
    <x v="1"/>
    <x v="1"/>
  </r>
  <r>
    <s v="ORD01573"/>
    <x v="709"/>
    <x v="1"/>
    <s v="Clara Halim"/>
    <s v="Sorong"/>
    <x v="22"/>
    <n v="18000"/>
    <n v="5"/>
    <n v="15"/>
    <n v="90000"/>
    <n v="13500"/>
    <n v="76500"/>
    <n v="87000"/>
    <n v="163500"/>
    <x v="3"/>
    <x v="0"/>
    <x v="3"/>
    <n v="1"/>
    <x v="0"/>
    <x v="1"/>
  </r>
  <r>
    <s v="ORD00244"/>
    <x v="710"/>
    <x v="1"/>
    <s v="Zahra Kusuma"/>
    <s v="Tanjung Selor"/>
    <x v="10"/>
    <n v="15000"/>
    <n v="1"/>
    <n v="15"/>
    <n v="15000"/>
    <n v="2250"/>
    <n v="12750"/>
    <n v="26000"/>
    <n v="38750"/>
    <x v="1"/>
    <x v="2"/>
    <x v="1"/>
    <n v="1"/>
    <x v="0"/>
    <x v="0"/>
  </r>
  <r>
    <s v="ORD00244"/>
    <x v="710"/>
    <x v="1"/>
    <s v="Zahra Kusuma"/>
    <s v="Tanjung Selor"/>
    <x v="26"/>
    <n v="18000"/>
    <n v="1"/>
    <n v="0"/>
    <n v="18000"/>
    <n v="0"/>
    <n v="18000"/>
    <n v="0"/>
    <n v="18000"/>
    <x v="1"/>
    <x v="2"/>
    <x v="1"/>
    <n v="1"/>
    <x v="0"/>
    <x v="0"/>
  </r>
  <r>
    <s v="ORD00675"/>
    <x v="711"/>
    <x v="1"/>
    <s v="Andi Syahputra"/>
    <s v="Banda Aceh"/>
    <x v="24"/>
    <n v="45000"/>
    <n v="1"/>
    <n v="20"/>
    <n v="45000"/>
    <n v="9000"/>
    <n v="36000"/>
    <n v="18000"/>
    <n v="54000"/>
    <x v="2"/>
    <x v="0"/>
    <x v="3"/>
    <n v="3"/>
    <x v="1"/>
    <x v="1"/>
  </r>
  <r>
    <s v="ORD01081"/>
    <x v="712"/>
    <x v="1"/>
    <s v="Citra Syahputra"/>
    <s v="Mamuju"/>
    <x v="24"/>
    <n v="45000"/>
    <n v="2"/>
    <n v="20"/>
    <n v="90000"/>
    <n v="18000"/>
    <n v="72000"/>
    <n v="46000"/>
    <n v="118000"/>
    <x v="3"/>
    <x v="0"/>
    <x v="2"/>
    <n v="2"/>
    <x v="0"/>
    <x v="2"/>
  </r>
  <r>
    <s v="ORD01126"/>
    <x v="713"/>
    <x v="1"/>
    <s v="Rizky Budiman"/>
    <s v="Gorontalo"/>
    <x v="18"/>
    <n v="6000"/>
    <n v="2"/>
    <n v="15"/>
    <n v="12000"/>
    <n v="1800"/>
    <n v="10200"/>
    <n v="80000"/>
    <n v="90200"/>
    <x v="1"/>
    <x v="0"/>
    <x v="1"/>
    <n v="3"/>
    <x v="1"/>
    <x v="0"/>
  </r>
  <r>
    <s v="ORD00486"/>
    <x v="714"/>
    <x v="1"/>
    <s v="Kartika Fauziah"/>
    <s v="Mataram"/>
    <x v="20"/>
    <n v="12000"/>
    <n v="3"/>
    <n v="0"/>
    <n v="36000"/>
    <n v="0"/>
    <n v="36000"/>
    <n v="56000"/>
    <n v="92000"/>
    <x v="0"/>
    <x v="0"/>
    <x v="1"/>
    <n v="5"/>
    <x v="0"/>
    <x v="0"/>
  </r>
  <r>
    <s v="ORD01476"/>
    <x v="715"/>
    <x v="1"/>
    <s v="Gita Iskandar"/>
    <s v="Banjarbaru"/>
    <x v="25"/>
    <n v="35000"/>
    <n v="5"/>
    <n v="20"/>
    <n v="175000"/>
    <n v="35000"/>
    <n v="140000"/>
    <n v="55000"/>
    <n v="195000"/>
    <x v="2"/>
    <x v="0"/>
    <x v="4"/>
    <n v="1"/>
    <x v="0"/>
    <x v="3"/>
  </r>
  <r>
    <s v="ORD00043"/>
    <x v="716"/>
    <x v="1"/>
    <s v="Wahyu Fauziah"/>
    <s v="Medan"/>
    <x v="24"/>
    <n v="45000"/>
    <n v="2"/>
    <n v="5"/>
    <n v="90000"/>
    <n v="4500"/>
    <n v="85500"/>
    <n v="79000"/>
    <n v="164500"/>
    <x v="0"/>
    <x v="1"/>
    <x v="3"/>
    <n v="3"/>
    <x v="1"/>
    <x v="0"/>
  </r>
  <r>
    <s v="ORD01541"/>
    <x v="717"/>
    <x v="1"/>
    <s v="Fitri Hidayat"/>
    <s v="Bengkulu"/>
    <x v="0"/>
    <n v="45000"/>
    <n v="1"/>
    <n v="15"/>
    <n v="45000"/>
    <n v="6750"/>
    <n v="38250"/>
    <n v="72000"/>
    <n v="110250"/>
    <x v="2"/>
    <x v="0"/>
    <x v="0"/>
    <n v="3"/>
    <x v="0"/>
    <x v="1"/>
  </r>
  <r>
    <s v="ORD01300"/>
    <x v="718"/>
    <x v="1"/>
    <s v="Zahra Utami"/>
    <s v="Sofifi"/>
    <x v="17"/>
    <n v="30000"/>
    <n v="2"/>
    <n v="20"/>
    <n v="60000"/>
    <n v="12000"/>
    <n v="48000"/>
    <n v="50000"/>
    <n v="98000"/>
    <x v="1"/>
    <x v="0"/>
    <x v="3"/>
    <n v="1"/>
    <x v="0"/>
    <x v="1"/>
  </r>
  <r>
    <s v="ORD01548"/>
    <x v="719"/>
    <x v="1"/>
    <s v="Ani Utami"/>
    <s v="Banjarbaru"/>
    <x v="22"/>
    <n v="18000"/>
    <n v="1"/>
    <n v="15"/>
    <n v="18000"/>
    <n v="2700"/>
    <n v="15300"/>
    <n v="55000"/>
    <n v="70300"/>
    <x v="1"/>
    <x v="1"/>
    <x v="0"/>
    <n v="1"/>
    <x v="0"/>
    <x v="0"/>
  </r>
  <r>
    <s v="ORD00826"/>
    <x v="720"/>
    <x v="1"/>
    <s v="Sari Puspita"/>
    <s v="Jakarta"/>
    <x v="3"/>
    <n v="28000"/>
    <n v="1"/>
    <n v="5"/>
    <n v="28000"/>
    <n v="1400"/>
    <n v="26600"/>
    <n v="97000"/>
    <n v="123600"/>
    <x v="0"/>
    <x v="0"/>
    <x v="4"/>
    <n v="3"/>
    <x v="0"/>
    <x v="0"/>
  </r>
  <r>
    <s v="ORD00854"/>
    <x v="721"/>
    <x v="1"/>
    <s v="Sari Wijaya"/>
    <s v="Samarinda"/>
    <x v="24"/>
    <n v="45000"/>
    <n v="3"/>
    <n v="15"/>
    <n v="135000"/>
    <n v="20250"/>
    <n v="114750"/>
    <n v="43000"/>
    <n v="157750"/>
    <x v="0"/>
    <x v="0"/>
    <x v="0"/>
    <n v="4"/>
    <x v="0"/>
    <x v="2"/>
  </r>
  <r>
    <s v="ORD01447"/>
    <x v="722"/>
    <x v="1"/>
    <s v="Hana Budiman"/>
    <s v="Jakarta"/>
    <x v="16"/>
    <n v="25000"/>
    <n v="2"/>
    <n v="0"/>
    <n v="50000"/>
    <n v="0"/>
    <n v="50000"/>
    <n v="97000"/>
    <n v="147000"/>
    <x v="1"/>
    <x v="0"/>
    <x v="0"/>
    <n v="1"/>
    <x v="0"/>
    <x v="0"/>
  </r>
  <r>
    <s v="ORD01706"/>
    <x v="723"/>
    <x v="1"/>
    <s v="Dina Halim"/>
    <s v="Wamena"/>
    <x v="5"/>
    <n v="40000"/>
    <n v="5"/>
    <n v="5"/>
    <n v="200000"/>
    <n v="10000"/>
    <n v="190000"/>
    <n v="15000"/>
    <n v="205000"/>
    <x v="2"/>
    <x v="0"/>
    <x v="0"/>
    <n v="4"/>
    <x v="0"/>
    <x v="1"/>
  </r>
  <r>
    <s v="ORD01653"/>
    <x v="724"/>
    <x v="1"/>
    <s v="Aulia Santoso"/>
    <s v="Bandar Lampung"/>
    <x v="16"/>
    <n v="25000"/>
    <n v="3"/>
    <n v="0"/>
    <n v="75000"/>
    <n v="0"/>
    <n v="75000"/>
    <n v="28000"/>
    <n v="103000"/>
    <x v="1"/>
    <x v="0"/>
    <x v="3"/>
    <n v="1"/>
    <x v="0"/>
    <x v="0"/>
  </r>
  <r>
    <s v="ORD01095"/>
    <x v="725"/>
    <x v="1"/>
    <s v="Qori Hidayat"/>
    <s v="Palembang"/>
    <x v="9"/>
    <n v="50000"/>
    <n v="5"/>
    <n v="15"/>
    <n v="250000"/>
    <n v="37500"/>
    <n v="212500"/>
    <n v="17000"/>
    <n v="229500"/>
    <x v="0"/>
    <x v="0"/>
    <x v="2"/>
    <n v="3"/>
    <x v="0"/>
    <x v="3"/>
  </r>
  <r>
    <s v="ORD00907"/>
    <x v="726"/>
    <x v="1"/>
    <s v="Eka Ananda"/>
    <s v="Makassar"/>
    <x v="10"/>
    <n v="15000"/>
    <n v="3"/>
    <n v="10"/>
    <n v="45000"/>
    <n v="4500"/>
    <n v="40500"/>
    <n v="84000"/>
    <n v="124500"/>
    <x v="0"/>
    <x v="1"/>
    <x v="1"/>
    <n v="5"/>
    <x v="0"/>
    <x v="0"/>
  </r>
  <r>
    <s v="ORD01810"/>
    <x v="727"/>
    <x v="1"/>
    <s v="Kartika Saputra"/>
    <s v="Palu"/>
    <x v="15"/>
    <n v="14000"/>
    <n v="1"/>
    <n v="10"/>
    <n v="14000"/>
    <n v="1400"/>
    <n v="12600"/>
    <n v="67000"/>
    <n v="79600"/>
    <x v="0"/>
    <x v="0"/>
    <x v="4"/>
    <n v="1"/>
    <x v="0"/>
    <x v="0"/>
  </r>
  <r>
    <s v="ORD01173"/>
    <x v="728"/>
    <x v="1"/>
    <s v="Eka Pradipta"/>
    <s v="Bandung"/>
    <x v="23"/>
    <n v="10000"/>
    <n v="4"/>
    <n v="20"/>
    <n v="40000"/>
    <n v="8000"/>
    <n v="32000"/>
    <n v="0"/>
    <n v="32000"/>
    <x v="0"/>
    <x v="0"/>
    <x v="4"/>
    <n v="1"/>
    <x v="0"/>
    <x v="1"/>
  </r>
  <r>
    <s v="ORD01430"/>
    <x v="729"/>
    <x v="1"/>
    <s v="Budi Wijaya"/>
    <s v="Gorontalo"/>
    <x v="19"/>
    <n v="22000"/>
    <n v="3"/>
    <n v="0"/>
    <n v="66000"/>
    <n v="0"/>
    <n v="66000"/>
    <n v="80000"/>
    <n v="146000"/>
    <x v="1"/>
    <x v="0"/>
    <x v="2"/>
    <n v="3"/>
    <x v="1"/>
    <x v="0"/>
  </r>
  <r>
    <s v="ORD01306"/>
    <x v="730"/>
    <x v="1"/>
    <s v="Fitri Santoso"/>
    <s v="Pekanbaru"/>
    <x v="22"/>
    <n v="18000"/>
    <n v="2"/>
    <n v="20"/>
    <n v="36000"/>
    <n v="7200"/>
    <n v="28800"/>
    <n v="49000"/>
    <n v="77800"/>
    <x v="3"/>
    <x v="1"/>
    <x v="4"/>
    <n v="3"/>
    <x v="0"/>
    <x v="1"/>
  </r>
  <r>
    <s v="ORD01823"/>
    <x v="731"/>
    <x v="1"/>
    <s v="Iwan Budiman"/>
    <s v="Semarang"/>
    <x v="3"/>
    <n v="28000"/>
    <n v="2"/>
    <n v="0"/>
    <n v="56000"/>
    <n v="0"/>
    <n v="56000"/>
    <n v="76000"/>
    <n v="132000"/>
    <x v="1"/>
    <x v="0"/>
    <x v="3"/>
    <n v="2"/>
    <x v="1"/>
    <x v="0"/>
  </r>
  <r>
    <s v="ORD00291"/>
    <x v="732"/>
    <x v="1"/>
    <s v="Dewi Syahputra"/>
    <s v="Manokwari"/>
    <x v="12"/>
    <n v="55000"/>
    <n v="3"/>
    <n v="5"/>
    <n v="165000"/>
    <n v="8250"/>
    <n v="156750"/>
    <n v="18000"/>
    <n v="174750"/>
    <x v="3"/>
    <x v="2"/>
    <x v="2"/>
    <n v="3"/>
    <x v="0"/>
    <x v="1"/>
  </r>
  <r>
    <s v="ORD00526"/>
    <x v="733"/>
    <x v="1"/>
    <s v="Dina Maulana"/>
    <s v="Kupang"/>
    <x v="7"/>
    <n v="16000"/>
    <n v="3"/>
    <n v="5"/>
    <n v="48000"/>
    <n v="2400"/>
    <n v="45600"/>
    <n v="21000"/>
    <n v="66600"/>
    <x v="3"/>
    <x v="0"/>
    <x v="0"/>
    <n v="5"/>
    <x v="0"/>
    <x v="0"/>
  </r>
  <r>
    <s v="ORD01832"/>
    <x v="734"/>
    <x v="1"/>
    <s v="Citra Maulana"/>
    <s v="Bengkulu"/>
    <x v="9"/>
    <n v="50000"/>
    <n v="5"/>
    <n v="10"/>
    <n v="250000"/>
    <n v="25000"/>
    <n v="225000"/>
    <n v="72000"/>
    <n v="297000"/>
    <x v="3"/>
    <x v="0"/>
    <x v="3"/>
    <n v="3"/>
    <x v="0"/>
    <x v="2"/>
  </r>
  <r>
    <s v="ORD00248"/>
    <x v="735"/>
    <x v="1"/>
    <s v="Putri Hidayat"/>
    <s v="Padang"/>
    <x v="26"/>
    <n v="18000"/>
    <n v="3"/>
    <n v="15"/>
    <n v="54000"/>
    <n v="8100"/>
    <n v="45900"/>
    <n v="68000"/>
    <n v="113900"/>
    <x v="3"/>
    <x v="0"/>
    <x v="4"/>
    <n v="4"/>
    <x v="0"/>
    <x v="1"/>
  </r>
  <r>
    <s v="ORD01660"/>
    <x v="736"/>
    <x v="1"/>
    <s v="Citra Halim"/>
    <s v="Merauke"/>
    <x v="1"/>
    <n v="5000"/>
    <n v="1"/>
    <n v="10"/>
    <n v="5000"/>
    <n v="500"/>
    <n v="4500"/>
    <n v="59000"/>
    <n v="63500"/>
    <x v="3"/>
    <x v="0"/>
    <x v="2"/>
    <n v="4"/>
    <x v="0"/>
    <x v="0"/>
  </r>
  <r>
    <s v="ORD01521"/>
    <x v="737"/>
    <x v="1"/>
    <s v="Zahra Budiman"/>
    <s v="Ambon"/>
    <x v="0"/>
    <n v="45000"/>
    <n v="5"/>
    <n v="20"/>
    <n v="225000"/>
    <n v="45000"/>
    <n v="180000"/>
    <n v="49000"/>
    <n v="229000"/>
    <x v="2"/>
    <x v="1"/>
    <x v="0"/>
    <n v="3"/>
    <x v="0"/>
    <x v="3"/>
  </r>
  <r>
    <s v="ORD01171"/>
    <x v="738"/>
    <x v="1"/>
    <s v="Zahra Kusuma"/>
    <s v="Tanjung Selor"/>
    <x v="21"/>
    <n v="17000"/>
    <n v="1"/>
    <n v="20"/>
    <n v="17000"/>
    <n v="3400"/>
    <n v="13600"/>
    <n v="26000"/>
    <n v="39600"/>
    <x v="2"/>
    <x v="0"/>
    <x v="1"/>
    <n v="3"/>
    <x v="0"/>
    <x v="0"/>
  </r>
  <r>
    <s v="ORD00110"/>
    <x v="739"/>
    <x v="1"/>
    <s v="Yani Hidayat"/>
    <s v="Gorontalo"/>
    <x v="23"/>
    <n v="10000"/>
    <n v="2"/>
    <n v="10"/>
    <n v="20000"/>
    <n v="2000"/>
    <n v="18000"/>
    <n v="80000"/>
    <n v="98000"/>
    <x v="1"/>
    <x v="0"/>
    <x v="3"/>
    <n v="1"/>
    <x v="0"/>
    <x v="0"/>
  </r>
  <r>
    <s v="ORD01191"/>
    <x v="740"/>
    <x v="1"/>
    <s v="Fitri Iskandar"/>
    <s v="Kendari"/>
    <x v="26"/>
    <n v="18000"/>
    <n v="1"/>
    <n v="0"/>
    <n v="18000"/>
    <n v="0"/>
    <n v="18000"/>
    <n v="59000"/>
    <n v="77000"/>
    <x v="2"/>
    <x v="0"/>
    <x v="0"/>
    <n v="5"/>
    <x v="0"/>
    <x v="0"/>
  </r>
  <r>
    <s v="ORD00551"/>
    <x v="741"/>
    <x v="1"/>
    <s v="Bella Setiawan"/>
    <s v="Kupang"/>
    <x v="2"/>
    <n v="16000"/>
    <n v="1"/>
    <n v="10"/>
    <n v="16000"/>
    <n v="1600"/>
    <n v="14400"/>
    <n v="21000"/>
    <n v="35400"/>
    <x v="2"/>
    <x v="0"/>
    <x v="4"/>
    <n v="2"/>
    <x v="0"/>
    <x v="0"/>
  </r>
  <r>
    <s v="ORD00375"/>
    <x v="742"/>
    <x v="1"/>
    <s v="Sari Ramadhani"/>
    <s v="Mamuju"/>
    <x v="23"/>
    <n v="10000"/>
    <n v="1"/>
    <n v="15"/>
    <n v="10000"/>
    <n v="1500"/>
    <n v="8500"/>
    <n v="46000"/>
    <n v="54500"/>
    <x v="2"/>
    <x v="0"/>
    <x v="4"/>
    <n v="2"/>
    <x v="0"/>
    <x v="0"/>
  </r>
  <r>
    <s v="ORD00975"/>
    <x v="743"/>
    <x v="1"/>
    <s v="Dina Kurniawan"/>
    <s v="Sorong"/>
    <x v="22"/>
    <n v="18000"/>
    <n v="3"/>
    <n v="15"/>
    <n v="54000"/>
    <n v="8100"/>
    <n v="45900"/>
    <n v="87000"/>
    <n v="132900"/>
    <x v="0"/>
    <x v="2"/>
    <x v="0"/>
    <n v="1"/>
    <x v="0"/>
    <x v="1"/>
  </r>
  <r>
    <s v="ORD00427"/>
    <x v="744"/>
    <x v="1"/>
    <s v="Qori Utami"/>
    <s v="Serang"/>
    <x v="18"/>
    <n v="6000"/>
    <n v="3"/>
    <n v="15"/>
    <n v="18000"/>
    <n v="2700"/>
    <n v="15300"/>
    <n v="57000"/>
    <n v="72300"/>
    <x v="0"/>
    <x v="0"/>
    <x v="0"/>
    <n v="5"/>
    <x v="0"/>
    <x v="0"/>
  </r>
  <r>
    <s v="ORD00919"/>
    <x v="745"/>
    <x v="1"/>
    <s v="Eka Rahmawati"/>
    <s v="Samarinda"/>
    <x v="15"/>
    <n v="14000"/>
    <n v="2"/>
    <n v="5"/>
    <n v="28000"/>
    <n v="1400"/>
    <n v="26600"/>
    <n v="43000"/>
    <n v="69600"/>
    <x v="1"/>
    <x v="1"/>
    <x v="4"/>
    <n v="4"/>
    <x v="0"/>
    <x v="0"/>
  </r>
  <r>
    <s v="ORD00138"/>
    <x v="746"/>
    <x v="1"/>
    <s v="Eka Hidayat"/>
    <s v="Samarinda"/>
    <x v="23"/>
    <n v="10000"/>
    <n v="5"/>
    <n v="20"/>
    <n v="50000"/>
    <n v="10000"/>
    <n v="40000"/>
    <n v="43000"/>
    <n v="83000"/>
    <x v="0"/>
    <x v="2"/>
    <x v="4"/>
    <n v="2"/>
    <x v="0"/>
    <x v="1"/>
  </r>
  <r>
    <s v="ORD00138"/>
    <x v="746"/>
    <x v="1"/>
    <s v="Eka Hidayat"/>
    <s v="Samarinda"/>
    <x v="23"/>
    <n v="10000"/>
    <n v="2"/>
    <n v="5"/>
    <n v="20000"/>
    <n v="1000"/>
    <n v="19000"/>
    <n v="0"/>
    <n v="19000"/>
    <x v="0"/>
    <x v="2"/>
    <x v="4"/>
    <n v="2"/>
    <x v="0"/>
    <x v="0"/>
  </r>
  <r>
    <s v="ORD00517"/>
    <x v="747"/>
    <x v="1"/>
    <s v="Gita Santoso"/>
    <s v="Mamuju"/>
    <x v="5"/>
    <n v="40000"/>
    <n v="1"/>
    <n v="0"/>
    <n v="40000"/>
    <n v="0"/>
    <n v="40000"/>
    <n v="46000"/>
    <n v="86000"/>
    <x v="1"/>
    <x v="0"/>
    <x v="0"/>
    <n v="2"/>
    <x v="0"/>
    <x v="0"/>
  </r>
  <r>
    <s v="ORD00727"/>
    <x v="748"/>
    <x v="1"/>
    <s v="Kartika Nugroho"/>
    <s v="Samarinda"/>
    <x v="0"/>
    <n v="45000"/>
    <n v="2"/>
    <n v="20"/>
    <n v="90000"/>
    <n v="18000"/>
    <n v="72000"/>
    <n v="43000"/>
    <n v="115000"/>
    <x v="0"/>
    <x v="1"/>
    <x v="1"/>
    <n v="3"/>
    <x v="0"/>
    <x v="2"/>
  </r>
  <r>
    <s v="ORD00588"/>
    <x v="749"/>
    <x v="1"/>
    <s v="Fajar Fauziah"/>
    <s v="Padang"/>
    <x v="6"/>
    <n v="14000"/>
    <n v="3"/>
    <n v="10"/>
    <n v="42000"/>
    <n v="4200"/>
    <n v="37800"/>
    <n v="68000"/>
    <n v="105800"/>
    <x v="2"/>
    <x v="0"/>
    <x v="3"/>
    <n v="5"/>
    <x v="1"/>
    <x v="0"/>
  </r>
  <r>
    <s v="ORD00702"/>
    <x v="750"/>
    <x v="1"/>
    <s v="Sari Hidayat"/>
    <s v="Semarang"/>
    <x v="6"/>
    <n v="14000"/>
    <n v="4"/>
    <n v="10"/>
    <n v="56000"/>
    <n v="5600"/>
    <n v="50400"/>
    <n v="76000"/>
    <n v="126400"/>
    <x v="0"/>
    <x v="0"/>
    <x v="1"/>
    <n v="2"/>
    <x v="0"/>
    <x v="1"/>
  </r>
  <r>
    <s v="ORD00276"/>
    <x v="751"/>
    <x v="1"/>
    <s v="Fitri Halim"/>
    <s v="Denpasar"/>
    <x v="6"/>
    <n v="14000"/>
    <n v="4"/>
    <n v="10"/>
    <n v="56000"/>
    <n v="5600"/>
    <n v="50400"/>
    <n v="80000"/>
    <n v="130400"/>
    <x v="0"/>
    <x v="0"/>
    <x v="0"/>
    <n v="1"/>
    <x v="0"/>
    <x v="1"/>
  </r>
  <r>
    <s v="ORD01223"/>
    <x v="752"/>
    <x v="1"/>
    <s v="Eka Halim"/>
    <s v="Manado"/>
    <x v="15"/>
    <n v="14000"/>
    <n v="2"/>
    <n v="15"/>
    <n v="28000"/>
    <n v="4200"/>
    <n v="23800"/>
    <n v="93000"/>
    <n v="116800"/>
    <x v="0"/>
    <x v="2"/>
    <x v="3"/>
    <n v="2"/>
    <x v="0"/>
    <x v="0"/>
  </r>
  <r>
    <s v="ORD00107"/>
    <x v="753"/>
    <x v="1"/>
    <s v="Sari Iskandar"/>
    <s v="Bengkulu"/>
    <x v="20"/>
    <n v="12000"/>
    <n v="1"/>
    <n v="5"/>
    <n v="12000"/>
    <n v="600"/>
    <n v="11400"/>
    <n v="72000"/>
    <n v="83400"/>
    <x v="2"/>
    <x v="0"/>
    <x v="2"/>
    <n v="2"/>
    <x v="0"/>
    <x v="0"/>
  </r>
  <r>
    <s v="ORD00432"/>
    <x v="754"/>
    <x v="1"/>
    <s v="Kartika Halim"/>
    <s v="Kupang"/>
    <x v="3"/>
    <n v="28000"/>
    <n v="3"/>
    <n v="5"/>
    <n v="84000"/>
    <n v="4200"/>
    <n v="79800"/>
    <n v="21000"/>
    <n v="100800"/>
    <x v="2"/>
    <x v="0"/>
    <x v="1"/>
    <n v="4"/>
    <x v="0"/>
    <x v="0"/>
  </r>
  <r>
    <s v="ORD00133"/>
    <x v="755"/>
    <x v="1"/>
    <s v="Dina Ramadhani"/>
    <s v="Sofifi"/>
    <x v="6"/>
    <n v="14000"/>
    <n v="4"/>
    <n v="5"/>
    <n v="56000"/>
    <n v="2800"/>
    <n v="53200"/>
    <n v="50000"/>
    <n v="103200"/>
    <x v="2"/>
    <x v="0"/>
    <x v="0"/>
    <n v="3"/>
    <x v="0"/>
    <x v="0"/>
  </r>
  <r>
    <s v="ORD01004"/>
    <x v="756"/>
    <x v="1"/>
    <s v="Ani Halim"/>
    <s v="Sofifi"/>
    <x v="26"/>
    <n v="18000"/>
    <n v="2"/>
    <n v="5"/>
    <n v="36000"/>
    <n v="1800"/>
    <n v="34200"/>
    <n v="50000"/>
    <n v="84200"/>
    <x v="1"/>
    <x v="0"/>
    <x v="1"/>
    <n v="2"/>
    <x v="0"/>
    <x v="0"/>
  </r>
  <r>
    <s v="ORD01475"/>
    <x v="757"/>
    <x v="1"/>
    <s v="Kartika Saputra"/>
    <s v="Palu"/>
    <x v="4"/>
    <n v="4000"/>
    <n v="4"/>
    <n v="20"/>
    <n v="16000"/>
    <n v="3200"/>
    <n v="12800"/>
    <n v="67000"/>
    <n v="79800"/>
    <x v="1"/>
    <x v="0"/>
    <x v="0"/>
    <n v="5"/>
    <x v="0"/>
    <x v="0"/>
  </r>
  <r>
    <s v="ORD01761"/>
    <x v="758"/>
    <x v="1"/>
    <s v="Zahra Kurniawan"/>
    <s v="Wamena"/>
    <x v="3"/>
    <n v="28000"/>
    <n v="1"/>
    <n v="5"/>
    <n v="28000"/>
    <n v="1400"/>
    <n v="26600"/>
    <n v="15000"/>
    <n v="41600"/>
    <x v="2"/>
    <x v="0"/>
    <x v="1"/>
    <n v="3"/>
    <x v="0"/>
    <x v="0"/>
  </r>
  <r>
    <s v="ORD00775"/>
    <x v="759"/>
    <x v="1"/>
    <s v="Clara Setiawan"/>
    <s v="Manokwari"/>
    <x v="11"/>
    <n v="40000"/>
    <n v="2"/>
    <n v="5"/>
    <n v="80000"/>
    <n v="4000"/>
    <n v="76000"/>
    <n v="18000"/>
    <n v="94000"/>
    <x v="0"/>
    <x v="2"/>
    <x v="0"/>
    <n v="2"/>
    <x v="0"/>
    <x v="0"/>
  </r>
  <r>
    <s v="ORD00734"/>
    <x v="760"/>
    <x v="1"/>
    <s v="Vina Kurniawan"/>
    <s v="Yogyakarta"/>
    <x v="10"/>
    <n v="15000"/>
    <n v="1"/>
    <n v="20"/>
    <n v="15000"/>
    <n v="3000"/>
    <n v="12000"/>
    <n v="78000"/>
    <n v="90000"/>
    <x v="2"/>
    <x v="0"/>
    <x v="0"/>
    <n v="2"/>
    <x v="0"/>
    <x v="0"/>
  </r>
  <r>
    <s v="ORD01557"/>
    <x v="761"/>
    <x v="1"/>
    <s v="Erna Kusuma"/>
    <s v="Bandung"/>
    <x v="6"/>
    <n v="14000"/>
    <n v="5"/>
    <n v="10"/>
    <n v="70000"/>
    <n v="7000"/>
    <n v="63000"/>
    <n v="0"/>
    <n v="63000"/>
    <x v="2"/>
    <x v="0"/>
    <x v="0"/>
    <n v="1"/>
    <x v="0"/>
    <x v="1"/>
  </r>
  <r>
    <s v="ORD00895"/>
    <x v="762"/>
    <x v="1"/>
    <s v="Ani Ramadhani"/>
    <s v="Sofifi"/>
    <x v="11"/>
    <n v="40000"/>
    <n v="1"/>
    <n v="10"/>
    <n v="40000"/>
    <n v="4000"/>
    <n v="36000"/>
    <n v="50000"/>
    <n v="86000"/>
    <x v="1"/>
    <x v="1"/>
    <x v="0"/>
    <n v="1"/>
    <x v="0"/>
    <x v="0"/>
  </r>
  <r>
    <s v="ORD00015"/>
    <x v="763"/>
    <x v="1"/>
    <s v="Tono Fauziah"/>
    <s v="Serang"/>
    <x v="20"/>
    <n v="12000"/>
    <n v="3"/>
    <n v="5"/>
    <n v="36000"/>
    <n v="1800"/>
    <n v="34200"/>
    <n v="57000"/>
    <n v="91200"/>
    <x v="3"/>
    <x v="2"/>
    <x v="4"/>
    <n v="4"/>
    <x v="1"/>
    <x v="0"/>
  </r>
  <r>
    <s v="ORD00850"/>
    <x v="764"/>
    <x v="1"/>
    <s v="Hana Ramadhani"/>
    <s v="Pekanbaru"/>
    <x v="3"/>
    <n v="28000"/>
    <n v="1"/>
    <n v="10"/>
    <n v="28000"/>
    <n v="2800"/>
    <n v="25200"/>
    <n v="49000"/>
    <n v="74200"/>
    <x v="0"/>
    <x v="1"/>
    <x v="3"/>
    <n v="1"/>
    <x v="0"/>
    <x v="0"/>
  </r>
  <r>
    <s v="ORD00074"/>
    <x v="765"/>
    <x v="1"/>
    <s v="Made Fauziah"/>
    <s v="Kendari"/>
    <x v="22"/>
    <n v="18000"/>
    <n v="4"/>
    <n v="5"/>
    <n v="72000"/>
    <n v="3600"/>
    <n v="68400"/>
    <n v="59000"/>
    <n v="127400"/>
    <x v="2"/>
    <x v="1"/>
    <x v="4"/>
    <n v="1"/>
    <x v="1"/>
    <x v="0"/>
  </r>
  <r>
    <s v="ORD00152"/>
    <x v="766"/>
    <x v="1"/>
    <s v="Kartika Pradipta"/>
    <s v="Kupang"/>
    <x v="14"/>
    <n v="35000"/>
    <n v="3"/>
    <n v="0"/>
    <n v="105000"/>
    <n v="0"/>
    <n v="105000"/>
    <n v="21000"/>
    <n v="126000"/>
    <x v="0"/>
    <x v="1"/>
    <x v="2"/>
    <n v="5"/>
    <x v="0"/>
    <x v="0"/>
  </r>
  <r>
    <s v="ORD01122"/>
    <x v="767"/>
    <x v="1"/>
    <s v="Sari Hidayat"/>
    <s v="Semarang"/>
    <x v="18"/>
    <n v="6000"/>
    <n v="2"/>
    <n v="10"/>
    <n v="12000"/>
    <n v="1200"/>
    <n v="10800"/>
    <n v="76000"/>
    <n v="86800"/>
    <x v="0"/>
    <x v="0"/>
    <x v="4"/>
    <n v="5"/>
    <x v="0"/>
    <x v="0"/>
  </r>
  <r>
    <s v="ORD00525"/>
    <x v="768"/>
    <x v="1"/>
    <s v="Erna Santoso"/>
    <s v="Samarinda"/>
    <x v="19"/>
    <n v="22000"/>
    <n v="4"/>
    <n v="20"/>
    <n v="88000"/>
    <n v="17600"/>
    <n v="70400"/>
    <n v="43000"/>
    <n v="113400"/>
    <x v="0"/>
    <x v="0"/>
    <x v="3"/>
    <n v="3"/>
    <x v="0"/>
    <x v="2"/>
  </r>
  <r>
    <s v="ORD00837"/>
    <x v="769"/>
    <x v="1"/>
    <s v="Gita Kusuma"/>
    <s v="Pekanbaru"/>
    <x v="18"/>
    <n v="6000"/>
    <n v="1"/>
    <n v="10"/>
    <n v="6000"/>
    <n v="600"/>
    <n v="5400"/>
    <n v="49000"/>
    <n v="54400"/>
    <x v="2"/>
    <x v="1"/>
    <x v="4"/>
    <n v="3"/>
    <x v="0"/>
    <x v="0"/>
  </r>
  <r>
    <s v="ORD00235"/>
    <x v="770"/>
    <x v="1"/>
    <s v="Clara Utami"/>
    <s v="Pangkalpinang"/>
    <x v="0"/>
    <n v="45000"/>
    <n v="5"/>
    <n v="5"/>
    <n v="225000"/>
    <n v="11250"/>
    <n v="213750"/>
    <n v="18000"/>
    <n v="231750"/>
    <x v="1"/>
    <x v="0"/>
    <x v="3"/>
    <n v="5"/>
    <x v="0"/>
    <x v="1"/>
  </r>
  <r>
    <s v="ORD00235"/>
    <x v="770"/>
    <x v="1"/>
    <s v="Clara Utami"/>
    <s v="Pangkalpinang"/>
    <x v="23"/>
    <n v="10000"/>
    <n v="4"/>
    <n v="5"/>
    <n v="40000"/>
    <n v="2000"/>
    <n v="38000"/>
    <n v="0"/>
    <n v="38000"/>
    <x v="1"/>
    <x v="0"/>
    <x v="3"/>
    <n v="5"/>
    <x v="0"/>
    <x v="0"/>
  </r>
  <r>
    <s v="ORD00443"/>
    <x v="771"/>
    <x v="1"/>
    <s v="Qori Santoso"/>
    <s v="Wamena"/>
    <x v="12"/>
    <n v="55000"/>
    <n v="3"/>
    <n v="15"/>
    <n v="165000"/>
    <n v="24750"/>
    <n v="140250"/>
    <n v="15000"/>
    <n v="155250"/>
    <x v="3"/>
    <x v="0"/>
    <x v="0"/>
    <n v="5"/>
    <x v="0"/>
    <x v="2"/>
  </r>
  <r>
    <s v="ORD01626"/>
    <x v="772"/>
    <x v="1"/>
    <s v="Gita Utami"/>
    <s v="Pangkalpinang"/>
    <x v="17"/>
    <n v="30000"/>
    <n v="3"/>
    <n v="5"/>
    <n v="90000"/>
    <n v="4500"/>
    <n v="85500"/>
    <n v="18000"/>
    <n v="103500"/>
    <x v="2"/>
    <x v="0"/>
    <x v="2"/>
    <n v="5"/>
    <x v="0"/>
    <x v="0"/>
  </r>
  <r>
    <s v="ORD01540"/>
    <x v="773"/>
    <x v="1"/>
    <s v="Fitri Setiawan"/>
    <s v="Pekanbaru"/>
    <x v="5"/>
    <n v="40000"/>
    <n v="5"/>
    <n v="10"/>
    <n v="200000"/>
    <n v="20000"/>
    <n v="180000"/>
    <n v="49000"/>
    <n v="229000"/>
    <x v="2"/>
    <x v="0"/>
    <x v="3"/>
    <n v="5"/>
    <x v="0"/>
    <x v="2"/>
  </r>
  <r>
    <s v="ORD01067"/>
    <x v="774"/>
    <x v="1"/>
    <s v="Kartika Santoso"/>
    <s v="Jambi"/>
    <x v="1"/>
    <n v="5000"/>
    <n v="5"/>
    <n v="0"/>
    <n v="25000"/>
    <n v="0"/>
    <n v="25000"/>
    <n v="87000"/>
    <n v="112000"/>
    <x v="1"/>
    <x v="0"/>
    <x v="0"/>
    <n v="3"/>
    <x v="0"/>
    <x v="0"/>
  </r>
  <r>
    <s v="ORD01349"/>
    <x v="775"/>
    <x v="1"/>
    <s v="Yani Hidayat"/>
    <s v="Gorontalo"/>
    <x v="17"/>
    <n v="30000"/>
    <n v="4"/>
    <n v="0"/>
    <n v="120000"/>
    <n v="0"/>
    <n v="120000"/>
    <n v="80000"/>
    <n v="200000"/>
    <x v="3"/>
    <x v="0"/>
    <x v="0"/>
    <n v="4"/>
    <x v="0"/>
    <x v="0"/>
  </r>
  <r>
    <s v="ORD00457"/>
    <x v="776"/>
    <x v="1"/>
    <s v="Erna Ananda"/>
    <s v="Manokwari"/>
    <x v="11"/>
    <n v="40000"/>
    <n v="4"/>
    <n v="5"/>
    <n v="160000"/>
    <n v="8000"/>
    <n v="152000"/>
    <n v="18000"/>
    <n v="170000"/>
    <x v="1"/>
    <x v="1"/>
    <x v="3"/>
    <n v="3"/>
    <x v="0"/>
    <x v="1"/>
  </r>
  <r>
    <s v="ORD00507"/>
    <x v="777"/>
    <x v="1"/>
    <s v="Andi Wijaya"/>
    <s v="Kupang"/>
    <x v="2"/>
    <n v="16000"/>
    <n v="1"/>
    <n v="15"/>
    <n v="16000"/>
    <n v="2400"/>
    <n v="13600"/>
    <n v="21000"/>
    <n v="34600"/>
    <x v="3"/>
    <x v="0"/>
    <x v="0"/>
    <n v="3"/>
    <x v="1"/>
    <x v="0"/>
  </r>
  <r>
    <s v="ORD00353"/>
    <x v="778"/>
    <x v="1"/>
    <s v="Hana Fauziah"/>
    <s v="Pontianak"/>
    <x v="10"/>
    <n v="15000"/>
    <n v="2"/>
    <n v="5"/>
    <n v="30000"/>
    <n v="1500"/>
    <n v="28500"/>
    <n v="85000"/>
    <n v="113500"/>
    <x v="0"/>
    <x v="0"/>
    <x v="4"/>
    <n v="1"/>
    <x v="0"/>
    <x v="0"/>
  </r>
  <r>
    <s v="ORD00643"/>
    <x v="779"/>
    <x v="1"/>
    <s v="Dewi Wijaya"/>
    <s v="Jayapura"/>
    <x v="14"/>
    <n v="35000"/>
    <n v="3"/>
    <n v="10"/>
    <n v="105000"/>
    <n v="10500"/>
    <n v="94500"/>
    <n v="30000"/>
    <n v="124500"/>
    <x v="1"/>
    <x v="1"/>
    <x v="0"/>
    <n v="1"/>
    <x v="0"/>
    <x v="1"/>
  </r>
  <r>
    <s v="ORD00966"/>
    <x v="780"/>
    <x v="1"/>
    <s v="Zahra Santoso"/>
    <s v="Nabire"/>
    <x v="9"/>
    <n v="50000"/>
    <n v="5"/>
    <n v="15"/>
    <n v="250000"/>
    <n v="37500"/>
    <n v="212500"/>
    <n v="89000"/>
    <n v="301500"/>
    <x v="2"/>
    <x v="0"/>
    <x v="0"/>
    <n v="4"/>
    <x v="0"/>
    <x v="3"/>
  </r>
  <r>
    <s v="ORD00075"/>
    <x v="781"/>
    <x v="1"/>
    <s v="Iwan Maulana"/>
    <s v="Pontianak"/>
    <x v="3"/>
    <n v="28000"/>
    <n v="2"/>
    <n v="15"/>
    <n v="56000"/>
    <n v="8400"/>
    <n v="47600"/>
    <n v="85000"/>
    <n v="132600"/>
    <x v="3"/>
    <x v="2"/>
    <x v="4"/>
    <n v="5"/>
    <x v="1"/>
    <x v="1"/>
  </r>
  <r>
    <s v="ORD01596"/>
    <x v="782"/>
    <x v="1"/>
    <s v="Qori Setiawan"/>
    <s v="Jambi"/>
    <x v="15"/>
    <n v="14000"/>
    <n v="2"/>
    <n v="0"/>
    <n v="28000"/>
    <n v="0"/>
    <n v="28000"/>
    <n v="87000"/>
    <n v="115000"/>
    <x v="1"/>
    <x v="0"/>
    <x v="0"/>
    <n v="5"/>
    <x v="0"/>
    <x v="0"/>
  </r>
  <r>
    <s v="ORD01311"/>
    <x v="783"/>
    <x v="1"/>
    <s v="Hana Puspita"/>
    <s v="Pangkalpinang"/>
    <x v="15"/>
    <n v="14000"/>
    <n v="1"/>
    <n v="5"/>
    <n v="14000"/>
    <n v="700"/>
    <n v="13300"/>
    <n v="18000"/>
    <n v="31300"/>
    <x v="3"/>
    <x v="0"/>
    <x v="3"/>
    <n v="2"/>
    <x v="0"/>
    <x v="0"/>
  </r>
  <r>
    <s v="ORD01735"/>
    <x v="784"/>
    <x v="1"/>
    <s v="Bella Hidayat"/>
    <s v="Medan"/>
    <x v="14"/>
    <n v="35000"/>
    <n v="4"/>
    <n v="5"/>
    <n v="140000"/>
    <n v="7000"/>
    <n v="133000"/>
    <n v="79000"/>
    <n v="212000"/>
    <x v="1"/>
    <x v="0"/>
    <x v="2"/>
    <n v="2"/>
    <x v="0"/>
    <x v="1"/>
  </r>
  <r>
    <s v="ORD01799"/>
    <x v="785"/>
    <x v="1"/>
    <s v="Yani Hidayat"/>
    <s v="Gorontalo"/>
    <x v="11"/>
    <n v="40000"/>
    <n v="3"/>
    <n v="0"/>
    <n v="120000"/>
    <n v="0"/>
    <n v="120000"/>
    <n v="80000"/>
    <n v="200000"/>
    <x v="3"/>
    <x v="1"/>
    <x v="4"/>
    <n v="5"/>
    <x v="0"/>
    <x v="0"/>
  </r>
  <r>
    <s v="ORD00149"/>
    <x v="786"/>
    <x v="1"/>
    <s v="Putri Kurniawan"/>
    <s v="Nabire"/>
    <x v="6"/>
    <n v="14000"/>
    <n v="5"/>
    <n v="10"/>
    <n v="70000"/>
    <n v="7000"/>
    <n v="63000"/>
    <n v="89000"/>
    <n v="152000"/>
    <x v="1"/>
    <x v="1"/>
    <x v="0"/>
    <n v="4"/>
    <x v="0"/>
    <x v="1"/>
  </r>
  <r>
    <s v="ORD00042"/>
    <x v="787"/>
    <x v="1"/>
    <s v="Yoga Nugroho"/>
    <s v="Banda Aceh"/>
    <x v="14"/>
    <n v="35000"/>
    <n v="5"/>
    <n v="15"/>
    <n v="175000"/>
    <n v="26250"/>
    <n v="148750"/>
    <n v="18000"/>
    <n v="166750"/>
    <x v="0"/>
    <x v="0"/>
    <x v="1"/>
    <n v="4"/>
    <x v="1"/>
    <x v="2"/>
  </r>
  <r>
    <s v="ORD00449"/>
    <x v="788"/>
    <x v="1"/>
    <s v="Dina Kusuma"/>
    <s v="Tanjungpinang"/>
    <x v="20"/>
    <n v="12000"/>
    <n v="2"/>
    <n v="5"/>
    <n v="24000"/>
    <n v="1200"/>
    <n v="22800"/>
    <n v="48000"/>
    <n v="70800"/>
    <x v="2"/>
    <x v="0"/>
    <x v="1"/>
    <n v="2"/>
    <x v="0"/>
    <x v="0"/>
  </r>
  <r>
    <s v="ORD01657"/>
    <x v="789"/>
    <x v="1"/>
    <s v="Eka Saputra"/>
    <s v="Tanjungpinang"/>
    <x v="8"/>
    <n v="16000"/>
    <n v="3"/>
    <n v="5"/>
    <n v="48000"/>
    <n v="2400"/>
    <n v="45600"/>
    <n v="48000"/>
    <n v="93600"/>
    <x v="0"/>
    <x v="0"/>
    <x v="3"/>
    <n v="4"/>
    <x v="0"/>
    <x v="0"/>
  </r>
  <r>
    <s v="ORD01471"/>
    <x v="790"/>
    <x v="1"/>
    <s v="Ani Kusuma"/>
    <s v="Tanjungpinang"/>
    <x v="6"/>
    <n v="14000"/>
    <n v="2"/>
    <n v="5"/>
    <n v="28000"/>
    <n v="1400"/>
    <n v="26600"/>
    <n v="48000"/>
    <n v="74600"/>
    <x v="2"/>
    <x v="0"/>
    <x v="0"/>
    <n v="1"/>
    <x v="0"/>
    <x v="0"/>
  </r>
  <r>
    <s v="ORD01281"/>
    <x v="791"/>
    <x v="1"/>
    <s v="Aulia Wijaya"/>
    <s v="Palangka Raya"/>
    <x v="26"/>
    <n v="18000"/>
    <n v="1"/>
    <n v="20"/>
    <n v="18000"/>
    <n v="3600"/>
    <n v="14400"/>
    <n v="50000"/>
    <n v="64400"/>
    <x v="0"/>
    <x v="0"/>
    <x v="2"/>
    <n v="2"/>
    <x v="0"/>
    <x v="0"/>
  </r>
  <r>
    <s v="ORD01617"/>
    <x v="792"/>
    <x v="1"/>
    <s v="Hana Fauziah"/>
    <s v="Pontianak"/>
    <x v="5"/>
    <n v="40000"/>
    <n v="1"/>
    <n v="10"/>
    <n v="40000"/>
    <n v="4000"/>
    <n v="36000"/>
    <n v="85000"/>
    <n v="121000"/>
    <x v="3"/>
    <x v="0"/>
    <x v="1"/>
    <n v="4"/>
    <x v="0"/>
    <x v="0"/>
  </r>
  <r>
    <s v="ORD01662"/>
    <x v="793"/>
    <x v="1"/>
    <s v="Gita Nugroho"/>
    <s v="Semarang"/>
    <x v="4"/>
    <n v="4000"/>
    <n v="4"/>
    <n v="15"/>
    <n v="16000"/>
    <n v="2400"/>
    <n v="13600"/>
    <n v="76000"/>
    <n v="89600"/>
    <x v="0"/>
    <x v="0"/>
    <x v="4"/>
    <n v="4"/>
    <x v="0"/>
    <x v="0"/>
  </r>
  <r>
    <s v="ORD01087"/>
    <x v="794"/>
    <x v="1"/>
    <s v="Putri Ramadhani"/>
    <s v="Pangkalpinang"/>
    <x v="7"/>
    <n v="16000"/>
    <n v="1"/>
    <n v="10"/>
    <n v="16000"/>
    <n v="1600"/>
    <n v="14400"/>
    <n v="18000"/>
    <n v="32400"/>
    <x v="1"/>
    <x v="0"/>
    <x v="2"/>
    <n v="4"/>
    <x v="0"/>
    <x v="0"/>
  </r>
  <r>
    <s v="ORD01244"/>
    <x v="795"/>
    <x v="1"/>
    <s v="Eka Pradipta"/>
    <s v="Bandung"/>
    <x v="13"/>
    <n v="17000"/>
    <n v="1"/>
    <n v="5"/>
    <n v="17000"/>
    <n v="850"/>
    <n v="16150"/>
    <n v="0"/>
    <n v="16150"/>
    <x v="3"/>
    <x v="0"/>
    <x v="2"/>
    <n v="3"/>
    <x v="0"/>
    <x v="0"/>
  </r>
  <r>
    <s v="ORD01209"/>
    <x v="796"/>
    <x v="1"/>
    <s v="Vina Maulana"/>
    <s v="Wamena"/>
    <x v="14"/>
    <n v="35000"/>
    <n v="2"/>
    <n v="0"/>
    <n v="70000"/>
    <n v="0"/>
    <n v="70000"/>
    <n v="15000"/>
    <n v="85000"/>
    <x v="1"/>
    <x v="2"/>
    <x v="2"/>
    <n v="2"/>
    <x v="0"/>
    <x v="0"/>
  </r>
  <r>
    <s v="ORD00450"/>
    <x v="797"/>
    <x v="1"/>
    <s v="Aulia Santoso"/>
    <s v="Bandar Lampung"/>
    <x v="11"/>
    <n v="40000"/>
    <n v="4"/>
    <n v="0"/>
    <n v="160000"/>
    <n v="0"/>
    <n v="160000"/>
    <n v="28000"/>
    <n v="188000"/>
    <x v="3"/>
    <x v="0"/>
    <x v="2"/>
    <n v="4"/>
    <x v="0"/>
    <x v="0"/>
  </r>
  <r>
    <s v="ORD00926"/>
    <x v="798"/>
    <x v="1"/>
    <s v="Putri Saputra"/>
    <s v="Pontianak"/>
    <x v="26"/>
    <n v="18000"/>
    <n v="3"/>
    <n v="0"/>
    <n v="54000"/>
    <n v="0"/>
    <n v="54000"/>
    <n v="85000"/>
    <n v="139000"/>
    <x v="0"/>
    <x v="0"/>
    <x v="4"/>
    <n v="5"/>
    <x v="0"/>
    <x v="0"/>
  </r>
  <r>
    <s v="ORD01575"/>
    <x v="799"/>
    <x v="1"/>
    <s v="Dewi Santoso"/>
    <s v="Mamuju"/>
    <x v="20"/>
    <n v="12000"/>
    <n v="4"/>
    <n v="10"/>
    <n v="48000"/>
    <n v="4800"/>
    <n v="43200"/>
    <n v="46000"/>
    <n v="89200"/>
    <x v="0"/>
    <x v="1"/>
    <x v="1"/>
    <n v="3"/>
    <x v="0"/>
    <x v="0"/>
  </r>
  <r>
    <s v="ORD01731"/>
    <x v="800"/>
    <x v="1"/>
    <s v="Zahra Budiman"/>
    <s v="Ambon"/>
    <x v="18"/>
    <n v="6000"/>
    <n v="1"/>
    <n v="0"/>
    <n v="6000"/>
    <n v="0"/>
    <n v="6000"/>
    <n v="49000"/>
    <n v="55000"/>
    <x v="3"/>
    <x v="0"/>
    <x v="3"/>
    <n v="1"/>
    <x v="0"/>
    <x v="0"/>
  </r>
  <r>
    <s v="ORD01275"/>
    <x v="801"/>
    <x v="1"/>
    <s v="Zahra Wijaya"/>
    <s v="Jayapura"/>
    <x v="16"/>
    <n v="25000"/>
    <n v="5"/>
    <n v="0"/>
    <n v="125000"/>
    <n v="0"/>
    <n v="125000"/>
    <n v="30000"/>
    <n v="155000"/>
    <x v="0"/>
    <x v="0"/>
    <x v="1"/>
    <n v="1"/>
    <x v="0"/>
    <x v="0"/>
  </r>
  <r>
    <s v="ORD01462"/>
    <x v="802"/>
    <x v="1"/>
    <s v="Eka Maulana"/>
    <s v="Semarang"/>
    <x v="11"/>
    <n v="40000"/>
    <n v="2"/>
    <n v="20"/>
    <n v="80000"/>
    <n v="16000"/>
    <n v="64000"/>
    <n v="76000"/>
    <n v="140000"/>
    <x v="0"/>
    <x v="1"/>
    <x v="3"/>
    <n v="4"/>
    <x v="0"/>
    <x v="2"/>
  </r>
  <r>
    <s v="ORD01545"/>
    <x v="803"/>
    <x v="1"/>
    <s v="Yani Puspita"/>
    <s v="Palembang"/>
    <x v="10"/>
    <n v="15000"/>
    <n v="1"/>
    <n v="0"/>
    <n v="15000"/>
    <n v="0"/>
    <n v="15000"/>
    <n v="17000"/>
    <n v="32000"/>
    <x v="2"/>
    <x v="0"/>
    <x v="0"/>
    <n v="4"/>
    <x v="0"/>
    <x v="0"/>
  </r>
  <r>
    <s v="ORD00217"/>
    <x v="804"/>
    <x v="1"/>
    <s v="Citra Saputra"/>
    <s v="Surabaya"/>
    <x v="2"/>
    <n v="16000"/>
    <n v="2"/>
    <n v="0"/>
    <n v="32000"/>
    <n v="0"/>
    <n v="32000"/>
    <n v="74000"/>
    <n v="106000"/>
    <x v="2"/>
    <x v="0"/>
    <x v="2"/>
    <n v="4"/>
    <x v="0"/>
    <x v="0"/>
  </r>
  <r>
    <s v="ORD00217"/>
    <x v="804"/>
    <x v="1"/>
    <s v="Citra Saputra"/>
    <s v="Surabaya"/>
    <x v="15"/>
    <n v="14000"/>
    <n v="3"/>
    <n v="20"/>
    <n v="42000"/>
    <n v="8400"/>
    <n v="33600"/>
    <n v="0"/>
    <n v="33600"/>
    <x v="2"/>
    <x v="0"/>
    <x v="2"/>
    <n v="4"/>
    <x v="0"/>
    <x v="1"/>
  </r>
  <r>
    <s v="ORD00793"/>
    <x v="805"/>
    <x v="1"/>
    <s v="Yani Budiman"/>
    <s v="Sofifi"/>
    <x v="11"/>
    <n v="40000"/>
    <n v="5"/>
    <n v="0"/>
    <n v="200000"/>
    <n v="0"/>
    <n v="200000"/>
    <n v="50000"/>
    <n v="250000"/>
    <x v="2"/>
    <x v="0"/>
    <x v="1"/>
    <n v="4"/>
    <x v="0"/>
    <x v="0"/>
  </r>
  <r>
    <s v="ORD00435"/>
    <x v="806"/>
    <x v="1"/>
    <s v="Lestari Pradipta"/>
    <s v="Mataram"/>
    <x v="10"/>
    <n v="15000"/>
    <n v="5"/>
    <n v="15"/>
    <n v="75000"/>
    <n v="11250"/>
    <n v="63750"/>
    <n v="56000"/>
    <n v="119750"/>
    <x v="1"/>
    <x v="0"/>
    <x v="4"/>
    <n v="1"/>
    <x v="0"/>
    <x v="1"/>
  </r>
  <r>
    <s v="ORD00153"/>
    <x v="807"/>
    <x v="1"/>
    <s v="Fitri Setiawan"/>
    <s v="Pekanbaru"/>
    <x v="23"/>
    <n v="10000"/>
    <n v="2"/>
    <n v="0"/>
    <n v="20000"/>
    <n v="0"/>
    <n v="20000"/>
    <n v="49000"/>
    <n v="69000"/>
    <x v="1"/>
    <x v="0"/>
    <x v="2"/>
    <n v="1"/>
    <x v="0"/>
    <x v="0"/>
  </r>
  <r>
    <s v="ORD00420"/>
    <x v="808"/>
    <x v="1"/>
    <s v="Fitri Hidayat"/>
    <s v="Bengkulu"/>
    <x v="5"/>
    <n v="40000"/>
    <n v="4"/>
    <n v="0"/>
    <n v="160000"/>
    <n v="0"/>
    <n v="160000"/>
    <n v="72000"/>
    <n v="232000"/>
    <x v="2"/>
    <x v="1"/>
    <x v="0"/>
    <n v="3"/>
    <x v="0"/>
    <x v="0"/>
  </r>
  <r>
    <s v="ORD01147"/>
    <x v="809"/>
    <x v="1"/>
    <s v="Kartika Saputra"/>
    <s v="Palu"/>
    <x v="18"/>
    <n v="6000"/>
    <n v="2"/>
    <n v="15"/>
    <n v="12000"/>
    <n v="1800"/>
    <n v="10200"/>
    <n v="67000"/>
    <n v="77200"/>
    <x v="2"/>
    <x v="0"/>
    <x v="2"/>
    <n v="4"/>
    <x v="0"/>
    <x v="0"/>
  </r>
  <r>
    <s v="ORD00405"/>
    <x v="810"/>
    <x v="1"/>
    <s v="Lestari Puspita"/>
    <s v="Yogyakarta"/>
    <x v="14"/>
    <n v="35000"/>
    <n v="1"/>
    <n v="5"/>
    <n v="35000"/>
    <n v="1750"/>
    <n v="33250"/>
    <n v="78000"/>
    <n v="111250"/>
    <x v="0"/>
    <x v="0"/>
    <x v="0"/>
    <n v="5"/>
    <x v="0"/>
    <x v="0"/>
  </r>
  <r>
    <s v="ORD00474"/>
    <x v="811"/>
    <x v="1"/>
    <s v="Erna Setiawan"/>
    <s v="Denpasar"/>
    <x v="10"/>
    <n v="15000"/>
    <n v="4"/>
    <n v="15"/>
    <n v="60000"/>
    <n v="9000"/>
    <n v="51000"/>
    <n v="80000"/>
    <n v="131000"/>
    <x v="0"/>
    <x v="0"/>
    <x v="0"/>
    <n v="2"/>
    <x v="0"/>
    <x v="1"/>
  </r>
  <r>
    <s v="ORD01829"/>
    <x v="812"/>
    <x v="1"/>
    <s v="Eka Ramadhani"/>
    <s v="Sorong"/>
    <x v="14"/>
    <n v="35000"/>
    <n v="5"/>
    <n v="10"/>
    <n v="175000"/>
    <n v="17500"/>
    <n v="157500"/>
    <n v="87000"/>
    <n v="244500"/>
    <x v="2"/>
    <x v="0"/>
    <x v="1"/>
    <n v="4"/>
    <x v="0"/>
    <x v="2"/>
  </r>
  <r>
    <s v="ORD00889"/>
    <x v="813"/>
    <x v="1"/>
    <s v="Yani Maulana"/>
    <s v="Yogyakarta"/>
    <x v="13"/>
    <n v="17000"/>
    <n v="1"/>
    <n v="20"/>
    <n v="17000"/>
    <n v="3400"/>
    <n v="13600"/>
    <n v="78000"/>
    <n v="91600"/>
    <x v="0"/>
    <x v="0"/>
    <x v="0"/>
    <n v="5"/>
    <x v="0"/>
    <x v="0"/>
  </r>
  <r>
    <s v="ORD01696"/>
    <x v="814"/>
    <x v="1"/>
    <s v="Ani Budiman"/>
    <s v="Bengkulu"/>
    <x v="3"/>
    <n v="28000"/>
    <n v="1"/>
    <n v="0"/>
    <n v="28000"/>
    <n v="0"/>
    <n v="28000"/>
    <n v="72000"/>
    <n v="100000"/>
    <x v="1"/>
    <x v="0"/>
    <x v="0"/>
    <n v="1"/>
    <x v="0"/>
    <x v="0"/>
  </r>
  <r>
    <s v="ORD00892"/>
    <x v="815"/>
    <x v="1"/>
    <s v="Erna Iskandar"/>
    <s v="Bengkulu"/>
    <x v="2"/>
    <n v="16000"/>
    <n v="2"/>
    <n v="20"/>
    <n v="32000"/>
    <n v="6400"/>
    <n v="25600"/>
    <n v="72000"/>
    <n v="97600"/>
    <x v="3"/>
    <x v="2"/>
    <x v="0"/>
    <n v="4"/>
    <x v="0"/>
    <x v="1"/>
  </r>
  <r>
    <s v="ORD01073"/>
    <x v="816"/>
    <x v="1"/>
    <s v="Bella Rahmawati"/>
    <s v="Kendari"/>
    <x v="1"/>
    <n v="5000"/>
    <n v="1"/>
    <n v="0"/>
    <n v="5000"/>
    <n v="0"/>
    <n v="5000"/>
    <n v="59000"/>
    <n v="64000"/>
    <x v="1"/>
    <x v="0"/>
    <x v="0"/>
    <n v="1"/>
    <x v="0"/>
    <x v="0"/>
  </r>
  <r>
    <s v="ORD01493"/>
    <x v="817"/>
    <x v="1"/>
    <s v="Putri Halim"/>
    <s v="Padang"/>
    <x v="5"/>
    <n v="40000"/>
    <n v="4"/>
    <n v="5"/>
    <n v="160000"/>
    <n v="8000"/>
    <n v="152000"/>
    <n v="68000"/>
    <n v="220000"/>
    <x v="0"/>
    <x v="0"/>
    <x v="2"/>
    <n v="1"/>
    <x v="0"/>
    <x v="1"/>
  </r>
  <r>
    <s v="ORD00524"/>
    <x v="818"/>
    <x v="1"/>
    <s v="Bella Ramadhani"/>
    <s v="Pontianak"/>
    <x v="10"/>
    <n v="15000"/>
    <n v="5"/>
    <n v="15"/>
    <n v="75000"/>
    <n v="11250"/>
    <n v="63750"/>
    <n v="85000"/>
    <n v="148750"/>
    <x v="3"/>
    <x v="0"/>
    <x v="4"/>
    <n v="2"/>
    <x v="0"/>
    <x v="1"/>
  </r>
  <r>
    <s v="ORD00287"/>
    <x v="819"/>
    <x v="1"/>
    <s v="Sari Wijaya"/>
    <s v="Samarinda"/>
    <x v="2"/>
    <n v="16000"/>
    <n v="5"/>
    <n v="5"/>
    <n v="80000"/>
    <n v="4000"/>
    <n v="76000"/>
    <n v="43000"/>
    <n v="119000"/>
    <x v="0"/>
    <x v="0"/>
    <x v="0"/>
    <n v="1"/>
    <x v="0"/>
    <x v="0"/>
  </r>
  <r>
    <s v="ORD01282"/>
    <x v="820"/>
    <x v="1"/>
    <s v="Arif Maulana"/>
    <s v="Jakarta"/>
    <x v="2"/>
    <n v="16000"/>
    <n v="5"/>
    <n v="15"/>
    <n v="80000"/>
    <n v="12000"/>
    <n v="68000"/>
    <n v="97000"/>
    <n v="165000"/>
    <x v="2"/>
    <x v="0"/>
    <x v="0"/>
    <n v="4"/>
    <x v="1"/>
    <x v="1"/>
  </r>
  <r>
    <s v="ORD01055"/>
    <x v="821"/>
    <x v="1"/>
    <s v="Aulia Fauziah"/>
    <s v="Padang"/>
    <x v="7"/>
    <n v="16000"/>
    <n v="2"/>
    <n v="0"/>
    <n v="32000"/>
    <n v="0"/>
    <n v="32000"/>
    <n v="68000"/>
    <n v="100000"/>
    <x v="0"/>
    <x v="0"/>
    <x v="1"/>
    <n v="2"/>
    <x v="0"/>
    <x v="0"/>
  </r>
  <r>
    <s v="ORD00313"/>
    <x v="822"/>
    <x v="1"/>
    <s v="Citra Santoso"/>
    <s v="Pontianak"/>
    <x v="18"/>
    <n v="6000"/>
    <n v="4"/>
    <n v="0"/>
    <n v="24000"/>
    <n v="0"/>
    <n v="24000"/>
    <n v="85000"/>
    <n v="109000"/>
    <x v="0"/>
    <x v="1"/>
    <x v="3"/>
    <n v="3"/>
    <x v="0"/>
    <x v="0"/>
  </r>
  <r>
    <s v="ORD01389"/>
    <x v="823"/>
    <x v="1"/>
    <s v="Eka Kurniawan"/>
    <s v="Palu"/>
    <x v="14"/>
    <n v="35000"/>
    <n v="1"/>
    <n v="5"/>
    <n v="35000"/>
    <n v="1750"/>
    <n v="33250"/>
    <n v="67000"/>
    <n v="100250"/>
    <x v="0"/>
    <x v="0"/>
    <x v="0"/>
    <n v="3"/>
    <x v="0"/>
    <x v="0"/>
  </r>
  <r>
    <s v="ORD01427"/>
    <x v="824"/>
    <x v="1"/>
    <s v="Citra Rahmawati"/>
    <s v="Sofifi"/>
    <x v="5"/>
    <n v="40000"/>
    <n v="5"/>
    <n v="15"/>
    <n v="200000"/>
    <n v="30000"/>
    <n v="170000"/>
    <n v="50000"/>
    <n v="220000"/>
    <x v="2"/>
    <x v="0"/>
    <x v="1"/>
    <n v="5"/>
    <x v="0"/>
    <x v="2"/>
  </r>
  <r>
    <s v="ORD00970"/>
    <x v="825"/>
    <x v="1"/>
    <s v="Indra Ananda"/>
    <s v="Makassar"/>
    <x v="14"/>
    <n v="35000"/>
    <n v="2"/>
    <n v="15"/>
    <n v="70000"/>
    <n v="10500"/>
    <n v="59500"/>
    <n v="84000"/>
    <n v="143500"/>
    <x v="0"/>
    <x v="0"/>
    <x v="0"/>
    <n v="4"/>
    <x v="1"/>
    <x v="1"/>
  </r>
  <r>
    <s v="ORD00982"/>
    <x v="826"/>
    <x v="1"/>
    <s v="Citra Hidayat"/>
    <s v="Merauke"/>
    <x v="1"/>
    <n v="5000"/>
    <n v="4"/>
    <n v="0"/>
    <n v="20000"/>
    <n v="0"/>
    <n v="20000"/>
    <n v="59000"/>
    <n v="79000"/>
    <x v="2"/>
    <x v="0"/>
    <x v="2"/>
    <n v="4"/>
    <x v="0"/>
    <x v="0"/>
  </r>
  <r>
    <s v="ORD01220"/>
    <x v="827"/>
    <x v="1"/>
    <s v="Eka Iskandar"/>
    <s v="Surabaya"/>
    <x v="12"/>
    <n v="55000"/>
    <n v="4"/>
    <n v="15"/>
    <n v="220000"/>
    <n v="33000"/>
    <n v="187000"/>
    <n v="74000"/>
    <n v="261000"/>
    <x v="3"/>
    <x v="0"/>
    <x v="0"/>
    <n v="2"/>
    <x v="0"/>
    <x v="3"/>
  </r>
  <r>
    <s v="ORD00011"/>
    <x v="828"/>
    <x v="1"/>
    <s v="Indra Ananda"/>
    <s v="Makassar"/>
    <x v="12"/>
    <n v="55000"/>
    <n v="1"/>
    <n v="20"/>
    <n v="55000"/>
    <n v="11000"/>
    <n v="44000"/>
    <n v="84000"/>
    <n v="128000"/>
    <x v="2"/>
    <x v="0"/>
    <x v="2"/>
    <n v="4"/>
    <x v="1"/>
    <x v="1"/>
  </r>
  <r>
    <s v="ORD01789"/>
    <x v="829"/>
    <x v="1"/>
    <s v="Citra Utami"/>
    <s v="Tanjungpinang"/>
    <x v="19"/>
    <n v="22000"/>
    <n v="3"/>
    <n v="15"/>
    <n v="66000"/>
    <n v="9900"/>
    <n v="56100"/>
    <n v="48000"/>
    <n v="104100"/>
    <x v="1"/>
    <x v="0"/>
    <x v="2"/>
    <n v="3"/>
    <x v="0"/>
    <x v="1"/>
  </r>
  <r>
    <s v="ORD00174"/>
    <x v="830"/>
    <x v="1"/>
    <s v="Dewi Budiman"/>
    <s v="Kupang"/>
    <x v="23"/>
    <n v="10000"/>
    <n v="2"/>
    <n v="15"/>
    <n v="20000"/>
    <n v="3000"/>
    <n v="17000"/>
    <n v="21000"/>
    <n v="38000"/>
    <x v="1"/>
    <x v="0"/>
    <x v="1"/>
    <n v="3"/>
    <x v="0"/>
    <x v="0"/>
  </r>
  <r>
    <s v="ORD01392"/>
    <x v="831"/>
    <x v="1"/>
    <s v="Clara Utami"/>
    <s v="Pangkalpinang"/>
    <x v="6"/>
    <n v="14000"/>
    <n v="1"/>
    <n v="5"/>
    <n v="14000"/>
    <n v="700"/>
    <n v="13300"/>
    <n v="18000"/>
    <n v="31300"/>
    <x v="1"/>
    <x v="0"/>
    <x v="1"/>
    <n v="4"/>
    <x v="0"/>
    <x v="0"/>
  </r>
  <r>
    <s v="ORD01633"/>
    <x v="832"/>
    <x v="1"/>
    <s v="Gita Hidayat"/>
    <s v="Jayapura"/>
    <x v="15"/>
    <n v="14000"/>
    <n v="1"/>
    <n v="10"/>
    <n v="14000"/>
    <n v="1400"/>
    <n v="12600"/>
    <n v="30000"/>
    <n v="42600"/>
    <x v="3"/>
    <x v="0"/>
    <x v="0"/>
    <n v="5"/>
    <x v="0"/>
    <x v="0"/>
  </r>
  <r>
    <s v="ORD01401"/>
    <x v="833"/>
    <x v="1"/>
    <s v="Aulia Puspita"/>
    <s v="Tanjungpinang"/>
    <x v="4"/>
    <n v="4000"/>
    <n v="1"/>
    <n v="10"/>
    <n v="4000"/>
    <n v="400"/>
    <n v="3600"/>
    <n v="48000"/>
    <n v="51600"/>
    <x v="3"/>
    <x v="1"/>
    <x v="3"/>
    <n v="1"/>
    <x v="0"/>
    <x v="0"/>
  </r>
  <r>
    <s v="ORD00094"/>
    <x v="834"/>
    <x v="1"/>
    <s v="Galih Iskandar"/>
    <s v="Ambon"/>
    <x v="3"/>
    <n v="28000"/>
    <n v="1"/>
    <n v="15"/>
    <n v="28000"/>
    <n v="4200"/>
    <n v="23800"/>
    <n v="49000"/>
    <n v="72800"/>
    <x v="2"/>
    <x v="0"/>
    <x v="0"/>
    <n v="3"/>
    <x v="1"/>
    <x v="0"/>
  </r>
  <r>
    <s v="ORD00302"/>
    <x v="835"/>
    <x v="1"/>
    <s v="Fitri Maulana"/>
    <s v="Palangka Raya"/>
    <x v="9"/>
    <n v="50000"/>
    <n v="1"/>
    <n v="0"/>
    <n v="50000"/>
    <n v="0"/>
    <n v="50000"/>
    <n v="50000"/>
    <n v="100000"/>
    <x v="3"/>
    <x v="0"/>
    <x v="2"/>
    <n v="3"/>
    <x v="0"/>
    <x v="0"/>
  </r>
  <r>
    <s v="ORD01647"/>
    <x v="836"/>
    <x v="1"/>
    <s v="Erna Utami"/>
    <s v="Jambi"/>
    <x v="10"/>
    <n v="15000"/>
    <n v="1"/>
    <n v="10"/>
    <n v="15000"/>
    <n v="1500"/>
    <n v="13500"/>
    <n v="87000"/>
    <n v="100500"/>
    <x v="1"/>
    <x v="1"/>
    <x v="4"/>
    <n v="1"/>
    <x v="0"/>
    <x v="0"/>
  </r>
  <r>
    <s v="ORD00900"/>
    <x v="837"/>
    <x v="1"/>
    <s v="Ani Budiman"/>
    <s v="Bengkulu"/>
    <x v="5"/>
    <n v="40000"/>
    <n v="4"/>
    <n v="0"/>
    <n v="160000"/>
    <n v="0"/>
    <n v="160000"/>
    <n v="72000"/>
    <n v="232000"/>
    <x v="1"/>
    <x v="0"/>
    <x v="0"/>
    <n v="4"/>
    <x v="0"/>
    <x v="0"/>
  </r>
  <r>
    <s v="ORD01154"/>
    <x v="838"/>
    <x v="1"/>
    <s v="Fajar Fauziah"/>
    <s v="Padang"/>
    <x v="4"/>
    <n v="4000"/>
    <n v="1"/>
    <n v="5"/>
    <n v="4000"/>
    <n v="200"/>
    <n v="3800"/>
    <n v="68000"/>
    <n v="71800"/>
    <x v="2"/>
    <x v="0"/>
    <x v="0"/>
    <n v="4"/>
    <x v="1"/>
    <x v="0"/>
  </r>
  <r>
    <s v="ORD01490"/>
    <x v="839"/>
    <x v="1"/>
    <s v="Ani Halim"/>
    <s v="Sofifi"/>
    <x v="10"/>
    <n v="15000"/>
    <n v="2"/>
    <n v="10"/>
    <n v="30000"/>
    <n v="3000"/>
    <n v="27000"/>
    <n v="50000"/>
    <n v="77000"/>
    <x v="1"/>
    <x v="0"/>
    <x v="1"/>
    <n v="2"/>
    <x v="0"/>
    <x v="0"/>
  </r>
  <r>
    <s v="ORD01572"/>
    <x v="840"/>
    <x v="1"/>
    <s v="Zahra Ananda"/>
    <s v="Bandung"/>
    <x v="22"/>
    <n v="18000"/>
    <n v="4"/>
    <n v="5"/>
    <n v="72000"/>
    <n v="3600"/>
    <n v="68400"/>
    <n v="0"/>
    <n v="68400"/>
    <x v="3"/>
    <x v="0"/>
    <x v="4"/>
    <n v="1"/>
    <x v="0"/>
    <x v="0"/>
  </r>
  <r>
    <s v="ORD00260"/>
    <x v="841"/>
    <x v="1"/>
    <s v="Ani Hidayat"/>
    <s v="Samarinda"/>
    <x v="0"/>
    <n v="45000"/>
    <n v="1"/>
    <n v="5"/>
    <n v="45000"/>
    <n v="2250"/>
    <n v="42750"/>
    <n v="43000"/>
    <n v="85750"/>
    <x v="2"/>
    <x v="0"/>
    <x v="3"/>
    <n v="5"/>
    <x v="0"/>
    <x v="0"/>
  </r>
  <r>
    <s v="ORD00260"/>
    <x v="841"/>
    <x v="1"/>
    <s v="Ani Hidayat"/>
    <s v="Samarinda"/>
    <x v="17"/>
    <n v="30000"/>
    <n v="2"/>
    <n v="0"/>
    <n v="60000"/>
    <n v="0"/>
    <n v="60000"/>
    <n v="0"/>
    <n v="60000"/>
    <x v="2"/>
    <x v="0"/>
    <x v="3"/>
    <n v="5"/>
    <x v="0"/>
    <x v="0"/>
  </r>
  <r>
    <s v="ORD00283"/>
    <x v="842"/>
    <x v="1"/>
    <s v="Qori Ananda"/>
    <s v="Sofifi"/>
    <x v="26"/>
    <n v="18000"/>
    <n v="2"/>
    <n v="5"/>
    <n v="36000"/>
    <n v="1800"/>
    <n v="34200"/>
    <n v="50000"/>
    <n v="84200"/>
    <x v="1"/>
    <x v="0"/>
    <x v="4"/>
    <n v="4"/>
    <x v="0"/>
    <x v="0"/>
  </r>
  <r>
    <s v="ORD01237"/>
    <x v="843"/>
    <x v="1"/>
    <s v="Nanda Setiawan"/>
    <s v="Sorong"/>
    <x v="13"/>
    <n v="17000"/>
    <n v="1"/>
    <n v="0"/>
    <n v="17000"/>
    <n v="0"/>
    <n v="17000"/>
    <n v="87000"/>
    <n v="104000"/>
    <x v="1"/>
    <x v="2"/>
    <x v="1"/>
    <n v="2"/>
    <x v="1"/>
    <x v="0"/>
  </r>
  <r>
    <s v="ORD01819"/>
    <x v="844"/>
    <x v="1"/>
    <s v="Zahra Budiman"/>
    <s v="Ambon"/>
    <x v="19"/>
    <n v="22000"/>
    <n v="4"/>
    <n v="0"/>
    <n v="88000"/>
    <n v="0"/>
    <n v="88000"/>
    <n v="49000"/>
    <n v="137000"/>
    <x v="0"/>
    <x v="0"/>
    <x v="4"/>
    <n v="3"/>
    <x v="0"/>
    <x v="0"/>
  </r>
  <r>
    <s v="ORD01669"/>
    <x v="845"/>
    <x v="1"/>
    <s v="Bella Hidayat"/>
    <s v="Medan"/>
    <x v="8"/>
    <n v="16000"/>
    <n v="5"/>
    <n v="5"/>
    <n v="80000"/>
    <n v="4000"/>
    <n v="76000"/>
    <n v="79000"/>
    <n v="155000"/>
    <x v="1"/>
    <x v="0"/>
    <x v="2"/>
    <n v="3"/>
    <x v="0"/>
    <x v="0"/>
  </r>
  <r>
    <s v="ORD00496"/>
    <x v="846"/>
    <x v="1"/>
    <s v="Dewi Wijaya"/>
    <s v="Jayapura"/>
    <x v="0"/>
    <n v="45000"/>
    <n v="2"/>
    <n v="20"/>
    <n v="90000"/>
    <n v="18000"/>
    <n v="72000"/>
    <n v="30000"/>
    <n v="102000"/>
    <x v="2"/>
    <x v="0"/>
    <x v="1"/>
    <n v="1"/>
    <x v="0"/>
    <x v="2"/>
  </r>
  <r>
    <s v="ORD01583"/>
    <x v="847"/>
    <x v="1"/>
    <s v="Arif Fauziah"/>
    <s v="Denpasar"/>
    <x v="8"/>
    <n v="16000"/>
    <n v="1"/>
    <n v="10"/>
    <n v="16000"/>
    <n v="1600"/>
    <n v="14400"/>
    <n v="80000"/>
    <n v="94400"/>
    <x v="2"/>
    <x v="0"/>
    <x v="2"/>
    <n v="1"/>
    <x v="1"/>
    <x v="0"/>
  </r>
  <r>
    <s v="ORD00798"/>
    <x v="848"/>
    <x v="1"/>
    <s v="Yani Kusuma"/>
    <s v="Kendari"/>
    <x v="20"/>
    <n v="12000"/>
    <n v="1"/>
    <n v="0"/>
    <n v="12000"/>
    <n v="0"/>
    <n v="12000"/>
    <n v="59000"/>
    <n v="71000"/>
    <x v="3"/>
    <x v="0"/>
    <x v="3"/>
    <n v="3"/>
    <x v="0"/>
    <x v="0"/>
  </r>
  <r>
    <s v="ORD01415"/>
    <x v="849"/>
    <x v="1"/>
    <s v="Bella Fauziah"/>
    <s v="Manado"/>
    <x v="18"/>
    <n v="6000"/>
    <n v="3"/>
    <n v="0"/>
    <n v="18000"/>
    <n v="0"/>
    <n v="18000"/>
    <n v="93000"/>
    <n v="111000"/>
    <x v="2"/>
    <x v="0"/>
    <x v="2"/>
    <n v="2"/>
    <x v="0"/>
    <x v="0"/>
  </r>
  <r>
    <s v="ORD00327"/>
    <x v="850"/>
    <x v="1"/>
    <s v="Qori Fauziah"/>
    <s v="Surabaya"/>
    <x v="3"/>
    <n v="28000"/>
    <n v="2"/>
    <n v="5"/>
    <n v="56000"/>
    <n v="2800"/>
    <n v="53200"/>
    <n v="74000"/>
    <n v="127200"/>
    <x v="0"/>
    <x v="1"/>
    <x v="2"/>
    <n v="2"/>
    <x v="0"/>
    <x v="0"/>
  </r>
  <r>
    <s v="ORD00441"/>
    <x v="851"/>
    <x v="1"/>
    <s v="Sari Puspita"/>
    <s v="Jakarta"/>
    <x v="15"/>
    <n v="14000"/>
    <n v="4"/>
    <n v="10"/>
    <n v="56000"/>
    <n v="5600"/>
    <n v="50400"/>
    <n v="97000"/>
    <n v="147400"/>
    <x v="2"/>
    <x v="2"/>
    <x v="0"/>
    <n v="5"/>
    <x v="0"/>
    <x v="1"/>
  </r>
  <r>
    <s v="ORD00441"/>
    <x v="851"/>
    <x v="1"/>
    <s v="Sari Puspita"/>
    <s v="Jakarta"/>
    <x v="16"/>
    <n v="25000"/>
    <n v="5"/>
    <n v="0"/>
    <n v="125000"/>
    <n v="0"/>
    <n v="125000"/>
    <n v="0"/>
    <n v="125000"/>
    <x v="2"/>
    <x v="2"/>
    <x v="0"/>
    <n v="5"/>
    <x v="0"/>
    <x v="0"/>
  </r>
  <r>
    <s v="ORD01453"/>
    <x v="852"/>
    <x v="1"/>
    <s v="Clara Pradipta"/>
    <s v="Jakarta"/>
    <x v="14"/>
    <n v="35000"/>
    <n v="3"/>
    <n v="15"/>
    <n v="105000"/>
    <n v="15750"/>
    <n v="89250"/>
    <n v="97000"/>
    <n v="186250"/>
    <x v="1"/>
    <x v="0"/>
    <x v="0"/>
    <n v="2"/>
    <x v="0"/>
    <x v="2"/>
  </r>
  <r>
    <s v="ORD00495"/>
    <x v="853"/>
    <x v="1"/>
    <s v="Sari Puspita"/>
    <s v="Jakarta"/>
    <x v="13"/>
    <n v="17000"/>
    <n v="2"/>
    <n v="10"/>
    <n v="34000"/>
    <n v="3400"/>
    <n v="30600"/>
    <n v="97000"/>
    <n v="127600"/>
    <x v="0"/>
    <x v="1"/>
    <x v="0"/>
    <n v="2"/>
    <x v="0"/>
    <x v="0"/>
  </r>
  <r>
    <s v="ORD00495"/>
    <x v="853"/>
    <x v="1"/>
    <s v="Sari Puspita"/>
    <s v="Jakarta"/>
    <x v="4"/>
    <n v="4000"/>
    <n v="4"/>
    <n v="0"/>
    <n v="16000"/>
    <n v="0"/>
    <n v="16000"/>
    <n v="0"/>
    <n v="16000"/>
    <x v="0"/>
    <x v="1"/>
    <x v="0"/>
    <n v="2"/>
    <x v="0"/>
    <x v="0"/>
  </r>
  <r>
    <s v="ORD00529"/>
    <x v="854"/>
    <x v="1"/>
    <s v="Rizky Fauziah"/>
    <s v="Sorong"/>
    <x v="17"/>
    <n v="30000"/>
    <n v="3"/>
    <n v="5"/>
    <n v="90000"/>
    <n v="4500"/>
    <n v="85500"/>
    <n v="87000"/>
    <n v="172500"/>
    <x v="0"/>
    <x v="2"/>
    <x v="4"/>
    <n v="3"/>
    <x v="1"/>
    <x v="0"/>
  </r>
  <r>
    <s v="ORD00139"/>
    <x v="855"/>
    <x v="1"/>
    <s v="Aulia Maulana"/>
    <s v="Pangkalpinang"/>
    <x v="19"/>
    <n v="22000"/>
    <n v="3"/>
    <n v="0"/>
    <n v="66000"/>
    <n v="0"/>
    <n v="66000"/>
    <n v="18000"/>
    <n v="84000"/>
    <x v="3"/>
    <x v="0"/>
    <x v="1"/>
    <n v="3"/>
    <x v="0"/>
    <x v="0"/>
  </r>
  <r>
    <s v="ORD00231"/>
    <x v="856"/>
    <x v="1"/>
    <s v="Dina Halim"/>
    <s v="Wamena"/>
    <x v="10"/>
    <n v="15000"/>
    <n v="4"/>
    <n v="10"/>
    <n v="60000"/>
    <n v="6000"/>
    <n v="54000"/>
    <n v="15000"/>
    <n v="69000"/>
    <x v="0"/>
    <x v="0"/>
    <x v="4"/>
    <n v="1"/>
    <x v="0"/>
    <x v="1"/>
  </r>
  <r>
    <s v="ORD01437"/>
    <x v="857"/>
    <x v="1"/>
    <s v="Gita Ramadhani"/>
    <s v="Palangka Raya"/>
    <x v="9"/>
    <n v="50000"/>
    <n v="3"/>
    <n v="15"/>
    <n v="150000"/>
    <n v="22500"/>
    <n v="127500"/>
    <n v="50000"/>
    <n v="177500"/>
    <x v="0"/>
    <x v="0"/>
    <x v="2"/>
    <n v="1"/>
    <x v="0"/>
    <x v="2"/>
  </r>
  <r>
    <s v="ORD00514"/>
    <x v="858"/>
    <x v="1"/>
    <s v="Sari Puspita"/>
    <s v="Jakarta"/>
    <x v="10"/>
    <n v="15000"/>
    <n v="1"/>
    <n v="5"/>
    <n v="15000"/>
    <n v="750"/>
    <n v="14250"/>
    <n v="97000"/>
    <n v="111250"/>
    <x v="0"/>
    <x v="0"/>
    <x v="4"/>
    <n v="5"/>
    <x v="0"/>
    <x v="0"/>
  </r>
  <r>
    <s v="ORD00777"/>
    <x v="859"/>
    <x v="1"/>
    <s v="Dimas Utami"/>
    <s v="Bandung"/>
    <x v="19"/>
    <n v="22000"/>
    <n v="4"/>
    <n v="5"/>
    <n v="88000"/>
    <n v="4400"/>
    <n v="83600"/>
    <n v="0"/>
    <n v="83600"/>
    <x v="0"/>
    <x v="0"/>
    <x v="0"/>
    <n v="2"/>
    <x v="1"/>
    <x v="0"/>
  </r>
  <r>
    <s v="ORD00799"/>
    <x v="860"/>
    <x v="1"/>
    <s v="Putri Halim"/>
    <s v="Padang"/>
    <x v="2"/>
    <n v="16000"/>
    <n v="3"/>
    <n v="20"/>
    <n v="48000"/>
    <n v="9600"/>
    <n v="38400"/>
    <n v="68000"/>
    <n v="106400"/>
    <x v="3"/>
    <x v="0"/>
    <x v="1"/>
    <n v="2"/>
    <x v="0"/>
    <x v="1"/>
  </r>
  <r>
    <s v="ORD01135"/>
    <x v="861"/>
    <x v="1"/>
    <s v="Wahyu Fauziah"/>
    <s v="Medan"/>
    <x v="2"/>
    <n v="16000"/>
    <n v="1"/>
    <n v="5"/>
    <n v="16000"/>
    <n v="800"/>
    <n v="15200"/>
    <n v="79000"/>
    <n v="94200"/>
    <x v="0"/>
    <x v="0"/>
    <x v="1"/>
    <n v="4"/>
    <x v="1"/>
    <x v="0"/>
  </r>
  <r>
    <s v="ORD01537"/>
    <x v="862"/>
    <x v="1"/>
    <s v="Dina Rahmawati"/>
    <s v="Merauke"/>
    <x v="3"/>
    <n v="28000"/>
    <n v="5"/>
    <n v="5"/>
    <n v="140000"/>
    <n v="7000"/>
    <n v="133000"/>
    <n v="59000"/>
    <n v="192000"/>
    <x v="0"/>
    <x v="0"/>
    <x v="4"/>
    <n v="2"/>
    <x v="0"/>
    <x v="1"/>
  </r>
  <r>
    <s v="ORD00964"/>
    <x v="863"/>
    <x v="1"/>
    <s v="Eka Syahputra"/>
    <s v="Jakarta"/>
    <x v="21"/>
    <n v="17000"/>
    <n v="1"/>
    <n v="20"/>
    <n v="17000"/>
    <n v="3400"/>
    <n v="13600"/>
    <n v="97000"/>
    <n v="110600"/>
    <x v="1"/>
    <x v="0"/>
    <x v="3"/>
    <n v="2"/>
    <x v="0"/>
    <x v="0"/>
  </r>
  <r>
    <s v="ORD01028"/>
    <x v="864"/>
    <x v="1"/>
    <s v="Zahra Kurniawan"/>
    <s v="Wamena"/>
    <x v="0"/>
    <n v="45000"/>
    <n v="2"/>
    <n v="20"/>
    <n v="90000"/>
    <n v="18000"/>
    <n v="72000"/>
    <n v="15000"/>
    <n v="87000"/>
    <x v="3"/>
    <x v="0"/>
    <x v="3"/>
    <n v="5"/>
    <x v="0"/>
    <x v="2"/>
  </r>
  <r>
    <s v="ORD00788"/>
    <x v="865"/>
    <x v="1"/>
    <s v="Erna Halim"/>
    <s v="Samarinda"/>
    <x v="5"/>
    <n v="40000"/>
    <n v="4"/>
    <n v="10"/>
    <n v="160000"/>
    <n v="16000"/>
    <n v="144000"/>
    <n v="43000"/>
    <n v="187000"/>
    <x v="2"/>
    <x v="0"/>
    <x v="1"/>
    <n v="2"/>
    <x v="0"/>
    <x v="2"/>
  </r>
  <r>
    <s v="ORD01738"/>
    <x v="866"/>
    <x v="1"/>
    <s v="Kartika Kusuma"/>
    <s v="Pontianak"/>
    <x v="24"/>
    <n v="45000"/>
    <n v="5"/>
    <n v="5"/>
    <n v="225000"/>
    <n v="11250"/>
    <n v="213750"/>
    <n v="85000"/>
    <n v="298750"/>
    <x v="2"/>
    <x v="1"/>
    <x v="0"/>
    <n v="2"/>
    <x v="0"/>
    <x v="1"/>
  </r>
  <r>
    <s v="ORD01118"/>
    <x v="867"/>
    <x v="1"/>
    <s v="Aulia Saputra"/>
    <s v="Kendari"/>
    <x v="0"/>
    <n v="45000"/>
    <n v="4"/>
    <n v="15"/>
    <n v="180000"/>
    <n v="27000"/>
    <n v="153000"/>
    <n v="59000"/>
    <n v="212000"/>
    <x v="1"/>
    <x v="0"/>
    <x v="0"/>
    <n v="1"/>
    <x v="0"/>
    <x v="2"/>
  </r>
  <r>
    <s v="ORD01058"/>
    <x v="868"/>
    <x v="1"/>
    <s v="Aulia Santoso"/>
    <s v="Bandar Lampung"/>
    <x v="8"/>
    <n v="16000"/>
    <n v="3"/>
    <n v="10"/>
    <n v="48000"/>
    <n v="4800"/>
    <n v="43200"/>
    <n v="28000"/>
    <n v="71200"/>
    <x v="1"/>
    <x v="0"/>
    <x v="1"/>
    <n v="4"/>
    <x v="0"/>
    <x v="0"/>
  </r>
  <r>
    <s v="ORD00008"/>
    <x v="869"/>
    <x v="1"/>
    <s v="Indra Rahmawati"/>
    <s v="Manokwari"/>
    <x v="9"/>
    <n v="50000"/>
    <n v="3"/>
    <n v="15"/>
    <n v="150000"/>
    <n v="22500"/>
    <n v="127500"/>
    <n v="18000"/>
    <n v="145500"/>
    <x v="2"/>
    <x v="1"/>
    <x v="4"/>
    <n v="2"/>
    <x v="1"/>
    <x v="2"/>
  </r>
  <r>
    <s v="ORD00713"/>
    <x v="870"/>
    <x v="1"/>
    <s v="Vina Hidayat"/>
    <s v="Nabire"/>
    <x v="18"/>
    <n v="6000"/>
    <n v="4"/>
    <n v="0"/>
    <n v="24000"/>
    <n v="0"/>
    <n v="24000"/>
    <n v="89000"/>
    <n v="113000"/>
    <x v="2"/>
    <x v="0"/>
    <x v="1"/>
    <n v="1"/>
    <x v="0"/>
    <x v="0"/>
  </r>
  <r>
    <s v="ORD00500"/>
    <x v="871"/>
    <x v="1"/>
    <s v="Aulia Puspita"/>
    <s v="Tanjungpinang"/>
    <x v="7"/>
    <n v="16000"/>
    <n v="5"/>
    <n v="20"/>
    <n v="80000"/>
    <n v="16000"/>
    <n v="64000"/>
    <n v="48000"/>
    <n v="112000"/>
    <x v="1"/>
    <x v="0"/>
    <x v="4"/>
    <n v="1"/>
    <x v="0"/>
    <x v="2"/>
  </r>
  <r>
    <s v="ORD00500"/>
    <x v="871"/>
    <x v="1"/>
    <s v="Aulia Puspita"/>
    <s v="Tanjungpinang"/>
    <x v="6"/>
    <n v="14000"/>
    <n v="3"/>
    <n v="20"/>
    <n v="42000"/>
    <n v="8400"/>
    <n v="33600"/>
    <n v="0"/>
    <n v="33600"/>
    <x v="1"/>
    <x v="0"/>
    <x v="4"/>
    <n v="1"/>
    <x v="0"/>
    <x v="1"/>
  </r>
  <r>
    <s v="ORD01734"/>
    <x v="872"/>
    <x v="1"/>
    <s v="Citra Ananda"/>
    <s v="Manokwari"/>
    <x v="24"/>
    <n v="45000"/>
    <n v="5"/>
    <n v="5"/>
    <n v="225000"/>
    <n v="11250"/>
    <n v="213750"/>
    <n v="18000"/>
    <n v="231750"/>
    <x v="3"/>
    <x v="0"/>
    <x v="3"/>
    <n v="4"/>
    <x v="0"/>
    <x v="1"/>
  </r>
  <r>
    <s v="ORD00208"/>
    <x v="873"/>
    <x v="1"/>
    <s v="Dewi Saputra"/>
    <s v="Jambi"/>
    <x v="23"/>
    <n v="10000"/>
    <n v="5"/>
    <n v="20"/>
    <n v="50000"/>
    <n v="10000"/>
    <n v="40000"/>
    <n v="87000"/>
    <n v="127000"/>
    <x v="2"/>
    <x v="0"/>
    <x v="0"/>
    <n v="5"/>
    <x v="0"/>
    <x v="1"/>
  </r>
  <r>
    <s v="ORD00068"/>
    <x v="874"/>
    <x v="1"/>
    <s v="Yoga Utami"/>
    <s v="Banjarbaru"/>
    <x v="21"/>
    <n v="17000"/>
    <n v="3"/>
    <n v="20"/>
    <n v="51000"/>
    <n v="10200"/>
    <n v="40800"/>
    <n v="55000"/>
    <n v="95800"/>
    <x v="0"/>
    <x v="0"/>
    <x v="2"/>
    <n v="2"/>
    <x v="1"/>
    <x v="1"/>
  </r>
  <r>
    <s v="ORD00866"/>
    <x v="875"/>
    <x v="1"/>
    <s v="Dewi Santoso"/>
    <s v="Mamuju"/>
    <x v="3"/>
    <n v="28000"/>
    <n v="2"/>
    <n v="5"/>
    <n v="56000"/>
    <n v="2800"/>
    <n v="53200"/>
    <n v="46000"/>
    <n v="99200"/>
    <x v="0"/>
    <x v="0"/>
    <x v="0"/>
    <n v="5"/>
    <x v="0"/>
    <x v="0"/>
  </r>
  <r>
    <s v="ORD00222"/>
    <x v="876"/>
    <x v="1"/>
    <s v="Vina Ananda"/>
    <s v="Jayapura"/>
    <x v="25"/>
    <n v="35000"/>
    <n v="3"/>
    <n v="0"/>
    <n v="105000"/>
    <n v="0"/>
    <n v="105000"/>
    <n v="30000"/>
    <n v="135000"/>
    <x v="0"/>
    <x v="0"/>
    <x v="0"/>
    <n v="3"/>
    <x v="0"/>
    <x v="0"/>
  </r>
  <r>
    <s v="ORD01581"/>
    <x v="877"/>
    <x v="1"/>
    <s v="Eka Hidayat"/>
    <s v="Samarinda"/>
    <x v="2"/>
    <n v="16000"/>
    <n v="2"/>
    <n v="5"/>
    <n v="32000"/>
    <n v="1600"/>
    <n v="30400"/>
    <n v="43000"/>
    <n v="73400"/>
    <x v="2"/>
    <x v="0"/>
    <x v="0"/>
    <n v="2"/>
    <x v="0"/>
    <x v="0"/>
  </r>
  <r>
    <s v="ORD00605"/>
    <x v="878"/>
    <x v="1"/>
    <s v="Yani Ananda"/>
    <s v="Mataram"/>
    <x v="2"/>
    <n v="16000"/>
    <n v="4"/>
    <n v="0"/>
    <n v="64000"/>
    <n v="0"/>
    <n v="64000"/>
    <n v="56000"/>
    <n v="120000"/>
    <x v="3"/>
    <x v="0"/>
    <x v="1"/>
    <n v="1"/>
    <x v="0"/>
    <x v="0"/>
  </r>
  <r>
    <s v="ORD00211"/>
    <x v="879"/>
    <x v="1"/>
    <s v="Fitri Nugroho"/>
    <s v="Ambon"/>
    <x v="23"/>
    <n v="10000"/>
    <n v="5"/>
    <n v="5"/>
    <n v="50000"/>
    <n v="2500"/>
    <n v="47500"/>
    <n v="49000"/>
    <n v="96500"/>
    <x v="1"/>
    <x v="0"/>
    <x v="3"/>
    <n v="3"/>
    <x v="0"/>
    <x v="0"/>
  </r>
  <r>
    <s v="ORD01703"/>
    <x v="880"/>
    <x v="1"/>
    <s v="Putri Ananda"/>
    <s v="Tanjung Selor"/>
    <x v="6"/>
    <n v="14000"/>
    <n v="2"/>
    <n v="5"/>
    <n v="28000"/>
    <n v="1400"/>
    <n v="26600"/>
    <n v="26000"/>
    <n v="52600"/>
    <x v="1"/>
    <x v="2"/>
    <x v="0"/>
    <n v="4"/>
    <x v="0"/>
    <x v="0"/>
  </r>
  <r>
    <s v="ORD00957"/>
    <x v="881"/>
    <x v="1"/>
    <s v="Hana Nugroho"/>
    <s v="Surabaya"/>
    <x v="3"/>
    <n v="28000"/>
    <n v="5"/>
    <n v="15"/>
    <n v="140000"/>
    <n v="21000"/>
    <n v="119000"/>
    <n v="74000"/>
    <n v="193000"/>
    <x v="0"/>
    <x v="0"/>
    <x v="4"/>
    <n v="4"/>
    <x v="0"/>
    <x v="2"/>
  </r>
  <r>
    <s v="ORD00171"/>
    <x v="882"/>
    <x v="1"/>
    <s v="Yani Budiman"/>
    <s v="Sofifi"/>
    <x v="19"/>
    <n v="22000"/>
    <n v="3"/>
    <n v="0"/>
    <n v="66000"/>
    <n v="0"/>
    <n v="66000"/>
    <n v="50000"/>
    <n v="116000"/>
    <x v="3"/>
    <x v="0"/>
    <x v="0"/>
    <n v="2"/>
    <x v="0"/>
    <x v="0"/>
  </r>
  <r>
    <s v="ORD00171"/>
    <x v="882"/>
    <x v="1"/>
    <s v="Yani Budiman"/>
    <s v="Sofifi"/>
    <x v="17"/>
    <n v="30000"/>
    <n v="1"/>
    <n v="0"/>
    <n v="30000"/>
    <n v="0"/>
    <n v="30000"/>
    <n v="0"/>
    <n v="30000"/>
    <x v="3"/>
    <x v="0"/>
    <x v="0"/>
    <n v="2"/>
    <x v="0"/>
    <x v="0"/>
  </r>
  <r>
    <s v="ORD00398"/>
    <x v="883"/>
    <x v="1"/>
    <s v="Sari Halim"/>
    <s v="Banjarbaru"/>
    <x v="24"/>
    <n v="45000"/>
    <n v="3"/>
    <n v="0"/>
    <n v="135000"/>
    <n v="0"/>
    <n v="135000"/>
    <n v="55000"/>
    <n v="190000"/>
    <x v="1"/>
    <x v="0"/>
    <x v="1"/>
    <n v="3"/>
    <x v="0"/>
    <x v="0"/>
  </r>
  <r>
    <s v="ORD01603"/>
    <x v="884"/>
    <x v="1"/>
    <s v="Ani Setiawan"/>
    <s v="Mamuju"/>
    <x v="17"/>
    <n v="30000"/>
    <n v="1"/>
    <n v="10"/>
    <n v="30000"/>
    <n v="3000"/>
    <n v="27000"/>
    <n v="46000"/>
    <n v="73000"/>
    <x v="2"/>
    <x v="2"/>
    <x v="3"/>
    <n v="5"/>
    <x v="0"/>
    <x v="0"/>
  </r>
  <r>
    <s v="ORD00083"/>
    <x v="885"/>
    <x v="1"/>
    <s v="Nanda Halim"/>
    <s v="Pekanbaru"/>
    <x v="7"/>
    <n v="16000"/>
    <n v="3"/>
    <n v="5"/>
    <n v="48000"/>
    <n v="2400"/>
    <n v="45600"/>
    <n v="49000"/>
    <n v="94600"/>
    <x v="3"/>
    <x v="0"/>
    <x v="4"/>
    <n v="2"/>
    <x v="1"/>
    <x v="0"/>
  </r>
  <r>
    <s v="ORD01483"/>
    <x v="886"/>
    <x v="1"/>
    <s v="Dina Ramadhani"/>
    <s v="Sofifi"/>
    <x v="15"/>
    <n v="14000"/>
    <n v="4"/>
    <n v="0"/>
    <n v="56000"/>
    <n v="0"/>
    <n v="56000"/>
    <n v="50000"/>
    <n v="106000"/>
    <x v="1"/>
    <x v="1"/>
    <x v="4"/>
    <n v="5"/>
    <x v="0"/>
    <x v="0"/>
  </r>
  <r>
    <s v="ORD00790"/>
    <x v="887"/>
    <x v="1"/>
    <s v="Aulia Wijaya"/>
    <s v="Palangka Raya"/>
    <x v="14"/>
    <n v="35000"/>
    <n v="1"/>
    <n v="5"/>
    <n v="35000"/>
    <n v="1750"/>
    <n v="33250"/>
    <n v="50000"/>
    <n v="83250"/>
    <x v="0"/>
    <x v="0"/>
    <x v="4"/>
    <n v="5"/>
    <x v="0"/>
    <x v="0"/>
  </r>
  <r>
    <s v="ORD00994"/>
    <x v="888"/>
    <x v="1"/>
    <s v="Zahra Iskandar"/>
    <s v="Manokwari"/>
    <x v="24"/>
    <n v="45000"/>
    <n v="2"/>
    <n v="0"/>
    <n v="90000"/>
    <n v="0"/>
    <n v="90000"/>
    <n v="18000"/>
    <n v="108000"/>
    <x v="1"/>
    <x v="0"/>
    <x v="4"/>
    <n v="3"/>
    <x v="0"/>
    <x v="0"/>
  </r>
  <r>
    <s v="ORD00095"/>
    <x v="889"/>
    <x v="1"/>
    <s v="Galih Saputra"/>
    <s v="Jakarta"/>
    <x v="4"/>
    <n v="4000"/>
    <n v="3"/>
    <n v="10"/>
    <n v="12000"/>
    <n v="1200"/>
    <n v="10800"/>
    <n v="97000"/>
    <n v="107800"/>
    <x v="1"/>
    <x v="2"/>
    <x v="0"/>
    <n v="5"/>
    <x v="1"/>
    <x v="0"/>
  </r>
  <r>
    <s v="ORD01536"/>
    <x v="890"/>
    <x v="1"/>
    <s v="Yoga Saputra"/>
    <s v="Wamena"/>
    <x v="9"/>
    <n v="50000"/>
    <n v="1"/>
    <n v="15"/>
    <n v="50000"/>
    <n v="7500"/>
    <n v="42500"/>
    <n v="15000"/>
    <n v="57500"/>
    <x v="0"/>
    <x v="0"/>
    <x v="2"/>
    <n v="3"/>
    <x v="1"/>
    <x v="1"/>
  </r>
  <r>
    <s v="ORD01271"/>
    <x v="891"/>
    <x v="1"/>
    <s v="Dewi Setiawan"/>
    <s v="Jakarta"/>
    <x v="11"/>
    <n v="40000"/>
    <n v="5"/>
    <n v="5"/>
    <n v="200000"/>
    <n v="10000"/>
    <n v="190000"/>
    <n v="97000"/>
    <n v="287000"/>
    <x v="0"/>
    <x v="0"/>
    <x v="4"/>
    <n v="4"/>
    <x v="0"/>
    <x v="1"/>
  </r>
  <r>
    <s v="ORD00194"/>
    <x v="892"/>
    <x v="1"/>
    <s v="Dina Maulana"/>
    <s v="Kupang"/>
    <x v="0"/>
    <n v="45000"/>
    <n v="5"/>
    <n v="20"/>
    <n v="225000"/>
    <n v="45000"/>
    <n v="180000"/>
    <n v="21000"/>
    <n v="201000"/>
    <x v="0"/>
    <x v="0"/>
    <x v="4"/>
    <n v="2"/>
    <x v="0"/>
    <x v="3"/>
  </r>
  <r>
    <s v="ORD01795"/>
    <x v="893"/>
    <x v="1"/>
    <s v="Indra Setiawan"/>
    <s v="Mataram"/>
    <x v="2"/>
    <n v="16000"/>
    <n v="5"/>
    <n v="15"/>
    <n v="80000"/>
    <n v="12000"/>
    <n v="68000"/>
    <n v="56000"/>
    <n v="124000"/>
    <x v="0"/>
    <x v="0"/>
    <x v="3"/>
    <n v="4"/>
    <x v="1"/>
    <x v="1"/>
  </r>
  <r>
    <s v="ORD01578"/>
    <x v="894"/>
    <x v="1"/>
    <s v="Bella Rahmawati"/>
    <s v="Kendari"/>
    <x v="23"/>
    <n v="10000"/>
    <n v="2"/>
    <n v="15"/>
    <n v="20000"/>
    <n v="3000"/>
    <n v="17000"/>
    <n v="59000"/>
    <n v="76000"/>
    <x v="3"/>
    <x v="0"/>
    <x v="1"/>
    <n v="4"/>
    <x v="0"/>
    <x v="0"/>
  </r>
  <r>
    <s v="ORD00275"/>
    <x v="895"/>
    <x v="1"/>
    <s v="Sari Kusuma"/>
    <s v="Medan"/>
    <x v="3"/>
    <n v="28000"/>
    <n v="2"/>
    <n v="10"/>
    <n v="56000"/>
    <n v="5600"/>
    <n v="50400"/>
    <n v="79000"/>
    <n v="129400"/>
    <x v="1"/>
    <x v="1"/>
    <x v="1"/>
    <n v="3"/>
    <x v="0"/>
    <x v="1"/>
  </r>
  <r>
    <s v="ORD00053"/>
    <x v="896"/>
    <x v="1"/>
    <s v="Andi Wijaya"/>
    <s v="Kupang"/>
    <x v="25"/>
    <n v="35000"/>
    <n v="3"/>
    <n v="5"/>
    <n v="105000"/>
    <n v="5250"/>
    <n v="99750"/>
    <n v="21000"/>
    <n v="120750"/>
    <x v="1"/>
    <x v="0"/>
    <x v="4"/>
    <n v="5"/>
    <x v="1"/>
    <x v="1"/>
  </r>
  <r>
    <s v="ORD01132"/>
    <x v="897"/>
    <x v="1"/>
    <s v="Sari Pradipta"/>
    <s v="Banda Aceh"/>
    <x v="10"/>
    <n v="15000"/>
    <n v="4"/>
    <n v="10"/>
    <n v="60000"/>
    <n v="6000"/>
    <n v="54000"/>
    <n v="18000"/>
    <n v="72000"/>
    <x v="2"/>
    <x v="2"/>
    <x v="0"/>
    <n v="1"/>
    <x v="0"/>
    <x v="1"/>
  </r>
  <r>
    <s v="ORD00040"/>
    <x v="898"/>
    <x v="1"/>
    <s v="Tono Kurniawan"/>
    <s v="Semarang"/>
    <x v="0"/>
    <n v="45000"/>
    <n v="3"/>
    <n v="5"/>
    <n v="135000"/>
    <n v="6750"/>
    <n v="128250"/>
    <n v="76000"/>
    <n v="204250"/>
    <x v="1"/>
    <x v="0"/>
    <x v="1"/>
    <n v="2"/>
    <x v="1"/>
    <x v="1"/>
  </r>
  <r>
    <s v="ORD00893"/>
    <x v="899"/>
    <x v="1"/>
    <s v="Iwan Maulana"/>
    <s v="Pontianak"/>
    <x v="9"/>
    <n v="50000"/>
    <n v="4"/>
    <n v="15"/>
    <n v="200000"/>
    <n v="30000"/>
    <n v="170000"/>
    <n v="85000"/>
    <n v="255000"/>
    <x v="1"/>
    <x v="0"/>
    <x v="4"/>
    <n v="1"/>
    <x v="1"/>
    <x v="2"/>
  </r>
  <r>
    <s v="ORD00232"/>
    <x v="900"/>
    <x v="1"/>
    <s v="Fitri Kusuma"/>
    <s v="Makassar"/>
    <x v="24"/>
    <n v="45000"/>
    <n v="5"/>
    <n v="10"/>
    <n v="225000"/>
    <n v="22500"/>
    <n v="202500"/>
    <n v="84000"/>
    <n v="286500"/>
    <x v="2"/>
    <x v="0"/>
    <x v="1"/>
    <n v="1"/>
    <x v="0"/>
    <x v="2"/>
  </r>
  <r>
    <s v="ORD01374"/>
    <x v="901"/>
    <x v="1"/>
    <s v="Arif Rahmawati"/>
    <s v="Palangka Raya"/>
    <x v="25"/>
    <n v="35000"/>
    <n v="5"/>
    <n v="10"/>
    <n v="175000"/>
    <n v="17500"/>
    <n v="157500"/>
    <n v="50000"/>
    <n v="207500"/>
    <x v="0"/>
    <x v="0"/>
    <x v="4"/>
    <n v="5"/>
    <x v="1"/>
    <x v="2"/>
  </r>
  <r>
    <s v="ORD00240"/>
    <x v="902"/>
    <x v="1"/>
    <s v="Vina Ramadhani"/>
    <s v="Jambi"/>
    <x v="7"/>
    <n v="16000"/>
    <n v="2"/>
    <n v="10"/>
    <n v="32000"/>
    <n v="3200"/>
    <n v="28800"/>
    <n v="87000"/>
    <n v="115800"/>
    <x v="3"/>
    <x v="0"/>
    <x v="0"/>
    <n v="4"/>
    <x v="0"/>
    <x v="0"/>
  </r>
  <r>
    <s v="ORD01361"/>
    <x v="903"/>
    <x v="1"/>
    <s v="Zahra Budiman"/>
    <s v="Ambon"/>
    <x v="26"/>
    <n v="18000"/>
    <n v="3"/>
    <n v="0"/>
    <n v="54000"/>
    <n v="0"/>
    <n v="54000"/>
    <n v="49000"/>
    <n v="103000"/>
    <x v="0"/>
    <x v="0"/>
    <x v="1"/>
    <n v="3"/>
    <x v="0"/>
    <x v="0"/>
  </r>
  <r>
    <s v="ORD01364"/>
    <x v="904"/>
    <x v="1"/>
    <s v="Bayu Nugroho"/>
    <s v="Jayapura"/>
    <x v="6"/>
    <n v="14000"/>
    <n v="3"/>
    <n v="15"/>
    <n v="42000"/>
    <n v="6300"/>
    <n v="35700"/>
    <n v="30000"/>
    <n v="65700"/>
    <x v="0"/>
    <x v="0"/>
    <x v="3"/>
    <n v="5"/>
    <x v="1"/>
    <x v="1"/>
  </r>
  <r>
    <s v="ORD00182"/>
    <x v="905"/>
    <x v="1"/>
    <s v="Fitri Syahputra"/>
    <s v="Kupang"/>
    <x v="8"/>
    <n v="16000"/>
    <n v="5"/>
    <n v="0"/>
    <n v="80000"/>
    <n v="0"/>
    <n v="80000"/>
    <n v="21000"/>
    <n v="101000"/>
    <x v="0"/>
    <x v="0"/>
    <x v="0"/>
    <n v="5"/>
    <x v="0"/>
    <x v="0"/>
  </r>
  <r>
    <s v="ORD01025"/>
    <x v="906"/>
    <x v="1"/>
    <s v="Yani Ananda"/>
    <s v="Mataram"/>
    <x v="20"/>
    <n v="12000"/>
    <n v="2"/>
    <n v="10"/>
    <n v="24000"/>
    <n v="2400"/>
    <n v="21600"/>
    <n v="56000"/>
    <n v="77600"/>
    <x v="1"/>
    <x v="0"/>
    <x v="3"/>
    <n v="5"/>
    <x v="0"/>
    <x v="0"/>
  </r>
  <r>
    <s v="ORD00620"/>
    <x v="907"/>
    <x v="1"/>
    <s v="Eka Rahmawati"/>
    <s v="Samarinda"/>
    <x v="21"/>
    <n v="17000"/>
    <n v="4"/>
    <n v="10"/>
    <n v="68000"/>
    <n v="6800"/>
    <n v="61200"/>
    <n v="43000"/>
    <n v="104200"/>
    <x v="0"/>
    <x v="0"/>
    <x v="3"/>
    <n v="3"/>
    <x v="0"/>
    <x v="1"/>
  </r>
  <r>
    <s v="ORD00412"/>
    <x v="908"/>
    <x v="1"/>
    <s v="Aulia Budiman"/>
    <s v="Jakarta"/>
    <x v="5"/>
    <n v="40000"/>
    <n v="3"/>
    <n v="15"/>
    <n v="120000"/>
    <n v="18000"/>
    <n v="102000"/>
    <n v="97000"/>
    <n v="199000"/>
    <x v="2"/>
    <x v="0"/>
    <x v="0"/>
    <n v="3"/>
    <x v="0"/>
    <x v="2"/>
  </r>
  <r>
    <s v="ORD00077"/>
    <x v="909"/>
    <x v="1"/>
    <s v="Arif Fauziah"/>
    <s v="Denpasar"/>
    <x v="3"/>
    <n v="28000"/>
    <n v="3"/>
    <n v="5"/>
    <n v="84000"/>
    <n v="4200"/>
    <n v="79800"/>
    <n v="80000"/>
    <n v="159800"/>
    <x v="1"/>
    <x v="2"/>
    <x v="0"/>
    <n v="3"/>
    <x v="1"/>
    <x v="0"/>
  </r>
  <r>
    <s v="ORD00805"/>
    <x v="910"/>
    <x v="1"/>
    <s v="Sari Saputra"/>
    <s v="Gorontalo"/>
    <x v="18"/>
    <n v="6000"/>
    <n v="5"/>
    <n v="0"/>
    <n v="30000"/>
    <n v="0"/>
    <n v="30000"/>
    <n v="80000"/>
    <n v="110000"/>
    <x v="3"/>
    <x v="1"/>
    <x v="0"/>
    <n v="5"/>
    <x v="0"/>
    <x v="0"/>
  </r>
  <r>
    <s v="ORD00759"/>
    <x v="911"/>
    <x v="1"/>
    <s v="Clara Syahputra"/>
    <s v="Makassar"/>
    <x v="19"/>
    <n v="22000"/>
    <n v="1"/>
    <n v="0"/>
    <n v="22000"/>
    <n v="0"/>
    <n v="22000"/>
    <n v="84000"/>
    <n v="106000"/>
    <x v="1"/>
    <x v="0"/>
    <x v="1"/>
    <n v="1"/>
    <x v="0"/>
    <x v="0"/>
  </r>
  <r>
    <s v="ORD01794"/>
    <x v="912"/>
    <x v="1"/>
    <s v="Dewi Utami"/>
    <s v="Bandung"/>
    <x v="2"/>
    <n v="16000"/>
    <n v="3"/>
    <n v="0"/>
    <n v="48000"/>
    <n v="0"/>
    <n v="48000"/>
    <n v="0"/>
    <n v="48000"/>
    <x v="2"/>
    <x v="0"/>
    <x v="2"/>
    <n v="4"/>
    <x v="0"/>
    <x v="0"/>
  </r>
  <r>
    <s v="ORD00151"/>
    <x v="913"/>
    <x v="1"/>
    <s v="Bella Rahmawati"/>
    <s v="Kendari"/>
    <x v="14"/>
    <n v="35000"/>
    <n v="4"/>
    <n v="10"/>
    <n v="140000"/>
    <n v="14000"/>
    <n v="126000"/>
    <n v="59000"/>
    <n v="185000"/>
    <x v="0"/>
    <x v="0"/>
    <x v="1"/>
    <n v="2"/>
    <x v="0"/>
    <x v="1"/>
  </r>
  <r>
    <s v="ORD01226"/>
    <x v="914"/>
    <x v="1"/>
    <s v="Qori Budiman"/>
    <s v="Tanjungpinang"/>
    <x v="12"/>
    <n v="55000"/>
    <n v="2"/>
    <n v="10"/>
    <n v="110000"/>
    <n v="11000"/>
    <n v="99000"/>
    <n v="48000"/>
    <n v="147000"/>
    <x v="2"/>
    <x v="0"/>
    <x v="3"/>
    <n v="3"/>
    <x v="0"/>
    <x v="1"/>
  </r>
  <r>
    <s v="ORD00216"/>
    <x v="915"/>
    <x v="1"/>
    <s v="Aulia Ananda"/>
    <s v="Pontianak"/>
    <x v="23"/>
    <n v="10000"/>
    <n v="4"/>
    <n v="20"/>
    <n v="40000"/>
    <n v="8000"/>
    <n v="32000"/>
    <n v="85000"/>
    <n v="117000"/>
    <x v="1"/>
    <x v="0"/>
    <x v="1"/>
    <n v="4"/>
    <x v="0"/>
    <x v="1"/>
  </r>
  <r>
    <s v="ORD01255"/>
    <x v="916"/>
    <x v="1"/>
    <s v="Dina Kusuma"/>
    <s v="Tanjungpinang"/>
    <x v="0"/>
    <n v="45000"/>
    <n v="3"/>
    <n v="20"/>
    <n v="135000"/>
    <n v="27000"/>
    <n v="108000"/>
    <n v="48000"/>
    <n v="156000"/>
    <x v="0"/>
    <x v="0"/>
    <x v="0"/>
    <n v="1"/>
    <x v="0"/>
    <x v="2"/>
  </r>
  <r>
    <s v="ORD00473"/>
    <x v="917"/>
    <x v="1"/>
    <s v="Lestari Fauziah"/>
    <s v="Banjarbaru"/>
    <x v="12"/>
    <n v="55000"/>
    <n v="4"/>
    <n v="5"/>
    <n v="220000"/>
    <n v="11000"/>
    <n v="209000"/>
    <n v="55000"/>
    <n v="264000"/>
    <x v="0"/>
    <x v="0"/>
    <x v="4"/>
    <n v="2"/>
    <x v="0"/>
    <x v="1"/>
  </r>
  <r>
    <s v="ORD00473"/>
    <x v="917"/>
    <x v="1"/>
    <s v="Lestari Fauziah"/>
    <s v="Banjarbaru"/>
    <x v="17"/>
    <n v="30000"/>
    <n v="3"/>
    <n v="5"/>
    <n v="90000"/>
    <n v="4500"/>
    <n v="85500"/>
    <n v="0"/>
    <n v="85500"/>
    <x v="0"/>
    <x v="0"/>
    <x v="4"/>
    <n v="2"/>
    <x v="0"/>
    <x v="0"/>
  </r>
  <r>
    <s v="ORD01178"/>
    <x v="918"/>
    <x v="1"/>
    <s v="Qori Saputra"/>
    <s v="Palembang"/>
    <x v="12"/>
    <n v="55000"/>
    <n v="4"/>
    <n v="20"/>
    <n v="220000"/>
    <n v="44000"/>
    <n v="176000"/>
    <n v="17000"/>
    <n v="193000"/>
    <x v="1"/>
    <x v="1"/>
    <x v="3"/>
    <n v="1"/>
    <x v="0"/>
    <x v="3"/>
  </r>
  <r>
    <s v="ORD01175"/>
    <x v="919"/>
    <x v="1"/>
    <s v="Dina Halim"/>
    <s v="Wamena"/>
    <x v="25"/>
    <n v="35000"/>
    <n v="1"/>
    <n v="15"/>
    <n v="35000"/>
    <n v="5250"/>
    <n v="29750"/>
    <n v="15000"/>
    <n v="44750"/>
    <x v="1"/>
    <x v="0"/>
    <x v="1"/>
    <n v="2"/>
    <x v="0"/>
    <x v="1"/>
  </r>
  <r>
    <s v="ORD00021"/>
    <x v="920"/>
    <x v="1"/>
    <s v="Dimas Utami"/>
    <s v="Bandung"/>
    <x v="16"/>
    <n v="25000"/>
    <n v="2"/>
    <n v="0"/>
    <n v="50000"/>
    <n v="0"/>
    <n v="50000"/>
    <n v="0"/>
    <n v="50000"/>
    <x v="2"/>
    <x v="0"/>
    <x v="0"/>
    <n v="1"/>
    <x v="1"/>
    <x v="0"/>
  </r>
  <r>
    <s v="ORD00915"/>
    <x v="921"/>
    <x v="1"/>
    <s v="Dewi Rahmawati"/>
    <s v="Tanjung Selor"/>
    <x v="4"/>
    <n v="4000"/>
    <n v="1"/>
    <n v="15"/>
    <n v="4000"/>
    <n v="600"/>
    <n v="3400"/>
    <n v="26000"/>
    <n v="29400"/>
    <x v="0"/>
    <x v="1"/>
    <x v="4"/>
    <n v="1"/>
    <x v="0"/>
    <x v="0"/>
  </r>
  <r>
    <s v="ORD01834"/>
    <x v="922"/>
    <x v="1"/>
    <s v="Joko Nugroho"/>
    <s v="Bandar Lampung"/>
    <x v="22"/>
    <n v="18000"/>
    <n v="3"/>
    <n v="0"/>
    <n v="54000"/>
    <n v="0"/>
    <n v="54000"/>
    <n v="28000"/>
    <n v="82000"/>
    <x v="0"/>
    <x v="0"/>
    <x v="2"/>
    <n v="4"/>
    <x v="1"/>
    <x v="0"/>
  </r>
  <r>
    <s v="ORD01849"/>
    <x v="923"/>
    <x v="1"/>
    <s v="Gita Utami"/>
    <s v="Pangkalpinang"/>
    <x v="1"/>
    <n v="5000"/>
    <n v="2"/>
    <n v="10"/>
    <n v="10000"/>
    <n v="1000"/>
    <n v="9000"/>
    <n v="18000"/>
    <n v="27000"/>
    <x v="2"/>
    <x v="0"/>
    <x v="1"/>
    <n v="4"/>
    <x v="0"/>
    <x v="0"/>
  </r>
  <r>
    <s v="ORD01841"/>
    <x v="924"/>
    <x v="1"/>
    <s v="Nanda Utami"/>
    <s v="Manado"/>
    <x v="25"/>
    <n v="35000"/>
    <n v="1"/>
    <n v="5"/>
    <n v="35000"/>
    <n v="1750"/>
    <n v="33250"/>
    <n v="93000"/>
    <n v="126250"/>
    <x v="2"/>
    <x v="0"/>
    <x v="3"/>
    <n v="3"/>
    <x v="1"/>
    <x v="0"/>
  </r>
  <r>
    <s v="ORD00608"/>
    <x v="925"/>
    <x v="1"/>
    <s v="Tono Hidayat"/>
    <s v="Pangkalpinang"/>
    <x v="4"/>
    <n v="4000"/>
    <n v="4"/>
    <n v="0"/>
    <n v="16000"/>
    <n v="0"/>
    <n v="16000"/>
    <n v="18000"/>
    <n v="34000"/>
    <x v="0"/>
    <x v="0"/>
    <x v="3"/>
    <n v="3"/>
    <x v="1"/>
    <x v="0"/>
  </r>
  <r>
    <s v="ORD01568"/>
    <x v="926"/>
    <x v="1"/>
    <s v="Gita Pradipta"/>
    <s v="Jambi"/>
    <x v="16"/>
    <n v="25000"/>
    <n v="5"/>
    <n v="5"/>
    <n v="125000"/>
    <n v="6250"/>
    <n v="118750"/>
    <n v="87000"/>
    <n v="205750"/>
    <x v="1"/>
    <x v="0"/>
    <x v="1"/>
    <n v="1"/>
    <x v="0"/>
    <x v="1"/>
  </r>
  <r>
    <s v="ORD00141"/>
    <x v="927"/>
    <x v="1"/>
    <s v="Gita Saputra"/>
    <s v="Bengkulu"/>
    <x v="17"/>
    <n v="30000"/>
    <n v="3"/>
    <n v="10"/>
    <n v="90000"/>
    <n v="9000"/>
    <n v="81000"/>
    <n v="72000"/>
    <n v="153000"/>
    <x v="1"/>
    <x v="0"/>
    <x v="0"/>
    <n v="3"/>
    <x v="0"/>
    <x v="1"/>
  </r>
  <r>
    <s v="ORD00784"/>
    <x v="928"/>
    <x v="1"/>
    <s v="Yoga Utami"/>
    <s v="Banjarbaru"/>
    <x v="22"/>
    <n v="18000"/>
    <n v="3"/>
    <n v="20"/>
    <n v="54000"/>
    <n v="10800"/>
    <n v="43200"/>
    <n v="55000"/>
    <n v="98200"/>
    <x v="0"/>
    <x v="2"/>
    <x v="0"/>
    <n v="1"/>
    <x v="1"/>
    <x v="1"/>
  </r>
  <r>
    <s v="ORD01656"/>
    <x v="929"/>
    <x v="1"/>
    <s v="Zahra Ananda"/>
    <s v="Bandung"/>
    <x v="16"/>
    <n v="25000"/>
    <n v="4"/>
    <n v="15"/>
    <n v="100000"/>
    <n v="15000"/>
    <n v="85000"/>
    <n v="0"/>
    <n v="85000"/>
    <x v="2"/>
    <x v="0"/>
    <x v="2"/>
    <n v="4"/>
    <x v="0"/>
    <x v="1"/>
  </r>
  <r>
    <s v="ORD00565"/>
    <x v="930"/>
    <x v="1"/>
    <s v="Aulia Iskandar"/>
    <s v="Surabaya"/>
    <x v="26"/>
    <n v="18000"/>
    <n v="2"/>
    <n v="10"/>
    <n v="36000"/>
    <n v="3600"/>
    <n v="32400"/>
    <n v="74000"/>
    <n v="106400"/>
    <x v="3"/>
    <x v="0"/>
    <x v="0"/>
    <n v="4"/>
    <x v="0"/>
    <x v="0"/>
  </r>
  <r>
    <s v="ORD01217"/>
    <x v="931"/>
    <x v="1"/>
    <s v="Aulia Ramadhani"/>
    <s v="Semarang"/>
    <x v="20"/>
    <n v="12000"/>
    <n v="4"/>
    <n v="5"/>
    <n v="48000"/>
    <n v="2400"/>
    <n v="45600"/>
    <n v="76000"/>
    <n v="121600"/>
    <x v="0"/>
    <x v="0"/>
    <x v="1"/>
    <n v="4"/>
    <x v="0"/>
    <x v="0"/>
  </r>
  <r>
    <s v="ORD00265"/>
    <x v="932"/>
    <x v="1"/>
    <s v="Citra Hidayat"/>
    <s v="Merauke"/>
    <x v="20"/>
    <n v="12000"/>
    <n v="5"/>
    <n v="5"/>
    <n v="60000"/>
    <n v="3000"/>
    <n v="57000"/>
    <n v="59000"/>
    <n v="116000"/>
    <x v="2"/>
    <x v="0"/>
    <x v="0"/>
    <n v="1"/>
    <x v="0"/>
    <x v="0"/>
  </r>
  <r>
    <s v="ORD00003"/>
    <x v="933"/>
    <x v="1"/>
    <s v="Bayu Ananda"/>
    <s v="Manado"/>
    <x v="26"/>
    <n v="18000"/>
    <n v="3"/>
    <n v="15"/>
    <n v="54000"/>
    <n v="8100"/>
    <n v="45900"/>
    <n v="93000"/>
    <n v="138900"/>
    <x v="3"/>
    <x v="1"/>
    <x v="2"/>
    <n v="4"/>
    <x v="1"/>
    <x v="1"/>
  </r>
  <r>
    <s v="ORD00651"/>
    <x v="934"/>
    <x v="1"/>
    <s v="Bella Iskandar"/>
    <s v="Kendari"/>
    <x v="4"/>
    <n v="4000"/>
    <n v="5"/>
    <n v="15"/>
    <n v="20000"/>
    <n v="3000"/>
    <n v="17000"/>
    <n v="59000"/>
    <n v="76000"/>
    <x v="0"/>
    <x v="0"/>
    <x v="0"/>
    <n v="5"/>
    <x v="0"/>
    <x v="0"/>
  </r>
  <r>
    <s v="ORD00955"/>
    <x v="935"/>
    <x v="1"/>
    <s v="Lestari Puspita"/>
    <s v="Yogyakarta"/>
    <x v="13"/>
    <n v="17000"/>
    <n v="2"/>
    <n v="5"/>
    <n v="34000"/>
    <n v="1700"/>
    <n v="32300"/>
    <n v="78000"/>
    <n v="110300"/>
    <x v="0"/>
    <x v="0"/>
    <x v="4"/>
    <n v="4"/>
    <x v="0"/>
    <x v="0"/>
  </r>
  <r>
    <s v="ORD00196"/>
    <x v="936"/>
    <x v="1"/>
    <s v="Hana Puspita"/>
    <s v="Pangkalpinang"/>
    <x v="11"/>
    <n v="40000"/>
    <n v="2"/>
    <n v="0"/>
    <n v="80000"/>
    <n v="0"/>
    <n v="80000"/>
    <n v="18000"/>
    <n v="98000"/>
    <x v="1"/>
    <x v="0"/>
    <x v="3"/>
    <n v="5"/>
    <x v="0"/>
    <x v="0"/>
  </r>
  <r>
    <s v="ORD01459"/>
    <x v="937"/>
    <x v="1"/>
    <s v="Eka Iskandar"/>
    <s v="Surabaya"/>
    <x v="20"/>
    <n v="12000"/>
    <n v="3"/>
    <n v="5"/>
    <n v="36000"/>
    <n v="1800"/>
    <n v="34200"/>
    <n v="74000"/>
    <n v="108200"/>
    <x v="3"/>
    <x v="1"/>
    <x v="3"/>
    <n v="5"/>
    <x v="0"/>
    <x v="0"/>
  </r>
  <r>
    <s v="ORD00414"/>
    <x v="938"/>
    <x v="1"/>
    <s v="Bella Hidayat"/>
    <s v="Medan"/>
    <x v="6"/>
    <n v="14000"/>
    <n v="5"/>
    <n v="0"/>
    <n v="70000"/>
    <n v="0"/>
    <n v="70000"/>
    <n v="79000"/>
    <n v="149000"/>
    <x v="0"/>
    <x v="1"/>
    <x v="4"/>
    <n v="4"/>
    <x v="0"/>
    <x v="0"/>
  </r>
  <r>
    <s v="ORD00414"/>
    <x v="938"/>
    <x v="1"/>
    <s v="Bella Hidayat"/>
    <s v="Medan"/>
    <x v="4"/>
    <n v="4000"/>
    <n v="1"/>
    <n v="5"/>
    <n v="4000"/>
    <n v="200"/>
    <n v="3800"/>
    <n v="0"/>
    <n v="3800"/>
    <x v="0"/>
    <x v="1"/>
    <x v="4"/>
    <n v="4"/>
    <x v="0"/>
    <x v="0"/>
  </r>
  <r>
    <s v="ORD01488"/>
    <x v="939"/>
    <x v="1"/>
    <s v="Ani Puspita"/>
    <s v="Palu"/>
    <x v="6"/>
    <n v="14000"/>
    <n v="4"/>
    <n v="0"/>
    <n v="56000"/>
    <n v="0"/>
    <n v="56000"/>
    <n v="67000"/>
    <n v="123000"/>
    <x v="1"/>
    <x v="0"/>
    <x v="4"/>
    <n v="1"/>
    <x v="0"/>
    <x v="0"/>
  </r>
  <r>
    <s v="ORD00172"/>
    <x v="940"/>
    <x v="1"/>
    <s v="Eka Kurniawan"/>
    <s v="Palu"/>
    <x v="5"/>
    <n v="40000"/>
    <n v="2"/>
    <n v="10"/>
    <n v="80000"/>
    <n v="8000"/>
    <n v="72000"/>
    <n v="67000"/>
    <n v="139000"/>
    <x v="2"/>
    <x v="0"/>
    <x v="3"/>
    <n v="2"/>
    <x v="0"/>
    <x v="1"/>
  </r>
  <r>
    <s v="ORD01388"/>
    <x v="941"/>
    <x v="1"/>
    <s v="Clara Pradipta"/>
    <s v="Jakarta"/>
    <x v="0"/>
    <n v="45000"/>
    <n v="1"/>
    <n v="15"/>
    <n v="45000"/>
    <n v="6750"/>
    <n v="38250"/>
    <n v="97000"/>
    <n v="135250"/>
    <x v="0"/>
    <x v="0"/>
    <x v="2"/>
    <n v="1"/>
    <x v="0"/>
    <x v="1"/>
  </r>
  <r>
    <s v="ORD00323"/>
    <x v="942"/>
    <x v="1"/>
    <s v="Ani Maulana"/>
    <s v="Nabire"/>
    <x v="17"/>
    <n v="30000"/>
    <n v="2"/>
    <n v="10"/>
    <n v="60000"/>
    <n v="6000"/>
    <n v="54000"/>
    <n v="89000"/>
    <n v="143000"/>
    <x v="2"/>
    <x v="0"/>
    <x v="1"/>
    <n v="1"/>
    <x v="0"/>
    <x v="1"/>
  </r>
  <r>
    <s v="ORD01016"/>
    <x v="943"/>
    <x v="1"/>
    <s v="Aulia Pradipta"/>
    <s v="Yogyakarta"/>
    <x v="25"/>
    <n v="35000"/>
    <n v="4"/>
    <n v="20"/>
    <n v="140000"/>
    <n v="28000"/>
    <n v="112000"/>
    <n v="78000"/>
    <n v="190000"/>
    <x v="0"/>
    <x v="1"/>
    <x v="4"/>
    <n v="5"/>
    <x v="0"/>
    <x v="2"/>
  </r>
  <r>
    <s v="ORD01806"/>
    <x v="944"/>
    <x v="1"/>
    <s v="Vina Maulana"/>
    <s v="Wamena"/>
    <x v="16"/>
    <n v="25000"/>
    <n v="1"/>
    <n v="20"/>
    <n v="25000"/>
    <n v="5000"/>
    <n v="20000"/>
    <n v="15000"/>
    <n v="35000"/>
    <x v="0"/>
    <x v="0"/>
    <x v="1"/>
    <n v="5"/>
    <x v="0"/>
    <x v="0"/>
  </r>
  <r>
    <s v="ORD01776"/>
    <x v="945"/>
    <x v="1"/>
    <s v="Galih Puspita"/>
    <s v="Manado"/>
    <x v="3"/>
    <n v="28000"/>
    <n v="2"/>
    <n v="20"/>
    <n v="56000"/>
    <n v="11200"/>
    <n v="44800"/>
    <n v="93000"/>
    <n v="137800"/>
    <x v="3"/>
    <x v="0"/>
    <x v="0"/>
    <n v="1"/>
    <x v="1"/>
    <x v="1"/>
  </r>
  <r>
    <s v="ORD00306"/>
    <x v="946"/>
    <x v="1"/>
    <s v="Fitri Wijaya"/>
    <s v="Serang"/>
    <x v="24"/>
    <n v="45000"/>
    <n v="3"/>
    <n v="15"/>
    <n v="135000"/>
    <n v="20250"/>
    <n v="114750"/>
    <n v="57000"/>
    <n v="171750"/>
    <x v="1"/>
    <x v="0"/>
    <x v="1"/>
    <n v="3"/>
    <x v="0"/>
    <x v="2"/>
  </r>
  <r>
    <s v="ORD00306"/>
    <x v="946"/>
    <x v="1"/>
    <s v="Fitri Wijaya"/>
    <s v="Serang"/>
    <x v="4"/>
    <n v="4000"/>
    <n v="2"/>
    <n v="0"/>
    <n v="8000"/>
    <n v="0"/>
    <n v="8000"/>
    <n v="0"/>
    <n v="8000"/>
    <x v="1"/>
    <x v="0"/>
    <x v="1"/>
    <n v="3"/>
    <x v="0"/>
    <x v="0"/>
  </r>
  <r>
    <s v="ORD01211"/>
    <x v="947"/>
    <x v="1"/>
    <s v="Gita Utami"/>
    <s v="Pangkalpinang"/>
    <x v="5"/>
    <n v="40000"/>
    <n v="1"/>
    <n v="15"/>
    <n v="40000"/>
    <n v="6000"/>
    <n v="34000"/>
    <n v="18000"/>
    <n v="52000"/>
    <x v="2"/>
    <x v="0"/>
    <x v="3"/>
    <n v="5"/>
    <x v="0"/>
    <x v="1"/>
  </r>
  <r>
    <s v="ORD01254"/>
    <x v="948"/>
    <x v="1"/>
    <s v="Ani Budiman"/>
    <s v="Bengkulu"/>
    <x v="7"/>
    <n v="16000"/>
    <n v="1"/>
    <n v="5"/>
    <n v="16000"/>
    <n v="800"/>
    <n v="15200"/>
    <n v="72000"/>
    <n v="87200"/>
    <x v="1"/>
    <x v="1"/>
    <x v="1"/>
    <n v="5"/>
    <x v="0"/>
    <x v="0"/>
  </r>
  <r>
    <s v="ORD00537"/>
    <x v="949"/>
    <x v="1"/>
    <s v="Vina Kurniawan"/>
    <s v="Yogyakarta"/>
    <x v="24"/>
    <n v="45000"/>
    <n v="3"/>
    <n v="15"/>
    <n v="135000"/>
    <n v="20250"/>
    <n v="114750"/>
    <n v="78000"/>
    <n v="192750"/>
    <x v="0"/>
    <x v="1"/>
    <x v="1"/>
    <n v="5"/>
    <x v="0"/>
    <x v="2"/>
  </r>
  <r>
    <s v="ORD01009"/>
    <x v="950"/>
    <x v="1"/>
    <s v="Made Kusuma"/>
    <s v="Makassar"/>
    <x v="1"/>
    <n v="5000"/>
    <n v="2"/>
    <n v="10"/>
    <n v="10000"/>
    <n v="1000"/>
    <n v="9000"/>
    <n v="84000"/>
    <n v="93000"/>
    <x v="0"/>
    <x v="0"/>
    <x v="0"/>
    <n v="1"/>
    <x v="1"/>
    <x v="0"/>
  </r>
  <r>
    <s v="ORD01502"/>
    <x v="951"/>
    <x v="1"/>
    <s v="Kartika Saputra"/>
    <s v="Palu"/>
    <x v="23"/>
    <n v="10000"/>
    <n v="3"/>
    <n v="20"/>
    <n v="30000"/>
    <n v="6000"/>
    <n v="24000"/>
    <n v="67000"/>
    <n v="91000"/>
    <x v="3"/>
    <x v="1"/>
    <x v="3"/>
    <n v="1"/>
    <x v="0"/>
    <x v="1"/>
  </r>
  <r>
    <s v="ORD00856"/>
    <x v="952"/>
    <x v="1"/>
    <s v="Made Santoso"/>
    <s v="Medan"/>
    <x v="2"/>
    <n v="16000"/>
    <n v="5"/>
    <n v="15"/>
    <n v="80000"/>
    <n v="12000"/>
    <n v="68000"/>
    <n v="79000"/>
    <n v="147000"/>
    <x v="3"/>
    <x v="0"/>
    <x v="2"/>
    <n v="4"/>
    <x v="1"/>
    <x v="1"/>
  </r>
  <r>
    <s v="ORD01188"/>
    <x v="953"/>
    <x v="1"/>
    <s v="Dina Halim"/>
    <s v="Wamena"/>
    <x v="18"/>
    <n v="6000"/>
    <n v="2"/>
    <n v="10"/>
    <n v="12000"/>
    <n v="1200"/>
    <n v="10800"/>
    <n v="15000"/>
    <n v="25800"/>
    <x v="1"/>
    <x v="0"/>
    <x v="0"/>
    <n v="5"/>
    <x v="0"/>
    <x v="0"/>
  </r>
  <r>
    <s v="ORD01040"/>
    <x v="954"/>
    <x v="1"/>
    <s v="Lestari Budiman"/>
    <s v="Pontianak"/>
    <x v="25"/>
    <n v="35000"/>
    <n v="1"/>
    <n v="20"/>
    <n v="35000"/>
    <n v="7000"/>
    <n v="28000"/>
    <n v="85000"/>
    <n v="113000"/>
    <x v="1"/>
    <x v="0"/>
    <x v="3"/>
    <n v="4"/>
    <x v="0"/>
    <x v="1"/>
  </r>
  <r>
    <s v="ORD01721"/>
    <x v="955"/>
    <x v="1"/>
    <s v="Sari Hidayat"/>
    <s v="Semarang"/>
    <x v="25"/>
    <n v="35000"/>
    <n v="4"/>
    <n v="15"/>
    <n v="140000"/>
    <n v="21000"/>
    <n v="119000"/>
    <n v="76000"/>
    <n v="195000"/>
    <x v="2"/>
    <x v="0"/>
    <x v="0"/>
    <n v="1"/>
    <x v="0"/>
    <x v="2"/>
  </r>
  <r>
    <s v="ORD00163"/>
    <x v="956"/>
    <x v="1"/>
    <s v="Gita Syahputra"/>
    <s v="Merauke"/>
    <x v="23"/>
    <n v="10000"/>
    <n v="5"/>
    <n v="0"/>
    <n v="50000"/>
    <n v="0"/>
    <n v="50000"/>
    <n v="59000"/>
    <n v="109000"/>
    <x v="3"/>
    <x v="0"/>
    <x v="2"/>
    <n v="4"/>
    <x v="0"/>
    <x v="0"/>
  </r>
  <r>
    <s v="ORD00163"/>
    <x v="956"/>
    <x v="1"/>
    <s v="Gita Syahputra"/>
    <s v="Merauke"/>
    <x v="5"/>
    <n v="40000"/>
    <n v="3"/>
    <n v="20"/>
    <n v="120000"/>
    <n v="24000"/>
    <n v="96000"/>
    <n v="0"/>
    <n v="96000"/>
    <x v="3"/>
    <x v="0"/>
    <x v="2"/>
    <n v="4"/>
    <x v="0"/>
    <x v="2"/>
  </r>
  <r>
    <s v="ORD01843"/>
    <x v="957"/>
    <x v="1"/>
    <s v="Bella Hidayat"/>
    <s v="Medan"/>
    <x v="12"/>
    <n v="55000"/>
    <n v="5"/>
    <n v="10"/>
    <n v="275000"/>
    <n v="27500"/>
    <n v="247500"/>
    <n v="79000"/>
    <n v="326500"/>
    <x v="2"/>
    <x v="0"/>
    <x v="4"/>
    <n v="4"/>
    <x v="0"/>
    <x v="2"/>
  </r>
  <r>
    <s v="ORD00886"/>
    <x v="958"/>
    <x v="1"/>
    <s v="Galih Iskandar"/>
    <s v="Ambon"/>
    <x v="7"/>
    <n v="16000"/>
    <n v="4"/>
    <n v="20"/>
    <n v="64000"/>
    <n v="12800"/>
    <n v="51200"/>
    <n v="49000"/>
    <n v="100200"/>
    <x v="0"/>
    <x v="0"/>
    <x v="1"/>
    <n v="2"/>
    <x v="1"/>
    <x v="1"/>
  </r>
  <r>
    <s v="ORD01478"/>
    <x v="959"/>
    <x v="1"/>
    <s v="Dewi Syahputra"/>
    <s v="Manokwari"/>
    <x v="23"/>
    <n v="10000"/>
    <n v="3"/>
    <n v="5"/>
    <n v="30000"/>
    <n v="1500"/>
    <n v="28500"/>
    <n v="18000"/>
    <n v="46500"/>
    <x v="3"/>
    <x v="0"/>
    <x v="0"/>
    <n v="3"/>
    <x v="0"/>
    <x v="0"/>
  </r>
  <r>
    <s v="ORD01150"/>
    <x v="960"/>
    <x v="1"/>
    <s v="Aulia Hidayat"/>
    <s v="Pangkalpinang"/>
    <x v="23"/>
    <n v="10000"/>
    <n v="4"/>
    <n v="5"/>
    <n v="40000"/>
    <n v="2000"/>
    <n v="38000"/>
    <n v="18000"/>
    <n v="56000"/>
    <x v="1"/>
    <x v="0"/>
    <x v="4"/>
    <n v="4"/>
    <x v="0"/>
    <x v="0"/>
  </r>
  <r>
    <s v="ORD00596"/>
    <x v="961"/>
    <x v="1"/>
    <s v="Clara Ramadhani"/>
    <s v="Tanjungpinang"/>
    <x v="7"/>
    <n v="16000"/>
    <n v="2"/>
    <n v="20"/>
    <n v="32000"/>
    <n v="6400"/>
    <n v="25600"/>
    <n v="48000"/>
    <n v="73600"/>
    <x v="3"/>
    <x v="0"/>
    <x v="2"/>
    <n v="2"/>
    <x v="0"/>
    <x v="1"/>
  </r>
  <r>
    <s v="ORD01276"/>
    <x v="962"/>
    <x v="1"/>
    <s v="Citra Rahmawati"/>
    <s v="Sofifi"/>
    <x v="15"/>
    <n v="14000"/>
    <n v="2"/>
    <n v="5"/>
    <n v="28000"/>
    <n v="1400"/>
    <n v="26600"/>
    <n v="50000"/>
    <n v="76600"/>
    <x v="0"/>
    <x v="0"/>
    <x v="2"/>
    <n v="3"/>
    <x v="0"/>
    <x v="0"/>
  </r>
  <r>
    <s v="ORD01632"/>
    <x v="963"/>
    <x v="1"/>
    <s v="Nanda Halim"/>
    <s v="Pekanbaru"/>
    <x v="4"/>
    <n v="4000"/>
    <n v="3"/>
    <n v="10"/>
    <n v="12000"/>
    <n v="1200"/>
    <n v="10800"/>
    <n v="49000"/>
    <n v="59800"/>
    <x v="2"/>
    <x v="1"/>
    <x v="3"/>
    <n v="4"/>
    <x v="1"/>
    <x v="0"/>
  </r>
  <r>
    <s v="ORD00813"/>
    <x v="964"/>
    <x v="1"/>
    <s v="Dina Kurniawan"/>
    <s v="Sorong"/>
    <x v="10"/>
    <n v="15000"/>
    <n v="5"/>
    <n v="10"/>
    <n v="75000"/>
    <n v="7500"/>
    <n v="67500"/>
    <n v="87000"/>
    <n v="154500"/>
    <x v="3"/>
    <x v="0"/>
    <x v="2"/>
    <n v="4"/>
    <x v="0"/>
    <x v="1"/>
  </r>
  <r>
    <s v="ORD01301"/>
    <x v="965"/>
    <x v="1"/>
    <s v="Clara Puspita"/>
    <s v="Medan"/>
    <x v="24"/>
    <n v="45000"/>
    <n v="1"/>
    <n v="20"/>
    <n v="45000"/>
    <n v="9000"/>
    <n v="36000"/>
    <n v="79000"/>
    <n v="115000"/>
    <x v="1"/>
    <x v="0"/>
    <x v="3"/>
    <n v="3"/>
    <x v="0"/>
    <x v="1"/>
  </r>
  <r>
    <s v="ORD01402"/>
    <x v="966"/>
    <x v="1"/>
    <s v="Tono Hidayat"/>
    <s v="Pangkalpinang"/>
    <x v="1"/>
    <n v="5000"/>
    <n v="1"/>
    <n v="0"/>
    <n v="5000"/>
    <n v="0"/>
    <n v="5000"/>
    <n v="18000"/>
    <n v="23000"/>
    <x v="0"/>
    <x v="0"/>
    <x v="3"/>
    <n v="1"/>
    <x v="1"/>
    <x v="0"/>
  </r>
  <r>
    <s v="ORD00750"/>
    <x v="967"/>
    <x v="1"/>
    <s v="Erna Setiawan"/>
    <s v="Denpasar"/>
    <x v="14"/>
    <n v="35000"/>
    <n v="3"/>
    <n v="20"/>
    <n v="105000"/>
    <n v="21000"/>
    <n v="84000"/>
    <n v="80000"/>
    <n v="164000"/>
    <x v="1"/>
    <x v="0"/>
    <x v="4"/>
    <n v="1"/>
    <x v="0"/>
    <x v="2"/>
  </r>
  <r>
    <s v="ORD01317"/>
    <x v="968"/>
    <x v="1"/>
    <s v="Indra Rahmawati"/>
    <s v="Manokwari"/>
    <x v="25"/>
    <n v="35000"/>
    <n v="4"/>
    <n v="5"/>
    <n v="140000"/>
    <n v="7000"/>
    <n v="133000"/>
    <n v="18000"/>
    <n v="151000"/>
    <x v="3"/>
    <x v="0"/>
    <x v="4"/>
    <n v="3"/>
    <x v="1"/>
    <x v="1"/>
  </r>
  <r>
    <s v="ORD01279"/>
    <x v="969"/>
    <x v="1"/>
    <s v="Wahyu Budiman"/>
    <s v="Tanjungpinang"/>
    <x v="17"/>
    <n v="30000"/>
    <n v="5"/>
    <n v="20"/>
    <n v="150000"/>
    <n v="30000"/>
    <n v="120000"/>
    <n v="48000"/>
    <n v="168000"/>
    <x v="2"/>
    <x v="0"/>
    <x v="2"/>
    <n v="2"/>
    <x v="1"/>
    <x v="2"/>
  </r>
  <r>
    <s v="ORD01083"/>
    <x v="970"/>
    <x v="1"/>
    <s v="Citra Rahmawati"/>
    <s v="Sofifi"/>
    <x v="0"/>
    <n v="45000"/>
    <n v="5"/>
    <n v="15"/>
    <n v="225000"/>
    <n v="33750"/>
    <n v="191250"/>
    <n v="50000"/>
    <n v="241250"/>
    <x v="1"/>
    <x v="0"/>
    <x v="0"/>
    <n v="1"/>
    <x v="0"/>
    <x v="3"/>
  </r>
  <r>
    <s v="ORD00341"/>
    <x v="971"/>
    <x v="1"/>
    <s v="Citra Kurniawan"/>
    <s v="Merauke"/>
    <x v="25"/>
    <n v="35000"/>
    <n v="1"/>
    <n v="20"/>
    <n v="35000"/>
    <n v="7000"/>
    <n v="28000"/>
    <n v="59000"/>
    <n v="87000"/>
    <x v="3"/>
    <x v="0"/>
    <x v="1"/>
    <n v="1"/>
    <x v="0"/>
    <x v="1"/>
  </r>
  <r>
    <s v="ORD00363"/>
    <x v="972"/>
    <x v="1"/>
    <s v="Qori Halim"/>
    <s v="Pekanbaru"/>
    <x v="1"/>
    <n v="5000"/>
    <n v="1"/>
    <n v="20"/>
    <n v="5000"/>
    <n v="1000"/>
    <n v="4000"/>
    <n v="49000"/>
    <n v="53000"/>
    <x v="2"/>
    <x v="0"/>
    <x v="1"/>
    <n v="1"/>
    <x v="0"/>
    <x v="0"/>
  </r>
  <r>
    <s v="ORD01348"/>
    <x v="973"/>
    <x v="1"/>
    <s v="Yani Maulana"/>
    <s v="Yogyakarta"/>
    <x v="15"/>
    <n v="14000"/>
    <n v="3"/>
    <n v="15"/>
    <n v="42000"/>
    <n v="6300"/>
    <n v="35700"/>
    <n v="78000"/>
    <n v="113700"/>
    <x v="1"/>
    <x v="2"/>
    <x v="1"/>
    <n v="4"/>
    <x v="0"/>
    <x v="1"/>
  </r>
  <r>
    <s v="ORD00436"/>
    <x v="974"/>
    <x v="1"/>
    <s v="Dewi Maulana"/>
    <s v="Mataram"/>
    <x v="5"/>
    <n v="40000"/>
    <n v="4"/>
    <n v="10"/>
    <n v="160000"/>
    <n v="16000"/>
    <n v="144000"/>
    <n v="56000"/>
    <n v="200000"/>
    <x v="3"/>
    <x v="1"/>
    <x v="1"/>
    <n v="1"/>
    <x v="0"/>
    <x v="2"/>
  </r>
  <r>
    <s v="ORD01076"/>
    <x v="975"/>
    <x v="1"/>
    <s v="Tono Hidayat"/>
    <s v="Pangkalpinang"/>
    <x v="20"/>
    <n v="12000"/>
    <n v="4"/>
    <n v="0"/>
    <n v="48000"/>
    <n v="0"/>
    <n v="48000"/>
    <n v="18000"/>
    <n v="66000"/>
    <x v="3"/>
    <x v="0"/>
    <x v="2"/>
    <n v="1"/>
    <x v="1"/>
    <x v="0"/>
  </r>
  <r>
    <s v="ORD00160"/>
    <x v="976"/>
    <x v="1"/>
    <s v="Erna Pradipta"/>
    <s v="Bandung"/>
    <x v="13"/>
    <n v="17000"/>
    <n v="2"/>
    <n v="15"/>
    <n v="34000"/>
    <n v="5100"/>
    <n v="28900"/>
    <n v="0"/>
    <n v="28900"/>
    <x v="3"/>
    <x v="0"/>
    <x v="4"/>
    <n v="2"/>
    <x v="0"/>
    <x v="1"/>
  </r>
  <r>
    <s v="ORD00806"/>
    <x v="977"/>
    <x v="1"/>
    <s v="Yani Setiawan"/>
    <s v="Semarang"/>
    <x v="1"/>
    <n v="5000"/>
    <n v="1"/>
    <n v="10"/>
    <n v="5000"/>
    <n v="500"/>
    <n v="4500"/>
    <n v="76000"/>
    <n v="80500"/>
    <x v="3"/>
    <x v="0"/>
    <x v="1"/>
    <n v="1"/>
    <x v="0"/>
    <x v="0"/>
  </r>
  <r>
    <s v="ORD00470"/>
    <x v="978"/>
    <x v="1"/>
    <s v="Ani Maulana"/>
    <s v="Nabire"/>
    <x v="13"/>
    <n v="17000"/>
    <n v="2"/>
    <n v="20"/>
    <n v="34000"/>
    <n v="6800"/>
    <n v="27200"/>
    <n v="89000"/>
    <n v="116200"/>
    <x v="0"/>
    <x v="0"/>
    <x v="0"/>
    <n v="5"/>
    <x v="0"/>
    <x v="1"/>
  </r>
  <r>
    <s v="ORD01274"/>
    <x v="979"/>
    <x v="1"/>
    <s v="Fitri Saputra"/>
    <s v="Jakarta"/>
    <x v="13"/>
    <n v="17000"/>
    <n v="4"/>
    <n v="10"/>
    <n v="68000"/>
    <n v="6800"/>
    <n v="61200"/>
    <n v="97000"/>
    <n v="158200"/>
    <x v="1"/>
    <x v="2"/>
    <x v="2"/>
    <n v="1"/>
    <x v="0"/>
    <x v="1"/>
  </r>
  <r>
    <s v="ORD01527"/>
    <x v="980"/>
    <x v="1"/>
    <s v="Zahra Pradipta"/>
    <s v="Nabire"/>
    <x v="14"/>
    <n v="35000"/>
    <n v="4"/>
    <n v="10"/>
    <n v="140000"/>
    <n v="14000"/>
    <n v="126000"/>
    <n v="89000"/>
    <n v="215000"/>
    <x v="0"/>
    <x v="0"/>
    <x v="3"/>
    <n v="4"/>
    <x v="0"/>
    <x v="1"/>
  </r>
  <r>
    <s v="ORD01219"/>
    <x v="981"/>
    <x v="1"/>
    <s v="Zahra Wijaya"/>
    <s v="Jayapura"/>
    <x v="0"/>
    <n v="45000"/>
    <n v="1"/>
    <n v="10"/>
    <n v="45000"/>
    <n v="4500"/>
    <n v="40500"/>
    <n v="30000"/>
    <n v="70500"/>
    <x v="0"/>
    <x v="0"/>
    <x v="4"/>
    <n v="4"/>
    <x v="0"/>
    <x v="0"/>
  </r>
  <r>
    <s v="ORD01445"/>
    <x v="982"/>
    <x v="1"/>
    <s v="Yoga Nugroho"/>
    <s v="Banda Aceh"/>
    <x v="0"/>
    <n v="45000"/>
    <n v="3"/>
    <n v="10"/>
    <n v="135000"/>
    <n v="13500"/>
    <n v="121500"/>
    <n v="18000"/>
    <n v="139500"/>
    <x v="1"/>
    <x v="0"/>
    <x v="3"/>
    <n v="3"/>
    <x v="1"/>
    <x v="1"/>
  </r>
  <r>
    <s v="ORD00349"/>
    <x v="983"/>
    <x v="1"/>
    <s v="Lestari Fauziah"/>
    <s v="Banjarbaru"/>
    <x v="21"/>
    <n v="17000"/>
    <n v="4"/>
    <n v="15"/>
    <n v="68000"/>
    <n v="10200"/>
    <n v="57800"/>
    <n v="55000"/>
    <n v="112800"/>
    <x v="1"/>
    <x v="0"/>
    <x v="2"/>
    <n v="2"/>
    <x v="0"/>
    <x v="1"/>
  </r>
  <r>
    <s v="ORD00349"/>
    <x v="983"/>
    <x v="1"/>
    <s v="Lestari Fauziah"/>
    <s v="Banjarbaru"/>
    <x v="16"/>
    <n v="25000"/>
    <n v="5"/>
    <n v="10"/>
    <n v="125000"/>
    <n v="12500"/>
    <n v="112500"/>
    <n v="0"/>
    <n v="112500"/>
    <x v="1"/>
    <x v="0"/>
    <x v="2"/>
    <n v="2"/>
    <x v="0"/>
    <x v="1"/>
  </r>
  <r>
    <s v="ORD01450"/>
    <x v="984"/>
    <x v="1"/>
    <s v="Rizky Puspita"/>
    <s v="Medan"/>
    <x v="12"/>
    <n v="55000"/>
    <n v="1"/>
    <n v="5"/>
    <n v="55000"/>
    <n v="2750"/>
    <n v="52250"/>
    <n v="79000"/>
    <n v="131250"/>
    <x v="1"/>
    <x v="0"/>
    <x v="1"/>
    <n v="2"/>
    <x v="1"/>
    <x v="0"/>
  </r>
  <r>
    <s v="ORD01577"/>
    <x v="985"/>
    <x v="1"/>
    <s v="Dewi Budiman"/>
    <s v="Kupang"/>
    <x v="6"/>
    <n v="14000"/>
    <n v="2"/>
    <n v="10"/>
    <n v="28000"/>
    <n v="2800"/>
    <n v="25200"/>
    <n v="21000"/>
    <n v="46200"/>
    <x v="2"/>
    <x v="0"/>
    <x v="4"/>
    <n v="2"/>
    <x v="0"/>
    <x v="0"/>
  </r>
  <r>
    <s v="ORD01772"/>
    <x v="986"/>
    <x v="1"/>
    <s v="Yani Nugroho"/>
    <s v="Palembang"/>
    <x v="13"/>
    <n v="17000"/>
    <n v="5"/>
    <n v="10"/>
    <n v="85000"/>
    <n v="8500"/>
    <n v="76500"/>
    <n v="17000"/>
    <n v="93500"/>
    <x v="3"/>
    <x v="0"/>
    <x v="0"/>
    <n v="1"/>
    <x v="0"/>
    <x v="1"/>
  </r>
  <r>
    <s v="ORD01484"/>
    <x v="987"/>
    <x v="1"/>
    <s v="Ani Hidayat"/>
    <s v="Samarinda"/>
    <x v="24"/>
    <n v="45000"/>
    <n v="4"/>
    <n v="15"/>
    <n v="180000"/>
    <n v="27000"/>
    <n v="153000"/>
    <n v="43000"/>
    <n v="196000"/>
    <x v="2"/>
    <x v="0"/>
    <x v="1"/>
    <n v="4"/>
    <x v="0"/>
    <x v="2"/>
  </r>
  <r>
    <s v="ORD01416"/>
    <x v="988"/>
    <x v="1"/>
    <s v="Zahra Kusuma"/>
    <s v="Tanjung Selor"/>
    <x v="11"/>
    <n v="40000"/>
    <n v="2"/>
    <n v="15"/>
    <n v="80000"/>
    <n v="12000"/>
    <n v="68000"/>
    <n v="26000"/>
    <n v="94000"/>
    <x v="0"/>
    <x v="1"/>
    <x v="2"/>
    <n v="3"/>
    <x v="0"/>
    <x v="1"/>
  </r>
  <r>
    <s v="ORD00949"/>
    <x v="989"/>
    <x v="1"/>
    <s v="Fitri Wijaya"/>
    <s v="Serang"/>
    <x v="5"/>
    <n v="40000"/>
    <n v="5"/>
    <n v="0"/>
    <n v="200000"/>
    <n v="0"/>
    <n v="200000"/>
    <n v="57000"/>
    <n v="257000"/>
    <x v="1"/>
    <x v="0"/>
    <x v="3"/>
    <n v="5"/>
    <x v="0"/>
    <x v="0"/>
  </r>
  <r>
    <s v="ORD01818"/>
    <x v="990"/>
    <x v="1"/>
    <s v="Aulia Iskandar"/>
    <s v="Surabaya"/>
    <x v="8"/>
    <n v="16000"/>
    <n v="4"/>
    <n v="5"/>
    <n v="64000"/>
    <n v="3200"/>
    <n v="60800"/>
    <n v="74000"/>
    <n v="134800"/>
    <x v="2"/>
    <x v="0"/>
    <x v="0"/>
    <n v="5"/>
    <x v="0"/>
    <x v="0"/>
  </r>
  <r>
    <s v="ORD01021"/>
    <x v="991"/>
    <x v="1"/>
    <s v="Zahra Kurniawan"/>
    <s v="Wamena"/>
    <x v="14"/>
    <n v="35000"/>
    <n v="2"/>
    <n v="0"/>
    <n v="70000"/>
    <n v="0"/>
    <n v="70000"/>
    <n v="15000"/>
    <n v="85000"/>
    <x v="0"/>
    <x v="0"/>
    <x v="3"/>
    <n v="1"/>
    <x v="0"/>
    <x v="0"/>
  </r>
  <r>
    <s v="ORD00606"/>
    <x v="992"/>
    <x v="1"/>
    <s v="Gita Ramadhani"/>
    <s v="Palangka Raya"/>
    <x v="18"/>
    <n v="6000"/>
    <n v="3"/>
    <n v="20"/>
    <n v="18000"/>
    <n v="3600"/>
    <n v="14400"/>
    <n v="50000"/>
    <n v="64400"/>
    <x v="3"/>
    <x v="0"/>
    <x v="0"/>
    <n v="1"/>
    <x v="0"/>
    <x v="0"/>
  </r>
  <r>
    <s v="ORD01296"/>
    <x v="993"/>
    <x v="1"/>
    <s v="Clara Setiawan"/>
    <s v="Manokwari"/>
    <x v="16"/>
    <n v="25000"/>
    <n v="2"/>
    <n v="5"/>
    <n v="50000"/>
    <n v="2500"/>
    <n v="47500"/>
    <n v="18000"/>
    <n v="65500"/>
    <x v="2"/>
    <x v="0"/>
    <x v="0"/>
    <n v="4"/>
    <x v="0"/>
    <x v="0"/>
  </r>
  <r>
    <s v="ORD00838"/>
    <x v="994"/>
    <x v="1"/>
    <s v="Budi Saputra"/>
    <s v="Mataram"/>
    <x v="19"/>
    <n v="22000"/>
    <n v="1"/>
    <n v="10"/>
    <n v="22000"/>
    <n v="2200"/>
    <n v="19800"/>
    <n v="56000"/>
    <n v="75800"/>
    <x v="1"/>
    <x v="0"/>
    <x v="4"/>
    <n v="3"/>
    <x v="1"/>
    <x v="0"/>
  </r>
  <r>
    <s v="ORD01194"/>
    <x v="995"/>
    <x v="1"/>
    <s v="Indra Ananda"/>
    <s v="Makassar"/>
    <x v="8"/>
    <n v="16000"/>
    <n v="4"/>
    <n v="0"/>
    <n v="64000"/>
    <n v="0"/>
    <n v="64000"/>
    <n v="84000"/>
    <n v="148000"/>
    <x v="0"/>
    <x v="0"/>
    <x v="2"/>
    <n v="1"/>
    <x v="1"/>
    <x v="0"/>
  </r>
  <r>
    <s v="ORD00728"/>
    <x v="996"/>
    <x v="1"/>
    <s v="Qori Ananda"/>
    <s v="Sofifi"/>
    <x v="19"/>
    <n v="22000"/>
    <n v="1"/>
    <n v="10"/>
    <n v="22000"/>
    <n v="2200"/>
    <n v="19800"/>
    <n v="50000"/>
    <n v="69800"/>
    <x v="3"/>
    <x v="0"/>
    <x v="3"/>
    <n v="4"/>
    <x v="0"/>
    <x v="0"/>
  </r>
  <r>
    <s v="ORD01608"/>
    <x v="997"/>
    <x v="1"/>
    <s v="Bella Nugroho"/>
    <s v="Banjarbaru"/>
    <x v="7"/>
    <n v="16000"/>
    <n v="2"/>
    <n v="15"/>
    <n v="32000"/>
    <n v="4800"/>
    <n v="27200"/>
    <n v="55000"/>
    <n v="82200"/>
    <x v="1"/>
    <x v="0"/>
    <x v="2"/>
    <n v="4"/>
    <x v="0"/>
    <x v="0"/>
  </r>
  <r>
    <s v="ORD00603"/>
    <x v="998"/>
    <x v="1"/>
    <s v="Bella Budiman"/>
    <s v="Palembang"/>
    <x v="25"/>
    <n v="35000"/>
    <n v="3"/>
    <n v="5"/>
    <n v="105000"/>
    <n v="5250"/>
    <n v="99750"/>
    <n v="17000"/>
    <n v="116750"/>
    <x v="2"/>
    <x v="0"/>
    <x v="1"/>
    <n v="5"/>
    <x v="0"/>
    <x v="1"/>
  </r>
  <r>
    <s v="ORD00251"/>
    <x v="999"/>
    <x v="1"/>
    <s v="Putri Saputra"/>
    <s v="Pontianak"/>
    <x v="8"/>
    <n v="16000"/>
    <n v="2"/>
    <n v="0"/>
    <n v="32000"/>
    <n v="0"/>
    <n v="32000"/>
    <n v="85000"/>
    <n v="117000"/>
    <x v="0"/>
    <x v="0"/>
    <x v="0"/>
    <n v="1"/>
    <x v="0"/>
    <x v="0"/>
  </r>
  <r>
    <s v="ORD00787"/>
    <x v="1000"/>
    <x v="1"/>
    <s v="Yani Ananda"/>
    <s v="Mataram"/>
    <x v="25"/>
    <n v="35000"/>
    <n v="3"/>
    <n v="0"/>
    <n v="105000"/>
    <n v="0"/>
    <n v="105000"/>
    <n v="56000"/>
    <n v="161000"/>
    <x v="0"/>
    <x v="1"/>
    <x v="2"/>
    <n v="1"/>
    <x v="0"/>
    <x v="0"/>
  </r>
  <r>
    <s v="ORD01107"/>
    <x v="1001"/>
    <x v="1"/>
    <s v="Tono Fauziah"/>
    <s v="Serang"/>
    <x v="4"/>
    <n v="4000"/>
    <n v="1"/>
    <n v="10"/>
    <n v="4000"/>
    <n v="400"/>
    <n v="3600"/>
    <n v="57000"/>
    <n v="60600"/>
    <x v="3"/>
    <x v="0"/>
    <x v="4"/>
    <n v="3"/>
    <x v="1"/>
    <x v="0"/>
  </r>
  <r>
    <s v="ORD00159"/>
    <x v="1002"/>
    <x v="1"/>
    <s v="Yani Ananda"/>
    <s v="Mataram"/>
    <x v="5"/>
    <n v="40000"/>
    <n v="4"/>
    <n v="5"/>
    <n v="160000"/>
    <n v="8000"/>
    <n v="152000"/>
    <n v="56000"/>
    <n v="208000"/>
    <x v="3"/>
    <x v="0"/>
    <x v="3"/>
    <n v="1"/>
    <x v="0"/>
    <x v="1"/>
  </r>
  <r>
    <s v="ORD00159"/>
    <x v="1002"/>
    <x v="1"/>
    <s v="Yani Ananda"/>
    <s v="Mataram"/>
    <x v="10"/>
    <n v="15000"/>
    <n v="2"/>
    <n v="10"/>
    <n v="30000"/>
    <n v="3000"/>
    <n v="27000"/>
    <n v="0"/>
    <n v="27000"/>
    <x v="3"/>
    <x v="0"/>
    <x v="3"/>
    <n v="1"/>
    <x v="0"/>
    <x v="0"/>
  </r>
  <r>
    <s v="ORD00296"/>
    <x v="1003"/>
    <x v="1"/>
    <s v="Erna Iskandar"/>
    <s v="Bengkulu"/>
    <x v="10"/>
    <n v="15000"/>
    <n v="1"/>
    <n v="10"/>
    <n v="15000"/>
    <n v="1500"/>
    <n v="13500"/>
    <n v="72000"/>
    <n v="85500"/>
    <x v="3"/>
    <x v="0"/>
    <x v="1"/>
    <n v="2"/>
    <x v="0"/>
    <x v="0"/>
  </r>
  <r>
    <s v="ORD00841"/>
    <x v="1004"/>
    <x v="1"/>
    <s v="Putri Setiawan"/>
    <s v="Merauke"/>
    <x v="2"/>
    <n v="16000"/>
    <n v="1"/>
    <n v="15"/>
    <n v="16000"/>
    <n v="2400"/>
    <n v="13600"/>
    <n v="59000"/>
    <n v="72600"/>
    <x v="0"/>
    <x v="0"/>
    <x v="3"/>
    <n v="3"/>
    <x v="0"/>
    <x v="0"/>
  </r>
  <r>
    <s v="ORD01258"/>
    <x v="1005"/>
    <x v="1"/>
    <s v="Zahra Puspita"/>
    <s v="Yogyakarta"/>
    <x v="18"/>
    <n v="6000"/>
    <n v="5"/>
    <n v="5"/>
    <n v="30000"/>
    <n v="1500"/>
    <n v="28500"/>
    <n v="78000"/>
    <n v="106500"/>
    <x v="2"/>
    <x v="0"/>
    <x v="0"/>
    <n v="1"/>
    <x v="0"/>
    <x v="0"/>
  </r>
  <r>
    <s v="ORD00625"/>
    <x v="1006"/>
    <x v="1"/>
    <s v="Dewi Wijaya"/>
    <s v="Jayapura"/>
    <x v="19"/>
    <n v="22000"/>
    <n v="4"/>
    <n v="20"/>
    <n v="88000"/>
    <n v="17600"/>
    <n v="70400"/>
    <n v="30000"/>
    <n v="100400"/>
    <x v="0"/>
    <x v="0"/>
    <x v="3"/>
    <n v="1"/>
    <x v="0"/>
    <x v="2"/>
  </r>
  <r>
    <s v="ORD01355"/>
    <x v="1007"/>
    <x v="1"/>
    <s v="Fitri Ananda"/>
    <s v="Palembang"/>
    <x v="0"/>
    <n v="45000"/>
    <n v="3"/>
    <n v="20"/>
    <n v="135000"/>
    <n v="27000"/>
    <n v="108000"/>
    <n v="17000"/>
    <n v="125000"/>
    <x v="3"/>
    <x v="0"/>
    <x v="0"/>
    <n v="2"/>
    <x v="0"/>
    <x v="2"/>
  </r>
  <r>
    <s v="ORD01759"/>
    <x v="1008"/>
    <x v="1"/>
    <s v="Vina Maulana"/>
    <s v="Wamena"/>
    <x v="6"/>
    <n v="14000"/>
    <n v="5"/>
    <n v="0"/>
    <n v="70000"/>
    <n v="0"/>
    <n v="70000"/>
    <n v="15000"/>
    <n v="85000"/>
    <x v="1"/>
    <x v="0"/>
    <x v="3"/>
    <n v="4"/>
    <x v="0"/>
    <x v="0"/>
  </r>
  <r>
    <s v="ORD01686"/>
    <x v="1009"/>
    <x v="1"/>
    <s v="Wahyu Hidayat"/>
    <s v="Wamena"/>
    <x v="22"/>
    <n v="18000"/>
    <n v="3"/>
    <n v="5"/>
    <n v="54000"/>
    <n v="2700"/>
    <n v="51300"/>
    <n v="15000"/>
    <n v="66300"/>
    <x v="2"/>
    <x v="0"/>
    <x v="0"/>
    <n v="2"/>
    <x v="1"/>
    <x v="0"/>
  </r>
  <r>
    <s v="ORD00772"/>
    <x v="1010"/>
    <x v="1"/>
    <s v="Eka Ananda"/>
    <s v="Makassar"/>
    <x v="11"/>
    <n v="40000"/>
    <n v="3"/>
    <n v="5"/>
    <n v="120000"/>
    <n v="6000"/>
    <n v="114000"/>
    <n v="84000"/>
    <n v="198000"/>
    <x v="3"/>
    <x v="0"/>
    <x v="4"/>
    <n v="5"/>
    <x v="0"/>
    <x v="1"/>
  </r>
  <r>
    <s v="ORD01705"/>
    <x v="1011"/>
    <x v="1"/>
    <s v="Fitri Puspita"/>
    <s v="Yogyakarta"/>
    <x v="3"/>
    <n v="28000"/>
    <n v="3"/>
    <n v="0"/>
    <n v="84000"/>
    <n v="0"/>
    <n v="84000"/>
    <n v="78000"/>
    <n v="162000"/>
    <x v="3"/>
    <x v="0"/>
    <x v="3"/>
    <n v="2"/>
    <x v="0"/>
    <x v="0"/>
  </r>
  <r>
    <s v="ORD01024"/>
    <x v="1012"/>
    <x v="1"/>
    <s v="Gita Saputra"/>
    <s v="Bengkulu"/>
    <x v="22"/>
    <n v="18000"/>
    <n v="1"/>
    <n v="20"/>
    <n v="18000"/>
    <n v="3600"/>
    <n v="14400"/>
    <n v="72000"/>
    <n v="86400"/>
    <x v="0"/>
    <x v="0"/>
    <x v="1"/>
    <n v="3"/>
    <x v="0"/>
    <x v="0"/>
  </r>
  <r>
    <s v="ORD01563"/>
    <x v="1013"/>
    <x v="1"/>
    <s v="Putri Ramadhani"/>
    <s v="Pangkalpinang"/>
    <x v="18"/>
    <n v="6000"/>
    <n v="1"/>
    <n v="15"/>
    <n v="6000"/>
    <n v="900"/>
    <n v="5100"/>
    <n v="18000"/>
    <n v="23100"/>
    <x v="2"/>
    <x v="1"/>
    <x v="3"/>
    <n v="3"/>
    <x v="0"/>
    <x v="0"/>
  </r>
  <r>
    <s v="ORD00085"/>
    <x v="1014"/>
    <x v="1"/>
    <s v="Rizky Puspita"/>
    <s v="Medan"/>
    <x v="22"/>
    <n v="18000"/>
    <n v="1"/>
    <n v="20"/>
    <n v="18000"/>
    <n v="3600"/>
    <n v="14400"/>
    <n v="79000"/>
    <n v="93400"/>
    <x v="1"/>
    <x v="0"/>
    <x v="2"/>
    <n v="2"/>
    <x v="1"/>
    <x v="0"/>
  </r>
  <r>
    <s v="ORD01526"/>
    <x v="1015"/>
    <x v="1"/>
    <s v="Bayu Maulana"/>
    <s v="Nabire"/>
    <x v="11"/>
    <n v="40000"/>
    <n v="2"/>
    <n v="5"/>
    <n v="80000"/>
    <n v="4000"/>
    <n v="76000"/>
    <n v="89000"/>
    <n v="165000"/>
    <x v="0"/>
    <x v="2"/>
    <x v="0"/>
    <n v="1"/>
    <x v="1"/>
    <x v="0"/>
  </r>
  <r>
    <s v="ORD01752"/>
    <x v="1016"/>
    <x v="1"/>
    <s v="Qori Halim"/>
    <s v="Pekanbaru"/>
    <x v="16"/>
    <n v="25000"/>
    <n v="4"/>
    <n v="5"/>
    <n v="100000"/>
    <n v="5000"/>
    <n v="95000"/>
    <n v="49000"/>
    <n v="144000"/>
    <x v="3"/>
    <x v="0"/>
    <x v="0"/>
    <n v="1"/>
    <x v="0"/>
    <x v="0"/>
  </r>
  <r>
    <s v="ORD01269"/>
    <x v="1017"/>
    <x v="1"/>
    <s v="Aulia Fauziah"/>
    <s v="Padang"/>
    <x v="2"/>
    <n v="16000"/>
    <n v="1"/>
    <n v="10"/>
    <n v="16000"/>
    <n v="1600"/>
    <n v="14400"/>
    <n v="68000"/>
    <n v="82400"/>
    <x v="3"/>
    <x v="0"/>
    <x v="1"/>
    <n v="3"/>
    <x v="0"/>
    <x v="0"/>
  </r>
  <r>
    <s v="ORD01336"/>
    <x v="1018"/>
    <x v="1"/>
    <s v="Qori Utami"/>
    <s v="Serang"/>
    <x v="8"/>
    <n v="16000"/>
    <n v="4"/>
    <n v="20"/>
    <n v="64000"/>
    <n v="12800"/>
    <n v="51200"/>
    <n v="57000"/>
    <n v="108200"/>
    <x v="0"/>
    <x v="0"/>
    <x v="3"/>
    <n v="3"/>
    <x v="0"/>
    <x v="1"/>
  </r>
  <r>
    <s v="ORD01473"/>
    <x v="1019"/>
    <x v="1"/>
    <s v="Bella Pradipta"/>
    <s v="Banjarbaru"/>
    <x v="1"/>
    <n v="5000"/>
    <n v="4"/>
    <n v="15"/>
    <n v="20000"/>
    <n v="3000"/>
    <n v="17000"/>
    <n v="55000"/>
    <n v="72000"/>
    <x v="0"/>
    <x v="0"/>
    <x v="3"/>
    <n v="2"/>
    <x v="0"/>
    <x v="0"/>
  </r>
  <r>
    <s v="ORD01792"/>
    <x v="1020"/>
    <x v="1"/>
    <s v="Bella Ananda"/>
    <s v="Samarinda"/>
    <x v="4"/>
    <n v="4000"/>
    <n v="4"/>
    <n v="10"/>
    <n v="16000"/>
    <n v="1600"/>
    <n v="14400"/>
    <n v="43000"/>
    <n v="57400"/>
    <x v="0"/>
    <x v="1"/>
    <x v="0"/>
    <n v="2"/>
    <x v="0"/>
    <x v="0"/>
  </r>
  <r>
    <s v="ORD00549"/>
    <x v="1021"/>
    <x v="1"/>
    <s v="Eka Rahmawati"/>
    <s v="Samarinda"/>
    <x v="8"/>
    <n v="16000"/>
    <n v="1"/>
    <n v="5"/>
    <n v="16000"/>
    <n v="800"/>
    <n v="15200"/>
    <n v="43000"/>
    <n v="58200"/>
    <x v="0"/>
    <x v="0"/>
    <x v="2"/>
    <n v="3"/>
    <x v="0"/>
    <x v="0"/>
  </r>
  <r>
    <s v="ORD01499"/>
    <x v="1022"/>
    <x v="1"/>
    <s v="Citra Kurniawan"/>
    <s v="Merauke"/>
    <x v="6"/>
    <n v="14000"/>
    <n v="2"/>
    <n v="20"/>
    <n v="28000"/>
    <n v="5600"/>
    <n v="22400"/>
    <n v="59000"/>
    <n v="81400"/>
    <x v="0"/>
    <x v="1"/>
    <x v="4"/>
    <n v="5"/>
    <x v="0"/>
    <x v="1"/>
  </r>
  <r>
    <s v="ORD00530"/>
    <x v="1023"/>
    <x v="1"/>
    <s v="Fitri Setiawan"/>
    <s v="Pekanbaru"/>
    <x v="26"/>
    <n v="18000"/>
    <n v="1"/>
    <n v="20"/>
    <n v="18000"/>
    <n v="3600"/>
    <n v="14400"/>
    <n v="49000"/>
    <n v="63400"/>
    <x v="0"/>
    <x v="0"/>
    <x v="2"/>
    <n v="3"/>
    <x v="0"/>
    <x v="0"/>
  </r>
  <r>
    <s v="ORD01221"/>
    <x v="1024"/>
    <x v="1"/>
    <s v="Citra Halim"/>
    <s v="Merauke"/>
    <x v="6"/>
    <n v="14000"/>
    <n v="4"/>
    <n v="5"/>
    <n v="56000"/>
    <n v="2800"/>
    <n v="53200"/>
    <n v="59000"/>
    <n v="112200"/>
    <x v="1"/>
    <x v="0"/>
    <x v="4"/>
    <n v="3"/>
    <x v="0"/>
    <x v="0"/>
  </r>
  <r>
    <s v="ORD00354"/>
    <x v="1025"/>
    <x v="1"/>
    <s v="Vina Syahputra"/>
    <s v="Pekanbaru"/>
    <x v="22"/>
    <n v="18000"/>
    <n v="1"/>
    <n v="5"/>
    <n v="18000"/>
    <n v="900"/>
    <n v="17100"/>
    <n v="49000"/>
    <n v="66100"/>
    <x v="0"/>
    <x v="2"/>
    <x v="2"/>
    <n v="4"/>
    <x v="0"/>
    <x v="0"/>
  </r>
  <r>
    <s v="ORD00354"/>
    <x v="1025"/>
    <x v="1"/>
    <s v="Vina Syahputra"/>
    <s v="Pekanbaru"/>
    <x v="6"/>
    <n v="14000"/>
    <n v="4"/>
    <n v="5"/>
    <n v="56000"/>
    <n v="2800"/>
    <n v="53200"/>
    <n v="0"/>
    <n v="53200"/>
    <x v="0"/>
    <x v="2"/>
    <x v="2"/>
    <n v="4"/>
    <x v="0"/>
    <x v="0"/>
  </r>
  <r>
    <s v="ORD01074"/>
    <x v="1026"/>
    <x v="1"/>
    <s v="Nanda Iskandar"/>
    <s v="Pontianak"/>
    <x v="5"/>
    <n v="40000"/>
    <n v="4"/>
    <n v="0"/>
    <n v="160000"/>
    <n v="0"/>
    <n v="160000"/>
    <n v="85000"/>
    <n v="245000"/>
    <x v="1"/>
    <x v="0"/>
    <x v="3"/>
    <n v="4"/>
    <x v="1"/>
    <x v="0"/>
  </r>
  <r>
    <s v="ORD00852"/>
    <x v="1027"/>
    <x v="1"/>
    <s v="Vina Iskandar"/>
    <s v="Manokwari"/>
    <x v="21"/>
    <n v="17000"/>
    <n v="5"/>
    <n v="20"/>
    <n v="85000"/>
    <n v="17000"/>
    <n v="68000"/>
    <n v="18000"/>
    <n v="86000"/>
    <x v="3"/>
    <x v="0"/>
    <x v="4"/>
    <n v="3"/>
    <x v="0"/>
    <x v="2"/>
  </r>
  <r>
    <s v="ORD01141"/>
    <x v="1028"/>
    <x v="1"/>
    <s v="Hana Pradipta"/>
    <s v="Jayapura"/>
    <x v="19"/>
    <n v="22000"/>
    <n v="2"/>
    <n v="0"/>
    <n v="44000"/>
    <n v="0"/>
    <n v="44000"/>
    <n v="30000"/>
    <n v="74000"/>
    <x v="3"/>
    <x v="1"/>
    <x v="3"/>
    <n v="5"/>
    <x v="0"/>
    <x v="0"/>
  </r>
  <r>
    <s v="ORD00971"/>
    <x v="1029"/>
    <x v="1"/>
    <s v="Tono Ananda"/>
    <s v="Kendari"/>
    <x v="19"/>
    <n v="22000"/>
    <n v="5"/>
    <n v="5"/>
    <n v="110000"/>
    <n v="5500"/>
    <n v="104500"/>
    <n v="59000"/>
    <n v="163500"/>
    <x v="0"/>
    <x v="0"/>
    <x v="4"/>
    <n v="1"/>
    <x v="1"/>
    <x v="1"/>
  </r>
  <r>
    <s v="ORD00834"/>
    <x v="1030"/>
    <x v="1"/>
    <s v="Clara Budiman"/>
    <s v="Manado"/>
    <x v="26"/>
    <n v="18000"/>
    <n v="1"/>
    <n v="20"/>
    <n v="18000"/>
    <n v="3600"/>
    <n v="14400"/>
    <n v="93000"/>
    <n v="107400"/>
    <x v="2"/>
    <x v="0"/>
    <x v="0"/>
    <n v="3"/>
    <x v="0"/>
    <x v="0"/>
  </r>
  <r>
    <s v="ORD00257"/>
    <x v="1031"/>
    <x v="1"/>
    <s v="Kartika Saputra"/>
    <s v="Palu"/>
    <x v="11"/>
    <n v="40000"/>
    <n v="5"/>
    <n v="20"/>
    <n v="200000"/>
    <n v="40000"/>
    <n v="160000"/>
    <n v="67000"/>
    <n v="227000"/>
    <x v="2"/>
    <x v="0"/>
    <x v="0"/>
    <n v="5"/>
    <x v="0"/>
    <x v="3"/>
  </r>
  <r>
    <s v="ORD00257"/>
    <x v="1031"/>
    <x v="1"/>
    <s v="Kartika Saputra"/>
    <s v="Palu"/>
    <x v="13"/>
    <n v="17000"/>
    <n v="5"/>
    <n v="20"/>
    <n v="85000"/>
    <n v="17000"/>
    <n v="68000"/>
    <n v="0"/>
    <n v="68000"/>
    <x v="2"/>
    <x v="0"/>
    <x v="0"/>
    <n v="5"/>
    <x v="0"/>
    <x v="2"/>
  </r>
  <r>
    <s v="ORD01774"/>
    <x v="1032"/>
    <x v="1"/>
    <s v="Bella Ramadhani"/>
    <s v="Pontianak"/>
    <x v="21"/>
    <n v="17000"/>
    <n v="5"/>
    <n v="5"/>
    <n v="85000"/>
    <n v="4250"/>
    <n v="80750"/>
    <n v="85000"/>
    <n v="165750"/>
    <x v="3"/>
    <x v="1"/>
    <x v="3"/>
    <n v="2"/>
    <x v="0"/>
    <x v="0"/>
  </r>
  <r>
    <s v="ORD00374"/>
    <x v="1033"/>
    <x v="1"/>
    <s v="Kartika Saputra"/>
    <s v="Palu"/>
    <x v="19"/>
    <n v="22000"/>
    <n v="1"/>
    <n v="15"/>
    <n v="22000"/>
    <n v="3300"/>
    <n v="18700"/>
    <n v="67000"/>
    <n v="85700"/>
    <x v="2"/>
    <x v="0"/>
    <x v="3"/>
    <n v="3"/>
    <x v="0"/>
    <x v="0"/>
  </r>
  <r>
    <s v="ORD00374"/>
    <x v="1033"/>
    <x v="1"/>
    <s v="Kartika Saputra"/>
    <s v="Palu"/>
    <x v="26"/>
    <n v="18000"/>
    <n v="1"/>
    <n v="10"/>
    <n v="18000"/>
    <n v="1800"/>
    <n v="16200"/>
    <n v="0"/>
    <n v="16200"/>
    <x v="2"/>
    <x v="0"/>
    <x v="3"/>
    <n v="3"/>
    <x v="0"/>
    <x v="0"/>
  </r>
  <r>
    <s v="ORD01692"/>
    <x v="1034"/>
    <x v="1"/>
    <s v="Vina Ramadhani"/>
    <s v="Jambi"/>
    <x v="25"/>
    <n v="35000"/>
    <n v="2"/>
    <n v="0"/>
    <n v="70000"/>
    <n v="0"/>
    <n v="70000"/>
    <n v="87000"/>
    <n v="157000"/>
    <x v="2"/>
    <x v="0"/>
    <x v="4"/>
    <n v="2"/>
    <x v="0"/>
    <x v="0"/>
  </r>
  <r>
    <s v="ORD01313"/>
    <x v="1035"/>
    <x v="1"/>
    <s v="Rizky Fauziah"/>
    <s v="Sorong"/>
    <x v="24"/>
    <n v="45000"/>
    <n v="4"/>
    <n v="5"/>
    <n v="180000"/>
    <n v="9000"/>
    <n v="171000"/>
    <n v="87000"/>
    <n v="258000"/>
    <x v="1"/>
    <x v="0"/>
    <x v="2"/>
    <n v="1"/>
    <x v="1"/>
    <x v="1"/>
  </r>
  <r>
    <s v="ORD00771"/>
    <x v="1036"/>
    <x v="1"/>
    <s v="Qori Halim"/>
    <s v="Pekanbaru"/>
    <x v="10"/>
    <n v="15000"/>
    <n v="5"/>
    <n v="10"/>
    <n v="75000"/>
    <n v="7500"/>
    <n v="67500"/>
    <n v="49000"/>
    <n v="116500"/>
    <x v="1"/>
    <x v="2"/>
    <x v="4"/>
    <n v="4"/>
    <x v="0"/>
    <x v="1"/>
  </r>
  <r>
    <s v="ORD01552"/>
    <x v="1037"/>
    <x v="1"/>
    <s v="Galih Iskandar"/>
    <s v="Ambon"/>
    <x v="2"/>
    <n v="16000"/>
    <n v="1"/>
    <n v="5"/>
    <n v="16000"/>
    <n v="800"/>
    <n v="15200"/>
    <n v="49000"/>
    <n v="64200"/>
    <x v="1"/>
    <x v="0"/>
    <x v="1"/>
    <n v="2"/>
    <x v="1"/>
    <x v="0"/>
  </r>
  <r>
    <s v="ORD01383"/>
    <x v="1038"/>
    <x v="1"/>
    <s v="Lestari Santoso"/>
    <s v="Pangkalpinang"/>
    <x v="2"/>
    <n v="16000"/>
    <n v="2"/>
    <n v="15"/>
    <n v="32000"/>
    <n v="4800"/>
    <n v="27200"/>
    <n v="18000"/>
    <n v="45200"/>
    <x v="1"/>
    <x v="1"/>
    <x v="2"/>
    <n v="5"/>
    <x v="0"/>
    <x v="0"/>
  </r>
  <r>
    <s v="ORD01102"/>
    <x v="1039"/>
    <x v="1"/>
    <s v="Eka Pradipta"/>
    <s v="Bandung"/>
    <x v="17"/>
    <n v="30000"/>
    <n v="1"/>
    <n v="0"/>
    <n v="30000"/>
    <n v="0"/>
    <n v="30000"/>
    <n v="0"/>
    <n v="30000"/>
    <x v="0"/>
    <x v="0"/>
    <x v="2"/>
    <n v="5"/>
    <x v="0"/>
    <x v="0"/>
  </r>
  <r>
    <s v="ORD01172"/>
    <x v="1040"/>
    <x v="1"/>
    <s v="Aulia Iskandar"/>
    <s v="Surabaya"/>
    <x v="0"/>
    <n v="45000"/>
    <n v="5"/>
    <n v="0"/>
    <n v="225000"/>
    <n v="0"/>
    <n v="225000"/>
    <n v="74000"/>
    <n v="299000"/>
    <x v="1"/>
    <x v="0"/>
    <x v="2"/>
    <n v="1"/>
    <x v="0"/>
    <x v="0"/>
  </r>
  <r>
    <s v="ORD00921"/>
    <x v="1041"/>
    <x v="1"/>
    <s v="Bella Hidayat"/>
    <s v="Medan"/>
    <x v="13"/>
    <n v="17000"/>
    <n v="1"/>
    <n v="0"/>
    <n v="17000"/>
    <n v="0"/>
    <n v="17000"/>
    <n v="79000"/>
    <n v="96000"/>
    <x v="1"/>
    <x v="0"/>
    <x v="4"/>
    <n v="3"/>
    <x v="0"/>
    <x v="0"/>
  </r>
  <r>
    <s v="ORD01294"/>
    <x v="1042"/>
    <x v="1"/>
    <s v="Dewi Rahmawati"/>
    <s v="Tanjung Selor"/>
    <x v="24"/>
    <n v="45000"/>
    <n v="5"/>
    <n v="5"/>
    <n v="225000"/>
    <n v="11250"/>
    <n v="213750"/>
    <n v="26000"/>
    <n v="239750"/>
    <x v="3"/>
    <x v="0"/>
    <x v="3"/>
    <n v="5"/>
    <x v="0"/>
    <x v="1"/>
  </r>
  <r>
    <s v="ORD01072"/>
    <x v="1043"/>
    <x v="1"/>
    <s v="Andi Wijaya"/>
    <s v="Kupang"/>
    <x v="9"/>
    <n v="50000"/>
    <n v="5"/>
    <n v="0"/>
    <n v="250000"/>
    <n v="0"/>
    <n v="250000"/>
    <n v="21000"/>
    <n v="271000"/>
    <x v="3"/>
    <x v="0"/>
    <x v="1"/>
    <n v="5"/>
    <x v="1"/>
    <x v="0"/>
  </r>
  <r>
    <s v="ORD00744"/>
    <x v="1044"/>
    <x v="1"/>
    <s v="Eka Rahmawati"/>
    <s v="Samarinda"/>
    <x v="5"/>
    <n v="40000"/>
    <n v="4"/>
    <n v="5"/>
    <n v="160000"/>
    <n v="8000"/>
    <n v="152000"/>
    <n v="43000"/>
    <n v="195000"/>
    <x v="0"/>
    <x v="1"/>
    <x v="0"/>
    <n v="2"/>
    <x v="0"/>
    <x v="1"/>
  </r>
  <r>
    <s v="ORD00202"/>
    <x v="1045"/>
    <x v="1"/>
    <s v="Putri Setiawan"/>
    <s v="Merauke"/>
    <x v="1"/>
    <n v="5000"/>
    <n v="1"/>
    <n v="0"/>
    <n v="5000"/>
    <n v="0"/>
    <n v="5000"/>
    <n v="59000"/>
    <n v="64000"/>
    <x v="1"/>
    <x v="0"/>
    <x v="0"/>
    <n v="2"/>
    <x v="0"/>
    <x v="0"/>
  </r>
  <r>
    <s v="ORD01005"/>
    <x v="1046"/>
    <x v="1"/>
    <s v="Zahra Utami"/>
    <s v="Sofifi"/>
    <x v="17"/>
    <n v="30000"/>
    <n v="3"/>
    <n v="10"/>
    <n v="90000"/>
    <n v="9000"/>
    <n v="81000"/>
    <n v="50000"/>
    <n v="131000"/>
    <x v="0"/>
    <x v="0"/>
    <x v="2"/>
    <n v="4"/>
    <x v="0"/>
    <x v="1"/>
  </r>
  <r>
    <s v="ORD00497"/>
    <x v="1047"/>
    <x v="1"/>
    <s v="Putri Santoso"/>
    <s v="Yogyakarta"/>
    <x v="6"/>
    <n v="14000"/>
    <n v="4"/>
    <n v="10"/>
    <n v="56000"/>
    <n v="5600"/>
    <n v="50400"/>
    <n v="78000"/>
    <n v="128400"/>
    <x v="2"/>
    <x v="1"/>
    <x v="2"/>
    <n v="1"/>
    <x v="0"/>
    <x v="1"/>
  </r>
  <r>
    <s v="ORD00992"/>
    <x v="1048"/>
    <x v="1"/>
    <s v="Indra Syahputra"/>
    <s v="Semarang"/>
    <x v="7"/>
    <n v="16000"/>
    <n v="4"/>
    <n v="0"/>
    <n v="64000"/>
    <n v="0"/>
    <n v="64000"/>
    <n v="76000"/>
    <n v="140000"/>
    <x v="3"/>
    <x v="0"/>
    <x v="1"/>
    <n v="1"/>
    <x v="1"/>
    <x v="0"/>
  </r>
  <r>
    <s v="ORD01847"/>
    <x v="1049"/>
    <x v="1"/>
    <s v="Citra Budiman"/>
    <s v="Bandung"/>
    <x v="15"/>
    <n v="14000"/>
    <n v="5"/>
    <n v="15"/>
    <n v="70000"/>
    <n v="10500"/>
    <n v="59500"/>
    <n v="0"/>
    <n v="59500"/>
    <x v="3"/>
    <x v="0"/>
    <x v="1"/>
    <n v="1"/>
    <x v="0"/>
    <x v="1"/>
  </r>
  <r>
    <s v="ORD00227"/>
    <x v="1050"/>
    <x v="1"/>
    <s v="Vina Kurniawan"/>
    <s v="Yogyakarta"/>
    <x v="26"/>
    <n v="18000"/>
    <n v="2"/>
    <n v="5"/>
    <n v="36000"/>
    <n v="1800"/>
    <n v="34200"/>
    <n v="78000"/>
    <n v="112200"/>
    <x v="1"/>
    <x v="0"/>
    <x v="4"/>
    <n v="3"/>
    <x v="0"/>
    <x v="0"/>
  </r>
  <r>
    <s v="ORD01319"/>
    <x v="1051"/>
    <x v="1"/>
    <s v="Arif Rahmawati"/>
    <s v="Palangka Raya"/>
    <x v="6"/>
    <n v="14000"/>
    <n v="4"/>
    <n v="20"/>
    <n v="56000"/>
    <n v="11200"/>
    <n v="44800"/>
    <n v="50000"/>
    <n v="94800"/>
    <x v="1"/>
    <x v="0"/>
    <x v="2"/>
    <n v="5"/>
    <x v="1"/>
    <x v="1"/>
  </r>
  <r>
    <s v="ORD01746"/>
    <x v="1052"/>
    <x v="1"/>
    <s v="Bella Halim"/>
    <s v="Semarang"/>
    <x v="24"/>
    <n v="45000"/>
    <n v="2"/>
    <n v="5"/>
    <n v="90000"/>
    <n v="4500"/>
    <n v="85500"/>
    <n v="76000"/>
    <n v="161500"/>
    <x v="2"/>
    <x v="0"/>
    <x v="2"/>
    <n v="5"/>
    <x v="0"/>
    <x v="0"/>
  </r>
  <r>
    <s v="ORD01286"/>
    <x v="1053"/>
    <x v="1"/>
    <s v="Dewi Rahmawati"/>
    <s v="Tanjung Selor"/>
    <x v="1"/>
    <n v="5000"/>
    <n v="2"/>
    <n v="5"/>
    <n v="10000"/>
    <n v="500"/>
    <n v="9500"/>
    <n v="26000"/>
    <n v="35500"/>
    <x v="0"/>
    <x v="0"/>
    <x v="3"/>
    <n v="2"/>
    <x v="0"/>
    <x v="0"/>
  </r>
  <r>
    <s v="ORD00973"/>
    <x v="1054"/>
    <x v="1"/>
    <s v="Tono Kurniawan"/>
    <s v="Semarang"/>
    <x v="5"/>
    <n v="40000"/>
    <n v="3"/>
    <n v="0"/>
    <n v="120000"/>
    <n v="0"/>
    <n v="120000"/>
    <n v="76000"/>
    <n v="196000"/>
    <x v="2"/>
    <x v="0"/>
    <x v="2"/>
    <n v="5"/>
    <x v="1"/>
    <x v="0"/>
  </r>
  <r>
    <s v="ORD00280"/>
    <x v="1055"/>
    <x v="1"/>
    <s v="Lestari Ananda"/>
    <s v="Semarang"/>
    <x v="2"/>
    <n v="16000"/>
    <n v="5"/>
    <n v="10"/>
    <n v="80000"/>
    <n v="8000"/>
    <n v="72000"/>
    <n v="76000"/>
    <n v="148000"/>
    <x v="2"/>
    <x v="0"/>
    <x v="0"/>
    <n v="2"/>
    <x v="0"/>
    <x v="1"/>
  </r>
  <r>
    <s v="ORD01417"/>
    <x v="1056"/>
    <x v="1"/>
    <s v="Zahra Pradipta"/>
    <s v="Nabire"/>
    <x v="5"/>
    <n v="40000"/>
    <n v="3"/>
    <n v="0"/>
    <n v="120000"/>
    <n v="0"/>
    <n v="120000"/>
    <n v="89000"/>
    <n v="209000"/>
    <x v="3"/>
    <x v="0"/>
    <x v="2"/>
    <n v="4"/>
    <x v="0"/>
    <x v="0"/>
  </r>
  <r>
    <s v="ORD00891"/>
    <x v="1057"/>
    <x v="1"/>
    <s v="Sari Budiman"/>
    <s v="Sorong"/>
    <x v="23"/>
    <n v="10000"/>
    <n v="3"/>
    <n v="20"/>
    <n v="30000"/>
    <n v="6000"/>
    <n v="24000"/>
    <n v="87000"/>
    <n v="111000"/>
    <x v="1"/>
    <x v="0"/>
    <x v="1"/>
    <n v="2"/>
    <x v="0"/>
    <x v="1"/>
  </r>
  <r>
    <s v="ORD01826"/>
    <x v="1058"/>
    <x v="1"/>
    <s v="Aulia Utami"/>
    <s v="Yogyakarta"/>
    <x v="2"/>
    <n v="16000"/>
    <n v="2"/>
    <n v="0"/>
    <n v="32000"/>
    <n v="0"/>
    <n v="32000"/>
    <n v="78000"/>
    <n v="110000"/>
    <x v="3"/>
    <x v="0"/>
    <x v="4"/>
    <n v="5"/>
    <x v="0"/>
    <x v="0"/>
  </r>
  <r>
    <s v="ORD01015"/>
    <x v="1059"/>
    <x v="1"/>
    <s v="Sari Pradipta"/>
    <s v="Banda Aceh"/>
    <x v="8"/>
    <n v="16000"/>
    <n v="5"/>
    <n v="15"/>
    <n v="80000"/>
    <n v="12000"/>
    <n v="68000"/>
    <n v="18000"/>
    <n v="86000"/>
    <x v="3"/>
    <x v="0"/>
    <x v="1"/>
    <n v="4"/>
    <x v="0"/>
    <x v="1"/>
  </r>
  <r>
    <s v="ORD01512"/>
    <x v="1060"/>
    <x v="1"/>
    <s v="Aulia Setiawan"/>
    <s v="Pekanbaru"/>
    <x v="1"/>
    <n v="5000"/>
    <n v="1"/>
    <n v="10"/>
    <n v="5000"/>
    <n v="500"/>
    <n v="4500"/>
    <n v="49000"/>
    <n v="53500"/>
    <x v="3"/>
    <x v="0"/>
    <x v="1"/>
    <n v="4"/>
    <x v="0"/>
    <x v="0"/>
  </r>
  <r>
    <s v="ORD00969"/>
    <x v="1061"/>
    <x v="1"/>
    <s v="Eka Kurniawan"/>
    <s v="Palu"/>
    <x v="13"/>
    <n v="17000"/>
    <n v="4"/>
    <n v="0"/>
    <n v="68000"/>
    <n v="0"/>
    <n v="68000"/>
    <n v="67000"/>
    <n v="135000"/>
    <x v="2"/>
    <x v="0"/>
    <x v="1"/>
    <n v="2"/>
    <x v="0"/>
    <x v="0"/>
  </r>
  <r>
    <s v="ORD00407"/>
    <x v="1062"/>
    <x v="1"/>
    <s v="Aulia Utami"/>
    <s v="Yogyakarta"/>
    <x v="3"/>
    <n v="28000"/>
    <n v="4"/>
    <n v="5"/>
    <n v="112000"/>
    <n v="5600"/>
    <n v="106400"/>
    <n v="78000"/>
    <n v="184400"/>
    <x v="0"/>
    <x v="0"/>
    <x v="0"/>
    <n v="1"/>
    <x v="0"/>
    <x v="1"/>
  </r>
  <r>
    <s v="ORD00831"/>
    <x v="1063"/>
    <x v="1"/>
    <s v="Qori Halim"/>
    <s v="Pekanbaru"/>
    <x v="0"/>
    <n v="45000"/>
    <n v="2"/>
    <n v="20"/>
    <n v="90000"/>
    <n v="18000"/>
    <n v="72000"/>
    <n v="49000"/>
    <n v="121000"/>
    <x v="2"/>
    <x v="2"/>
    <x v="2"/>
    <n v="1"/>
    <x v="0"/>
    <x v="2"/>
  </r>
  <r>
    <s v="ORD01592"/>
    <x v="1064"/>
    <x v="1"/>
    <s v="Sari Utami"/>
    <s v="Kendari"/>
    <x v="9"/>
    <n v="50000"/>
    <n v="1"/>
    <n v="0"/>
    <n v="50000"/>
    <n v="0"/>
    <n v="50000"/>
    <n v="59000"/>
    <n v="109000"/>
    <x v="2"/>
    <x v="0"/>
    <x v="4"/>
    <n v="1"/>
    <x v="0"/>
    <x v="0"/>
  </r>
  <r>
    <s v="ORD00855"/>
    <x v="1065"/>
    <x v="1"/>
    <s v="Indra Halim"/>
    <s v="Tanjung Selor"/>
    <x v="0"/>
    <n v="45000"/>
    <n v="5"/>
    <n v="5"/>
    <n v="225000"/>
    <n v="11250"/>
    <n v="213750"/>
    <n v="26000"/>
    <n v="239750"/>
    <x v="1"/>
    <x v="0"/>
    <x v="0"/>
    <n v="5"/>
    <x v="1"/>
    <x v="1"/>
  </r>
  <r>
    <s v="ORD01441"/>
    <x v="1066"/>
    <x v="1"/>
    <s v="Gita Kurniawan"/>
    <s v="Yogyakarta"/>
    <x v="21"/>
    <n v="17000"/>
    <n v="2"/>
    <n v="5"/>
    <n v="34000"/>
    <n v="1700"/>
    <n v="32300"/>
    <n v="78000"/>
    <n v="110300"/>
    <x v="3"/>
    <x v="1"/>
    <x v="1"/>
    <n v="2"/>
    <x v="0"/>
    <x v="0"/>
  </r>
  <r>
    <s v="ORD00985"/>
    <x v="1067"/>
    <x v="1"/>
    <s v="Made Kusuma"/>
    <s v="Makassar"/>
    <x v="12"/>
    <n v="55000"/>
    <n v="5"/>
    <n v="15"/>
    <n v="275000"/>
    <n v="41250"/>
    <n v="233750"/>
    <n v="84000"/>
    <n v="317750"/>
    <x v="3"/>
    <x v="1"/>
    <x v="3"/>
    <n v="1"/>
    <x v="1"/>
    <x v="3"/>
  </r>
  <r>
    <s v="ORD01020"/>
    <x v="1068"/>
    <x v="1"/>
    <s v="Dewi Ramadhani"/>
    <s v="Yogyakarta"/>
    <x v="19"/>
    <n v="22000"/>
    <n v="4"/>
    <n v="0"/>
    <n v="88000"/>
    <n v="0"/>
    <n v="88000"/>
    <n v="78000"/>
    <n v="166000"/>
    <x v="1"/>
    <x v="0"/>
    <x v="0"/>
    <n v="3"/>
    <x v="0"/>
    <x v="0"/>
  </r>
  <r>
    <s v="ORD00157"/>
    <x v="1069"/>
    <x v="1"/>
    <s v="Eka Ananda"/>
    <s v="Makassar"/>
    <x v="0"/>
    <n v="45000"/>
    <n v="2"/>
    <n v="10"/>
    <n v="90000"/>
    <n v="9000"/>
    <n v="81000"/>
    <n v="84000"/>
    <n v="165000"/>
    <x v="3"/>
    <x v="0"/>
    <x v="2"/>
    <n v="5"/>
    <x v="0"/>
    <x v="1"/>
  </r>
  <r>
    <s v="ORD01534"/>
    <x v="1070"/>
    <x v="1"/>
    <s v="Bayu Fauziah"/>
    <s v="Surabaya"/>
    <x v="21"/>
    <n v="17000"/>
    <n v="5"/>
    <n v="15"/>
    <n v="85000"/>
    <n v="12750"/>
    <n v="72250"/>
    <n v="74000"/>
    <n v="146250"/>
    <x v="2"/>
    <x v="2"/>
    <x v="3"/>
    <n v="2"/>
    <x v="1"/>
    <x v="1"/>
  </r>
  <r>
    <s v="ORD01448"/>
    <x v="1071"/>
    <x v="1"/>
    <s v="Erna Iskandar"/>
    <s v="Bengkulu"/>
    <x v="12"/>
    <n v="55000"/>
    <n v="5"/>
    <n v="5"/>
    <n v="275000"/>
    <n v="13750"/>
    <n v="261250"/>
    <n v="72000"/>
    <n v="333250"/>
    <x v="3"/>
    <x v="0"/>
    <x v="2"/>
    <n v="5"/>
    <x v="0"/>
    <x v="1"/>
  </r>
  <r>
    <s v="ORD00437"/>
    <x v="1072"/>
    <x v="1"/>
    <s v="Aulia Hidayat"/>
    <s v="Pangkalpinang"/>
    <x v="19"/>
    <n v="22000"/>
    <n v="4"/>
    <n v="10"/>
    <n v="88000"/>
    <n v="8800"/>
    <n v="79200"/>
    <n v="18000"/>
    <n v="97200"/>
    <x v="1"/>
    <x v="0"/>
    <x v="0"/>
    <n v="5"/>
    <x v="0"/>
    <x v="1"/>
  </r>
  <r>
    <s v="ORD01452"/>
    <x v="1073"/>
    <x v="1"/>
    <s v="Dewi Hidayat"/>
    <s v="Manokwari"/>
    <x v="10"/>
    <n v="15000"/>
    <n v="1"/>
    <n v="10"/>
    <n v="15000"/>
    <n v="1500"/>
    <n v="13500"/>
    <n v="18000"/>
    <n v="31500"/>
    <x v="0"/>
    <x v="0"/>
    <x v="1"/>
    <n v="3"/>
    <x v="0"/>
    <x v="0"/>
  </r>
  <r>
    <s v="ORD00941"/>
    <x v="1074"/>
    <x v="1"/>
    <s v="Sari Kusuma"/>
    <s v="Medan"/>
    <x v="25"/>
    <n v="35000"/>
    <n v="5"/>
    <n v="15"/>
    <n v="175000"/>
    <n v="26250"/>
    <n v="148750"/>
    <n v="79000"/>
    <n v="227750"/>
    <x v="3"/>
    <x v="0"/>
    <x v="0"/>
    <n v="4"/>
    <x v="0"/>
    <x v="2"/>
  </r>
  <r>
    <s v="ORD00983"/>
    <x v="1075"/>
    <x v="1"/>
    <s v="Sari Halim"/>
    <s v="Banjarbaru"/>
    <x v="5"/>
    <n v="40000"/>
    <n v="3"/>
    <n v="10"/>
    <n v="120000"/>
    <n v="12000"/>
    <n v="108000"/>
    <n v="55000"/>
    <n v="163000"/>
    <x v="1"/>
    <x v="0"/>
    <x v="2"/>
    <n v="2"/>
    <x v="0"/>
    <x v="1"/>
  </r>
  <r>
    <s v="ORD01372"/>
    <x v="1076"/>
    <x v="1"/>
    <s v="Budi Hidayat"/>
    <s v="Wamena"/>
    <x v="12"/>
    <n v="55000"/>
    <n v="4"/>
    <n v="5"/>
    <n v="220000"/>
    <n v="11000"/>
    <n v="209000"/>
    <n v="15000"/>
    <n v="224000"/>
    <x v="0"/>
    <x v="0"/>
    <x v="4"/>
    <n v="2"/>
    <x v="1"/>
    <x v="1"/>
  </r>
  <r>
    <s v="ORD00840"/>
    <x v="1077"/>
    <x v="1"/>
    <s v="Vina Fauziah"/>
    <s v="Merauke"/>
    <x v="15"/>
    <n v="14000"/>
    <n v="1"/>
    <n v="10"/>
    <n v="14000"/>
    <n v="1400"/>
    <n v="12600"/>
    <n v="59000"/>
    <n v="71600"/>
    <x v="0"/>
    <x v="1"/>
    <x v="3"/>
    <n v="5"/>
    <x v="0"/>
    <x v="0"/>
  </r>
  <r>
    <s v="ORD00714"/>
    <x v="1078"/>
    <x v="1"/>
    <s v="Arif Fauziah"/>
    <s v="Denpasar"/>
    <x v="11"/>
    <n v="40000"/>
    <n v="3"/>
    <n v="0"/>
    <n v="120000"/>
    <n v="0"/>
    <n v="120000"/>
    <n v="80000"/>
    <n v="200000"/>
    <x v="3"/>
    <x v="0"/>
    <x v="2"/>
    <n v="5"/>
    <x v="1"/>
    <x v="0"/>
  </r>
  <r>
    <s v="ORD01679"/>
    <x v="1079"/>
    <x v="1"/>
    <s v="Hana Nugroho"/>
    <s v="Surabaya"/>
    <x v="14"/>
    <n v="35000"/>
    <n v="2"/>
    <n v="15"/>
    <n v="70000"/>
    <n v="10500"/>
    <n v="59500"/>
    <n v="74000"/>
    <n v="133500"/>
    <x v="3"/>
    <x v="2"/>
    <x v="4"/>
    <n v="1"/>
    <x v="0"/>
    <x v="1"/>
  </r>
  <r>
    <s v="ORD01509"/>
    <x v="1080"/>
    <x v="1"/>
    <s v="Dewi Setiawan"/>
    <s v="Jakarta"/>
    <x v="9"/>
    <n v="50000"/>
    <n v="2"/>
    <n v="20"/>
    <n v="100000"/>
    <n v="20000"/>
    <n v="80000"/>
    <n v="97000"/>
    <n v="177000"/>
    <x v="1"/>
    <x v="0"/>
    <x v="1"/>
    <n v="1"/>
    <x v="0"/>
    <x v="2"/>
  </r>
  <r>
    <s v="ORD00109"/>
    <x v="1081"/>
    <x v="1"/>
    <s v="Fitri Saputra"/>
    <s v="Jakarta"/>
    <x v="16"/>
    <n v="25000"/>
    <n v="1"/>
    <n v="5"/>
    <n v="25000"/>
    <n v="1250"/>
    <n v="23750"/>
    <n v="97000"/>
    <n v="120750"/>
    <x v="0"/>
    <x v="0"/>
    <x v="2"/>
    <n v="3"/>
    <x v="0"/>
    <x v="0"/>
  </r>
  <r>
    <s v="ORD00666"/>
    <x v="1082"/>
    <x v="1"/>
    <s v="Erna Hidayat"/>
    <s v="Bandar Lampung"/>
    <x v="6"/>
    <n v="14000"/>
    <n v="5"/>
    <n v="15"/>
    <n v="70000"/>
    <n v="10500"/>
    <n v="59500"/>
    <n v="28000"/>
    <n v="87500"/>
    <x v="0"/>
    <x v="0"/>
    <x v="0"/>
    <n v="4"/>
    <x v="0"/>
    <x v="1"/>
  </r>
  <r>
    <s v="ORD01069"/>
    <x v="1083"/>
    <x v="1"/>
    <s v="Gita Utami"/>
    <s v="Pangkalpinang"/>
    <x v="18"/>
    <n v="6000"/>
    <n v="2"/>
    <n v="15"/>
    <n v="12000"/>
    <n v="1800"/>
    <n v="10200"/>
    <n v="18000"/>
    <n v="28200"/>
    <x v="2"/>
    <x v="0"/>
    <x v="4"/>
    <n v="4"/>
    <x v="0"/>
    <x v="0"/>
  </r>
  <r>
    <s v="ORD01090"/>
    <x v="1084"/>
    <x v="1"/>
    <s v="Ani Hidayat"/>
    <s v="Samarinda"/>
    <x v="18"/>
    <n v="6000"/>
    <n v="4"/>
    <n v="20"/>
    <n v="24000"/>
    <n v="4800"/>
    <n v="19200"/>
    <n v="43000"/>
    <n v="62200"/>
    <x v="0"/>
    <x v="1"/>
    <x v="1"/>
    <n v="3"/>
    <x v="0"/>
    <x v="0"/>
  </r>
  <r>
    <s v="ORD00729"/>
    <x v="1085"/>
    <x v="1"/>
    <s v="Dewi Utami"/>
    <s v="Bandung"/>
    <x v="16"/>
    <n v="25000"/>
    <n v="3"/>
    <n v="15"/>
    <n v="75000"/>
    <n v="11250"/>
    <n v="63750"/>
    <n v="0"/>
    <n v="63750"/>
    <x v="1"/>
    <x v="0"/>
    <x v="3"/>
    <n v="3"/>
    <x v="0"/>
    <x v="1"/>
  </r>
  <r>
    <s v="ORD01650"/>
    <x v="1086"/>
    <x v="1"/>
    <s v="Qori Saputra"/>
    <s v="Palembang"/>
    <x v="0"/>
    <n v="45000"/>
    <n v="3"/>
    <n v="20"/>
    <n v="135000"/>
    <n v="27000"/>
    <n v="108000"/>
    <n v="17000"/>
    <n v="125000"/>
    <x v="3"/>
    <x v="0"/>
    <x v="1"/>
    <n v="1"/>
    <x v="0"/>
    <x v="2"/>
  </r>
  <r>
    <s v="ORD00883"/>
    <x v="1087"/>
    <x v="1"/>
    <s v="Gita Pradipta"/>
    <s v="Jambi"/>
    <x v="14"/>
    <n v="35000"/>
    <n v="2"/>
    <n v="15"/>
    <n v="70000"/>
    <n v="10500"/>
    <n v="59500"/>
    <n v="87000"/>
    <n v="146500"/>
    <x v="1"/>
    <x v="0"/>
    <x v="2"/>
    <n v="3"/>
    <x v="0"/>
    <x v="1"/>
  </r>
  <r>
    <s v="ORD01562"/>
    <x v="1088"/>
    <x v="1"/>
    <s v="Putri Ramadhani"/>
    <s v="Pangkalpinang"/>
    <x v="17"/>
    <n v="30000"/>
    <n v="1"/>
    <n v="15"/>
    <n v="30000"/>
    <n v="4500"/>
    <n v="25500"/>
    <n v="18000"/>
    <n v="43500"/>
    <x v="0"/>
    <x v="1"/>
    <x v="2"/>
    <n v="4"/>
    <x v="0"/>
    <x v="0"/>
  </r>
  <r>
    <s v="ORD01370"/>
    <x v="1089"/>
    <x v="1"/>
    <s v="Wahyu Pradipta"/>
    <s v="Jakarta"/>
    <x v="25"/>
    <n v="35000"/>
    <n v="3"/>
    <n v="0"/>
    <n v="105000"/>
    <n v="0"/>
    <n v="105000"/>
    <n v="97000"/>
    <n v="202000"/>
    <x v="2"/>
    <x v="1"/>
    <x v="2"/>
    <n v="3"/>
    <x v="1"/>
    <x v="0"/>
  </r>
  <r>
    <s v="ORD00250"/>
    <x v="1090"/>
    <x v="1"/>
    <s v="Lestari Budiman"/>
    <s v="Pontianak"/>
    <x v="21"/>
    <n v="17000"/>
    <n v="1"/>
    <n v="0"/>
    <n v="17000"/>
    <n v="0"/>
    <n v="17000"/>
    <n v="85000"/>
    <n v="102000"/>
    <x v="0"/>
    <x v="1"/>
    <x v="1"/>
    <n v="5"/>
    <x v="0"/>
    <x v="0"/>
  </r>
  <r>
    <s v="ORD01492"/>
    <x v="1091"/>
    <x v="1"/>
    <s v="Budi Saputra"/>
    <s v="Mataram"/>
    <x v="10"/>
    <n v="15000"/>
    <n v="2"/>
    <n v="0"/>
    <n v="30000"/>
    <n v="0"/>
    <n v="30000"/>
    <n v="56000"/>
    <n v="86000"/>
    <x v="2"/>
    <x v="0"/>
    <x v="2"/>
    <n v="3"/>
    <x v="1"/>
    <x v="0"/>
  </r>
  <r>
    <s v="ORD01312"/>
    <x v="1092"/>
    <x v="1"/>
    <s v="Dewi Fauziah"/>
    <s v="Samarinda"/>
    <x v="6"/>
    <n v="14000"/>
    <n v="5"/>
    <n v="0"/>
    <n v="70000"/>
    <n v="0"/>
    <n v="70000"/>
    <n v="43000"/>
    <n v="113000"/>
    <x v="2"/>
    <x v="0"/>
    <x v="3"/>
    <n v="3"/>
    <x v="0"/>
    <x v="0"/>
  </r>
  <r>
    <s v="ORD01165"/>
    <x v="1093"/>
    <x v="1"/>
    <s v="Erna Fauziah"/>
    <s v="Mataram"/>
    <x v="18"/>
    <n v="6000"/>
    <n v="2"/>
    <n v="5"/>
    <n v="12000"/>
    <n v="600"/>
    <n v="11400"/>
    <n v="56000"/>
    <n v="67400"/>
    <x v="2"/>
    <x v="0"/>
    <x v="2"/>
    <n v="3"/>
    <x v="0"/>
    <x v="0"/>
  </r>
  <r>
    <s v="ORD01755"/>
    <x v="1094"/>
    <x v="1"/>
    <s v="Fitri Hidayat"/>
    <s v="Bengkulu"/>
    <x v="22"/>
    <n v="18000"/>
    <n v="3"/>
    <n v="0"/>
    <n v="54000"/>
    <n v="0"/>
    <n v="54000"/>
    <n v="72000"/>
    <n v="126000"/>
    <x v="2"/>
    <x v="0"/>
    <x v="3"/>
    <n v="5"/>
    <x v="0"/>
    <x v="0"/>
  </r>
  <r>
    <s v="ORD01524"/>
    <x v="1095"/>
    <x v="1"/>
    <s v="Aulia Utami"/>
    <s v="Yogyakarta"/>
    <x v="8"/>
    <n v="16000"/>
    <n v="4"/>
    <n v="10"/>
    <n v="64000"/>
    <n v="6400"/>
    <n v="57600"/>
    <n v="78000"/>
    <n v="135600"/>
    <x v="3"/>
    <x v="0"/>
    <x v="2"/>
    <n v="2"/>
    <x v="0"/>
    <x v="1"/>
  </r>
  <r>
    <s v="ORD01793"/>
    <x v="1096"/>
    <x v="1"/>
    <s v="Gita Budiman"/>
    <s v="Padang"/>
    <x v="16"/>
    <n v="25000"/>
    <n v="4"/>
    <n v="20"/>
    <n v="100000"/>
    <n v="20000"/>
    <n v="80000"/>
    <n v="68000"/>
    <n v="148000"/>
    <x v="3"/>
    <x v="0"/>
    <x v="1"/>
    <n v="4"/>
    <x v="0"/>
    <x v="2"/>
  </r>
  <r>
    <s v="ORD00364"/>
    <x v="1097"/>
    <x v="1"/>
    <s v="Putri Puspita"/>
    <s v="Kendari"/>
    <x v="11"/>
    <n v="40000"/>
    <n v="2"/>
    <n v="5"/>
    <n v="80000"/>
    <n v="4000"/>
    <n v="76000"/>
    <n v="59000"/>
    <n v="135000"/>
    <x v="2"/>
    <x v="0"/>
    <x v="3"/>
    <n v="4"/>
    <x v="0"/>
    <x v="0"/>
  </r>
  <r>
    <s v="ORD00364"/>
    <x v="1097"/>
    <x v="1"/>
    <s v="Putri Puspita"/>
    <s v="Kendari"/>
    <x v="25"/>
    <n v="35000"/>
    <n v="2"/>
    <n v="15"/>
    <n v="70000"/>
    <n v="10500"/>
    <n v="59500"/>
    <n v="0"/>
    <n v="59500"/>
    <x v="2"/>
    <x v="0"/>
    <x v="3"/>
    <n v="4"/>
    <x v="0"/>
    <x v="1"/>
  </r>
  <r>
    <s v="ORD00945"/>
    <x v="1098"/>
    <x v="1"/>
    <s v="Erna Maulana"/>
    <s v="Sorong"/>
    <x v="22"/>
    <n v="18000"/>
    <n v="2"/>
    <n v="0"/>
    <n v="36000"/>
    <n v="0"/>
    <n v="36000"/>
    <n v="87000"/>
    <n v="123000"/>
    <x v="0"/>
    <x v="0"/>
    <x v="0"/>
    <n v="3"/>
    <x v="0"/>
    <x v="0"/>
  </r>
  <r>
    <s v="ORD00705"/>
    <x v="1099"/>
    <x v="1"/>
    <s v="Yani Rahmawati"/>
    <s v="Ambon"/>
    <x v="13"/>
    <n v="17000"/>
    <n v="3"/>
    <n v="15"/>
    <n v="51000"/>
    <n v="7650"/>
    <n v="43350"/>
    <n v="49000"/>
    <n v="92350"/>
    <x v="0"/>
    <x v="0"/>
    <x v="1"/>
    <n v="1"/>
    <x v="0"/>
    <x v="1"/>
  </r>
  <r>
    <s v="ORD00461"/>
    <x v="1100"/>
    <x v="1"/>
    <s v="Hana Wijaya"/>
    <s v="Sorong"/>
    <x v="14"/>
    <n v="35000"/>
    <n v="2"/>
    <n v="0"/>
    <n v="70000"/>
    <n v="0"/>
    <n v="70000"/>
    <n v="87000"/>
    <n v="157000"/>
    <x v="0"/>
    <x v="0"/>
    <x v="4"/>
    <n v="5"/>
    <x v="0"/>
    <x v="0"/>
  </r>
  <r>
    <s v="ORD00388"/>
    <x v="1101"/>
    <x v="1"/>
    <s v="Lestari Setiawan"/>
    <s v="Tanjung Selor"/>
    <x v="25"/>
    <n v="35000"/>
    <n v="1"/>
    <n v="5"/>
    <n v="35000"/>
    <n v="1750"/>
    <n v="33250"/>
    <n v="26000"/>
    <n v="59250"/>
    <x v="1"/>
    <x v="0"/>
    <x v="3"/>
    <n v="1"/>
    <x v="0"/>
    <x v="0"/>
  </r>
  <r>
    <s v="ORD00388"/>
    <x v="1101"/>
    <x v="1"/>
    <s v="Lestari Setiawan"/>
    <s v="Tanjung Selor"/>
    <x v="0"/>
    <n v="45000"/>
    <n v="4"/>
    <n v="5"/>
    <n v="180000"/>
    <n v="9000"/>
    <n v="171000"/>
    <n v="0"/>
    <n v="171000"/>
    <x v="1"/>
    <x v="0"/>
    <x v="3"/>
    <n v="1"/>
    <x v="0"/>
    <x v="1"/>
  </r>
  <r>
    <s v="ORD00901"/>
    <x v="1102"/>
    <x v="1"/>
    <s v="Dewi Rahmawati"/>
    <s v="Tanjung Selor"/>
    <x v="21"/>
    <n v="17000"/>
    <n v="1"/>
    <n v="20"/>
    <n v="17000"/>
    <n v="3400"/>
    <n v="13600"/>
    <n v="26000"/>
    <n v="39600"/>
    <x v="3"/>
    <x v="0"/>
    <x v="3"/>
    <n v="5"/>
    <x v="0"/>
    <x v="0"/>
  </r>
  <r>
    <s v="ORD01800"/>
    <x v="1103"/>
    <x v="1"/>
    <s v="Wahyu Pradipta"/>
    <s v="Jakarta"/>
    <x v="21"/>
    <n v="17000"/>
    <n v="1"/>
    <n v="20"/>
    <n v="17000"/>
    <n v="3400"/>
    <n v="13600"/>
    <n v="97000"/>
    <n v="110600"/>
    <x v="3"/>
    <x v="0"/>
    <x v="2"/>
    <n v="3"/>
    <x v="1"/>
    <x v="0"/>
  </r>
  <r>
    <s v="ORD01611"/>
    <x v="1104"/>
    <x v="1"/>
    <s v="Citra Kurniawan"/>
    <s v="Merauke"/>
    <x v="25"/>
    <n v="35000"/>
    <n v="2"/>
    <n v="15"/>
    <n v="70000"/>
    <n v="10500"/>
    <n v="59500"/>
    <n v="59000"/>
    <n v="118500"/>
    <x v="2"/>
    <x v="2"/>
    <x v="2"/>
    <n v="3"/>
    <x v="0"/>
    <x v="1"/>
  </r>
  <r>
    <s v="ORD00732"/>
    <x v="1105"/>
    <x v="1"/>
    <s v="Clara Puspita"/>
    <s v="Medan"/>
    <x v="13"/>
    <n v="17000"/>
    <n v="1"/>
    <n v="20"/>
    <n v="17000"/>
    <n v="3400"/>
    <n v="13600"/>
    <n v="79000"/>
    <n v="92600"/>
    <x v="3"/>
    <x v="0"/>
    <x v="4"/>
    <n v="4"/>
    <x v="0"/>
    <x v="0"/>
  </r>
  <r>
    <s v="ORD00532"/>
    <x v="1106"/>
    <x v="1"/>
    <s v="Ani Hidayat"/>
    <s v="Samarinda"/>
    <x v="0"/>
    <n v="45000"/>
    <n v="1"/>
    <n v="15"/>
    <n v="45000"/>
    <n v="6750"/>
    <n v="38250"/>
    <n v="43000"/>
    <n v="81250"/>
    <x v="0"/>
    <x v="0"/>
    <x v="3"/>
    <n v="2"/>
    <x v="0"/>
    <x v="1"/>
  </r>
  <r>
    <s v="ORD01640"/>
    <x v="1107"/>
    <x v="1"/>
    <s v="Dewi Setiawan"/>
    <s v="Jakarta"/>
    <x v="2"/>
    <n v="16000"/>
    <n v="5"/>
    <n v="10"/>
    <n v="80000"/>
    <n v="8000"/>
    <n v="72000"/>
    <n v="97000"/>
    <n v="169000"/>
    <x v="0"/>
    <x v="0"/>
    <x v="0"/>
    <n v="4"/>
    <x v="0"/>
    <x v="1"/>
  </r>
  <r>
    <s v="ORD01157"/>
    <x v="1108"/>
    <x v="1"/>
    <s v="Dewi Kurniawan"/>
    <s v="Semarang"/>
    <x v="2"/>
    <n v="16000"/>
    <n v="2"/>
    <n v="20"/>
    <n v="32000"/>
    <n v="6400"/>
    <n v="25600"/>
    <n v="76000"/>
    <n v="101600"/>
    <x v="2"/>
    <x v="0"/>
    <x v="2"/>
    <n v="3"/>
    <x v="0"/>
    <x v="1"/>
  </r>
  <r>
    <s v="ORD00210"/>
    <x v="1109"/>
    <x v="1"/>
    <s v="Lestari Setiawan"/>
    <s v="Tanjung Selor"/>
    <x v="21"/>
    <n v="17000"/>
    <n v="1"/>
    <n v="15"/>
    <n v="17000"/>
    <n v="2550"/>
    <n v="14450"/>
    <n v="26000"/>
    <n v="40450"/>
    <x v="2"/>
    <x v="0"/>
    <x v="3"/>
    <n v="3"/>
    <x v="0"/>
    <x v="0"/>
  </r>
  <r>
    <s v="ORD00210"/>
    <x v="1109"/>
    <x v="1"/>
    <s v="Lestari Setiawan"/>
    <s v="Tanjung Selor"/>
    <x v="15"/>
    <n v="14000"/>
    <n v="1"/>
    <n v="15"/>
    <n v="14000"/>
    <n v="2100"/>
    <n v="11900"/>
    <n v="0"/>
    <n v="11900"/>
    <x v="2"/>
    <x v="0"/>
    <x v="3"/>
    <n v="3"/>
    <x v="0"/>
    <x v="0"/>
  </r>
  <r>
    <s v="ORD00979"/>
    <x v="1110"/>
    <x v="1"/>
    <s v="Gita Nugroho"/>
    <s v="Semarang"/>
    <x v="3"/>
    <n v="28000"/>
    <n v="1"/>
    <n v="0"/>
    <n v="28000"/>
    <n v="0"/>
    <n v="28000"/>
    <n v="76000"/>
    <n v="104000"/>
    <x v="1"/>
    <x v="0"/>
    <x v="0"/>
    <n v="2"/>
    <x v="0"/>
    <x v="0"/>
  </r>
  <r>
    <s v="ORD00099"/>
    <x v="1111"/>
    <x v="1"/>
    <s v="Wahyu Budiman"/>
    <s v="Tanjungpinang"/>
    <x v="9"/>
    <n v="50000"/>
    <n v="2"/>
    <n v="0"/>
    <n v="100000"/>
    <n v="0"/>
    <n v="100000"/>
    <n v="48000"/>
    <n v="148000"/>
    <x v="2"/>
    <x v="0"/>
    <x v="2"/>
    <n v="4"/>
    <x v="1"/>
    <x v="0"/>
  </r>
  <r>
    <s v="ORD00942"/>
    <x v="1112"/>
    <x v="1"/>
    <s v="Dewi Pradipta"/>
    <s v="Pontianak"/>
    <x v="13"/>
    <n v="17000"/>
    <n v="5"/>
    <n v="5"/>
    <n v="85000"/>
    <n v="4250"/>
    <n v="80750"/>
    <n v="85000"/>
    <n v="165750"/>
    <x v="3"/>
    <x v="0"/>
    <x v="1"/>
    <n v="4"/>
    <x v="0"/>
    <x v="0"/>
  </r>
  <r>
    <s v="ORD01170"/>
    <x v="1113"/>
    <x v="1"/>
    <s v="Yoga Wijaya"/>
    <s v="Medan"/>
    <x v="0"/>
    <n v="45000"/>
    <n v="5"/>
    <n v="15"/>
    <n v="225000"/>
    <n v="33750"/>
    <n v="191250"/>
    <n v="79000"/>
    <n v="270250"/>
    <x v="0"/>
    <x v="0"/>
    <x v="0"/>
    <n v="3"/>
    <x v="1"/>
    <x v="3"/>
  </r>
  <r>
    <s v="ORD00817"/>
    <x v="1114"/>
    <x v="1"/>
    <s v="Kartika Nugroho"/>
    <s v="Samarinda"/>
    <x v="2"/>
    <n v="16000"/>
    <n v="5"/>
    <n v="20"/>
    <n v="80000"/>
    <n v="16000"/>
    <n v="64000"/>
    <n v="43000"/>
    <n v="107000"/>
    <x v="0"/>
    <x v="0"/>
    <x v="4"/>
    <n v="2"/>
    <x v="0"/>
    <x v="2"/>
  </r>
  <r>
    <s v="ORD00764"/>
    <x v="1115"/>
    <x v="1"/>
    <s v="Dewi Kusuma"/>
    <s v="Surabaya"/>
    <x v="4"/>
    <n v="4000"/>
    <n v="2"/>
    <n v="20"/>
    <n v="8000"/>
    <n v="1600"/>
    <n v="6400"/>
    <n v="74000"/>
    <n v="80400"/>
    <x v="3"/>
    <x v="2"/>
    <x v="2"/>
    <n v="5"/>
    <x v="0"/>
    <x v="0"/>
  </r>
  <r>
    <s v="ORD00751"/>
    <x v="1116"/>
    <x v="1"/>
    <s v="Eka Halim"/>
    <s v="Manado"/>
    <x v="24"/>
    <n v="45000"/>
    <n v="3"/>
    <n v="15"/>
    <n v="135000"/>
    <n v="20250"/>
    <n v="114750"/>
    <n v="93000"/>
    <n v="207750"/>
    <x v="1"/>
    <x v="0"/>
    <x v="0"/>
    <n v="5"/>
    <x v="0"/>
    <x v="2"/>
  </r>
  <r>
    <s v="ORD01859"/>
    <x v="1117"/>
    <x v="1"/>
    <s v="Citra Kurniawan"/>
    <s v="Merauke"/>
    <x v="11"/>
    <n v="40000"/>
    <n v="3"/>
    <n v="10"/>
    <n v="120000"/>
    <n v="12000"/>
    <n v="108000"/>
    <n v="59000"/>
    <n v="167000"/>
    <x v="2"/>
    <x v="0"/>
    <x v="4"/>
    <n v="1"/>
    <x v="0"/>
    <x v="1"/>
  </r>
  <r>
    <s v="ORD00137"/>
    <x v="1118"/>
    <x v="1"/>
    <s v="Vina Setiawan"/>
    <s v="Bandung"/>
    <x v="3"/>
    <n v="28000"/>
    <n v="3"/>
    <n v="15"/>
    <n v="84000"/>
    <n v="12600"/>
    <n v="71400"/>
    <n v="0"/>
    <n v="71400"/>
    <x v="2"/>
    <x v="0"/>
    <x v="4"/>
    <n v="4"/>
    <x v="0"/>
    <x v="1"/>
  </r>
  <r>
    <s v="ORD00137"/>
    <x v="1118"/>
    <x v="1"/>
    <s v="Vina Setiawan"/>
    <s v="Bandung"/>
    <x v="21"/>
    <n v="17000"/>
    <n v="4"/>
    <n v="20"/>
    <n v="68000"/>
    <n v="13600"/>
    <n v="54400"/>
    <n v="0"/>
    <n v="54400"/>
    <x v="2"/>
    <x v="0"/>
    <x v="4"/>
    <n v="4"/>
    <x v="0"/>
    <x v="1"/>
  </r>
  <r>
    <s v="ORD01757"/>
    <x v="1119"/>
    <x v="1"/>
    <s v="Putri Santoso"/>
    <s v="Yogyakarta"/>
    <x v="17"/>
    <n v="30000"/>
    <n v="1"/>
    <n v="0"/>
    <n v="30000"/>
    <n v="0"/>
    <n v="30000"/>
    <n v="78000"/>
    <n v="108000"/>
    <x v="3"/>
    <x v="0"/>
    <x v="3"/>
    <n v="5"/>
    <x v="0"/>
    <x v="0"/>
  </r>
  <r>
    <s v="ORD00325"/>
    <x v="1120"/>
    <x v="1"/>
    <s v="Vina Iskandar"/>
    <s v="Manokwari"/>
    <x v="19"/>
    <n v="22000"/>
    <n v="1"/>
    <n v="10"/>
    <n v="22000"/>
    <n v="2200"/>
    <n v="19800"/>
    <n v="18000"/>
    <n v="37800"/>
    <x v="2"/>
    <x v="0"/>
    <x v="1"/>
    <n v="2"/>
    <x v="0"/>
    <x v="0"/>
  </r>
  <r>
    <s v="ORD00325"/>
    <x v="1120"/>
    <x v="1"/>
    <s v="Vina Iskandar"/>
    <s v="Manokwari"/>
    <x v="4"/>
    <n v="4000"/>
    <n v="1"/>
    <n v="5"/>
    <n v="4000"/>
    <n v="200"/>
    <n v="3800"/>
    <n v="0"/>
    <n v="3800"/>
    <x v="2"/>
    <x v="0"/>
    <x v="1"/>
    <n v="2"/>
    <x v="0"/>
    <x v="0"/>
  </r>
  <r>
    <s v="ORD01302"/>
    <x v="1121"/>
    <x v="1"/>
    <s v="Dina Setiawan"/>
    <s v="Mamuju"/>
    <x v="6"/>
    <n v="14000"/>
    <n v="5"/>
    <n v="0"/>
    <n v="70000"/>
    <n v="0"/>
    <n v="70000"/>
    <n v="46000"/>
    <n v="116000"/>
    <x v="3"/>
    <x v="0"/>
    <x v="2"/>
    <n v="1"/>
    <x v="0"/>
    <x v="0"/>
  </r>
  <r>
    <s v="ORD01431"/>
    <x v="1122"/>
    <x v="1"/>
    <s v="Dina Maulana"/>
    <s v="Kupang"/>
    <x v="5"/>
    <n v="40000"/>
    <n v="5"/>
    <n v="0"/>
    <n v="200000"/>
    <n v="0"/>
    <n v="200000"/>
    <n v="21000"/>
    <n v="221000"/>
    <x v="0"/>
    <x v="0"/>
    <x v="1"/>
    <n v="3"/>
    <x v="0"/>
    <x v="0"/>
  </r>
  <r>
    <s v="ORD00897"/>
    <x v="1123"/>
    <x v="1"/>
    <s v="Kartika Saputra"/>
    <s v="Palu"/>
    <x v="19"/>
    <n v="22000"/>
    <n v="2"/>
    <n v="5"/>
    <n v="44000"/>
    <n v="2200"/>
    <n v="41800"/>
    <n v="67000"/>
    <n v="108800"/>
    <x v="0"/>
    <x v="0"/>
    <x v="0"/>
    <n v="3"/>
    <x v="0"/>
    <x v="0"/>
  </r>
  <r>
    <s v="ORD01714"/>
    <x v="1124"/>
    <x v="1"/>
    <s v="Galih Iskandar"/>
    <s v="Ambon"/>
    <x v="9"/>
    <n v="50000"/>
    <n v="4"/>
    <n v="0"/>
    <n v="200000"/>
    <n v="0"/>
    <n v="200000"/>
    <n v="49000"/>
    <n v="249000"/>
    <x v="0"/>
    <x v="0"/>
    <x v="4"/>
    <n v="4"/>
    <x v="1"/>
    <x v="0"/>
  </r>
  <r>
    <s v="ORD00073"/>
    <x v="1125"/>
    <x v="1"/>
    <s v="Hendra Syahputra"/>
    <s v="Wamena"/>
    <x v="2"/>
    <n v="16000"/>
    <n v="1"/>
    <n v="0"/>
    <n v="16000"/>
    <n v="0"/>
    <n v="16000"/>
    <n v="15000"/>
    <n v="31000"/>
    <x v="0"/>
    <x v="0"/>
    <x v="3"/>
    <n v="4"/>
    <x v="1"/>
    <x v="0"/>
  </r>
  <r>
    <s v="ORD00073"/>
    <x v="1125"/>
    <x v="1"/>
    <s v="Hendra Syahputra"/>
    <s v="Wamena"/>
    <x v="11"/>
    <n v="40000"/>
    <n v="5"/>
    <n v="20"/>
    <n v="200000"/>
    <n v="40000"/>
    <n v="160000"/>
    <n v="0"/>
    <n v="160000"/>
    <x v="0"/>
    <x v="0"/>
    <x v="3"/>
    <n v="4"/>
    <x v="1"/>
    <x v="3"/>
  </r>
  <r>
    <s v="ORD00730"/>
    <x v="1126"/>
    <x v="1"/>
    <s v="Sari Kusuma"/>
    <s v="Medan"/>
    <x v="21"/>
    <n v="17000"/>
    <n v="2"/>
    <n v="0"/>
    <n v="34000"/>
    <n v="0"/>
    <n v="34000"/>
    <n v="79000"/>
    <n v="113000"/>
    <x v="0"/>
    <x v="0"/>
    <x v="1"/>
    <n v="4"/>
    <x v="0"/>
    <x v="0"/>
  </r>
  <r>
    <s v="ORD00743"/>
    <x v="1127"/>
    <x v="1"/>
    <s v="Dina Puspita"/>
    <s v="Bandung"/>
    <x v="1"/>
    <n v="5000"/>
    <n v="2"/>
    <n v="10"/>
    <n v="10000"/>
    <n v="1000"/>
    <n v="9000"/>
    <n v="0"/>
    <n v="9000"/>
    <x v="3"/>
    <x v="0"/>
    <x v="1"/>
    <n v="5"/>
    <x v="0"/>
    <x v="0"/>
  </r>
  <r>
    <s v="ORD01594"/>
    <x v="1128"/>
    <x v="1"/>
    <s v="Kartika Santoso"/>
    <s v="Jambi"/>
    <x v="20"/>
    <n v="12000"/>
    <n v="2"/>
    <n v="20"/>
    <n v="24000"/>
    <n v="4800"/>
    <n v="19200"/>
    <n v="87000"/>
    <n v="106200"/>
    <x v="3"/>
    <x v="1"/>
    <x v="0"/>
    <n v="3"/>
    <x v="0"/>
    <x v="0"/>
  </r>
  <r>
    <s v="ORD00132"/>
    <x v="1129"/>
    <x v="1"/>
    <s v="Dina Syahputra"/>
    <s v="Mataram"/>
    <x v="0"/>
    <n v="45000"/>
    <n v="5"/>
    <n v="5"/>
    <n v="225000"/>
    <n v="11250"/>
    <n v="213750"/>
    <n v="56000"/>
    <n v="269750"/>
    <x v="3"/>
    <x v="0"/>
    <x v="1"/>
    <n v="4"/>
    <x v="0"/>
    <x v="1"/>
  </r>
  <r>
    <s v="ORD01830"/>
    <x v="1130"/>
    <x v="1"/>
    <s v="Yani Utami"/>
    <s v="Jambi"/>
    <x v="17"/>
    <n v="30000"/>
    <n v="3"/>
    <n v="20"/>
    <n v="90000"/>
    <n v="18000"/>
    <n v="72000"/>
    <n v="87000"/>
    <n v="159000"/>
    <x v="2"/>
    <x v="0"/>
    <x v="1"/>
    <n v="2"/>
    <x v="0"/>
    <x v="2"/>
  </r>
  <r>
    <s v="ORD01303"/>
    <x v="1131"/>
    <x v="1"/>
    <s v="Galih Iskandar"/>
    <s v="Ambon"/>
    <x v="26"/>
    <n v="18000"/>
    <n v="5"/>
    <n v="20"/>
    <n v="90000"/>
    <n v="18000"/>
    <n v="72000"/>
    <n v="49000"/>
    <n v="121000"/>
    <x v="2"/>
    <x v="0"/>
    <x v="0"/>
    <n v="4"/>
    <x v="1"/>
    <x v="2"/>
  </r>
  <r>
    <s v="ORD00487"/>
    <x v="1132"/>
    <x v="1"/>
    <s v="Qori Hidayat"/>
    <s v="Palembang"/>
    <x v="1"/>
    <n v="5000"/>
    <n v="3"/>
    <n v="15"/>
    <n v="15000"/>
    <n v="2250"/>
    <n v="12750"/>
    <n v="17000"/>
    <n v="29750"/>
    <x v="2"/>
    <x v="0"/>
    <x v="0"/>
    <n v="3"/>
    <x v="0"/>
    <x v="0"/>
  </r>
  <r>
    <s v="ORD01295"/>
    <x v="1133"/>
    <x v="1"/>
    <s v="Hana Nugroho"/>
    <s v="Surabaya"/>
    <x v="15"/>
    <n v="14000"/>
    <n v="4"/>
    <n v="5"/>
    <n v="56000"/>
    <n v="2800"/>
    <n v="53200"/>
    <n v="74000"/>
    <n v="127200"/>
    <x v="0"/>
    <x v="0"/>
    <x v="3"/>
    <n v="3"/>
    <x v="0"/>
    <x v="0"/>
  </r>
  <r>
    <s v="ORD00709"/>
    <x v="1134"/>
    <x v="1"/>
    <s v="Putri Wijaya"/>
    <s v="Jayapura"/>
    <x v="7"/>
    <n v="16000"/>
    <n v="2"/>
    <n v="5"/>
    <n v="32000"/>
    <n v="1600"/>
    <n v="30400"/>
    <n v="30000"/>
    <n v="60400"/>
    <x v="2"/>
    <x v="0"/>
    <x v="0"/>
    <n v="1"/>
    <x v="0"/>
    <x v="0"/>
  </r>
  <r>
    <s v="ORD00698"/>
    <x v="1135"/>
    <x v="1"/>
    <s v="Budi Saputra"/>
    <s v="Mataram"/>
    <x v="17"/>
    <n v="30000"/>
    <n v="1"/>
    <n v="15"/>
    <n v="30000"/>
    <n v="4500"/>
    <n v="25500"/>
    <n v="56000"/>
    <n v="81500"/>
    <x v="1"/>
    <x v="0"/>
    <x v="1"/>
    <n v="4"/>
    <x v="1"/>
    <x v="0"/>
  </r>
  <r>
    <s v="ORD00177"/>
    <x v="1136"/>
    <x v="1"/>
    <s v="Putri Ramadhani"/>
    <s v="Pangkalpinang"/>
    <x v="18"/>
    <n v="6000"/>
    <n v="5"/>
    <n v="20"/>
    <n v="30000"/>
    <n v="6000"/>
    <n v="24000"/>
    <n v="18000"/>
    <n v="42000"/>
    <x v="1"/>
    <x v="0"/>
    <x v="3"/>
    <n v="3"/>
    <x v="0"/>
    <x v="1"/>
  </r>
  <r>
    <s v="ORD00863"/>
    <x v="1137"/>
    <x v="1"/>
    <s v="Lestari Pradipta"/>
    <s v="Mataram"/>
    <x v="3"/>
    <n v="28000"/>
    <n v="5"/>
    <n v="5"/>
    <n v="140000"/>
    <n v="7000"/>
    <n v="133000"/>
    <n v="56000"/>
    <n v="189000"/>
    <x v="0"/>
    <x v="0"/>
    <x v="2"/>
    <n v="2"/>
    <x v="0"/>
    <x v="1"/>
  </r>
  <r>
    <s v="ORD00127"/>
    <x v="1138"/>
    <x v="1"/>
    <s v="Dewi Utami"/>
    <s v="Bandung"/>
    <x v="4"/>
    <n v="4000"/>
    <n v="4"/>
    <n v="20"/>
    <n v="16000"/>
    <n v="3200"/>
    <n v="12800"/>
    <n v="0"/>
    <n v="12800"/>
    <x v="3"/>
    <x v="0"/>
    <x v="2"/>
    <n v="3"/>
    <x v="0"/>
    <x v="0"/>
  </r>
  <r>
    <s v="ORD00489"/>
    <x v="1139"/>
    <x v="1"/>
    <s v="Yani Saputra"/>
    <s v="Jayapura"/>
    <x v="17"/>
    <n v="30000"/>
    <n v="2"/>
    <n v="0"/>
    <n v="60000"/>
    <n v="0"/>
    <n v="60000"/>
    <n v="30000"/>
    <n v="90000"/>
    <x v="1"/>
    <x v="0"/>
    <x v="0"/>
    <n v="2"/>
    <x v="0"/>
    <x v="0"/>
  </r>
  <r>
    <s v="ORD00489"/>
    <x v="1139"/>
    <x v="1"/>
    <s v="Yani Saputra"/>
    <s v="Jayapura"/>
    <x v="23"/>
    <n v="10000"/>
    <n v="3"/>
    <n v="15"/>
    <n v="30000"/>
    <n v="4500"/>
    <n v="25500"/>
    <n v="0"/>
    <n v="25500"/>
    <x v="1"/>
    <x v="0"/>
    <x v="0"/>
    <n v="2"/>
    <x v="0"/>
    <x v="0"/>
  </r>
  <r>
    <s v="ORD01161"/>
    <x v="1140"/>
    <x v="1"/>
    <s v="Zahra Iskandar"/>
    <s v="Manokwari"/>
    <x v="11"/>
    <n v="40000"/>
    <n v="5"/>
    <n v="20"/>
    <n v="200000"/>
    <n v="40000"/>
    <n v="160000"/>
    <n v="18000"/>
    <n v="178000"/>
    <x v="2"/>
    <x v="0"/>
    <x v="3"/>
    <n v="4"/>
    <x v="0"/>
    <x v="3"/>
  </r>
  <r>
    <s v="ORD01379"/>
    <x v="1141"/>
    <x v="1"/>
    <s v="Fitri Budiman"/>
    <s v="Manokwari"/>
    <x v="18"/>
    <n v="6000"/>
    <n v="5"/>
    <n v="0"/>
    <n v="30000"/>
    <n v="0"/>
    <n v="30000"/>
    <n v="18000"/>
    <n v="48000"/>
    <x v="2"/>
    <x v="0"/>
    <x v="1"/>
    <n v="1"/>
    <x v="0"/>
    <x v="0"/>
  </r>
  <r>
    <s v="ORD01111"/>
    <x v="1142"/>
    <x v="1"/>
    <s v="Aulia Rahmawati"/>
    <s v="Jambi"/>
    <x v="10"/>
    <n v="15000"/>
    <n v="3"/>
    <n v="5"/>
    <n v="45000"/>
    <n v="2250"/>
    <n v="42750"/>
    <n v="87000"/>
    <n v="129750"/>
    <x v="2"/>
    <x v="0"/>
    <x v="1"/>
    <n v="2"/>
    <x v="0"/>
    <x v="0"/>
  </r>
  <r>
    <s v="ORD01164"/>
    <x v="1143"/>
    <x v="1"/>
    <s v="Qori Syahputra"/>
    <s v="Jayapura"/>
    <x v="14"/>
    <n v="35000"/>
    <n v="5"/>
    <n v="10"/>
    <n v="175000"/>
    <n v="17500"/>
    <n v="157500"/>
    <n v="30000"/>
    <n v="187500"/>
    <x v="1"/>
    <x v="0"/>
    <x v="2"/>
    <n v="5"/>
    <x v="0"/>
    <x v="2"/>
  </r>
  <r>
    <s v="ORD00396"/>
    <x v="1144"/>
    <x v="1"/>
    <s v="Erna Rahmawati"/>
    <s v="Banda Aceh"/>
    <x v="10"/>
    <n v="15000"/>
    <n v="3"/>
    <n v="0"/>
    <n v="45000"/>
    <n v="0"/>
    <n v="45000"/>
    <n v="18000"/>
    <n v="63000"/>
    <x v="2"/>
    <x v="0"/>
    <x v="3"/>
    <n v="1"/>
    <x v="0"/>
    <x v="0"/>
  </r>
  <r>
    <s v="ORD01629"/>
    <x v="1145"/>
    <x v="1"/>
    <s v="Bella Ramadhani"/>
    <s v="Pontianak"/>
    <x v="23"/>
    <n v="10000"/>
    <n v="2"/>
    <n v="15"/>
    <n v="20000"/>
    <n v="3000"/>
    <n v="17000"/>
    <n v="85000"/>
    <n v="102000"/>
    <x v="3"/>
    <x v="1"/>
    <x v="3"/>
    <n v="3"/>
    <x v="0"/>
    <x v="0"/>
  </r>
  <r>
    <s v="ORD00079"/>
    <x v="1146"/>
    <x v="1"/>
    <s v="Made Santoso"/>
    <s v="Medan"/>
    <x v="3"/>
    <n v="28000"/>
    <n v="5"/>
    <n v="0"/>
    <n v="140000"/>
    <n v="0"/>
    <n v="140000"/>
    <n v="79000"/>
    <n v="219000"/>
    <x v="0"/>
    <x v="0"/>
    <x v="3"/>
    <n v="3"/>
    <x v="1"/>
    <x v="0"/>
  </r>
  <r>
    <s v="ORD00079"/>
    <x v="1146"/>
    <x v="1"/>
    <s v="Made Santoso"/>
    <s v="Medan"/>
    <x v="16"/>
    <n v="25000"/>
    <n v="4"/>
    <n v="0"/>
    <n v="100000"/>
    <n v="0"/>
    <n v="100000"/>
    <n v="0"/>
    <n v="100000"/>
    <x v="0"/>
    <x v="0"/>
    <x v="3"/>
    <n v="3"/>
    <x v="1"/>
    <x v="0"/>
  </r>
  <r>
    <s v="ORD00965"/>
    <x v="1147"/>
    <x v="1"/>
    <s v="Galih Puspita"/>
    <s v="Manado"/>
    <x v="12"/>
    <n v="55000"/>
    <n v="3"/>
    <n v="10"/>
    <n v="165000"/>
    <n v="16500"/>
    <n v="148500"/>
    <n v="93000"/>
    <n v="241500"/>
    <x v="3"/>
    <x v="0"/>
    <x v="4"/>
    <n v="2"/>
    <x v="1"/>
    <x v="2"/>
  </r>
  <r>
    <s v="ORD00492"/>
    <x v="1148"/>
    <x v="1"/>
    <s v="Yani Santoso"/>
    <s v="Pontianak"/>
    <x v="15"/>
    <n v="14000"/>
    <n v="3"/>
    <n v="5"/>
    <n v="42000"/>
    <n v="2100"/>
    <n v="39900"/>
    <n v="85000"/>
    <n v="124900"/>
    <x v="2"/>
    <x v="0"/>
    <x v="3"/>
    <n v="3"/>
    <x v="0"/>
    <x v="0"/>
  </r>
  <r>
    <s v="ORD01378"/>
    <x v="1149"/>
    <x v="1"/>
    <s v="Eka Maulana"/>
    <s v="Semarang"/>
    <x v="22"/>
    <n v="18000"/>
    <n v="1"/>
    <n v="20"/>
    <n v="18000"/>
    <n v="3600"/>
    <n v="14400"/>
    <n v="76000"/>
    <n v="90400"/>
    <x v="2"/>
    <x v="0"/>
    <x v="2"/>
    <n v="4"/>
    <x v="0"/>
    <x v="0"/>
  </r>
  <r>
    <s v="ORD00639"/>
    <x v="1150"/>
    <x v="1"/>
    <s v="Erna Syahputra"/>
    <s v="Banda Aceh"/>
    <x v="15"/>
    <n v="14000"/>
    <n v="5"/>
    <n v="0"/>
    <n v="70000"/>
    <n v="0"/>
    <n v="70000"/>
    <n v="18000"/>
    <n v="88000"/>
    <x v="0"/>
    <x v="1"/>
    <x v="1"/>
    <n v="4"/>
    <x v="0"/>
    <x v="0"/>
  </r>
  <r>
    <s v="ORD01339"/>
    <x v="1151"/>
    <x v="1"/>
    <s v="Dewi Rahmawati"/>
    <s v="Tanjung Selor"/>
    <x v="20"/>
    <n v="12000"/>
    <n v="1"/>
    <n v="15"/>
    <n v="12000"/>
    <n v="1800"/>
    <n v="10200"/>
    <n v="26000"/>
    <n v="36200"/>
    <x v="1"/>
    <x v="0"/>
    <x v="2"/>
    <n v="1"/>
    <x v="0"/>
    <x v="0"/>
  </r>
  <r>
    <s v="ORD00368"/>
    <x v="1152"/>
    <x v="1"/>
    <s v="Sari Setiawan"/>
    <s v="Jayapura"/>
    <x v="24"/>
    <n v="45000"/>
    <n v="4"/>
    <n v="10"/>
    <n v="180000"/>
    <n v="18000"/>
    <n v="162000"/>
    <n v="30000"/>
    <n v="192000"/>
    <x v="0"/>
    <x v="0"/>
    <x v="0"/>
    <n v="1"/>
    <x v="0"/>
    <x v="2"/>
  </r>
  <r>
    <s v="ORD00351"/>
    <x v="1153"/>
    <x v="1"/>
    <s v="Zahra Puspita"/>
    <s v="Yogyakarta"/>
    <x v="6"/>
    <n v="14000"/>
    <n v="2"/>
    <n v="15"/>
    <n v="28000"/>
    <n v="4200"/>
    <n v="23800"/>
    <n v="78000"/>
    <n v="101800"/>
    <x v="2"/>
    <x v="0"/>
    <x v="2"/>
    <n v="4"/>
    <x v="0"/>
    <x v="0"/>
  </r>
  <r>
    <s v="ORD00351"/>
    <x v="1153"/>
    <x v="1"/>
    <s v="Zahra Puspita"/>
    <s v="Yogyakarta"/>
    <x v="18"/>
    <n v="6000"/>
    <n v="3"/>
    <n v="10"/>
    <n v="18000"/>
    <n v="1800"/>
    <n v="16200"/>
    <n v="0"/>
    <n v="16200"/>
    <x v="2"/>
    <x v="0"/>
    <x v="2"/>
    <n v="4"/>
    <x v="0"/>
    <x v="0"/>
  </r>
  <r>
    <s v="ORD01719"/>
    <x v="1154"/>
    <x v="1"/>
    <s v="Yani Ananda"/>
    <s v="Mataram"/>
    <x v="14"/>
    <n v="35000"/>
    <n v="1"/>
    <n v="5"/>
    <n v="35000"/>
    <n v="1750"/>
    <n v="33250"/>
    <n v="56000"/>
    <n v="89250"/>
    <x v="0"/>
    <x v="0"/>
    <x v="1"/>
    <n v="2"/>
    <x v="0"/>
    <x v="0"/>
  </r>
  <r>
    <s v="ORD00896"/>
    <x v="1155"/>
    <x v="1"/>
    <s v="Dina Ananda"/>
    <s v="Semarang"/>
    <x v="24"/>
    <n v="45000"/>
    <n v="3"/>
    <n v="10"/>
    <n v="135000"/>
    <n v="13500"/>
    <n v="121500"/>
    <n v="76000"/>
    <n v="197500"/>
    <x v="2"/>
    <x v="0"/>
    <x v="1"/>
    <n v="2"/>
    <x v="0"/>
    <x v="1"/>
  </r>
  <r>
    <s v="ORD01687"/>
    <x v="1156"/>
    <x v="1"/>
    <s v="Oka Santoso"/>
    <s v="Manokwari"/>
    <x v="24"/>
    <n v="45000"/>
    <n v="3"/>
    <n v="10"/>
    <n v="135000"/>
    <n v="13500"/>
    <n v="121500"/>
    <n v="18000"/>
    <n v="139500"/>
    <x v="3"/>
    <x v="0"/>
    <x v="2"/>
    <n v="1"/>
    <x v="1"/>
    <x v="1"/>
  </r>
  <r>
    <s v="ORD00505"/>
    <x v="1157"/>
    <x v="1"/>
    <s v="Erna Hidayat"/>
    <s v="Bandar Lampung"/>
    <x v="10"/>
    <n v="15000"/>
    <n v="2"/>
    <n v="15"/>
    <n v="30000"/>
    <n v="4500"/>
    <n v="25500"/>
    <n v="28000"/>
    <n v="53500"/>
    <x v="0"/>
    <x v="1"/>
    <x v="4"/>
    <n v="5"/>
    <x v="0"/>
    <x v="0"/>
  </r>
  <r>
    <s v="ORD01204"/>
    <x v="1158"/>
    <x v="1"/>
    <s v="Galih Iskandar"/>
    <s v="Ambon"/>
    <x v="14"/>
    <n v="35000"/>
    <n v="2"/>
    <n v="10"/>
    <n v="70000"/>
    <n v="7000"/>
    <n v="63000"/>
    <n v="49000"/>
    <n v="112000"/>
    <x v="1"/>
    <x v="0"/>
    <x v="4"/>
    <n v="2"/>
    <x v="1"/>
    <x v="1"/>
  </r>
  <r>
    <s v="ORD00502"/>
    <x v="1159"/>
    <x v="1"/>
    <s v="Eka Maulana"/>
    <s v="Semarang"/>
    <x v="14"/>
    <n v="35000"/>
    <n v="5"/>
    <n v="20"/>
    <n v="175000"/>
    <n v="35000"/>
    <n v="140000"/>
    <n v="76000"/>
    <n v="216000"/>
    <x v="2"/>
    <x v="0"/>
    <x v="1"/>
    <n v="4"/>
    <x v="0"/>
    <x v="3"/>
  </r>
  <r>
    <s v="ORD00258"/>
    <x v="1160"/>
    <x v="1"/>
    <s v="Bella Pradipta"/>
    <s v="Banjarbaru"/>
    <x v="5"/>
    <n v="40000"/>
    <n v="4"/>
    <n v="20"/>
    <n v="160000"/>
    <n v="32000"/>
    <n v="128000"/>
    <n v="55000"/>
    <n v="183000"/>
    <x v="3"/>
    <x v="0"/>
    <x v="0"/>
    <n v="4"/>
    <x v="0"/>
    <x v="3"/>
  </r>
  <r>
    <s v="ORD00881"/>
    <x v="1161"/>
    <x v="1"/>
    <s v="Hana Saputra"/>
    <s v="Bengkulu"/>
    <x v="22"/>
    <n v="18000"/>
    <n v="1"/>
    <n v="15"/>
    <n v="18000"/>
    <n v="2700"/>
    <n v="15300"/>
    <n v="72000"/>
    <n v="87300"/>
    <x v="0"/>
    <x v="0"/>
    <x v="1"/>
    <n v="4"/>
    <x v="0"/>
    <x v="0"/>
  </r>
  <r>
    <s v="ORD00899"/>
    <x v="1162"/>
    <x v="1"/>
    <s v="Ani Halim"/>
    <s v="Sofifi"/>
    <x v="9"/>
    <n v="50000"/>
    <n v="2"/>
    <n v="5"/>
    <n v="100000"/>
    <n v="5000"/>
    <n v="95000"/>
    <n v="50000"/>
    <n v="145000"/>
    <x v="3"/>
    <x v="0"/>
    <x v="1"/>
    <n v="5"/>
    <x v="0"/>
    <x v="0"/>
  </r>
  <r>
    <s v="ORD00456"/>
    <x v="1163"/>
    <x v="1"/>
    <s v="Clara Pradipta"/>
    <s v="Jakarta"/>
    <x v="6"/>
    <n v="14000"/>
    <n v="1"/>
    <n v="20"/>
    <n v="14000"/>
    <n v="2800"/>
    <n v="11200"/>
    <n v="97000"/>
    <n v="108200"/>
    <x v="3"/>
    <x v="0"/>
    <x v="2"/>
    <n v="4"/>
    <x v="0"/>
    <x v="0"/>
  </r>
  <r>
    <s v="ORD00456"/>
    <x v="1163"/>
    <x v="1"/>
    <s v="Clara Pradipta"/>
    <s v="Jakarta"/>
    <x v="13"/>
    <n v="17000"/>
    <n v="4"/>
    <n v="5"/>
    <n v="68000"/>
    <n v="3400"/>
    <n v="64600"/>
    <n v="0"/>
    <n v="64600"/>
    <x v="3"/>
    <x v="0"/>
    <x v="2"/>
    <n v="4"/>
    <x v="0"/>
    <x v="0"/>
  </r>
  <r>
    <s v="ORD00688"/>
    <x v="1164"/>
    <x v="1"/>
    <s v="Dewi Puspita"/>
    <s v="Jayapura"/>
    <x v="13"/>
    <n v="17000"/>
    <n v="5"/>
    <n v="5"/>
    <n v="85000"/>
    <n v="4250"/>
    <n v="80750"/>
    <n v="30000"/>
    <n v="110750"/>
    <x v="1"/>
    <x v="1"/>
    <x v="2"/>
    <n v="4"/>
    <x v="0"/>
    <x v="0"/>
  </r>
  <r>
    <s v="ORD00329"/>
    <x v="1165"/>
    <x v="1"/>
    <s v="Qori Halim"/>
    <s v="Pekanbaru"/>
    <x v="15"/>
    <n v="14000"/>
    <n v="3"/>
    <n v="20"/>
    <n v="42000"/>
    <n v="8400"/>
    <n v="33600"/>
    <n v="49000"/>
    <n v="82600"/>
    <x v="3"/>
    <x v="1"/>
    <x v="2"/>
    <n v="3"/>
    <x v="0"/>
    <x v="1"/>
  </r>
  <r>
    <s v="ORD00797"/>
    <x v="1166"/>
    <x v="1"/>
    <s v="Yoga Nugroho"/>
    <s v="Banda Aceh"/>
    <x v="15"/>
    <n v="14000"/>
    <n v="5"/>
    <n v="15"/>
    <n v="70000"/>
    <n v="10500"/>
    <n v="59500"/>
    <n v="18000"/>
    <n v="77500"/>
    <x v="1"/>
    <x v="1"/>
    <x v="1"/>
    <n v="3"/>
    <x v="1"/>
    <x v="1"/>
  </r>
  <r>
    <s v="ORD00032"/>
    <x v="1167"/>
    <x v="1"/>
    <s v="Andi Syahputra"/>
    <s v="Banda Aceh"/>
    <x v="9"/>
    <n v="50000"/>
    <n v="1"/>
    <n v="20"/>
    <n v="50000"/>
    <n v="10000"/>
    <n v="40000"/>
    <n v="18000"/>
    <n v="58000"/>
    <x v="1"/>
    <x v="0"/>
    <x v="1"/>
    <n v="3"/>
    <x v="1"/>
    <x v="1"/>
  </r>
  <r>
    <s v="ORD00579"/>
    <x v="1168"/>
    <x v="1"/>
    <s v="Ani Puspita"/>
    <s v="Palu"/>
    <x v="4"/>
    <n v="4000"/>
    <n v="4"/>
    <n v="5"/>
    <n v="16000"/>
    <n v="800"/>
    <n v="15200"/>
    <n v="67000"/>
    <n v="82200"/>
    <x v="1"/>
    <x v="0"/>
    <x v="4"/>
    <n v="3"/>
    <x v="0"/>
    <x v="0"/>
  </r>
  <r>
    <s v="ORD01862"/>
    <x v="1169"/>
    <x v="1"/>
    <s v="Erna Rahmawati"/>
    <s v="Banda Aceh"/>
    <x v="2"/>
    <n v="16000"/>
    <n v="4"/>
    <n v="0"/>
    <n v="64000"/>
    <n v="0"/>
    <n v="64000"/>
    <n v="18000"/>
    <n v="82000"/>
    <x v="1"/>
    <x v="0"/>
    <x v="0"/>
    <n v="3"/>
    <x v="0"/>
    <x v="0"/>
  </r>
  <r>
    <s v="ORD01812"/>
    <x v="1170"/>
    <x v="1"/>
    <s v="Citra Ananda"/>
    <s v="Manokwari"/>
    <x v="14"/>
    <n v="35000"/>
    <n v="2"/>
    <n v="20"/>
    <n v="70000"/>
    <n v="14000"/>
    <n v="56000"/>
    <n v="18000"/>
    <n v="74000"/>
    <x v="3"/>
    <x v="0"/>
    <x v="3"/>
    <n v="1"/>
    <x v="0"/>
    <x v="1"/>
  </r>
  <r>
    <s v="ORD00385"/>
    <x v="1171"/>
    <x v="1"/>
    <s v="Citra Ananda"/>
    <s v="Manokwari"/>
    <x v="10"/>
    <n v="15000"/>
    <n v="5"/>
    <n v="20"/>
    <n v="75000"/>
    <n v="15000"/>
    <n v="60000"/>
    <n v="18000"/>
    <n v="78000"/>
    <x v="0"/>
    <x v="0"/>
    <x v="3"/>
    <n v="1"/>
    <x v="0"/>
    <x v="1"/>
  </r>
  <r>
    <s v="ORD01446"/>
    <x v="1172"/>
    <x v="1"/>
    <s v="Nanda Halim"/>
    <s v="Pekanbaru"/>
    <x v="16"/>
    <n v="25000"/>
    <n v="4"/>
    <n v="20"/>
    <n v="100000"/>
    <n v="20000"/>
    <n v="80000"/>
    <n v="49000"/>
    <n v="129000"/>
    <x v="2"/>
    <x v="0"/>
    <x v="2"/>
    <n v="1"/>
    <x v="1"/>
    <x v="2"/>
  </r>
  <r>
    <s v="ORD00384"/>
    <x v="1173"/>
    <x v="1"/>
    <s v="Clara Utami"/>
    <s v="Pangkalpinang"/>
    <x v="13"/>
    <n v="17000"/>
    <n v="3"/>
    <n v="15"/>
    <n v="51000"/>
    <n v="7650"/>
    <n v="43350"/>
    <n v="18000"/>
    <n v="61350"/>
    <x v="2"/>
    <x v="1"/>
    <x v="0"/>
    <n v="5"/>
    <x v="0"/>
    <x v="1"/>
  </r>
  <r>
    <s v="ORD00384"/>
    <x v="1173"/>
    <x v="1"/>
    <s v="Clara Utami"/>
    <s v="Pangkalpinang"/>
    <x v="24"/>
    <n v="45000"/>
    <n v="3"/>
    <n v="10"/>
    <n v="135000"/>
    <n v="13500"/>
    <n v="121500"/>
    <n v="0"/>
    <n v="121500"/>
    <x v="2"/>
    <x v="1"/>
    <x v="0"/>
    <n v="5"/>
    <x v="0"/>
    <x v="1"/>
  </r>
  <r>
    <s v="ORD00630"/>
    <x v="1174"/>
    <x v="1"/>
    <s v="Rizky Ramadhani"/>
    <s v="Pangkalpinang"/>
    <x v="9"/>
    <n v="50000"/>
    <n v="4"/>
    <n v="10"/>
    <n v="200000"/>
    <n v="20000"/>
    <n v="180000"/>
    <n v="18000"/>
    <n v="198000"/>
    <x v="0"/>
    <x v="0"/>
    <x v="3"/>
    <n v="1"/>
    <x v="1"/>
    <x v="2"/>
  </r>
  <r>
    <s v="ORD00848"/>
    <x v="1175"/>
    <x v="1"/>
    <s v="Tono Fauziah"/>
    <s v="Serang"/>
    <x v="13"/>
    <n v="17000"/>
    <n v="4"/>
    <n v="15"/>
    <n v="68000"/>
    <n v="10200"/>
    <n v="57800"/>
    <n v="57000"/>
    <n v="114800"/>
    <x v="0"/>
    <x v="0"/>
    <x v="1"/>
    <n v="4"/>
    <x v="1"/>
    <x v="1"/>
  </r>
  <r>
    <s v="ORD01663"/>
    <x v="1176"/>
    <x v="1"/>
    <s v="Lestari Pradipta"/>
    <s v="Mataram"/>
    <x v="8"/>
    <n v="16000"/>
    <n v="2"/>
    <n v="20"/>
    <n v="32000"/>
    <n v="6400"/>
    <n v="25600"/>
    <n v="56000"/>
    <n v="81600"/>
    <x v="0"/>
    <x v="0"/>
    <x v="2"/>
    <n v="4"/>
    <x v="0"/>
    <x v="1"/>
  </r>
  <r>
    <s v="ORD01486"/>
    <x v="1177"/>
    <x v="1"/>
    <s v="Qori Fauziah"/>
    <s v="Surabaya"/>
    <x v="9"/>
    <n v="50000"/>
    <n v="2"/>
    <n v="15"/>
    <n v="100000"/>
    <n v="15000"/>
    <n v="85000"/>
    <n v="74000"/>
    <n v="159000"/>
    <x v="3"/>
    <x v="1"/>
    <x v="0"/>
    <n v="2"/>
    <x v="0"/>
    <x v="1"/>
  </r>
  <r>
    <s v="ORD00673"/>
    <x v="1178"/>
    <x v="1"/>
    <s v="Yoga Utami"/>
    <s v="Banjarbaru"/>
    <x v="1"/>
    <n v="5000"/>
    <n v="2"/>
    <n v="20"/>
    <n v="10000"/>
    <n v="2000"/>
    <n v="8000"/>
    <n v="55000"/>
    <n v="63000"/>
    <x v="0"/>
    <x v="1"/>
    <x v="4"/>
    <n v="5"/>
    <x v="1"/>
    <x v="0"/>
  </r>
  <r>
    <s v="ORD00491"/>
    <x v="1179"/>
    <x v="1"/>
    <s v="Bella Ananda"/>
    <s v="Samarinda"/>
    <x v="3"/>
    <n v="28000"/>
    <n v="4"/>
    <n v="0"/>
    <n v="112000"/>
    <n v="0"/>
    <n v="112000"/>
    <n v="43000"/>
    <n v="155000"/>
    <x v="1"/>
    <x v="1"/>
    <x v="3"/>
    <n v="4"/>
    <x v="0"/>
    <x v="0"/>
  </r>
  <r>
    <s v="ORD00672"/>
    <x v="1180"/>
    <x v="1"/>
    <s v="Sari Halim"/>
    <s v="Banjarbaru"/>
    <x v="7"/>
    <n v="16000"/>
    <n v="5"/>
    <n v="5"/>
    <n v="80000"/>
    <n v="4000"/>
    <n v="76000"/>
    <n v="55000"/>
    <n v="131000"/>
    <x v="1"/>
    <x v="1"/>
    <x v="3"/>
    <n v="3"/>
    <x v="0"/>
    <x v="0"/>
  </r>
  <r>
    <s v="ORD01779"/>
    <x v="1181"/>
    <x v="1"/>
    <s v="Hana Wijaya"/>
    <s v="Sorong"/>
    <x v="25"/>
    <n v="35000"/>
    <n v="3"/>
    <n v="15"/>
    <n v="105000"/>
    <n v="15750"/>
    <n v="89250"/>
    <n v="87000"/>
    <n v="176250"/>
    <x v="3"/>
    <x v="1"/>
    <x v="1"/>
    <n v="2"/>
    <x v="0"/>
    <x v="2"/>
  </r>
  <r>
    <s v="ORD00060"/>
    <x v="1182"/>
    <x v="1"/>
    <s v="Budi Wijaya"/>
    <s v="Gorontalo"/>
    <x v="8"/>
    <n v="16000"/>
    <n v="5"/>
    <n v="20"/>
    <n v="80000"/>
    <n v="16000"/>
    <n v="64000"/>
    <n v="80000"/>
    <n v="144000"/>
    <x v="3"/>
    <x v="0"/>
    <x v="2"/>
    <n v="3"/>
    <x v="1"/>
    <x v="2"/>
  </r>
  <r>
    <s v="ORD00990"/>
    <x v="1183"/>
    <x v="1"/>
    <s v="Fitri Ramadhani"/>
    <s v="Surabaya"/>
    <x v="0"/>
    <n v="45000"/>
    <n v="3"/>
    <n v="0"/>
    <n v="135000"/>
    <n v="0"/>
    <n v="135000"/>
    <n v="74000"/>
    <n v="209000"/>
    <x v="0"/>
    <x v="0"/>
    <x v="4"/>
    <n v="4"/>
    <x v="0"/>
    <x v="0"/>
  </r>
  <r>
    <s v="ORD00648"/>
    <x v="1184"/>
    <x v="1"/>
    <s v="Andi Iskandar"/>
    <s v="Jambi"/>
    <x v="0"/>
    <n v="45000"/>
    <n v="3"/>
    <n v="10"/>
    <n v="135000"/>
    <n v="13500"/>
    <n v="121500"/>
    <n v="87000"/>
    <n v="208500"/>
    <x v="2"/>
    <x v="1"/>
    <x v="4"/>
    <n v="5"/>
    <x v="1"/>
    <x v="1"/>
  </r>
  <r>
    <s v="ORD01140"/>
    <x v="1185"/>
    <x v="1"/>
    <s v="Budi Saputra"/>
    <s v="Mataram"/>
    <x v="23"/>
    <n v="10000"/>
    <n v="3"/>
    <n v="0"/>
    <n v="30000"/>
    <n v="0"/>
    <n v="30000"/>
    <n v="56000"/>
    <n v="86000"/>
    <x v="3"/>
    <x v="0"/>
    <x v="0"/>
    <n v="5"/>
    <x v="1"/>
    <x v="0"/>
  </r>
  <r>
    <s v="ORD01333"/>
    <x v="1186"/>
    <x v="1"/>
    <s v="Aulia Utami"/>
    <s v="Yogyakarta"/>
    <x v="14"/>
    <n v="35000"/>
    <n v="4"/>
    <n v="10"/>
    <n v="140000"/>
    <n v="14000"/>
    <n v="126000"/>
    <n v="78000"/>
    <n v="204000"/>
    <x v="0"/>
    <x v="2"/>
    <x v="2"/>
    <n v="5"/>
    <x v="0"/>
    <x v="1"/>
  </r>
  <r>
    <s v="ORD00582"/>
    <x v="1187"/>
    <x v="1"/>
    <s v="Nanda Iskandar"/>
    <s v="Pontianak"/>
    <x v="18"/>
    <n v="6000"/>
    <n v="4"/>
    <n v="10"/>
    <n v="24000"/>
    <n v="2400"/>
    <n v="21600"/>
    <n v="85000"/>
    <n v="106600"/>
    <x v="2"/>
    <x v="0"/>
    <x v="4"/>
    <n v="2"/>
    <x v="1"/>
    <x v="0"/>
  </r>
  <r>
    <s v="ORD00209"/>
    <x v="1188"/>
    <x v="1"/>
    <s v="Dina Puspita"/>
    <s v="Bandung"/>
    <x v="21"/>
    <n v="17000"/>
    <n v="1"/>
    <n v="10"/>
    <n v="17000"/>
    <n v="1700"/>
    <n v="15300"/>
    <n v="0"/>
    <n v="15300"/>
    <x v="3"/>
    <x v="1"/>
    <x v="0"/>
    <n v="2"/>
    <x v="0"/>
    <x v="0"/>
  </r>
  <r>
    <s v="ORD00209"/>
    <x v="1188"/>
    <x v="1"/>
    <s v="Dina Puspita"/>
    <s v="Bandung"/>
    <x v="22"/>
    <n v="18000"/>
    <n v="2"/>
    <n v="5"/>
    <n v="36000"/>
    <n v="1800"/>
    <n v="34200"/>
    <n v="0"/>
    <n v="34200"/>
    <x v="3"/>
    <x v="1"/>
    <x v="0"/>
    <n v="2"/>
    <x v="0"/>
    <x v="0"/>
  </r>
  <r>
    <s v="ORD00802"/>
    <x v="1189"/>
    <x v="1"/>
    <s v="Zahra Nugroho"/>
    <s v="Yogyakarta"/>
    <x v="20"/>
    <n v="12000"/>
    <n v="5"/>
    <n v="5"/>
    <n v="60000"/>
    <n v="3000"/>
    <n v="57000"/>
    <n v="78000"/>
    <n v="135000"/>
    <x v="3"/>
    <x v="0"/>
    <x v="4"/>
    <n v="1"/>
    <x v="0"/>
    <x v="0"/>
  </r>
  <r>
    <s v="ORD00350"/>
    <x v="1190"/>
    <x v="1"/>
    <s v="Bella Fauziah"/>
    <s v="Manado"/>
    <x v="8"/>
    <n v="16000"/>
    <n v="2"/>
    <n v="20"/>
    <n v="32000"/>
    <n v="6400"/>
    <n v="25600"/>
    <n v="93000"/>
    <n v="118600"/>
    <x v="1"/>
    <x v="0"/>
    <x v="4"/>
    <n v="5"/>
    <x v="0"/>
    <x v="1"/>
  </r>
  <r>
    <s v="ORD01362"/>
    <x v="1191"/>
    <x v="1"/>
    <s v="Ani Maulana"/>
    <s v="Nabire"/>
    <x v="19"/>
    <n v="22000"/>
    <n v="3"/>
    <n v="0"/>
    <n v="66000"/>
    <n v="0"/>
    <n v="66000"/>
    <n v="89000"/>
    <n v="155000"/>
    <x v="1"/>
    <x v="1"/>
    <x v="0"/>
    <n v="4"/>
    <x v="0"/>
    <x v="0"/>
  </r>
  <r>
    <s v="ORD01408"/>
    <x v="1192"/>
    <x v="1"/>
    <s v="Dina Maulana"/>
    <s v="Kupang"/>
    <x v="26"/>
    <n v="18000"/>
    <n v="3"/>
    <n v="10"/>
    <n v="54000"/>
    <n v="5400"/>
    <n v="48600"/>
    <n v="21000"/>
    <n v="69600"/>
    <x v="3"/>
    <x v="1"/>
    <x v="3"/>
    <n v="5"/>
    <x v="0"/>
    <x v="1"/>
  </r>
  <r>
    <s v="ORD01075"/>
    <x v="1193"/>
    <x v="1"/>
    <s v="Bayu Syahputra"/>
    <s v="Jakarta"/>
    <x v="9"/>
    <n v="50000"/>
    <n v="3"/>
    <n v="10"/>
    <n v="150000"/>
    <n v="15000"/>
    <n v="135000"/>
    <n v="97000"/>
    <n v="232000"/>
    <x v="0"/>
    <x v="0"/>
    <x v="2"/>
    <n v="2"/>
    <x v="1"/>
    <x v="1"/>
  </r>
  <r>
    <s v="ORD00309"/>
    <x v="1194"/>
    <x v="1"/>
    <s v="Bella Hidayat"/>
    <s v="Medan"/>
    <x v="2"/>
    <n v="16000"/>
    <n v="1"/>
    <n v="0"/>
    <n v="16000"/>
    <n v="0"/>
    <n v="16000"/>
    <n v="79000"/>
    <n v="95000"/>
    <x v="3"/>
    <x v="0"/>
    <x v="2"/>
    <n v="4"/>
    <x v="0"/>
    <x v="0"/>
  </r>
  <r>
    <s v="ORD00309"/>
    <x v="1194"/>
    <x v="1"/>
    <s v="Bella Hidayat"/>
    <s v="Medan"/>
    <x v="23"/>
    <n v="10000"/>
    <n v="1"/>
    <n v="5"/>
    <n v="10000"/>
    <n v="500"/>
    <n v="9500"/>
    <n v="0"/>
    <n v="9500"/>
    <x v="3"/>
    <x v="0"/>
    <x v="2"/>
    <n v="4"/>
    <x v="0"/>
    <x v="0"/>
  </r>
  <r>
    <s v="ORD00742"/>
    <x v="1195"/>
    <x v="1"/>
    <s v="Indra Maulana"/>
    <s v="Medan"/>
    <x v="7"/>
    <n v="16000"/>
    <n v="5"/>
    <n v="20"/>
    <n v="80000"/>
    <n v="16000"/>
    <n v="64000"/>
    <n v="79000"/>
    <n v="143000"/>
    <x v="3"/>
    <x v="0"/>
    <x v="4"/>
    <n v="2"/>
    <x v="1"/>
    <x v="2"/>
  </r>
  <r>
    <s v="ORD00195"/>
    <x v="1196"/>
    <x v="1"/>
    <s v="Clara Syahputra"/>
    <s v="Makassar"/>
    <x v="8"/>
    <n v="16000"/>
    <n v="1"/>
    <n v="15"/>
    <n v="16000"/>
    <n v="2400"/>
    <n v="13600"/>
    <n v="84000"/>
    <n v="97600"/>
    <x v="1"/>
    <x v="0"/>
    <x v="1"/>
    <n v="4"/>
    <x v="0"/>
    <x v="0"/>
  </r>
  <r>
    <s v="ORD01112"/>
    <x v="1197"/>
    <x v="1"/>
    <s v="Wahyu Fauziah"/>
    <s v="Medan"/>
    <x v="18"/>
    <n v="6000"/>
    <n v="2"/>
    <n v="20"/>
    <n v="12000"/>
    <n v="2400"/>
    <n v="9600"/>
    <n v="79000"/>
    <n v="88600"/>
    <x v="1"/>
    <x v="0"/>
    <x v="1"/>
    <n v="3"/>
    <x v="1"/>
    <x v="0"/>
  </r>
  <r>
    <s v="ORD01354"/>
    <x v="1198"/>
    <x v="1"/>
    <s v="Fitri Setiawan"/>
    <s v="Pekanbaru"/>
    <x v="7"/>
    <n v="16000"/>
    <n v="5"/>
    <n v="0"/>
    <n v="80000"/>
    <n v="0"/>
    <n v="80000"/>
    <n v="49000"/>
    <n v="129000"/>
    <x v="0"/>
    <x v="0"/>
    <x v="0"/>
    <n v="4"/>
    <x v="0"/>
    <x v="0"/>
  </r>
  <r>
    <s v="ORD00048"/>
    <x v="1199"/>
    <x v="1"/>
    <s v="Eko Pradipta"/>
    <s v="Samarinda"/>
    <x v="20"/>
    <n v="12000"/>
    <n v="5"/>
    <n v="5"/>
    <n v="60000"/>
    <n v="3000"/>
    <n v="57000"/>
    <n v="43000"/>
    <n v="100000"/>
    <x v="2"/>
    <x v="2"/>
    <x v="1"/>
    <n v="5"/>
    <x v="1"/>
    <x v="0"/>
  </r>
  <r>
    <s v="ORD00998"/>
    <x v="1200"/>
    <x v="1"/>
    <s v="Dewi Saputra"/>
    <s v="Jambi"/>
    <x v="22"/>
    <n v="18000"/>
    <n v="5"/>
    <n v="5"/>
    <n v="90000"/>
    <n v="4500"/>
    <n v="85500"/>
    <n v="87000"/>
    <n v="172500"/>
    <x v="0"/>
    <x v="0"/>
    <x v="4"/>
    <n v="3"/>
    <x v="0"/>
    <x v="0"/>
  </r>
  <r>
    <s v="ORD01203"/>
    <x v="1201"/>
    <x v="1"/>
    <s v="Arif Fauziah"/>
    <s v="Denpasar"/>
    <x v="6"/>
    <n v="14000"/>
    <n v="2"/>
    <n v="15"/>
    <n v="28000"/>
    <n v="4200"/>
    <n v="23800"/>
    <n v="80000"/>
    <n v="103800"/>
    <x v="3"/>
    <x v="0"/>
    <x v="0"/>
    <n v="5"/>
    <x v="1"/>
    <x v="0"/>
  </r>
  <r>
    <s v="ORD01130"/>
    <x v="1202"/>
    <x v="1"/>
    <s v="Nanda Iskandar"/>
    <s v="Pontianak"/>
    <x v="13"/>
    <n v="17000"/>
    <n v="5"/>
    <n v="10"/>
    <n v="85000"/>
    <n v="8500"/>
    <n v="76500"/>
    <n v="85000"/>
    <n v="161500"/>
    <x v="2"/>
    <x v="0"/>
    <x v="4"/>
    <n v="3"/>
    <x v="1"/>
    <x v="1"/>
  </r>
  <r>
    <s v="ORD01784"/>
    <x v="1203"/>
    <x v="1"/>
    <s v="Sari Puspita"/>
    <s v="Jakarta"/>
    <x v="25"/>
    <n v="35000"/>
    <n v="4"/>
    <n v="20"/>
    <n v="140000"/>
    <n v="28000"/>
    <n v="112000"/>
    <n v="97000"/>
    <n v="209000"/>
    <x v="3"/>
    <x v="0"/>
    <x v="0"/>
    <n v="3"/>
    <x v="0"/>
    <x v="2"/>
  </r>
  <r>
    <s v="ORD01080"/>
    <x v="1204"/>
    <x v="1"/>
    <s v="Wahyu Santoso"/>
    <s v="Pangkalpinang"/>
    <x v="19"/>
    <n v="22000"/>
    <n v="3"/>
    <n v="10"/>
    <n v="66000"/>
    <n v="6600"/>
    <n v="59400"/>
    <n v="18000"/>
    <n v="77400"/>
    <x v="0"/>
    <x v="0"/>
    <x v="2"/>
    <n v="3"/>
    <x v="1"/>
    <x v="1"/>
  </r>
  <r>
    <s v="ORD01717"/>
    <x v="1205"/>
    <x v="1"/>
    <s v="Tono Ananda"/>
    <s v="Kendari"/>
    <x v="1"/>
    <n v="5000"/>
    <n v="5"/>
    <n v="5"/>
    <n v="25000"/>
    <n v="1250"/>
    <n v="23750"/>
    <n v="59000"/>
    <n v="82750"/>
    <x v="1"/>
    <x v="0"/>
    <x v="4"/>
    <n v="4"/>
    <x v="1"/>
    <x v="0"/>
  </r>
  <r>
    <s v="ORD00417"/>
    <x v="1206"/>
    <x v="1"/>
    <s v="Zahra Kurniawan"/>
    <s v="Wamena"/>
    <x v="8"/>
    <n v="16000"/>
    <n v="3"/>
    <n v="15"/>
    <n v="48000"/>
    <n v="7200"/>
    <n v="40800"/>
    <n v="15000"/>
    <n v="55800"/>
    <x v="2"/>
    <x v="0"/>
    <x v="4"/>
    <n v="2"/>
    <x v="0"/>
    <x v="1"/>
  </r>
  <r>
    <s v="ORD00417"/>
    <x v="1206"/>
    <x v="1"/>
    <s v="Zahra Kurniawan"/>
    <s v="Wamena"/>
    <x v="12"/>
    <n v="55000"/>
    <n v="3"/>
    <n v="10"/>
    <n v="165000"/>
    <n v="16500"/>
    <n v="148500"/>
    <n v="0"/>
    <n v="148500"/>
    <x v="2"/>
    <x v="0"/>
    <x v="4"/>
    <n v="2"/>
    <x v="0"/>
    <x v="2"/>
  </r>
  <r>
    <s v="ORD00158"/>
    <x v="1207"/>
    <x v="1"/>
    <s v="Eka Rahmawati"/>
    <s v="Samarinda"/>
    <x v="14"/>
    <n v="35000"/>
    <n v="4"/>
    <n v="0"/>
    <n v="140000"/>
    <n v="0"/>
    <n v="140000"/>
    <n v="43000"/>
    <n v="183000"/>
    <x v="3"/>
    <x v="0"/>
    <x v="1"/>
    <n v="3"/>
    <x v="0"/>
    <x v="0"/>
  </r>
  <r>
    <s v="ORD00924"/>
    <x v="1208"/>
    <x v="1"/>
    <s v="Putri Ananda"/>
    <s v="Tanjung Selor"/>
    <x v="23"/>
    <n v="10000"/>
    <n v="1"/>
    <n v="5"/>
    <n v="10000"/>
    <n v="500"/>
    <n v="9500"/>
    <n v="26000"/>
    <n v="35500"/>
    <x v="1"/>
    <x v="0"/>
    <x v="4"/>
    <n v="4"/>
    <x v="0"/>
    <x v="0"/>
  </r>
  <r>
    <s v="ORD00122"/>
    <x v="1209"/>
    <x v="1"/>
    <s v="Ani Wijaya"/>
    <s v="Tanjungpinang"/>
    <x v="0"/>
    <n v="45000"/>
    <n v="4"/>
    <n v="10"/>
    <n v="180000"/>
    <n v="18000"/>
    <n v="162000"/>
    <n v="48000"/>
    <n v="210000"/>
    <x v="2"/>
    <x v="0"/>
    <x v="3"/>
    <n v="3"/>
    <x v="0"/>
    <x v="2"/>
  </r>
  <r>
    <s v="ORD00122"/>
    <x v="1209"/>
    <x v="1"/>
    <s v="Ani Wijaya"/>
    <s v="Tanjungpinang"/>
    <x v="17"/>
    <n v="30000"/>
    <n v="1"/>
    <n v="10"/>
    <n v="30000"/>
    <n v="3000"/>
    <n v="27000"/>
    <n v="0"/>
    <n v="27000"/>
    <x v="2"/>
    <x v="0"/>
    <x v="3"/>
    <n v="3"/>
    <x v="0"/>
    <x v="0"/>
  </r>
  <r>
    <s v="ORD01393"/>
    <x v="1210"/>
    <x v="1"/>
    <s v="Dina Wijaya"/>
    <s v="Palu"/>
    <x v="2"/>
    <n v="16000"/>
    <n v="1"/>
    <n v="10"/>
    <n v="16000"/>
    <n v="1600"/>
    <n v="14400"/>
    <n v="67000"/>
    <n v="81400"/>
    <x v="1"/>
    <x v="0"/>
    <x v="0"/>
    <n v="2"/>
    <x v="0"/>
    <x v="0"/>
  </r>
  <r>
    <s v="ORD01469"/>
    <x v="1211"/>
    <x v="1"/>
    <s v="Zahra Santoso"/>
    <s v="Nabire"/>
    <x v="2"/>
    <n v="16000"/>
    <n v="1"/>
    <n v="0"/>
    <n v="16000"/>
    <n v="0"/>
    <n v="16000"/>
    <n v="89000"/>
    <n v="105000"/>
    <x v="0"/>
    <x v="0"/>
    <x v="2"/>
    <n v="5"/>
    <x v="0"/>
    <x v="0"/>
  </r>
  <r>
    <s v="ORD01195"/>
    <x v="1212"/>
    <x v="1"/>
    <s v="Yani Saputra"/>
    <s v="Jayapura"/>
    <x v="10"/>
    <n v="15000"/>
    <n v="3"/>
    <n v="5"/>
    <n v="45000"/>
    <n v="2250"/>
    <n v="42750"/>
    <n v="30000"/>
    <n v="72750"/>
    <x v="0"/>
    <x v="0"/>
    <x v="4"/>
    <n v="2"/>
    <x v="0"/>
    <x v="0"/>
  </r>
  <r>
    <s v="ORD01754"/>
    <x v="1213"/>
    <x v="1"/>
    <s v="Citra Kurniawan"/>
    <s v="Merauke"/>
    <x v="22"/>
    <n v="18000"/>
    <n v="4"/>
    <n v="15"/>
    <n v="72000"/>
    <n v="10800"/>
    <n v="61200"/>
    <n v="59000"/>
    <n v="120200"/>
    <x v="3"/>
    <x v="1"/>
    <x v="1"/>
    <n v="4"/>
    <x v="0"/>
    <x v="1"/>
  </r>
  <r>
    <s v="ORD01609"/>
    <x v="1214"/>
    <x v="1"/>
    <s v="Erna Hidayat"/>
    <s v="Bandar Lampung"/>
    <x v="25"/>
    <n v="35000"/>
    <n v="1"/>
    <n v="15"/>
    <n v="35000"/>
    <n v="5250"/>
    <n v="29750"/>
    <n v="28000"/>
    <n v="57750"/>
    <x v="0"/>
    <x v="0"/>
    <x v="0"/>
    <n v="4"/>
    <x v="0"/>
    <x v="1"/>
  </r>
  <r>
    <s v="ORD00877"/>
    <x v="1215"/>
    <x v="1"/>
    <s v="Vina Saputra"/>
    <s v="Gorontalo"/>
    <x v="12"/>
    <n v="55000"/>
    <n v="4"/>
    <n v="15"/>
    <n v="220000"/>
    <n v="33000"/>
    <n v="187000"/>
    <n v="80000"/>
    <n v="267000"/>
    <x v="2"/>
    <x v="0"/>
    <x v="4"/>
    <n v="2"/>
    <x v="0"/>
    <x v="3"/>
  </r>
  <r>
    <s v="ORD00707"/>
    <x v="1216"/>
    <x v="1"/>
    <s v="Bella Rahmawati"/>
    <s v="Kendari"/>
    <x v="22"/>
    <n v="18000"/>
    <n v="1"/>
    <n v="10"/>
    <n v="18000"/>
    <n v="1800"/>
    <n v="16200"/>
    <n v="59000"/>
    <n v="75200"/>
    <x v="3"/>
    <x v="0"/>
    <x v="3"/>
    <n v="2"/>
    <x v="0"/>
    <x v="0"/>
  </r>
  <r>
    <s v="ORD00554"/>
    <x v="1217"/>
    <x v="1"/>
    <s v="Zahra Ananda"/>
    <s v="Bandung"/>
    <x v="14"/>
    <n v="35000"/>
    <n v="4"/>
    <n v="20"/>
    <n v="140000"/>
    <n v="28000"/>
    <n v="112000"/>
    <n v="0"/>
    <n v="112000"/>
    <x v="0"/>
    <x v="1"/>
    <x v="1"/>
    <n v="1"/>
    <x v="0"/>
    <x v="2"/>
  </r>
  <r>
    <s v="ORD00484"/>
    <x v="1218"/>
    <x v="1"/>
    <s v="Dina Hidayat"/>
    <s v="Pekanbaru"/>
    <x v="24"/>
    <n v="45000"/>
    <n v="4"/>
    <n v="15"/>
    <n v="180000"/>
    <n v="27000"/>
    <n v="153000"/>
    <n v="49000"/>
    <n v="202000"/>
    <x v="1"/>
    <x v="2"/>
    <x v="1"/>
    <n v="3"/>
    <x v="0"/>
    <x v="2"/>
  </r>
  <r>
    <s v="ORD00097"/>
    <x v="1219"/>
    <x v="1"/>
    <s v="Indra Maulana"/>
    <s v="Medan"/>
    <x v="9"/>
    <n v="50000"/>
    <n v="1"/>
    <n v="20"/>
    <n v="50000"/>
    <n v="10000"/>
    <n v="40000"/>
    <n v="79000"/>
    <n v="119000"/>
    <x v="2"/>
    <x v="1"/>
    <x v="3"/>
    <n v="4"/>
    <x v="1"/>
    <x v="1"/>
  </r>
  <r>
    <s v="ORD00804"/>
    <x v="1220"/>
    <x v="1"/>
    <s v="Clara Hidayat"/>
    <s v="Mamuju"/>
    <x v="2"/>
    <n v="16000"/>
    <n v="2"/>
    <n v="15"/>
    <n v="32000"/>
    <n v="4800"/>
    <n v="27200"/>
    <n v="46000"/>
    <n v="73200"/>
    <x v="3"/>
    <x v="0"/>
    <x v="3"/>
    <n v="3"/>
    <x v="0"/>
    <x v="0"/>
  </r>
  <r>
    <s v="ORD01733"/>
    <x v="1221"/>
    <x v="1"/>
    <s v="Bella Ramadhani"/>
    <s v="Pontianak"/>
    <x v="13"/>
    <n v="17000"/>
    <n v="2"/>
    <n v="5"/>
    <n v="34000"/>
    <n v="1700"/>
    <n v="32300"/>
    <n v="85000"/>
    <n v="117300"/>
    <x v="1"/>
    <x v="0"/>
    <x v="1"/>
    <n v="3"/>
    <x v="0"/>
    <x v="0"/>
  </r>
  <r>
    <s v="ORD01839"/>
    <x v="1222"/>
    <x v="1"/>
    <s v="Putri Saputra"/>
    <s v="Pontianak"/>
    <x v="26"/>
    <n v="18000"/>
    <n v="3"/>
    <n v="5"/>
    <n v="54000"/>
    <n v="2700"/>
    <n v="51300"/>
    <n v="85000"/>
    <n v="136300"/>
    <x v="1"/>
    <x v="0"/>
    <x v="1"/>
    <n v="5"/>
    <x v="0"/>
    <x v="0"/>
  </r>
  <r>
    <s v="ORD01425"/>
    <x v="1223"/>
    <x v="1"/>
    <s v="Yani Hidayat"/>
    <s v="Gorontalo"/>
    <x v="13"/>
    <n v="17000"/>
    <n v="4"/>
    <n v="15"/>
    <n v="68000"/>
    <n v="10200"/>
    <n v="57800"/>
    <n v="80000"/>
    <n v="137800"/>
    <x v="1"/>
    <x v="0"/>
    <x v="0"/>
    <n v="4"/>
    <x v="0"/>
    <x v="1"/>
  </r>
  <r>
    <s v="ORD01174"/>
    <x v="1224"/>
    <x v="1"/>
    <s v="Lestari Pradipta"/>
    <s v="Mataram"/>
    <x v="12"/>
    <n v="55000"/>
    <n v="3"/>
    <n v="5"/>
    <n v="165000"/>
    <n v="8250"/>
    <n v="156750"/>
    <n v="56000"/>
    <n v="212750"/>
    <x v="0"/>
    <x v="0"/>
    <x v="3"/>
    <n v="2"/>
    <x v="0"/>
    <x v="1"/>
  </r>
  <r>
    <s v="ORD00778"/>
    <x v="1225"/>
    <x v="1"/>
    <s v="Yani Nugroho"/>
    <s v="Palembang"/>
    <x v="6"/>
    <n v="14000"/>
    <n v="2"/>
    <n v="20"/>
    <n v="28000"/>
    <n v="5600"/>
    <n v="22400"/>
    <n v="17000"/>
    <n v="39400"/>
    <x v="0"/>
    <x v="0"/>
    <x v="4"/>
    <n v="3"/>
    <x v="0"/>
    <x v="1"/>
  </r>
  <r>
    <s v="ORD00637"/>
    <x v="1226"/>
    <x v="1"/>
    <s v="Tono Hidayat"/>
    <s v="Pangkalpinang"/>
    <x v="5"/>
    <n v="40000"/>
    <n v="2"/>
    <n v="5"/>
    <n v="80000"/>
    <n v="4000"/>
    <n v="76000"/>
    <n v="18000"/>
    <n v="94000"/>
    <x v="3"/>
    <x v="1"/>
    <x v="4"/>
    <n v="5"/>
    <x v="1"/>
    <x v="0"/>
  </r>
  <r>
    <s v="ORD01411"/>
    <x v="1227"/>
    <x v="1"/>
    <s v="Gita Wijaya"/>
    <s v="Sorong"/>
    <x v="5"/>
    <n v="40000"/>
    <n v="1"/>
    <n v="0"/>
    <n v="40000"/>
    <n v="0"/>
    <n v="40000"/>
    <n v="87000"/>
    <n v="127000"/>
    <x v="0"/>
    <x v="0"/>
    <x v="4"/>
    <n v="2"/>
    <x v="0"/>
    <x v="0"/>
  </r>
  <r>
    <s v="ORD00116"/>
    <x v="1228"/>
    <x v="1"/>
    <s v="Aulia Rahmawati"/>
    <s v="Jambi"/>
    <x v="4"/>
    <n v="4000"/>
    <n v="3"/>
    <n v="10"/>
    <n v="12000"/>
    <n v="1200"/>
    <n v="10800"/>
    <n v="87000"/>
    <n v="97800"/>
    <x v="1"/>
    <x v="1"/>
    <x v="3"/>
    <n v="5"/>
    <x v="0"/>
    <x v="0"/>
  </r>
  <r>
    <s v="ORD00459"/>
    <x v="1229"/>
    <x v="1"/>
    <s v="Dina Rahmawati"/>
    <s v="Merauke"/>
    <x v="23"/>
    <n v="10000"/>
    <n v="3"/>
    <n v="0"/>
    <n v="30000"/>
    <n v="0"/>
    <n v="30000"/>
    <n v="59000"/>
    <n v="89000"/>
    <x v="2"/>
    <x v="0"/>
    <x v="3"/>
    <n v="3"/>
    <x v="0"/>
    <x v="0"/>
  </r>
  <r>
    <s v="ORD01326"/>
    <x v="1230"/>
    <x v="1"/>
    <s v="Lestari Wijaya"/>
    <s v="Bandung"/>
    <x v="25"/>
    <n v="35000"/>
    <n v="2"/>
    <n v="20"/>
    <n v="70000"/>
    <n v="14000"/>
    <n v="56000"/>
    <n v="0"/>
    <n v="56000"/>
    <x v="2"/>
    <x v="1"/>
    <x v="1"/>
    <n v="4"/>
    <x v="0"/>
    <x v="1"/>
  </r>
  <r>
    <s v="ORD00066"/>
    <x v="1231"/>
    <x v="1"/>
    <s v="Oka Kusuma"/>
    <s v="Palembang"/>
    <x v="11"/>
    <n v="40000"/>
    <n v="1"/>
    <n v="15"/>
    <n v="40000"/>
    <n v="6000"/>
    <n v="34000"/>
    <n v="17000"/>
    <n v="51000"/>
    <x v="3"/>
    <x v="0"/>
    <x v="1"/>
    <n v="4"/>
    <x v="1"/>
    <x v="1"/>
  </r>
  <r>
    <s v="ORD00501"/>
    <x v="1232"/>
    <x v="1"/>
    <s v="Sari Setiawan"/>
    <s v="Jayapura"/>
    <x v="21"/>
    <n v="17000"/>
    <n v="3"/>
    <n v="15"/>
    <n v="51000"/>
    <n v="7650"/>
    <n v="43350"/>
    <n v="30000"/>
    <n v="73350"/>
    <x v="2"/>
    <x v="0"/>
    <x v="0"/>
    <n v="1"/>
    <x v="0"/>
    <x v="1"/>
  </r>
  <r>
    <s v="ORD01421"/>
    <x v="1233"/>
    <x v="1"/>
    <s v="Citra Maulana"/>
    <s v="Bengkulu"/>
    <x v="8"/>
    <n v="16000"/>
    <n v="3"/>
    <n v="20"/>
    <n v="48000"/>
    <n v="9600"/>
    <n v="38400"/>
    <n v="72000"/>
    <n v="110400"/>
    <x v="1"/>
    <x v="1"/>
    <x v="1"/>
    <n v="1"/>
    <x v="0"/>
    <x v="1"/>
  </r>
  <r>
    <s v="ORD00317"/>
    <x v="1234"/>
    <x v="1"/>
    <s v="Citra Fauziah"/>
    <s v="Ambon"/>
    <x v="20"/>
    <n v="12000"/>
    <n v="4"/>
    <n v="0"/>
    <n v="48000"/>
    <n v="0"/>
    <n v="48000"/>
    <n v="49000"/>
    <n v="97000"/>
    <x v="1"/>
    <x v="0"/>
    <x v="1"/>
    <n v="5"/>
    <x v="0"/>
    <x v="0"/>
  </r>
  <r>
    <s v="ORD01068"/>
    <x v="1235"/>
    <x v="1"/>
    <s v="Aulia Setiawan"/>
    <s v="Pekanbaru"/>
    <x v="16"/>
    <n v="25000"/>
    <n v="1"/>
    <n v="10"/>
    <n v="25000"/>
    <n v="2500"/>
    <n v="22500"/>
    <n v="49000"/>
    <n v="71500"/>
    <x v="2"/>
    <x v="1"/>
    <x v="1"/>
    <n v="1"/>
    <x v="0"/>
    <x v="0"/>
  </r>
  <r>
    <s v="ORD01747"/>
    <x v="1236"/>
    <x v="1"/>
    <s v="Citra Syahputra"/>
    <s v="Mamuju"/>
    <x v="21"/>
    <n v="17000"/>
    <n v="4"/>
    <n v="5"/>
    <n v="68000"/>
    <n v="3400"/>
    <n v="64600"/>
    <n v="46000"/>
    <n v="110600"/>
    <x v="2"/>
    <x v="0"/>
    <x v="0"/>
    <n v="2"/>
    <x v="0"/>
    <x v="0"/>
  </r>
  <r>
    <s v="ORD01641"/>
    <x v="1237"/>
    <x v="1"/>
    <s v="Zahra Kusuma"/>
    <s v="Tanjung Selor"/>
    <x v="25"/>
    <n v="35000"/>
    <n v="4"/>
    <n v="10"/>
    <n v="140000"/>
    <n v="14000"/>
    <n v="126000"/>
    <n v="26000"/>
    <n v="152000"/>
    <x v="2"/>
    <x v="2"/>
    <x v="3"/>
    <n v="4"/>
    <x v="0"/>
    <x v="1"/>
  </r>
  <r>
    <s v="ORD00130"/>
    <x v="1238"/>
    <x v="1"/>
    <s v="Aulia Wijaya"/>
    <s v="Palangka Raya"/>
    <x v="6"/>
    <n v="14000"/>
    <n v="5"/>
    <n v="5"/>
    <n v="70000"/>
    <n v="3500"/>
    <n v="66500"/>
    <n v="50000"/>
    <n v="116500"/>
    <x v="1"/>
    <x v="0"/>
    <x v="2"/>
    <n v="1"/>
    <x v="0"/>
    <x v="0"/>
  </r>
  <r>
    <s v="ORD00423"/>
    <x v="1239"/>
    <x v="1"/>
    <s v="Clara Syahputra"/>
    <s v="Makassar"/>
    <x v="1"/>
    <n v="5000"/>
    <n v="4"/>
    <n v="5"/>
    <n v="20000"/>
    <n v="1000"/>
    <n v="19000"/>
    <n v="84000"/>
    <n v="103000"/>
    <x v="0"/>
    <x v="0"/>
    <x v="2"/>
    <n v="4"/>
    <x v="0"/>
    <x v="0"/>
  </r>
  <r>
    <s v="ORD00774"/>
    <x v="1240"/>
    <x v="1"/>
    <s v="Erna Santoso"/>
    <s v="Samarinda"/>
    <x v="15"/>
    <n v="14000"/>
    <n v="4"/>
    <n v="10"/>
    <n v="56000"/>
    <n v="5600"/>
    <n v="50400"/>
    <n v="43000"/>
    <n v="93400"/>
    <x v="3"/>
    <x v="0"/>
    <x v="3"/>
    <n v="2"/>
    <x v="0"/>
    <x v="1"/>
  </r>
  <r>
    <s v="ORD01709"/>
    <x v="1241"/>
    <x v="1"/>
    <s v="Citra Halim"/>
    <s v="Merauke"/>
    <x v="21"/>
    <n v="17000"/>
    <n v="5"/>
    <n v="5"/>
    <n v="85000"/>
    <n v="4250"/>
    <n v="80750"/>
    <n v="59000"/>
    <n v="139750"/>
    <x v="1"/>
    <x v="0"/>
    <x v="3"/>
    <n v="3"/>
    <x v="0"/>
    <x v="0"/>
  </r>
  <r>
    <s v="ORD00636"/>
    <x v="1242"/>
    <x v="1"/>
    <s v="Citra Saputra"/>
    <s v="Surabaya"/>
    <x v="6"/>
    <n v="14000"/>
    <n v="1"/>
    <n v="0"/>
    <n v="14000"/>
    <n v="0"/>
    <n v="14000"/>
    <n v="74000"/>
    <n v="88000"/>
    <x v="3"/>
    <x v="0"/>
    <x v="2"/>
    <n v="5"/>
    <x v="0"/>
    <x v="0"/>
  </r>
  <r>
    <s v="ORD00259"/>
    <x v="1243"/>
    <x v="1"/>
    <s v="Hana Nugroho"/>
    <s v="Surabaya"/>
    <x v="22"/>
    <n v="18000"/>
    <n v="5"/>
    <n v="15"/>
    <n v="90000"/>
    <n v="13500"/>
    <n v="76500"/>
    <n v="74000"/>
    <n v="150500"/>
    <x v="0"/>
    <x v="0"/>
    <x v="0"/>
    <n v="5"/>
    <x v="0"/>
    <x v="1"/>
  </r>
  <r>
    <s v="ORD00259"/>
    <x v="1243"/>
    <x v="1"/>
    <s v="Hana Nugroho"/>
    <s v="Surabaya"/>
    <x v="2"/>
    <n v="16000"/>
    <n v="4"/>
    <n v="20"/>
    <n v="64000"/>
    <n v="12800"/>
    <n v="51200"/>
    <n v="0"/>
    <n v="51200"/>
    <x v="0"/>
    <x v="0"/>
    <x v="0"/>
    <n v="5"/>
    <x v="0"/>
    <x v="1"/>
  </r>
  <r>
    <s v="ORD01213"/>
    <x v="1244"/>
    <x v="1"/>
    <s v="Lestari Puspita"/>
    <s v="Yogyakarta"/>
    <x v="7"/>
    <n v="16000"/>
    <n v="5"/>
    <n v="5"/>
    <n v="80000"/>
    <n v="4000"/>
    <n v="76000"/>
    <n v="78000"/>
    <n v="154000"/>
    <x v="0"/>
    <x v="0"/>
    <x v="4"/>
    <n v="5"/>
    <x v="0"/>
    <x v="0"/>
  </r>
  <r>
    <s v="ORD00319"/>
    <x v="1245"/>
    <x v="1"/>
    <s v="Clara Maulana"/>
    <s v="Pontianak"/>
    <x v="6"/>
    <n v="14000"/>
    <n v="1"/>
    <n v="15"/>
    <n v="14000"/>
    <n v="2100"/>
    <n v="11900"/>
    <n v="85000"/>
    <n v="96900"/>
    <x v="0"/>
    <x v="1"/>
    <x v="4"/>
    <n v="1"/>
    <x v="0"/>
    <x v="0"/>
  </r>
  <r>
    <s v="ORD00319"/>
    <x v="1245"/>
    <x v="1"/>
    <s v="Clara Maulana"/>
    <s v="Pontianak"/>
    <x v="7"/>
    <n v="16000"/>
    <n v="4"/>
    <n v="10"/>
    <n v="64000"/>
    <n v="6400"/>
    <n v="57600"/>
    <n v="0"/>
    <n v="57600"/>
    <x v="0"/>
    <x v="1"/>
    <x v="4"/>
    <n v="1"/>
    <x v="0"/>
    <x v="1"/>
  </r>
  <r>
    <s v="ORD01227"/>
    <x v="1246"/>
    <x v="1"/>
    <s v="Vina Maulana"/>
    <s v="Wamena"/>
    <x v="6"/>
    <n v="14000"/>
    <n v="1"/>
    <n v="10"/>
    <n v="14000"/>
    <n v="1400"/>
    <n v="12600"/>
    <n v="15000"/>
    <n v="27600"/>
    <x v="1"/>
    <x v="0"/>
    <x v="0"/>
    <n v="4"/>
    <x v="0"/>
    <x v="0"/>
  </r>
  <r>
    <s v="ORD01210"/>
    <x v="1247"/>
    <x v="1"/>
    <s v="Wahyu Pradipta"/>
    <s v="Jakarta"/>
    <x v="1"/>
    <n v="5000"/>
    <n v="3"/>
    <n v="10"/>
    <n v="15000"/>
    <n v="1500"/>
    <n v="13500"/>
    <n v="97000"/>
    <n v="110500"/>
    <x v="2"/>
    <x v="0"/>
    <x v="4"/>
    <n v="2"/>
    <x v="1"/>
    <x v="0"/>
  </r>
  <r>
    <s v="ORD01167"/>
    <x v="1248"/>
    <x v="1"/>
    <s v="Vina Syahputra"/>
    <s v="Pekanbaru"/>
    <x v="21"/>
    <n v="17000"/>
    <n v="3"/>
    <n v="0"/>
    <n v="51000"/>
    <n v="0"/>
    <n v="51000"/>
    <n v="49000"/>
    <n v="100000"/>
    <x v="1"/>
    <x v="1"/>
    <x v="4"/>
    <n v="5"/>
    <x v="0"/>
    <x v="0"/>
  </r>
  <r>
    <s v="ORD01231"/>
    <x v="1249"/>
    <x v="1"/>
    <s v="Erna Pradipta"/>
    <s v="Bandung"/>
    <x v="7"/>
    <n v="16000"/>
    <n v="5"/>
    <n v="0"/>
    <n v="80000"/>
    <n v="0"/>
    <n v="80000"/>
    <n v="0"/>
    <n v="80000"/>
    <x v="1"/>
    <x v="0"/>
    <x v="2"/>
    <n v="5"/>
    <x v="0"/>
    <x v="0"/>
  </r>
  <r>
    <s v="ORD01351"/>
    <x v="1250"/>
    <x v="1"/>
    <s v="Lestari Ramadhani"/>
    <s v="Banda Aceh"/>
    <x v="6"/>
    <n v="14000"/>
    <n v="5"/>
    <n v="15"/>
    <n v="70000"/>
    <n v="10500"/>
    <n v="59500"/>
    <n v="18000"/>
    <n v="77500"/>
    <x v="2"/>
    <x v="0"/>
    <x v="0"/>
    <n v="4"/>
    <x v="0"/>
    <x v="1"/>
  </r>
  <r>
    <s v="ORD00685"/>
    <x v="1251"/>
    <x v="1"/>
    <s v="Bella Maulana"/>
    <s v="Pekanbaru"/>
    <x v="22"/>
    <n v="18000"/>
    <n v="3"/>
    <n v="0"/>
    <n v="54000"/>
    <n v="0"/>
    <n v="54000"/>
    <n v="49000"/>
    <n v="103000"/>
    <x v="3"/>
    <x v="1"/>
    <x v="4"/>
    <n v="2"/>
    <x v="0"/>
    <x v="0"/>
  </r>
  <r>
    <s v="ORD00595"/>
    <x v="1252"/>
    <x v="1"/>
    <s v="Bella Utami"/>
    <s v="Padang"/>
    <x v="0"/>
    <n v="45000"/>
    <n v="5"/>
    <n v="15"/>
    <n v="225000"/>
    <n v="33750"/>
    <n v="191250"/>
    <n v="68000"/>
    <n v="259250"/>
    <x v="1"/>
    <x v="0"/>
    <x v="0"/>
    <n v="4"/>
    <x v="0"/>
    <x v="3"/>
  </r>
  <r>
    <s v="ORD00518"/>
    <x v="1253"/>
    <x v="1"/>
    <s v="Lestari Wijaya"/>
    <s v="Bandung"/>
    <x v="18"/>
    <n v="6000"/>
    <n v="5"/>
    <n v="10"/>
    <n v="30000"/>
    <n v="3000"/>
    <n v="27000"/>
    <n v="0"/>
    <n v="27000"/>
    <x v="0"/>
    <x v="0"/>
    <x v="0"/>
    <n v="3"/>
    <x v="0"/>
    <x v="0"/>
  </r>
  <r>
    <s v="ORD00752"/>
    <x v="1254"/>
    <x v="1"/>
    <s v="Lestari Utami"/>
    <s v="Manado"/>
    <x v="23"/>
    <n v="10000"/>
    <n v="1"/>
    <n v="10"/>
    <n v="10000"/>
    <n v="1000"/>
    <n v="9000"/>
    <n v="93000"/>
    <n v="102000"/>
    <x v="2"/>
    <x v="1"/>
    <x v="3"/>
    <n v="5"/>
    <x v="0"/>
    <x v="0"/>
  </r>
  <r>
    <s v="ORD01532"/>
    <x v="1255"/>
    <x v="1"/>
    <s v="Kartika Ananda"/>
    <s v="Pekanbaru"/>
    <x v="9"/>
    <n v="50000"/>
    <n v="1"/>
    <n v="20"/>
    <n v="50000"/>
    <n v="10000"/>
    <n v="40000"/>
    <n v="49000"/>
    <n v="89000"/>
    <x v="1"/>
    <x v="1"/>
    <x v="2"/>
    <n v="4"/>
    <x v="0"/>
    <x v="1"/>
  </r>
  <r>
    <s v="ORD00343"/>
    <x v="1256"/>
    <x v="1"/>
    <s v="Aulia Budiman"/>
    <s v="Jakarta"/>
    <x v="20"/>
    <n v="12000"/>
    <n v="3"/>
    <n v="0"/>
    <n v="36000"/>
    <n v="0"/>
    <n v="36000"/>
    <n v="97000"/>
    <n v="133000"/>
    <x v="0"/>
    <x v="0"/>
    <x v="3"/>
    <n v="1"/>
    <x v="0"/>
    <x v="0"/>
  </r>
  <r>
    <s v="ORD00682"/>
    <x v="1257"/>
    <x v="1"/>
    <s v="Eka Saputra"/>
    <s v="Tanjungpinang"/>
    <x v="20"/>
    <n v="12000"/>
    <n v="1"/>
    <n v="10"/>
    <n v="12000"/>
    <n v="1200"/>
    <n v="10800"/>
    <n v="48000"/>
    <n v="58800"/>
    <x v="3"/>
    <x v="0"/>
    <x v="4"/>
    <n v="2"/>
    <x v="0"/>
    <x v="0"/>
  </r>
  <r>
    <s v="ORD01064"/>
    <x v="1258"/>
    <x v="1"/>
    <s v="Bella Fauziah"/>
    <s v="Manado"/>
    <x v="8"/>
    <n v="16000"/>
    <n v="2"/>
    <n v="5"/>
    <n v="32000"/>
    <n v="1600"/>
    <n v="30400"/>
    <n v="93000"/>
    <n v="123400"/>
    <x v="3"/>
    <x v="0"/>
    <x v="4"/>
    <n v="1"/>
    <x v="0"/>
    <x v="0"/>
  </r>
  <r>
    <s v="ORD00057"/>
    <x v="1259"/>
    <x v="1"/>
    <s v="Rizky Budiman"/>
    <s v="Gorontalo"/>
    <x v="18"/>
    <n v="6000"/>
    <n v="4"/>
    <n v="0"/>
    <n v="24000"/>
    <n v="0"/>
    <n v="24000"/>
    <n v="80000"/>
    <n v="104000"/>
    <x v="0"/>
    <x v="2"/>
    <x v="2"/>
    <n v="1"/>
    <x v="1"/>
    <x v="0"/>
  </r>
  <r>
    <s v="ORD00057"/>
    <x v="1259"/>
    <x v="1"/>
    <s v="Rizky Budiman"/>
    <s v="Gorontalo"/>
    <x v="9"/>
    <n v="50000"/>
    <n v="3"/>
    <n v="10"/>
    <n v="150000"/>
    <n v="15000"/>
    <n v="135000"/>
    <n v="0"/>
    <n v="135000"/>
    <x v="0"/>
    <x v="2"/>
    <x v="2"/>
    <n v="1"/>
    <x v="1"/>
    <x v="1"/>
  </r>
  <r>
    <s v="ORD00135"/>
    <x v="1260"/>
    <x v="1"/>
    <s v="Gita Utami"/>
    <s v="Pangkalpinang"/>
    <x v="8"/>
    <n v="16000"/>
    <n v="5"/>
    <n v="15"/>
    <n v="80000"/>
    <n v="12000"/>
    <n v="68000"/>
    <n v="18000"/>
    <n v="86000"/>
    <x v="3"/>
    <x v="0"/>
    <x v="1"/>
    <n v="5"/>
    <x v="0"/>
    <x v="1"/>
  </r>
  <r>
    <s v="ORD01267"/>
    <x v="1261"/>
    <x v="1"/>
    <s v="Dimas Utami"/>
    <s v="Bandung"/>
    <x v="6"/>
    <n v="14000"/>
    <n v="1"/>
    <n v="10"/>
    <n v="14000"/>
    <n v="1400"/>
    <n v="12600"/>
    <n v="0"/>
    <n v="12600"/>
    <x v="1"/>
    <x v="0"/>
    <x v="3"/>
    <n v="4"/>
    <x v="1"/>
    <x v="0"/>
  </r>
  <r>
    <s v="ORD00247"/>
    <x v="1262"/>
    <x v="1"/>
    <s v="Qori Utami"/>
    <s v="Serang"/>
    <x v="13"/>
    <n v="17000"/>
    <n v="2"/>
    <n v="10"/>
    <n v="34000"/>
    <n v="3400"/>
    <n v="30600"/>
    <n v="57000"/>
    <n v="87600"/>
    <x v="1"/>
    <x v="0"/>
    <x v="0"/>
    <n v="3"/>
    <x v="0"/>
    <x v="0"/>
  </r>
  <r>
    <s v="ORD01086"/>
    <x v="1263"/>
    <x v="1"/>
    <s v="Sari Ramadhani"/>
    <s v="Mamuju"/>
    <x v="5"/>
    <n v="40000"/>
    <n v="4"/>
    <n v="20"/>
    <n v="160000"/>
    <n v="32000"/>
    <n v="128000"/>
    <n v="46000"/>
    <n v="174000"/>
    <x v="0"/>
    <x v="1"/>
    <x v="3"/>
    <n v="2"/>
    <x v="0"/>
    <x v="3"/>
  </r>
  <r>
    <s v="ORD01155"/>
    <x v="1264"/>
    <x v="1"/>
    <s v="Lestari Budiman"/>
    <s v="Pontianak"/>
    <x v="2"/>
    <n v="16000"/>
    <n v="4"/>
    <n v="5"/>
    <n v="64000"/>
    <n v="3200"/>
    <n v="60800"/>
    <n v="85000"/>
    <n v="145800"/>
    <x v="1"/>
    <x v="0"/>
    <x v="2"/>
    <n v="4"/>
    <x v="0"/>
    <x v="0"/>
  </r>
  <r>
    <s v="ORD01595"/>
    <x v="1265"/>
    <x v="1"/>
    <s v="Bella Halim"/>
    <s v="Semarang"/>
    <x v="2"/>
    <n v="16000"/>
    <n v="3"/>
    <n v="15"/>
    <n v="48000"/>
    <n v="7200"/>
    <n v="40800"/>
    <n v="76000"/>
    <n v="116800"/>
    <x v="2"/>
    <x v="0"/>
    <x v="2"/>
    <n v="2"/>
    <x v="0"/>
    <x v="1"/>
  </r>
  <r>
    <s v="ORD00267"/>
    <x v="1266"/>
    <x v="1"/>
    <s v="Clara Setiawan"/>
    <s v="Manokwari"/>
    <x v="5"/>
    <n v="40000"/>
    <n v="1"/>
    <n v="5"/>
    <n v="40000"/>
    <n v="2000"/>
    <n v="38000"/>
    <n v="18000"/>
    <n v="56000"/>
    <x v="0"/>
    <x v="0"/>
    <x v="1"/>
    <n v="1"/>
    <x v="0"/>
    <x v="0"/>
  </r>
  <r>
    <s v="ORD00570"/>
    <x v="1267"/>
    <x v="1"/>
    <s v="Dina Syahputra"/>
    <s v="Mataram"/>
    <x v="20"/>
    <n v="12000"/>
    <n v="3"/>
    <n v="0"/>
    <n v="36000"/>
    <n v="0"/>
    <n v="36000"/>
    <n v="56000"/>
    <n v="92000"/>
    <x v="2"/>
    <x v="0"/>
    <x v="4"/>
    <n v="5"/>
    <x v="0"/>
    <x v="0"/>
  </r>
  <r>
    <s v="ORD01682"/>
    <x v="1268"/>
    <x v="1"/>
    <s v="Bella Halim"/>
    <s v="Semarang"/>
    <x v="13"/>
    <n v="17000"/>
    <n v="5"/>
    <n v="0"/>
    <n v="85000"/>
    <n v="0"/>
    <n v="85000"/>
    <n v="76000"/>
    <n v="161000"/>
    <x v="2"/>
    <x v="0"/>
    <x v="0"/>
    <n v="4"/>
    <x v="0"/>
    <x v="0"/>
  </r>
  <r>
    <s v="ORD01419"/>
    <x v="1269"/>
    <x v="1"/>
    <s v="Eka Budiman"/>
    <s v="Manado"/>
    <x v="25"/>
    <n v="35000"/>
    <n v="2"/>
    <n v="0"/>
    <n v="70000"/>
    <n v="0"/>
    <n v="70000"/>
    <n v="93000"/>
    <n v="163000"/>
    <x v="3"/>
    <x v="1"/>
    <x v="2"/>
    <n v="5"/>
    <x v="0"/>
    <x v="0"/>
  </r>
  <r>
    <s v="ORD00864"/>
    <x v="1270"/>
    <x v="1"/>
    <s v="Citra Halim"/>
    <s v="Merauke"/>
    <x v="12"/>
    <n v="55000"/>
    <n v="1"/>
    <n v="10"/>
    <n v="55000"/>
    <n v="5500"/>
    <n v="49500"/>
    <n v="59000"/>
    <n v="108500"/>
    <x v="0"/>
    <x v="1"/>
    <x v="1"/>
    <n v="2"/>
    <x v="0"/>
    <x v="1"/>
  </r>
  <r>
    <s v="ORD01426"/>
    <x v="1271"/>
    <x v="1"/>
    <s v="Gita Kurniawan"/>
    <s v="Yogyakarta"/>
    <x v="4"/>
    <n v="4000"/>
    <n v="5"/>
    <n v="0"/>
    <n v="20000"/>
    <n v="0"/>
    <n v="20000"/>
    <n v="78000"/>
    <n v="98000"/>
    <x v="1"/>
    <x v="1"/>
    <x v="0"/>
    <n v="4"/>
    <x v="0"/>
    <x v="0"/>
  </r>
  <r>
    <s v="ORD01604"/>
    <x v="1272"/>
    <x v="1"/>
    <s v="Qori Fauziah"/>
    <s v="Surabaya"/>
    <x v="23"/>
    <n v="10000"/>
    <n v="3"/>
    <n v="10"/>
    <n v="30000"/>
    <n v="3000"/>
    <n v="27000"/>
    <n v="74000"/>
    <n v="101000"/>
    <x v="2"/>
    <x v="0"/>
    <x v="3"/>
    <n v="1"/>
    <x v="0"/>
    <x v="0"/>
  </r>
  <r>
    <s v="ORD01152"/>
    <x v="1273"/>
    <x v="1"/>
    <s v="Fitri Maulana"/>
    <s v="Palangka Raya"/>
    <x v="3"/>
    <n v="28000"/>
    <n v="4"/>
    <n v="15"/>
    <n v="112000"/>
    <n v="16800"/>
    <n v="95200"/>
    <n v="50000"/>
    <n v="145200"/>
    <x v="3"/>
    <x v="0"/>
    <x v="0"/>
    <n v="4"/>
    <x v="0"/>
    <x v="2"/>
  </r>
  <r>
    <s v="ORD00092"/>
    <x v="1274"/>
    <x v="1"/>
    <s v="Tono Saputra"/>
    <s v="Serang"/>
    <x v="15"/>
    <n v="14000"/>
    <n v="5"/>
    <n v="5"/>
    <n v="70000"/>
    <n v="3500"/>
    <n v="66500"/>
    <n v="57000"/>
    <n v="123500"/>
    <x v="1"/>
    <x v="0"/>
    <x v="3"/>
    <n v="1"/>
    <x v="1"/>
    <x v="0"/>
  </r>
  <r>
    <s v="ORD01750"/>
    <x v="1275"/>
    <x v="1"/>
    <s v="Clara Kusuma"/>
    <s v="Jakarta"/>
    <x v="7"/>
    <n v="16000"/>
    <n v="3"/>
    <n v="0"/>
    <n v="48000"/>
    <n v="0"/>
    <n v="48000"/>
    <n v="97000"/>
    <n v="145000"/>
    <x v="3"/>
    <x v="1"/>
    <x v="1"/>
    <n v="2"/>
    <x v="0"/>
    <x v="0"/>
  </r>
  <r>
    <s v="ORD01665"/>
    <x v="1276"/>
    <x v="1"/>
    <s v="Dina Setiawan"/>
    <s v="Mamuju"/>
    <x v="8"/>
    <n v="16000"/>
    <n v="4"/>
    <n v="10"/>
    <n v="64000"/>
    <n v="6400"/>
    <n v="57600"/>
    <n v="46000"/>
    <n v="103600"/>
    <x v="2"/>
    <x v="0"/>
    <x v="3"/>
    <n v="5"/>
    <x v="0"/>
    <x v="1"/>
  </r>
  <r>
    <s v="ORD01713"/>
    <x v="1277"/>
    <x v="1"/>
    <s v="Gita Saputra"/>
    <s v="Bengkulu"/>
    <x v="22"/>
    <n v="18000"/>
    <n v="2"/>
    <n v="10"/>
    <n v="36000"/>
    <n v="3600"/>
    <n v="32400"/>
    <n v="72000"/>
    <n v="104400"/>
    <x v="1"/>
    <x v="0"/>
    <x v="2"/>
    <n v="2"/>
    <x v="0"/>
    <x v="0"/>
  </r>
  <r>
    <s v="ORD00934"/>
    <x v="1278"/>
    <x v="1"/>
    <s v="Bella Ramadhani"/>
    <s v="Pontianak"/>
    <x v="22"/>
    <n v="18000"/>
    <n v="1"/>
    <n v="10"/>
    <n v="18000"/>
    <n v="1800"/>
    <n v="16200"/>
    <n v="85000"/>
    <n v="101200"/>
    <x v="0"/>
    <x v="0"/>
    <x v="0"/>
    <n v="1"/>
    <x v="0"/>
    <x v="0"/>
  </r>
  <r>
    <s v="ORD00165"/>
    <x v="1279"/>
    <x v="1"/>
    <s v="Dewi Setiawan"/>
    <s v="Jakarta"/>
    <x v="3"/>
    <n v="28000"/>
    <n v="3"/>
    <n v="10"/>
    <n v="84000"/>
    <n v="8400"/>
    <n v="75600"/>
    <n v="97000"/>
    <n v="172600"/>
    <x v="3"/>
    <x v="0"/>
    <x v="0"/>
    <n v="5"/>
    <x v="0"/>
    <x v="1"/>
  </r>
  <r>
    <s v="ORD00165"/>
    <x v="1279"/>
    <x v="1"/>
    <s v="Dewi Setiawan"/>
    <s v="Jakarta"/>
    <x v="4"/>
    <n v="4000"/>
    <n v="5"/>
    <n v="0"/>
    <n v="20000"/>
    <n v="0"/>
    <n v="20000"/>
    <n v="0"/>
    <n v="20000"/>
    <x v="3"/>
    <x v="0"/>
    <x v="0"/>
    <n v="5"/>
    <x v="0"/>
    <x v="0"/>
  </r>
  <r>
    <s v="ORD01272"/>
    <x v="1280"/>
    <x v="1"/>
    <s v="Bella Iskandar"/>
    <s v="Kendari"/>
    <x v="7"/>
    <n v="16000"/>
    <n v="5"/>
    <n v="0"/>
    <n v="80000"/>
    <n v="0"/>
    <n v="80000"/>
    <n v="59000"/>
    <n v="139000"/>
    <x v="3"/>
    <x v="0"/>
    <x v="3"/>
    <n v="2"/>
    <x v="0"/>
    <x v="0"/>
  </r>
  <r>
    <s v="ORD01082"/>
    <x v="1281"/>
    <x v="1"/>
    <s v="Dewi Hidayat"/>
    <s v="Manokwari"/>
    <x v="12"/>
    <n v="55000"/>
    <n v="4"/>
    <n v="0"/>
    <n v="220000"/>
    <n v="0"/>
    <n v="220000"/>
    <n v="18000"/>
    <n v="238000"/>
    <x v="0"/>
    <x v="0"/>
    <x v="1"/>
    <n v="1"/>
    <x v="0"/>
    <x v="0"/>
  </r>
  <r>
    <s v="ORD01457"/>
    <x v="1282"/>
    <x v="1"/>
    <s v="Vina Halim"/>
    <s v="Jambi"/>
    <x v="25"/>
    <n v="35000"/>
    <n v="2"/>
    <n v="10"/>
    <n v="70000"/>
    <n v="7000"/>
    <n v="63000"/>
    <n v="87000"/>
    <n v="150000"/>
    <x v="1"/>
    <x v="0"/>
    <x v="4"/>
    <n v="2"/>
    <x v="0"/>
    <x v="1"/>
  </r>
  <r>
    <s v="ORD01602"/>
    <x v="1283"/>
    <x v="1"/>
    <s v="Qori Hidayat"/>
    <s v="Palembang"/>
    <x v="7"/>
    <n v="16000"/>
    <n v="1"/>
    <n v="0"/>
    <n v="16000"/>
    <n v="0"/>
    <n v="16000"/>
    <n v="17000"/>
    <n v="33000"/>
    <x v="1"/>
    <x v="0"/>
    <x v="3"/>
    <n v="3"/>
    <x v="0"/>
    <x v="0"/>
  </r>
  <r>
    <s v="ORD01474"/>
    <x v="1284"/>
    <x v="1"/>
    <s v="Rizky Ananda"/>
    <s v="Jambi"/>
    <x v="0"/>
    <n v="45000"/>
    <n v="3"/>
    <n v="15"/>
    <n v="135000"/>
    <n v="20250"/>
    <n v="114750"/>
    <n v="87000"/>
    <n v="201750"/>
    <x v="0"/>
    <x v="0"/>
    <x v="1"/>
    <n v="3"/>
    <x v="1"/>
    <x v="2"/>
  </r>
  <r>
    <s v="ORD01807"/>
    <x v="1285"/>
    <x v="1"/>
    <s v="Bella Santoso"/>
    <s v="Tanjung Selor"/>
    <x v="18"/>
    <n v="6000"/>
    <n v="1"/>
    <n v="0"/>
    <n v="6000"/>
    <n v="0"/>
    <n v="6000"/>
    <n v="26000"/>
    <n v="32000"/>
    <x v="3"/>
    <x v="1"/>
    <x v="4"/>
    <n v="3"/>
    <x v="0"/>
    <x v="0"/>
  </r>
  <r>
    <s v="ORD00065"/>
    <x v="1286"/>
    <x v="1"/>
    <s v="Umar Setiawan"/>
    <s v="Bengkulu"/>
    <x v="10"/>
    <n v="15000"/>
    <n v="5"/>
    <n v="0"/>
    <n v="75000"/>
    <n v="0"/>
    <n v="75000"/>
    <n v="72000"/>
    <n v="147000"/>
    <x v="2"/>
    <x v="0"/>
    <x v="1"/>
    <n v="4"/>
    <x v="1"/>
    <x v="0"/>
  </r>
  <r>
    <s v="ORD00065"/>
    <x v="1286"/>
    <x v="1"/>
    <s v="Umar Setiawan"/>
    <s v="Bengkulu"/>
    <x v="17"/>
    <n v="30000"/>
    <n v="1"/>
    <n v="10"/>
    <n v="30000"/>
    <n v="3000"/>
    <n v="27000"/>
    <n v="0"/>
    <n v="27000"/>
    <x v="2"/>
    <x v="0"/>
    <x v="1"/>
    <n v="4"/>
    <x v="1"/>
    <x v="0"/>
  </r>
  <r>
    <s v="ORD01179"/>
    <x v="1287"/>
    <x v="1"/>
    <s v="Gita Nugroho"/>
    <s v="Semarang"/>
    <x v="21"/>
    <n v="17000"/>
    <n v="4"/>
    <n v="10"/>
    <n v="68000"/>
    <n v="6800"/>
    <n v="61200"/>
    <n v="76000"/>
    <n v="137200"/>
    <x v="1"/>
    <x v="0"/>
    <x v="1"/>
    <n v="3"/>
    <x v="0"/>
    <x v="1"/>
  </r>
  <r>
    <s v="ORD00715"/>
    <x v="1288"/>
    <x v="1"/>
    <s v="Dewi Kurniawan"/>
    <s v="Semarang"/>
    <x v="6"/>
    <n v="14000"/>
    <n v="4"/>
    <n v="15"/>
    <n v="56000"/>
    <n v="8400"/>
    <n v="47600"/>
    <n v="76000"/>
    <n v="123600"/>
    <x v="2"/>
    <x v="0"/>
    <x v="0"/>
    <n v="5"/>
    <x v="0"/>
    <x v="1"/>
  </r>
  <r>
    <s v="ORD00188"/>
    <x v="1289"/>
    <x v="1"/>
    <s v="Yani Saputra"/>
    <s v="Jayapura"/>
    <x v="18"/>
    <n v="6000"/>
    <n v="5"/>
    <n v="10"/>
    <n v="30000"/>
    <n v="3000"/>
    <n v="27000"/>
    <n v="30000"/>
    <n v="57000"/>
    <x v="0"/>
    <x v="2"/>
    <x v="2"/>
    <n v="3"/>
    <x v="0"/>
    <x v="0"/>
  </r>
  <r>
    <s v="ORD00188"/>
    <x v="1289"/>
    <x v="1"/>
    <s v="Yani Saputra"/>
    <s v="Jayapura"/>
    <x v="1"/>
    <n v="5000"/>
    <n v="5"/>
    <n v="10"/>
    <n v="25000"/>
    <n v="2500"/>
    <n v="22500"/>
    <n v="0"/>
    <n v="22500"/>
    <x v="0"/>
    <x v="2"/>
    <x v="2"/>
    <n v="3"/>
    <x v="0"/>
    <x v="0"/>
  </r>
  <r>
    <s v="ORD00766"/>
    <x v="1290"/>
    <x v="1"/>
    <s v="Clara Hidayat"/>
    <s v="Mamuju"/>
    <x v="24"/>
    <n v="45000"/>
    <n v="3"/>
    <n v="5"/>
    <n v="135000"/>
    <n v="6750"/>
    <n v="128250"/>
    <n v="46000"/>
    <n v="174250"/>
    <x v="3"/>
    <x v="1"/>
    <x v="3"/>
    <n v="5"/>
    <x v="0"/>
    <x v="1"/>
  </r>
  <r>
    <s v="ORD01264"/>
    <x v="1291"/>
    <x v="1"/>
    <s v="Vina Hidayat"/>
    <s v="Nabire"/>
    <x v="16"/>
    <n v="25000"/>
    <n v="2"/>
    <n v="10"/>
    <n v="50000"/>
    <n v="5000"/>
    <n v="45000"/>
    <n v="89000"/>
    <n v="134000"/>
    <x v="3"/>
    <x v="1"/>
    <x v="0"/>
    <n v="2"/>
    <x v="0"/>
    <x v="0"/>
  </r>
  <r>
    <s v="ORD01027"/>
    <x v="1292"/>
    <x v="1"/>
    <s v="Joko Ananda"/>
    <s v="Makassar"/>
    <x v="5"/>
    <n v="40000"/>
    <n v="2"/>
    <n v="0"/>
    <n v="80000"/>
    <n v="0"/>
    <n v="80000"/>
    <n v="84000"/>
    <n v="164000"/>
    <x v="1"/>
    <x v="0"/>
    <x v="4"/>
    <n v="1"/>
    <x v="1"/>
    <x v="0"/>
  </r>
  <r>
    <s v="ORD01252"/>
    <x v="1293"/>
    <x v="1"/>
    <s v="Erna Maulana"/>
    <s v="Sorong"/>
    <x v="23"/>
    <n v="10000"/>
    <n v="1"/>
    <n v="0"/>
    <n v="10000"/>
    <n v="0"/>
    <n v="10000"/>
    <n v="87000"/>
    <n v="97000"/>
    <x v="1"/>
    <x v="0"/>
    <x v="0"/>
    <n v="5"/>
    <x v="0"/>
    <x v="0"/>
  </r>
  <r>
    <s v="ORD01865"/>
    <x v="1294"/>
    <x v="1"/>
    <s v="Hana Saputra"/>
    <s v="Bengkulu"/>
    <x v="13"/>
    <n v="17000"/>
    <n v="5"/>
    <n v="0"/>
    <n v="85000"/>
    <n v="0"/>
    <n v="85000"/>
    <n v="72000"/>
    <n v="157000"/>
    <x v="0"/>
    <x v="0"/>
    <x v="1"/>
    <n v="1"/>
    <x v="0"/>
    <x v="0"/>
  </r>
  <r>
    <s v="ORD00161"/>
    <x v="1295"/>
    <x v="1"/>
    <s v="Eka Maulana"/>
    <s v="Semarang"/>
    <x v="18"/>
    <n v="6000"/>
    <n v="5"/>
    <n v="5"/>
    <n v="30000"/>
    <n v="1500"/>
    <n v="28500"/>
    <n v="76000"/>
    <n v="104500"/>
    <x v="3"/>
    <x v="0"/>
    <x v="2"/>
    <n v="1"/>
    <x v="0"/>
    <x v="0"/>
  </r>
  <r>
    <s v="ORD00161"/>
    <x v="1295"/>
    <x v="1"/>
    <s v="Eka Maulana"/>
    <s v="Semarang"/>
    <x v="2"/>
    <n v="16000"/>
    <n v="3"/>
    <n v="15"/>
    <n v="48000"/>
    <n v="7200"/>
    <n v="40800"/>
    <n v="0"/>
    <n v="40800"/>
    <x v="3"/>
    <x v="0"/>
    <x v="2"/>
    <n v="1"/>
    <x v="0"/>
    <x v="1"/>
  </r>
  <r>
    <s v="ORD00571"/>
    <x v="1296"/>
    <x v="1"/>
    <s v="Yani Setiawan"/>
    <s v="Semarang"/>
    <x v="17"/>
    <n v="30000"/>
    <n v="4"/>
    <n v="10"/>
    <n v="120000"/>
    <n v="12000"/>
    <n v="108000"/>
    <n v="76000"/>
    <n v="184000"/>
    <x v="3"/>
    <x v="0"/>
    <x v="3"/>
    <n v="5"/>
    <x v="0"/>
    <x v="1"/>
  </r>
  <r>
    <s v="ORD01225"/>
    <x v="1297"/>
    <x v="1"/>
    <s v="Zahra Santoso"/>
    <s v="Nabire"/>
    <x v="7"/>
    <n v="16000"/>
    <n v="3"/>
    <n v="10"/>
    <n v="48000"/>
    <n v="4800"/>
    <n v="43200"/>
    <n v="89000"/>
    <n v="132200"/>
    <x v="3"/>
    <x v="0"/>
    <x v="2"/>
    <n v="1"/>
    <x v="0"/>
    <x v="0"/>
  </r>
  <r>
    <s v="ORD01134"/>
    <x v="1298"/>
    <x v="1"/>
    <s v="Wahyu Pradipta"/>
    <s v="Jakarta"/>
    <x v="12"/>
    <n v="55000"/>
    <n v="1"/>
    <n v="20"/>
    <n v="55000"/>
    <n v="11000"/>
    <n v="44000"/>
    <n v="97000"/>
    <n v="141000"/>
    <x v="2"/>
    <x v="0"/>
    <x v="1"/>
    <n v="1"/>
    <x v="1"/>
    <x v="1"/>
  </r>
  <r>
    <s v="ORD00019"/>
    <x v="1299"/>
    <x v="1"/>
    <s v="Joko Nugroho"/>
    <s v="Bandar Lampung"/>
    <x v="8"/>
    <n v="16000"/>
    <n v="1"/>
    <n v="10"/>
    <n v="16000"/>
    <n v="1600"/>
    <n v="14400"/>
    <n v="28000"/>
    <n v="42400"/>
    <x v="2"/>
    <x v="0"/>
    <x v="1"/>
    <n v="3"/>
    <x v="1"/>
    <x v="0"/>
  </r>
  <r>
    <s v="ORD01777"/>
    <x v="1300"/>
    <x v="1"/>
    <s v="Made Setiawan"/>
    <s v="Denpasar"/>
    <x v="7"/>
    <n v="16000"/>
    <n v="2"/>
    <n v="0"/>
    <n v="32000"/>
    <n v="0"/>
    <n v="32000"/>
    <n v="80000"/>
    <n v="112000"/>
    <x v="0"/>
    <x v="0"/>
    <x v="3"/>
    <n v="4"/>
    <x v="1"/>
    <x v="0"/>
  </r>
  <r>
    <s v="ORD00348"/>
    <x v="1301"/>
    <x v="1"/>
    <s v="Clara Budiman"/>
    <s v="Manado"/>
    <x v="2"/>
    <n v="16000"/>
    <n v="1"/>
    <n v="0"/>
    <n v="16000"/>
    <n v="0"/>
    <n v="16000"/>
    <n v="93000"/>
    <n v="109000"/>
    <x v="0"/>
    <x v="2"/>
    <x v="4"/>
    <n v="4"/>
    <x v="0"/>
    <x v="0"/>
  </r>
  <r>
    <s v="ORD00348"/>
    <x v="1301"/>
    <x v="1"/>
    <s v="Clara Budiman"/>
    <s v="Manado"/>
    <x v="24"/>
    <n v="45000"/>
    <n v="4"/>
    <n v="20"/>
    <n v="180000"/>
    <n v="36000"/>
    <n v="144000"/>
    <n v="0"/>
    <n v="144000"/>
    <x v="0"/>
    <x v="2"/>
    <x v="4"/>
    <n v="4"/>
    <x v="0"/>
    <x v="3"/>
  </r>
  <r>
    <s v="ORD01722"/>
    <x v="1302"/>
    <x v="1"/>
    <s v="Bella Pradipta"/>
    <s v="Banjarbaru"/>
    <x v="8"/>
    <n v="16000"/>
    <n v="4"/>
    <n v="5"/>
    <n v="64000"/>
    <n v="3200"/>
    <n v="60800"/>
    <n v="55000"/>
    <n v="115800"/>
    <x v="3"/>
    <x v="0"/>
    <x v="4"/>
    <n v="1"/>
    <x v="0"/>
    <x v="0"/>
  </r>
  <r>
    <s v="ORD01780"/>
    <x v="1303"/>
    <x v="1"/>
    <s v="Dimas Halim"/>
    <s v="Palangka Raya"/>
    <x v="25"/>
    <n v="35000"/>
    <n v="4"/>
    <n v="10"/>
    <n v="140000"/>
    <n v="14000"/>
    <n v="126000"/>
    <n v="50000"/>
    <n v="176000"/>
    <x v="1"/>
    <x v="0"/>
    <x v="1"/>
    <n v="5"/>
    <x v="1"/>
    <x v="1"/>
  </r>
  <r>
    <s v="ORD00819"/>
    <x v="1304"/>
    <x v="1"/>
    <s v="Putri Iskandar"/>
    <s v="Tanjungpinang"/>
    <x v="22"/>
    <n v="18000"/>
    <n v="5"/>
    <n v="0"/>
    <n v="90000"/>
    <n v="0"/>
    <n v="90000"/>
    <n v="48000"/>
    <n v="138000"/>
    <x v="0"/>
    <x v="1"/>
    <x v="1"/>
    <n v="4"/>
    <x v="0"/>
    <x v="0"/>
  </r>
  <r>
    <s v="ORD01418"/>
    <x v="1305"/>
    <x v="1"/>
    <s v="Fitri Setiawan"/>
    <s v="Pekanbaru"/>
    <x v="3"/>
    <n v="28000"/>
    <n v="1"/>
    <n v="5"/>
    <n v="28000"/>
    <n v="1400"/>
    <n v="26600"/>
    <n v="49000"/>
    <n v="75600"/>
    <x v="1"/>
    <x v="0"/>
    <x v="3"/>
    <n v="1"/>
    <x v="0"/>
    <x v="0"/>
  </r>
  <r>
    <s v="ORD01866"/>
    <x v="1306"/>
    <x v="1"/>
    <s v="Bella Ananda"/>
    <s v="Samarinda"/>
    <x v="13"/>
    <n v="17000"/>
    <n v="4"/>
    <n v="5"/>
    <n v="68000"/>
    <n v="3400"/>
    <n v="64600"/>
    <n v="43000"/>
    <n v="107600"/>
    <x v="1"/>
    <x v="0"/>
    <x v="0"/>
    <n v="3"/>
    <x v="0"/>
    <x v="0"/>
  </r>
  <r>
    <s v="ORD00758"/>
    <x v="1307"/>
    <x v="1"/>
    <s v="Dewi Setiawan"/>
    <s v="Jakarta"/>
    <x v="7"/>
    <n v="16000"/>
    <n v="4"/>
    <n v="20"/>
    <n v="64000"/>
    <n v="12800"/>
    <n v="51200"/>
    <n v="97000"/>
    <n v="148200"/>
    <x v="1"/>
    <x v="0"/>
    <x v="3"/>
    <n v="4"/>
    <x v="0"/>
    <x v="1"/>
  </r>
  <r>
    <s v="ORD01224"/>
    <x v="1308"/>
    <x v="1"/>
    <s v="Erna Santoso"/>
    <s v="Samarinda"/>
    <x v="22"/>
    <n v="18000"/>
    <n v="4"/>
    <n v="5"/>
    <n v="72000"/>
    <n v="3600"/>
    <n v="68400"/>
    <n v="43000"/>
    <n v="111400"/>
    <x v="0"/>
    <x v="0"/>
    <x v="0"/>
    <n v="2"/>
    <x v="0"/>
    <x v="0"/>
  </r>
  <r>
    <s v="ORD01387"/>
    <x v="1309"/>
    <x v="1"/>
    <s v="Yani Santoso"/>
    <s v="Pontianak"/>
    <x v="2"/>
    <n v="16000"/>
    <n v="5"/>
    <n v="20"/>
    <n v="80000"/>
    <n v="16000"/>
    <n v="64000"/>
    <n v="85000"/>
    <n v="149000"/>
    <x v="3"/>
    <x v="0"/>
    <x v="0"/>
    <n v="2"/>
    <x v="0"/>
    <x v="2"/>
  </r>
  <r>
    <s v="ORD01531"/>
    <x v="1310"/>
    <x v="1"/>
    <s v="Kartika Hidayat"/>
    <s v="Makassar"/>
    <x v="2"/>
    <n v="16000"/>
    <n v="1"/>
    <n v="20"/>
    <n v="16000"/>
    <n v="3200"/>
    <n v="12800"/>
    <n v="84000"/>
    <n v="96800"/>
    <x v="1"/>
    <x v="0"/>
    <x v="3"/>
    <n v="1"/>
    <x v="0"/>
    <x v="0"/>
  </r>
  <r>
    <s v="ORD01654"/>
    <x v="1311"/>
    <x v="1"/>
    <s v="Dewi Puspita"/>
    <s v="Jayapura"/>
    <x v="22"/>
    <n v="18000"/>
    <n v="3"/>
    <n v="10"/>
    <n v="54000"/>
    <n v="5400"/>
    <n v="48600"/>
    <n v="30000"/>
    <n v="78600"/>
    <x v="1"/>
    <x v="0"/>
    <x v="0"/>
    <n v="1"/>
    <x v="0"/>
    <x v="1"/>
  </r>
  <r>
    <s v="ORD01026"/>
    <x v="1312"/>
    <x v="1"/>
    <s v="Erna Fauziah"/>
    <s v="Mataram"/>
    <x v="21"/>
    <n v="17000"/>
    <n v="4"/>
    <n v="20"/>
    <n v="68000"/>
    <n v="13600"/>
    <n v="54400"/>
    <n v="56000"/>
    <n v="110400"/>
    <x v="3"/>
    <x v="0"/>
    <x v="1"/>
    <n v="3"/>
    <x v="0"/>
    <x v="1"/>
  </r>
  <r>
    <s v="ORD00488"/>
    <x v="1313"/>
    <x v="1"/>
    <s v="Dewi Wijaya"/>
    <s v="Jayapura"/>
    <x v="6"/>
    <n v="14000"/>
    <n v="3"/>
    <n v="5"/>
    <n v="42000"/>
    <n v="2100"/>
    <n v="39900"/>
    <n v="30000"/>
    <n v="69900"/>
    <x v="0"/>
    <x v="0"/>
    <x v="1"/>
    <n v="5"/>
    <x v="0"/>
    <x v="0"/>
  </r>
  <r>
    <s v="ORD01698"/>
    <x v="1314"/>
    <x v="1"/>
    <s v="Putri Ananda"/>
    <s v="Tanjung Selor"/>
    <x v="3"/>
    <n v="28000"/>
    <n v="1"/>
    <n v="20"/>
    <n v="28000"/>
    <n v="5600"/>
    <n v="22400"/>
    <n v="26000"/>
    <n v="48400"/>
    <x v="1"/>
    <x v="0"/>
    <x v="4"/>
    <n v="4"/>
    <x v="0"/>
    <x v="1"/>
  </r>
  <r>
    <s v="ORD01620"/>
    <x v="1315"/>
    <x v="1"/>
    <s v="Fitri Nugroho"/>
    <s v="Ambon"/>
    <x v="5"/>
    <n v="40000"/>
    <n v="1"/>
    <n v="15"/>
    <n v="40000"/>
    <n v="6000"/>
    <n v="34000"/>
    <n v="49000"/>
    <n v="83000"/>
    <x v="3"/>
    <x v="0"/>
    <x v="1"/>
    <n v="4"/>
    <x v="0"/>
    <x v="1"/>
  </r>
  <r>
    <s v="ORD01635"/>
    <x v="1316"/>
    <x v="1"/>
    <s v="Aulia Puspita"/>
    <s v="Tanjungpinang"/>
    <x v="9"/>
    <n v="50000"/>
    <n v="3"/>
    <n v="0"/>
    <n v="150000"/>
    <n v="0"/>
    <n v="150000"/>
    <n v="48000"/>
    <n v="198000"/>
    <x v="2"/>
    <x v="0"/>
    <x v="2"/>
    <n v="1"/>
    <x v="0"/>
    <x v="0"/>
  </r>
  <r>
    <s v="ORD01861"/>
    <x v="1317"/>
    <x v="1"/>
    <s v="Qori Syahputra"/>
    <s v="Jayapura"/>
    <x v="6"/>
    <n v="14000"/>
    <n v="1"/>
    <n v="10"/>
    <n v="14000"/>
    <n v="1400"/>
    <n v="12600"/>
    <n v="30000"/>
    <n v="42600"/>
    <x v="3"/>
    <x v="0"/>
    <x v="1"/>
    <n v="3"/>
    <x v="0"/>
    <x v="0"/>
  </r>
  <r>
    <s v="ORD00607"/>
    <x v="1318"/>
    <x v="1"/>
    <s v="Andi Budiman"/>
    <s v="Samarinda"/>
    <x v="12"/>
    <n v="55000"/>
    <n v="5"/>
    <n v="5"/>
    <n v="275000"/>
    <n v="13750"/>
    <n v="261250"/>
    <n v="43000"/>
    <n v="304250"/>
    <x v="0"/>
    <x v="0"/>
    <x v="2"/>
    <n v="2"/>
    <x v="1"/>
    <x v="1"/>
  </r>
  <r>
    <s v="ORD00055"/>
    <x v="1319"/>
    <x v="1"/>
    <s v="Bayu Ramadhani"/>
    <s v="Sorong"/>
    <x v="3"/>
    <n v="28000"/>
    <n v="4"/>
    <n v="5"/>
    <n v="112000"/>
    <n v="5600"/>
    <n v="106400"/>
    <n v="87000"/>
    <n v="193400"/>
    <x v="2"/>
    <x v="0"/>
    <x v="0"/>
    <n v="5"/>
    <x v="1"/>
    <x v="1"/>
  </r>
  <r>
    <s v="ORD00055"/>
    <x v="1319"/>
    <x v="1"/>
    <s v="Bayu Ramadhani"/>
    <s v="Sorong"/>
    <x v="18"/>
    <n v="6000"/>
    <n v="5"/>
    <n v="5"/>
    <n v="30000"/>
    <n v="1500"/>
    <n v="28500"/>
    <n v="0"/>
    <n v="28500"/>
    <x v="2"/>
    <x v="0"/>
    <x v="0"/>
    <n v="5"/>
    <x v="1"/>
    <x v="0"/>
  </r>
  <r>
    <s v="ORD00635"/>
    <x v="1320"/>
    <x v="1"/>
    <s v="Galih Saputra"/>
    <s v="Jakarta"/>
    <x v="22"/>
    <n v="18000"/>
    <n v="3"/>
    <n v="20"/>
    <n v="54000"/>
    <n v="10800"/>
    <n v="43200"/>
    <n v="97000"/>
    <n v="140200"/>
    <x v="0"/>
    <x v="2"/>
    <x v="0"/>
    <n v="2"/>
    <x v="1"/>
    <x v="1"/>
  </r>
  <r>
    <s v="ORD01396"/>
    <x v="1321"/>
    <x v="1"/>
    <s v="Ani Hidayat"/>
    <s v="Samarinda"/>
    <x v="14"/>
    <n v="35000"/>
    <n v="4"/>
    <n v="20"/>
    <n v="140000"/>
    <n v="28000"/>
    <n v="112000"/>
    <n v="43000"/>
    <n v="155000"/>
    <x v="2"/>
    <x v="1"/>
    <x v="1"/>
    <n v="4"/>
    <x v="0"/>
    <x v="2"/>
  </r>
  <r>
    <s v="ORD01247"/>
    <x v="1322"/>
    <x v="1"/>
    <s v="Joko Maulana"/>
    <s v="Ambon"/>
    <x v="20"/>
    <n v="12000"/>
    <n v="1"/>
    <n v="15"/>
    <n v="12000"/>
    <n v="1800"/>
    <n v="10200"/>
    <n v="49000"/>
    <n v="59200"/>
    <x v="2"/>
    <x v="1"/>
    <x v="0"/>
    <n v="1"/>
    <x v="1"/>
    <x v="0"/>
  </r>
  <r>
    <s v="ORD00253"/>
    <x v="1323"/>
    <x v="1"/>
    <s v="Kartika Fauziah"/>
    <s v="Mataram"/>
    <x v="17"/>
    <n v="30000"/>
    <n v="5"/>
    <n v="20"/>
    <n v="150000"/>
    <n v="30000"/>
    <n v="120000"/>
    <n v="56000"/>
    <n v="176000"/>
    <x v="2"/>
    <x v="0"/>
    <x v="4"/>
    <n v="2"/>
    <x v="0"/>
    <x v="2"/>
  </r>
  <r>
    <s v="ORD01623"/>
    <x v="1324"/>
    <x v="1"/>
    <s v="Ani Puspita"/>
    <s v="Palu"/>
    <x v="10"/>
    <n v="15000"/>
    <n v="2"/>
    <n v="15"/>
    <n v="30000"/>
    <n v="4500"/>
    <n v="25500"/>
    <n v="67000"/>
    <n v="92500"/>
    <x v="0"/>
    <x v="0"/>
    <x v="2"/>
    <n v="4"/>
    <x v="0"/>
    <x v="0"/>
  </r>
  <r>
    <s v="ORD00950"/>
    <x v="1325"/>
    <x v="1"/>
    <s v="Arif Fauziah"/>
    <s v="Denpasar"/>
    <x v="6"/>
    <n v="14000"/>
    <n v="1"/>
    <n v="15"/>
    <n v="14000"/>
    <n v="2100"/>
    <n v="11900"/>
    <n v="80000"/>
    <n v="91900"/>
    <x v="1"/>
    <x v="0"/>
    <x v="0"/>
    <n v="1"/>
    <x v="1"/>
    <x v="0"/>
  </r>
  <r>
    <s v="ORD00415"/>
    <x v="1326"/>
    <x v="1"/>
    <s v="Zahra Ananda"/>
    <s v="Bandung"/>
    <x v="19"/>
    <n v="22000"/>
    <n v="1"/>
    <n v="15"/>
    <n v="22000"/>
    <n v="3300"/>
    <n v="18700"/>
    <n v="0"/>
    <n v="18700"/>
    <x v="0"/>
    <x v="0"/>
    <x v="4"/>
    <n v="3"/>
    <x v="0"/>
    <x v="0"/>
  </r>
  <r>
    <s v="ORD00314"/>
    <x v="1327"/>
    <x v="1"/>
    <s v="Zahra Pradipta"/>
    <s v="Nabire"/>
    <x v="8"/>
    <n v="16000"/>
    <n v="1"/>
    <n v="20"/>
    <n v="16000"/>
    <n v="3200"/>
    <n v="12800"/>
    <n v="89000"/>
    <n v="101800"/>
    <x v="2"/>
    <x v="0"/>
    <x v="3"/>
    <n v="5"/>
    <x v="0"/>
    <x v="0"/>
  </r>
  <r>
    <s v="ORD00056"/>
    <x v="1328"/>
    <x v="1"/>
    <s v="Andi Budiman"/>
    <s v="Samarinda"/>
    <x v="9"/>
    <n v="50000"/>
    <n v="1"/>
    <n v="0"/>
    <n v="50000"/>
    <n v="0"/>
    <n v="50000"/>
    <n v="43000"/>
    <n v="93000"/>
    <x v="1"/>
    <x v="0"/>
    <x v="0"/>
    <n v="3"/>
    <x v="1"/>
    <x v="0"/>
  </r>
  <r>
    <s v="ORD01110"/>
    <x v="1329"/>
    <x v="1"/>
    <s v="Yani Ananda"/>
    <s v="Mataram"/>
    <x v="13"/>
    <n v="17000"/>
    <n v="2"/>
    <n v="0"/>
    <n v="34000"/>
    <n v="0"/>
    <n v="34000"/>
    <n v="56000"/>
    <n v="90000"/>
    <x v="1"/>
    <x v="0"/>
    <x v="2"/>
    <n v="2"/>
    <x v="0"/>
    <x v="0"/>
  </r>
  <r>
    <s v="ORD01838"/>
    <x v="1330"/>
    <x v="1"/>
    <s v="Gita Pradipta"/>
    <s v="Jambi"/>
    <x v="16"/>
    <n v="25000"/>
    <n v="4"/>
    <n v="5"/>
    <n v="100000"/>
    <n v="5000"/>
    <n v="95000"/>
    <n v="87000"/>
    <n v="182000"/>
    <x v="1"/>
    <x v="0"/>
    <x v="1"/>
    <n v="3"/>
    <x v="0"/>
    <x v="0"/>
  </r>
  <r>
    <s v="ORD00690"/>
    <x v="1331"/>
    <x v="1"/>
    <s v="Indra Rahmawati"/>
    <s v="Manokwari"/>
    <x v="14"/>
    <n v="35000"/>
    <n v="1"/>
    <n v="10"/>
    <n v="35000"/>
    <n v="3500"/>
    <n v="31500"/>
    <n v="18000"/>
    <n v="49500"/>
    <x v="1"/>
    <x v="0"/>
    <x v="2"/>
    <n v="5"/>
    <x v="1"/>
    <x v="0"/>
  </r>
  <r>
    <s v="ORD00468"/>
    <x v="1332"/>
    <x v="1"/>
    <s v="Qori Iskandar"/>
    <s v="Surabaya"/>
    <x v="10"/>
    <n v="15000"/>
    <n v="5"/>
    <n v="10"/>
    <n v="75000"/>
    <n v="7500"/>
    <n v="67500"/>
    <n v="74000"/>
    <n v="141500"/>
    <x v="0"/>
    <x v="0"/>
    <x v="0"/>
    <n v="3"/>
    <x v="0"/>
    <x v="1"/>
  </r>
  <r>
    <s v="ORD00468"/>
    <x v="1332"/>
    <x v="1"/>
    <s v="Qori Iskandar"/>
    <s v="Surabaya"/>
    <x v="16"/>
    <n v="25000"/>
    <n v="4"/>
    <n v="20"/>
    <n v="100000"/>
    <n v="20000"/>
    <n v="80000"/>
    <n v="0"/>
    <n v="80000"/>
    <x v="0"/>
    <x v="0"/>
    <x v="0"/>
    <n v="3"/>
    <x v="0"/>
    <x v="2"/>
  </r>
  <r>
    <s v="ORD00252"/>
    <x v="1333"/>
    <x v="1"/>
    <s v="Ani Kusuma"/>
    <s v="Tanjungpinang"/>
    <x v="21"/>
    <n v="17000"/>
    <n v="5"/>
    <n v="5"/>
    <n v="85000"/>
    <n v="4250"/>
    <n v="80750"/>
    <n v="48000"/>
    <n v="128750"/>
    <x v="3"/>
    <x v="1"/>
    <x v="3"/>
    <n v="2"/>
    <x v="0"/>
    <x v="0"/>
  </r>
  <r>
    <s v="ORD01744"/>
    <x v="1334"/>
    <x v="1"/>
    <s v="Vina Kurniawan"/>
    <s v="Yogyakarta"/>
    <x v="15"/>
    <n v="14000"/>
    <n v="2"/>
    <n v="10"/>
    <n v="28000"/>
    <n v="2800"/>
    <n v="25200"/>
    <n v="78000"/>
    <n v="103200"/>
    <x v="3"/>
    <x v="0"/>
    <x v="3"/>
    <n v="4"/>
    <x v="0"/>
    <x v="0"/>
  </r>
  <r>
    <s v="ORD00440"/>
    <x v="1335"/>
    <x v="1"/>
    <s v="Gita Kurniawan"/>
    <s v="Yogyakarta"/>
    <x v="9"/>
    <n v="50000"/>
    <n v="3"/>
    <n v="20"/>
    <n v="150000"/>
    <n v="30000"/>
    <n v="120000"/>
    <n v="78000"/>
    <n v="198000"/>
    <x v="0"/>
    <x v="0"/>
    <x v="3"/>
    <n v="4"/>
    <x v="0"/>
    <x v="2"/>
  </r>
  <r>
    <s v="ORD01181"/>
    <x v="1336"/>
    <x v="1"/>
    <s v="Bella Ananda"/>
    <s v="Samarinda"/>
    <x v="13"/>
    <n v="17000"/>
    <n v="1"/>
    <n v="5"/>
    <n v="17000"/>
    <n v="850"/>
    <n v="16150"/>
    <n v="43000"/>
    <n v="59150"/>
    <x v="0"/>
    <x v="0"/>
    <x v="2"/>
    <n v="5"/>
    <x v="0"/>
    <x v="0"/>
  </r>
  <r>
    <s v="ORD01115"/>
    <x v="1337"/>
    <x v="1"/>
    <s v="Yani Santoso"/>
    <s v="Pontianak"/>
    <x v="2"/>
    <n v="16000"/>
    <n v="3"/>
    <n v="5"/>
    <n v="48000"/>
    <n v="2400"/>
    <n v="45600"/>
    <n v="85000"/>
    <n v="130600"/>
    <x v="0"/>
    <x v="2"/>
    <x v="2"/>
    <n v="4"/>
    <x v="0"/>
    <x v="0"/>
  </r>
  <r>
    <s v="ORD00693"/>
    <x v="1338"/>
    <x v="1"/>
    <s v="Erna Santoso"/>
    <s v="Samarinda"/>
    <x v="2"/>
    <n v="16000"/>
    <n v="4"/>
    <n v="10"/>
    <n v="64000"/>
    <n v="6400"/>
    <n v="57600"/>
    <n v="43000"/>
    <n v="100600"/>
    <x v="2"/>
    <x v="0"/>
    <x v="2"/>
    <n v="3"/>
    <x v="0"/>
    <x v="1"/>
  </r>
  <r>
    <s v="ORD01384"/>
    <x v="1339"/>
    <x v="1"/>
    <s v="Bella Saputra"/>
    <s v="Banda Aceh"/>
    <x v="25"/>
    <n v="35000"/>
    <n v="2"/>
    <n v="20"/>
    <n v="70000"/>
    <n v="14000"/>
    <n v="56000"/>
    <n v="18000"/>
    <n v="74000"/>
    <x v="1"/>
    <x v="0"/>
    <x v="0"/>
    <n v="2"/>
    <x v="0"/>
    <x v="1"/>
  </r>
  <r>
    <s v="ORD00768"/>
    <x v="1340"/>
    <x v="1"/>
    <s v="Tono Ananda"/>
    <s v="Kendari"/>
    <x v="3"/>
    <n v="28000"/>
    <n v="5"/>
    <n v="20"/>
    <n v="140000"/>
    <n v="28000"/>
    <n v="112000"/>
    <n v="59000"/>
    <n v="171000"/>
    <x v="1"/>
    <x v="0"/>
    <x v="1"/>
    <n v="3"/>
    <x v="1"/>
    <x v="2"/>
  </r>
  <r>
    <s v="ORD00917"/>
    <x v="1341"/>
    <x v="1"/>
    <s v="Kartika Santoso"/>
    <s v="Jambi"/>
    <x v="24"/>
    <n v="45000"/>
    <n v="1"/>
    <n v="15"/>
    <n v="45000"/>
    <n v="6750"/>
    <n v="38250"/>
    <n v="87000"/>
    <n v="125250"/>
    <x v="1"/>
    <x v="0"/>
    <x v="0"/>
    <n v="5"/>
    <x v="0"/>
    <x v="1"/>
  </r>
  <r>
    <s v="ORD00683"/>
    <x v="1342"/>
    <x v="1"/>
    <s v="Dina Halim"/>
    <s v="Wamena"/>
    <x v="4"/>
    <n v="4000"/>
    <n v="1"/>
    <n v="10"/>
    <n v="4000"/>
    <n v="400"/>
    <n v="3600"/>
    <n v="15000"/>
    <n v="18600"/>
    <x v="0"/>
    <x v="0"/>
    <x v="4"/>
    <n v="1"/>
    <x v="0"/>
    <x v="0"/>
  </r>
  <r>
    <s v="ORD01651"/>
    <x v="1343"/>
    <x v="1"/>
    <s v="Zahra Halim"/>
    <s v="Jayapura"/>
    <x v="20"/>
    <n v="12000"/>
    <n v="3"/>
    <n v="20"/>
    <n v="36000"/>
    <n v="7200"/>
    <n v="28800"/>
    <n v="30000"/>
    <n v="58800"/>
    <x v="0"/>
    <x v="0"/>
    <x v="2"/>
    <n v="5"/>
    <x v="0"/>
    <x v="1"/>
  </r>
  <r>
    <s v="ORD01207"/>
    <x v="1344"/>
    <x v="1"/>
    <s v="Indra Rahmawati"/>
    <s v="Manokwari"/>
    <x v="3"/>
    <n v="28000"/>
    <n v="4"/>
    <n v="5"/>
    <n v="112000"/>
    <n v="5600"/>
    <n v="106400"/>
    <n v="18000"/>
    <n v="124400"/>
    <x v="3"/>
    <x v="0"/>
    <x v="3"/>
    <n v="2"/>
    <x v="1"/>
    <x v="1"/>
  </r>
  <r>
    <s v="ORD00101"/>
    <x v="1345"/>
    <x v="1"/>
    <s v="Yani Maulana"/>
    <s v="Yogyakarta"/>
    <x v="3"/>
    <n v="28000"/>
    <n v="5"/>
    <n v="5"/>
    <n v="140000"/>
    <n v="7000"/>
    <n v="133000"/>
    <n v="78000"/>
    <n v="211000"/>
    <x v="1"/>
    <x v="0"/>
    <x v="1"/>
    <n v="2"/>
    <x v="0"/>
    <x v="1"/>
  </r>
  <r>
    <s v="ORD00101"/>
    <x v="1345"/>
    <x v="1"/>
    <s v="Yani Maulana"/>
    <s v="Yogyakarta"/>
    <x v="3"/>
    <n v="28000"/>
    <n v="4"/>
    <n v="20"/>
    <n v="112000"/>
    <n v="22400"/>
    <n v="89600"/>
    <n v="0"/>
    <n v="89600"/>
    <x v="1"/>
    <x v="0"/>
    <x v="1"/>
    <n v="2"/>
    <x v="0"/>
    <x v="2"/>
  </r>
  <r>
    <s v="ORD00290"/>
    <x v="1346"/>
    <x v="1"/>
    <s v="Zahra Wijaya"/>
    <s v="Jayapura"/>
    <x v="25"/>
    <n v="35000"/>
    <n v="2"/>
    <n v="10"/>
    <n v="70000"/>
    <n v="7000"/>
    <n v="63000"/>
    <n v="30000"/>
    <n v="93000"/>
    <x v="0"/>
    <x v="1"/>
    <x v="4"/>
    <n v="2"/>
    <x v="0"/>
    <x v="1"/>
  </r>
  <r>
    <s v="ORD01100"/>
    <x v="1347"/>
    <x v="1"/>
    <s v="Gita Budiman"/>
    <s v="Padang"/>
    <x v="6"/>
    <n v="14000"/>
    <n v="4"/>
    <n v="0"/>
    <n v="56000"/>
    <n v="0"/>
    <n v="56000"/>
    <n v="68000"/>
    <n v="124000"/>
    <x v="2"/>
    <x v="0"/>
    <x v="4"/>
    <n v="1"/>
    <x v="0"/>
    <x v="0"/>
  </r>
  <r>
    <s v="ORD00318"/>
    <x v="1348"/>
    <x v="1"/>
    <s v="Gita Nugroho"/>
    <s v="Semarang"/>
    <x v="3"/>
    <n v="28000"/>
    <n v="2"/>
    <n v="20"/>
    <n v="56000"/>
    <n v="11200"/>
    <n v="44800"/>
    <n v="76000"/>
    <n v="120800"/>
    <x v="1"/>
    <x v="0"/>
    <x v="2"/>
    <n v="2"/>
    <x v="0"/>
    <x v="1"/>
  </r>
  <r>
    <s v="ORD00318"/>
    <x v="1348"/>
    <x v="1"/>
    <s v="Gita Nugroho"/>
    <s v="Semarang"/>
    <x v="23"/>
    <n v="10000"/>
    <n v="5"/>
    <n v="10"/>
    <n v="50000"/>
    <n v="5000"/>
    <n v="45000"/>
    <n v="0"/>
    <n v="45000"/>
    <x v="1"/>
    <x v="0"/>
    <x v="2"/>
    <n v="2"/>
    <x v="0"/>
    <x v="0"/>
  </r>
  <r>
    <s v="ORD00829"/>
    <x v="1349"/>
    <x v="1"/>
    <s v="Yoga Utami"/>
    <s v="Banjarbaru"/>
    <x v="26"/>
    <n v="18000"/>
    <n v="5"/>
    <n v="10"/>
    <n v="90000"/>
    <n v="9000"/>
    <n v="81000"/>
    <n v="55000"/>
    <n v="136000"/>
    <x v="0"/>
    <x v="1"/>
    <x v="2"/>
    <n v="5"/>
    <x v="1"/>
    <x v="1"/>
  </r>
  <r>
    <s v="ORD01523"/>
    <x v="1350"/>
    <x v="1"/>
    <s v="Gita Ramadhani"/>
    <s v="Palangka Raya"/>
    <x v="4"/>
    <n v="4000"/>
    <n v="2"/>
    <n v="15"/>
    <n v="8000"/>
    <n v="1200"/>
    <n v="6800"/>
    <n v="50000"/>
    <n v="56800"/>
    <x v="2"/>
    <x v="0"/>
    <x v="1"/>
    <n v="4"/>
    <x v="0"/>
    <x v="0"/>
  </r>
  <r>
    <s v="ORD00692"/>
    <x v="1351"/>
    <x v="1"/>
    <s v="Eko Pradipta"/>
    <s v="Samarinda"/>
    <x v="0"/>
    <n v="45000"/>
    <n v="5"/>
    <n v="10"/>
    <n v="225000"/>
    <n v="22500"/>
    <n v="202500"/>
    <n v="43000"/>
    <n v="245500"/>
    <x v="0"/>
    <x v="0"/>
    <x v="0"/>
    <n v="2"/>
    <x v="1"/>
    <x v="2"/>
  </r>
  <r>
    <s v="ORD01176"/>
    <x v="1352"/>
    <x v="1"/>
    <s v="Yani Santoso"/>
    <s v="Pontianak"/>
    <x v="16"/>
    <n v="25000"/>
    <n v="1"/>
    <n v="15"/>
    <n v="25000"/>
    <n v="3750"/>
    <n v="21250"/>
    <n v="85000"/>
    <n v="106250"/>
    <x v="2"/>
    <x v="0"/>
    <x v="3"/>
    <n v="1"/>
    <x v="0"/>
    <x v="0"/>
  </r>
  <r>
    <s v="ORD01570"/>
    <x v="1353"/>
    <x v="1"/>
    <s v="Putri Wijaya"/>
    <s v="Jayapura"/>
    <x v="22"/>
    <n v="18000"/>
    <n v="4"/>
    <n v="5"/>
    <n v="72000"/>
    <n v="3600"/>
    <n v="68400"/>
    <n v="30000"/>
    <n v="98400"/>
    <x v="3"/>
    <x v="2"/>
    <x v="2"/>
    <n v="4"/>
    <x v="0"/>
    <x v="0"/>
  </r>
  <r>
    <s v="ORD00002"/>
    <x v="1354"/>
    <x v="1"/>
    <s v="Yoga Saputra"/>
    <s v="Wamena"/>
    <x v="13"/>
    <n v="17000"/>
    <n v="2"/>
    <n v="5"/>
    <n v="34000"/>
    <n v="1700"/>
    <n v="32300"/>
    <n v="15000"/>
    <n v="47300"/>
    <x v="1"/>
    <x v="0"/>
    <x v="1"/>
    <n v="4"/>
    <x v="1"/>
    <x v="0"/>
  </r>
  <r>
    <s v="ORD00002"/>
    <x v="1354"/>
    <x v="1"/>
    <s v="Yoga Saputra"/>
    <s v="Wamena"/>
    <x v="24"/>
    <n v="45000"/>
    <n v="3"/>
    <n v="15"/>
    <n v="135000"/>
    <n v="20250"/>
    <n v="114750"/>
    <n v="0"/>
    <n v="114750"/>
    <x v="1"/>
    <x v="0"/>
    <x v="1"/>
    <n v="4"/>
    <x v="1"/>
    <x v="2"/>
  </r>
  <r>
    <s v="ORD01038"/>
    <x v="1355"/>
    <x v="1"/>
    <s v="Citra Halim"/>
    <s v="Merauke"/>
    <x v="16"/>
    <n v="25000"/>
    <n v="5"/>
    <n v="10"/>
    <n v="125000"/>
    <n v="12500"/>
    <n v="112500"/>
    <n v="59000"/>
    <n v="171500"/>
    <x v="3"/>
    <x v="1"/>
    <x v="2"/>
    <n v="5"/>
    <x v="0"/>
    <x v="1"/>
  </r>
  <r>
    <s v="ORD01517"/>
    <x v="1356"/>
    <x v="1"/>
    <s v="Hana Halim"/>
    <s v="Sorong"/>
    <x v="16"/>
    <n v="25000"/>
    <n v="1"/>
    <n v="0"/>
    <n v="25000"/>
    <n v="0"/>
    <n v="25000"/>
    <n v="87000"/>
    <n v="112000"/>
    <x v="0"/>
    <x v="0"/>
    <x v="3"/>
    <n v="1"/>
    <x v="0"/>
    <x v="0"/>
  </r>
  <r>
    <s v="ORD00947"/>
    <x v="1357"/>
    <x v="1"/>
    <s v="Eka Saputra"/>
    <s v="Tanjungpinang"/>
    <x v="25"/>
    <n v="35000"/>
    <n v="3"/>
    <n v="10"/>
    <n v="105000"/>
    <n v="10500"/>
    <n v="94500"/>
    <n v="48000"/>
    <n v="142500"/>
    <x v="0"/>
    <x v="0"/>
    <x v="1"/>
    <n v="4"/>
    <x v="0"/>
    <x v="1"/>
  </r>
  <r>
    <s v="ORD01740"/>
    <x v="1358"/>
    <x v="1"/>
    <s v="Wahyu Fauziah"/>
    <s v="Medan"/>
    <x v="22"/>
    <n v="18000"/>
    <n v="1"/>
    <n v="0"/>
    <n v="18000"/>
    <n v="0"/>
    <n v="18000"/>
    <n v="79000"/>
    <n v="97000"/>
    <x v="3"/>
    <x v="0"/>
    <x v="0"/>
    <n v="3"/>
    <x v="1"/>
    <x v="0"/>
  </r>
  <r>
    <s v="ORD01000"/>
    <x v="1359"/>
    <x v="1"/>
    <s v="Bella Setiawan"/>
    <s v="Kupang"/>
    <x v="20"/>
    <n v="12000"/>
    <n v="3"/>
    <n v="10"/>
    <n v="36000"/>
    <n v="3600"/>
    <n v="32400"/>
    <n v="21000"/>
    <n v="53400"/>
    <x v="3"/>
    <x v="0"/>
    <x v="4"/>
    <n v="5"/>
    <x v="0"/>
    <x v="0"/>
  </r>
  <r>
    <s v="ORD01766"/>
    <x v="1360"/>
    <x v="1"/>
    <s v="Erna Halim"/>
    <s v="Samarinda"/>
    <x v="20"/>
    <n v="12000"/>
    <n v="3"/>
    <n v="10"/>
    <n v="36000"/>
    <n v="3600"/>
    <n v="32400"/>
    <n v="43000"/>
    <n v="75400"/>
    <x v="2"/>
    <x v="0"/>
    <x v="4"/>
    <n v="4"/>
    <x v="0"/>
    <x v="0"/>
  </r>
  <r>
    <s v="ORD01382"/>
    <x v="1361"/>
    <x v="1"/>
    <s v="Tono Ananda"/>
    <s v="Kendari"/>
    <x v="12"/>
    <n v="55000"/>
    <n v="4"/>
    <n v="5"/>
    <n v="220000"/>
    <n v="11000"/>
    <n v="209000"/>
    <n v="59000"/>
    <n v="268000"/>
    <x v="3"/>
    <x v="2"/>
    <x v="3"/>
    <n v="4"/>
    <x v="1"/>
    <x v="1"/>
  </r>
  <r>
    <s v="ORD01423"/>
    <x v="1362"/>
    <x v="1"/>
    <s v="Ani Hidayat"/>
    <s v="Samarinda"/>
    <x v="8"/>
    <n v="16000"/>
    <n v="5"/>
    <n v="15"/>
    <n v="80000"/>
    <n v="12000"/>
    <n v="68000"/>
    <n v="43000"/>
    <n v="111000"/>
    <x v="2"/>
    <x v="1"/>
    <x v="3"/>
    <n v="4"/>
    <x v="0"/>
    <x v="1"/>
  </r>
  <r>
    <s v="ORD01148"/>
    <x v="1363"/>
    <x v="1"/>
    <s v="Yani Hidayat"/>
    <s v="Gorontalo"/>
    <x v="3"/>
    <n v="28000"/>
    <n v="2"/>
    <n v="15"/>
    <n v="56000"/>
    <n v="8400"/>
    <n v="47600"/>
    <n v="80000"/>
    <n v="127600"/>
    <x v="3"/>
    <x v="0"/>
    <x v="0"/>
    <n v="1"/>
    <x v="0"/>
    <x v="1"/>
  </r>
  <r>
    <s v="ORD00694"/>
    <x v="1364"/>
    <x v="1"/>
    <s v="Vina Kurniawan"/>
    <s v="Yogyakarta"/>
    <x v="1"/>
    <n v="5000"/>
    <n v="1"/>
    <n v="20"/>
    <n v="5000"/>
    <n v="1000"/>
    <n v="4000"/>
    <n v="78000"/>
    <n v="82000"/>
    <x v="1"/>
    <x v="0"/>
    <x v="2"/>
    <n v="1"/>
    <x v="0"/>
    <x v="0"/>
  </r>
  <r>
    <s v="ORD00890"/>
    <x v="1365"/>
    <x v="1"/>
    <s v="Lestari Ramadhani"/>
    <s v="Banda Aceh"/>
    <x v="15"/>
    <n v="14000"/>
    <n v="2"/>
    <n v="5"/>
    <n v="28000"/>
    <n v="1400"/>
    <n v="26600"/>
    <n v="18000"/>
    <n v="44600"/>
    <x v="0"/>
    <x v="0"/>
    <x v="0"/>
    <n v="1"/>
    <x v="0"/>
    <x v="0"/>
  </r>
  <r>
    <s v="ORD01590"/>
    <x v="1366"/>
    <x v="1"/>
    <s v="Citra Halim"/>
    <s v="Merauke"/>
    <x v="21"/>
    <n v="17000"/>
    <n v="2"/>
    <n v="20"/>
    <n v="34000"/>
    <n v="6800"/>
    <n v="27200"/>
    <n v="59000"/>
    <n v="86200"/>
    <x v="3"/>
    <x v="0"/>
    <x v="2"/>
    <n v="5"/>
    <x v="0"/>
    <x v="1"/>
  </r>
  <r>
    <s v="ORD01230"/>
    <x v="1367"/>
    <x v="1"/>
    <s v="Zahra Santoso"/>
    <s v="Nabire"/>
    <x v="12"/>
    <n v="55000"/>
    <n v="3"/>
    <n v="5"/>
    <n v="165000"/>
    <n v="8250"/>
    <n v="156750"/>
    <n v="89000"/>
    <n v="245750"/>
    <x v="2"/>
    <x v="0"/>
    <x v="1"/>
    <n v="3"/>
    <x v="0"/>
    <x v="1"/>
  </r>
  <r>
    <s v="ORD01463"/>
    <x v="1368"/>
    <x v="1"/>
    <s v="Citra Ananda"/>
    <s v="Manokwari"/>
    <x v="16"/>
    <n v="25000"/>
    <n v="4"/>
    <n v="10"/>
    <n v="100000"/>
    <n v="10000"/>
    <n v="90000"/>
    <n v="18000"/>
    <n v="108000"/>
    <x v="1"/>
    <x v="0"/>
    <x v="3"/>
    <n v="5"/>
    <x v="0"/>
    <x v="1"/>
  </r>
  <r>
    <s v="ORD00740"/>
    <x v="1369"/>
    <x v="1"/>
    <s v="Sari Halim"/>
    <s v="Banjarbaru"/>
    <x v="24"/>
    <n v="45000"/>
    <n v="3"/>
    <n v="10"/>
    <n v="135000"/>
    <n v="13500"/>
    <n v="121500"/>
    <n v="55000"/>
    <n v="176500"/>
    <x v="2"/>
    <x v="0"/>
    <x v="2"/>
    <n v="1"/>
    <x v="0"/>
    <x v="1"/>
  </r>
  <r>
    <s v="ORD01018"/>
    <x v="1370"/>
    <x v="1"/>
    <s v="Sari Syahputra"/>
    <s v="Merauke"/>
    <x v="18"/>
    <n v="6000"/>
    <n v="4"/>
    <n v="10"/>
    <n v="24000"/>
    <n v="2400"/>
    <n v="21600"/>
    <n v="59000"/>
    <n v="80600"/>
    <x v="3"/>
    <x v="1"/>
    <x v="2"/>
    <n v="4"/>
    <x v="0"/>
    <x v="0"/>
  </r>
  <r>
    <s v="ORD01621"/>
    <x v="1371"/>
    <x v="1"/>
    <s v="Qori Fauziah"/>
    <s v="Surabaya"/>
    <x v="26"/>
    <n v="18000"/>
    <n v="1"/>
    <n v="15"/>
    <n v="18000"/>
    <n v="2700"/>
    <n v="15300"/>
    <n v="74000"/>
    <n v="89300"/>
    <x v="1"/>
    <x v="1"/>
    <x v="3"/>
    <n v="2"/>
    <x v="0"/>
    <x v="0"/>
  </r>
  <r>
    <s v="ORD00242"/>
    <x v="1372"/>
    <x v="1"/>
    <s v="Sari Fauziah"/>
    <s v="Bandar Lampung"/>
    <x v="14"/>
    <n v="35000"/>
    <n v="5"/>
    <n v="5"/>
    <n v="175000"/>
    <n v="8750"/>
    <n v="166250"/>
    <n v="28000"/>
    <n v="194250"/>
    <x v="3"/>
    <x v="0"/>
    <x v="1"/>
    <n v="5"/>
    <x v="0"/>
    <x v="1"/>
  </r>
  <r>
    <s v="ORD00426"/>
    <x v="1373"/>
    <x v="1"/>
    <s v="Bella Halim"/>
    <s v="Semarang"/>
    <x v="10"/>
    <n v="15000"/>
    <n v="4"/>
    <n v="5"/>
    <n v="60000"/>
    <n v="3000"/>
    <n v="57000"/>
    <n v="76000"/>
    <n v="133000"/>
    <x v="0"/>
    <x v="0"/>
    <x v="4"/>
    <n v="5"/>
    <x v="0"/>
    <x v="0"/>
  </r>
  <r>
    <s v="ORD00426"/>
    <x v="1373"/>
    <x v="1"/>
    <s v="Bella Halim"/>
    <s v="Semarang"/>
    <x v="5"/>
    <n v="40000"/>
    <n v="5"/>
    <n v="10"/>
    <n v="200000"/>
    <n v="20000"/>
    <n v="180000"/>
    <n v="0"/>
    <n v="180000"/>
    <x v="0"/>
    <x v="0"/>
    <x v="4"/>
    <n v="5"/>
    <x v="0"/>
    <x v="2"/>
  </r>
  <r>
    <s v="ORD01039"/>
    <x v="1374"/>
    <x v="1"/>
    <s v="Qori Santoso"/>
    <s v="Wamena"/>
    <x v="20"/>
    <n v="12000"/>
    <n v="5"/>
    <n v="20"/>
    <n v="60000"/>
    <n v="12000"/>
    <n v="48000"/>
    <n v="15000"/>
    <n v="63000"/>
    <x v="2"/>
    <x v="0"/>
    <x v="2"/>
    <n v="3"/>
    <x v="0"/>
    <x v="1"/>
  </r>
  <r>
    <s v="ORD00825"/>
    <x v="1375"/>
    <x v="1"/>
    <s v="Yani Setiawan"/>
    <s v="Semarang"/>
    <x v="7"/>
    <n v="16000"/>
    <n v="5"/>
    <n v="20"/>
    <n v="80000"/>
    <n v="16000"/>
    <n v="64000"/>
    <n v="76000"/>
    <n v="140000"/>
    <x v="1"/>
    <x v="0"/>
    <x v="0"/>
    <n v="5"/>
    <x v="0"/>
    <x v="2"/>
  </r>
  <r>
    <s v="ORD01041"/>
    <x v="1376"/>
    <x v="1"/>
    <s v="Yani Maulana"/>
    <s v="Yogyakarta"/>
    <x v="11"/>
    <n v="40000"/>
    <n v="5"/>
    <n v="20"/>
    <n v="200000"/>
    <n v="40000"/>
    <n v="160000"/>
    <n v="78000"/>
    <n v="238000"/>
    <x v="3"/>
    <x v="0"/>
    <x v="3"/>
    <n v="3"/>
    <x v="0"/>
    <x v="3"/>
  </r>
  <r>
    <s v="ORD01513"/>
    <x v="1377"/>
    <x v="1"/>
    <s v="Dewi Halim"/>
    <s v="Tanjungpinang"/>
    <x v="16"/>
    <n v="25000"/>
    <n v="5"/>
    <n v="0"/>
    <n v="125000"/>
    <n v="0"/>
    <n v="125000"/>
    <n v="48000"/>
    <n v="173000"/>
    <x v="3"/>
    <x v="0"/>
    <x v="0"/>
    <n v="4"/>
    <x v="0"/>
    <x v="0"/>
  </r>
  <r>
    <s v="ORD00115"/>
    <x v="1378"/>
    <x v="1"/>
    <s v="Qori Maulana"/>
    <s v="Banda Aceh"/>
    <x v="24"/>
    <n v="45000"/>
    <n v="2"/>
    <n v="10"/>
    <n v="90000"/>
    <n v="9000"/>
    <n v="81000"/>
    <n v="18000"/>
    <n v="99000"/>
    <x v="2"/>
    <x v="0"/>
    <x v="3"/>
    <n v="3"/>
    <x v="0"/>
    <x v="1"/>
  </r>
  <r>
    <s v="ORD01466"/>
    <x v="1379"/>
    <x v="1"/>
    <s v="Zahra Utami"/>
    <s v="Sofifi"/>
    <x v="8"/>
    <n v="16000"/>
    <n v="5"/>
    <n v="20"/>
    <n v="80000"/>
    <n v="16000"/>
    <n v="64000"/>
    <n v="50000"/>
    <n v="114000"/>
    <x v="0"/>
    <x v="0"/>
    <x v="1"/>
    <n v="4"/>
    <x v="0"/>
    <x v="2"/>
  </r>
  <r>
    <s v="ORD00613"/>
    <x v="1380"/>
    <x v="1"/>
    <s v="Nanda Iskandar"/>
    <s v="Pontianak"/>
    <x v="22"/>
    <n v="18000"/>
    <n v="5"/>
    <n v="5"/>
    <n v="90000"/>
    <n v="4500"/>
    <n v="85500"/>
    <n v="85000"/>
    <n v="170500"/>
    <x v="1"/>
    <x v="1"/>
    <x v="0"/>
    <n v="5"/>
    <x v="1"/>
    <x v="0"/>
  </r>
  <r>
    <s v="ORD01689"/>
    <x v="1381"/>
    <x v="1"/>
    <s v="Tono Syahputra"/>
    <s v="Wamena"/>
    <x v="16"/>
    <n v="25000"/>
    <n v="4"/>
    <n v="15"/>
    <n v="100000"/>
    <n v="15000"/>
    <n v="85000"/>
    <n v="15000"/>
    <n v="100000"/>
    <x v="0"/>
    <x v="0"/>
    <x v="0"/>
    <n v="2"/>
    <x v="1"/>
    <x v="1"/>
  </r>
  <r>
    <s v="ORD01277"/>
    <x v="1382"/>
    <x v="1"/>
    <s v="Aulia Rahmawati"/>
    <s v="Jambi"/>
    <x v="17"/>
    <n v="30000"/>
    <n v="5"/>
    <n v="5"/>
    <n v="150000"/>
    <n v="7500"/>
    <n v="142500"/>
    <n v="87000"/>
    <n v="229500"/>
    <x v="3"/>
    <x v="0"/>
    <x v="1"/>
    <n v="4"/>
    <x v="0"/>
    <x v="1"/>
  </r>
  <r>
    <s v="ORD00241"/>
    <x v="1383"/>
    <x v="1"/>
    <s v="Erna Halim"/>
    <s v="Samarinda"/>
    <x v="4"/>
    <n v="4000"/>
    <n v="5"/>
    <n v="5"/>
    <n v="20000"/>
    <n v="1000"/>
    <n v="19000"/>
    <n v="43000"/>
    <n v="62000"/>
    <x v="1"/>
    <x v="0"/>
    <x v="0"/>
    <n v="3"/>
    <x v="0"/>
    <x v="0"/>
  </r>
  <r>
    <s v="ORD00091"/>
    <x v="1384"/>
    <x v="1"/>
    <s v="Budi Saputra"/>
    <s v="Mataram"/>
    <x v="2"/>
    <n v="16000"/>
    <n v="2"/>
    <n v="0"/>
    <n v="32000"/>
    <n v="0"/>
    <n v="32000"/>
    <n v="56000"/>
    <n v="88000"/>
    <x v="0"/>
    <x v="0"/>
    <x v="2"/>
    <n v="3"/>
    <x v="1"/>
    <x v="0"/>
  </r>
  <r>
    <s v="ORD00847"/>
    <x v="1385"/>
    <x v="1"/>
    <s v="Joko Halim"/>
    <s v="Kendari"/>
    <x v="16"/>
    <n v="25000"/>
    <n v="4"/>
    <n v="0"/>
    <n v="100000"/>
    <n v="0"/>
    <n v="100000"/>
    <n v="59000"/>
    <n v="159000"/>
    <x v="0"/>
    <x v="0"/>
    <x v="4"/>
    <n v="4"/>
    <x v="1"/>
    <x v="0"/>
  </r>
  <r>
    <s v="ORD01229"/>
    <x v="1386"/>
    <x v="1"/>
    <s v="Vina Syahputra"/>
    <s v="Pekanbaru"/>
    <x v="18"/>
    <n v="6000"/>
    <n v="5"/>
    <n v="0"/>
    <n v="30000"/>
    <n v="0"/>
    <n v="30000"/>
    <n v="49000"/>
    <n v="79000"/>
    <x v="3"/>
    <x v="0"/>
    <x v="2"/>
    <n v="1"/>
    <x v="0"/>
    <x v="0"/>
  </r>
  <r>
    <s v="ORD00650"/>
    <x v="1387"/>
    <x v="1"/>
    <s v="Aulia Saputra"/>
    <s v="Kendari"/>
    <x v="8"/>
    <n v="16000"/>
    <n v="5"/>
    <n v="20"/>
    <n v="80000"/>
    <n v="16000"/>
    <n v="64000"/>
    <n v="59000"/>
    <n v="123000"/>
    <x v="3"/>
    <x v="0"/>
    <x v="1"/>
    <n v="3"/>
    <x v="0"/>
    <x v="2"/>
  </r>
  <r>
    <s v="ORD01443"/>
    <x v="1388"/>
    <x v="1"/>
    <s v="Hana Ramadhani"/>
    <s v="Pekanbaru"/>
    <x v="7"/>
    <n v="16000"/>
    <n v="5"/>
    <n v="20"/>
    <n v="80000"/>
    <n v="16000"/>
    <n v="64000"/>
    <n v="49000"/>
    <n v="113000"/>
    <x v="3"/>
    <x v="0"/>
    <x v="1"/>
    <n v="3"/>
    <x v="0"/>
    <x v="2"/>
  </r>
  <r>
    <s v="ORD01432"/>
    <x v="1389"/>
    <x v="1"/>
    <s v="Dewi Halim"/>
    <s v="Tanjungpinang"/>
    <x v="7"/>
    <n v="16000"/>
    <n v="4"/>
    <n v="0"/>
    <n v="64000"/>
    <n v="0"/>
    <n v="64000"/>
    <n v="48000"/>
    <n v="112000"/>
    <x v="2"/>
    <x v="0"/>
    <x v="2"/>
    <n v="4"/>
    <x v="0"/>
    <x v="0"/>
  </r>
  <r>
    <s v="ORD00146"/>
    <x v="1390"/>
    <x v="1"/>
    <s v="Vina Syahputra"/>
    <s v="Pekanbaru"/>
    <x v="15"/>
    <n v="14000"/>
    <n v="5"/>
    <n v="20"/>
    <n v="70000"/>
    <n v="14000"/>
    <n v="56000"/>
    <n v="49000"/>
    <n v="105000"/>
    <x v="2"/>
    <x v="0"/>
    <x v="3"/>
    <n v="2"/>
    <x v="0"/>
    <x v="1"/>
  </r>
  <r>
    <s v="ORD00146"/>
    <x v="1390"/>
    <x v="1"/>
    <s v="Vina Syahputra"/>
    <s v="Pekanbaru"/>
    <x v="18"/>
    <n v="6000"/>
    <n v="4"/>
    <n v="5"/>
    <n v="24000"/>
    <n v="1200"/>
    <n v="22800"/>
    <n v="0"/>
    <n v="22800"/>
    <x v="2"/>
    <x v="0"/>
    <x v="3"/>
    <n v="2"/>
    <x v="0"/>
    <x v="0"/>
  </r>
  <r>
    <s v="ORD00719"/>
    <x v="1391"/>
    <x v="1"/>
    <s v="Erna Kusuma"/>
    <s v="Bandung"/>
    <x v="3"/>
    <n v="28000"/>
    <n v="4"/>
    <n v="15"/>
    <n v="112000"/>
    <n v="16800"/>
    <n v="95200"/>
    <n v="0"/>
    <n v="95200"/>
    <x v="1"/>
    <x v="0"/>
    <x v="2"/>
    <n v="3"/>
    <x v="0"/>
    <x v="2"/>
  </r>
  <r>
    <s v="ORD01033"/>
    <x v="1392"/>
    <x v="1"/>
    <s v="Sari Puspita"/>
    <s v="Jakarta"/>
    <x v="2"/>
    <n v="16000"/>
    <n v="1"/>
    <n v="15"/>
    <n v="16000"/>
    <n v="2400"/>
    <n v="13600"/>
    <n v="97000"/>
    <n v="110600"/>
    <x v="3"/>
    <x v="0"/>
    <x v="1"/>
    <n v="3"/>
    <x v="0"/>
    <x v="0"/>
  </r>
  <r>
    <s v="ORD00944"/>
    <x v="1393"/>
    <x v="1"/>
    <s v="Clara Utami"/>
    <s v="Pangkalpinang"/>
    <x v="19"/>
    <n v="22000"/>
    <n v="5"/>
    <n v="0"/>
    <n v="110000"/>
    <n v="0"/>
    <n v="110000"/>
    <n v="18000"/>
    <n v="128000"/>
    <x v="1"/>
    <x v="0"/>
    <x v="1"/>
    <n v="4"/>
    <x v="0"/>
    <x v="0"/>
  </r>
  <r>
    <s v="ORD01801"/>
    <x v="1394"/>
    <x v="1"/>
    <s v="Vina Puspita"/>
    <s v="Manokwari"/>
    <x v="3"/>
    <n v="28000"/>
    <n v="3"/>
    <n v="20"/>
    <n v="84000"/>
    <n v="16800"/>
    <n v="67200"/>
    <n v="18000"/>
    <n v="85200"/>
    <x v="2"/>
    <x v="1"/>
    <x v="3"/>
    <n v="3"/>
    <x v="0"/>
    <x v="2"/>
  </r>
  <r>
    <s v="ORD00578"/>
    <x v="1395"/>
    <x v="1"/>
    <s v="Joko Maulana"/>
    <s v="Ambon"/>
    <x v="20"/>
    <n v="12000"/>
    <n v="4"/>
    <n v="15"/>
    <n v="48000"/>
    <n v="7200"/>
    <n v="40800"/>
    <n v="49000"/>
    <n v="89800"/>
    <x v="1"/>
    <x v="0"/>
    <x v="0"/>
    <n v="4"/>
    <x v="1"/>
    <x v="1"/>
  </r>
  <r>
    <s v="ORD00769"/>
    <x v="1396"/>
    <x v="1"/>
    <s v="Budi Fauziah"/>
    <s v="Manado"/>
    <x v="15"/>
    <n v="14000"/>
    <n v="1"/>
    <n v="15"/>
    <n v="14000"/>
    <n v="2100"/>
    <n v="11900"/>
    <n v="93000"/>
    <n v="104900"/>
    <x v="0"/>
    <x v="0"/>
    <x v="2"/>
    <n v="5"/>
    <x v="1"/>
    <x v="0"/>
  </r>
  <r>
    <s v="ORD00190"/>
    <x v="1397"/>
    <x v="1"/>
    <s v="Dina Budiman"/>
    <s v="Merauke"/>
    <x v="16"/>
    <n v="25000"/>
    <n v="2"/>
    <n v="5"/>
    <n v="50000"/>
    <n v="2500"/>
    <n v="47500"/>
    <n v="59000"/>
    <n v="106500"/>
    <x v="1"/>
    <x v="2"/>
    <x v="2"/>
    <n v="2"/>
    <x v="0"/>
    <x v="0"/>
  </r>
  <r>
    <s v="ORD01137"/>
    <x v="1398"/>
    <x v="1"/>
    <s v="Fitri Ramadhani"/>
    <s v="Surabaya"/>
    <x v="22"/>
    <n v="18000"/>
    <n v="2"/>
    <n v="5"/>
    <n v="36000"/>
    <n v="1800"/>
    <n v="34200"/>
    <n v="74000"/>
    <n v="108200"/>
    <x v="3"/>
    <x v="0"/>
    <x v="0"/>
    <n v="3"/>
    <x v="0"/>
    <x v="0"/>
  </r>
  <r>
    <s v="ORD00818"/>
    <x v="1399"/>
    <x v="1"/>
    <s v="Putri Ramadhani"/>
    <s v="Pangkalpinang"/>
    <x v="0"/>
    <n v="45000"/>
    <n v="4"/>
    <n v="20"/>
    <n v="180000"/>
    <n v="36000"/>
    <n v="144000"/>
    <n v="18000"/>
    <n v="162000"/>
    <x v="2"/>
    <x v="0"/>
    <x v="0"/>
    <n v="1"/>
    <x v="0"/>
    <x v="3"/>
  </r>
  <r>
    <s v="ORD00463"/>
    <x v="1400"/>
    <x v="1"/>
    <s v="Erna Budiman"/>
    <s v="Sorong"/>
    <x v="4"/>
    <n v="4000"/>
    <n v="3"/>
    <n v="5"/>
    <n v="12000"/>
    <n v="600"/>
    <n v="11400"/>
    <n v="87000"/>
    <n v="98400"/>
    <x v="0"/>
    <x v="0"/>
    <x v="1"/>
    <n v="2"/>
    <x v="0"/>
    <x v="0"/>
  </r>
  <r>
    <s v="ORD00310"/>
    <x v="1401"/>
    <x v="1"/>
    <s v="Erna Budiman"/>
    <s v="Sorong"/>
    <x v="4"/>
    <n v="4000"/>
    <n v="2"/>
    <n v="15"/>
    <n v="8000"/>
    <n v="1200"/>
    <n v="6800"/>
    <n v="87000"/>
    <n v="93800"/>
    <x v="3"/>
    <x v="0"/>
    <x v="0"/>
    <n v="3"/>
    <x v="0"/>
    <x v="0"/>
  </r>
  <r>
    <s v="ORD00929"/>
    <x v="1402"/>
    <x v="1"/>
    <s v="Erna Pradipta"/>
    <s v="Bandung"/>
    <x v="14"/>
    <n v="35000"/>
    <n v="1"/>
    <n v="0"/>
    <n v="35000"/>
    <n v="0"/>
    <n v="35000"/>
    <n v="0"/>
    <n v="35000"/>
    <x v="1"/>
    <x v="0"/>
    <x v="2"/>
    <n v="2"/>
    <x v="0"/>
    <x v="0"/>
  </r>
  <r>
    <s v="ORD00691"/>
    <x v="1403"/>
    <x v="1"/>
    <s v="Zahra Nugroho"/>
    <s v="Yogyakarta"/>
    <x v="11"/>
    <n v="40000"/>
    <n v="1"/>
    <n v="0"/>
    <n v="40000"/>
    <n v="0"/>
    <n v="40000"/>
    <n v="78000"/>
    <n v="118000"/>
    <x v="0"/>
    <x v="0"/>
    <x v="1"/>
    <n v="1"/>
    <x v="0"/>
    <x v="0"/>
  </r>
  <r>
    <s v="ORD01397"/>
    <x v="1404"/>
    <x v="1"/>
    <s v="Vina Ananda"/>
    <s v="Jayapura"/>
    <x v="26"/>
    <n v="18000"/>
    <n v="2"/>
    <n v="15"/>
    <n v="36000"/>
    <n v="5400"/>
    <n v="30600"/>
    <n v="30000"/>
    <n v="60600"/>
    <x v="1"/>
    <x v="0"/>
    <x v="2"/>
    <n v="1"/>
    <x v="0"/>
    <x v="1"/>
  </r>
  <r>
    <s v="ORD00382"/>
    <x v="1405"/>
    <x v="1"/>
    <s v="Zahra Budiman"/>
    <s v="Ambon"/>
    <x v="17"/>
    <n v="30000"/>
    <n v="5"/>
    <n v="10"/>
    <n v="150000"/>
    <n v="15000"/>
    <n v="135000"/>
    <n v="49000"/>
    <n v="184000"/>
    <x v="1"/>
    <x v="2"/>
    <x v="2"/>
    <n v="5"/>
    <x v="0"/>
    <x v="1"/>
  </r>
  <r>
    <s v="ORD00490"/>
    <x v="1406"/>
    <x v="1"/>
    <s v="Gita Kurniawan"/>
    <s v="Yogyakarta"/>
    <x v="23"/>
    <n v="10000"/>
    <n v="3"/>
    <n v="5"/>
    <n v="30000"/>
    <n v="1500"/>
    <n v="28500"/>
    <n v="78000"/>
    <n v="106500"/>
    <x v="0"/>
    <x v="2"/>
    <x v="4"/>
    <n v="3"/>
    <x v="0"/>
    <x v="0"/>
  </r>
  <r>
    <s v="ORD00671"/>
    <x v="1407"/>
    <x v="1"/>
    <s v="Eka Halim"/>
    <s v="Manado"/>
    <x v="13"/>
    <n v="17000"/>
    <n v="3"/>
    <n v="20"/>
    <n v="51000"/>
    <n v="10200"/>
    <n v="40800"/>
    <n v="93000"/>
    <n v="133800"/>
    <x v="0"/>
    <x v="0"/>
    <x v="4"/>
    <n v="4"/>
    <x v="0"/>
    <x v="1"/>
  </r>
  <r>
    <s v="ORD01591"/>
    <x v="1408"/>
    <x v="1"/>
    <s v="Aulia Budiman"/>
    <s v="Jakarta"/>
    <x v="0"/>
    <n v="45000"/>
    <n v="4"/>
    <n v="5"/>
    <n v="180000"/>
    <n v="9000"/>
    <n v="171000"/>
    <n v="97000"/>
    <n v="268000"/>
    <x v="0"/>
    <x v="1"/>
    <x v="1"/>
    <n v="3"/>
    <x v="0"/>
    <x v="1"/>
  </r>
  <r>
    <s v="ORD00136"/>
    <x v="1409"/>
    <x v="1"/>
    <s v="Kartika Utami"/>
    <s v="Bandar Lampung"/>
    <x v="19"/>
    <n v="22000"/>
    <n v="5"/>
    <n v="10"/>
    <n v="110000"/>
    <n v="11000"/>
    <n v="99000"/>
    <n v="28000"/>
    <n v="127000"/>
    <x v="3"/>
    <x v="0"/>
    <x v="2"/>
    <n v="2"/>
    <x v="0"/>
    <x v="1"/>
  </r>
  <r>
    <s v="ORD00136"/>
    <x v="1409"/>
    <x v="1"/>
    <s v="Kartika Utami"/>
    <s v="Bandar Lampung"/>
    <x v="11"/>
    <n v="40000"/>
    <n v="2"/>
    <n v="10"/>
    <n v="80000"/>
    <n v="8000"/>
    <n v="72000"/>
    <n v="0"/>
    <n v="72000"/>
    <x v="3"/>
    <x v="0"/>
    <x v="2"/>
    <n v="2"/>
    <x v="0"/>
    <x v="1"/>
  </r>
  <r>
    <s v="ORD01790"/>
    <x v="1410"/>
    <x v="1"/>
    <s v="Eka Hidayat"/>
    <s v="Samarinda"/>
    <x v="3"/>
    <n v="28000"/>
    <n v="2"/>
    <n v="0"/>
    <n v="56000"/>
    <n v="0"/>
    <n v="56000"/>
    <n v="43000"/>
    <n v="99000"/>
    <x v="3"/>
    <x v="0"/>
    <x v="4"/>
    <n v="1"/>
    <x v="0"/>
    <x v="0"/>
  </r>
  <r>
    <s v="ORD01727"/>
    <x v="1411"/>
    <x v="1"/>
    <s v="Erna Iskandar"/>
    <s v="Bengkulu"/>
    <x v="6"/>
    <n v="14000"/>
    <n v="3"/>
    <n v="20"/>
    <n v="42000"/>
    <n v="8400"/>
    <n v="33600"/>
    <n v="72000"/>
    <n v="105600"/>
    <x v="1"/>
    <x v="0"/>
    <x v="1"/>
    <n v="1"/>
    <x v="0"/>
    <x v="1"/>
  </r>
  <r>
    <s v="ORD00076"/>
    <x v="1412"/>
    <x v="1"/>
    <s v="Bayu Maulana"/>
    <s v="Nabire"/>
    <x v="26"/>
    <n v="18000"/>
    <n v="5"/>
    <n v="0"/>
    <n v="90000"/>
    <n v="0"/>
    <n v="90000"/>
    <n v="89000"/>
    <n v="179000"/>
    <x v="3"/>
    <x v="0"/>
    <x v="0"/>
    <n v="1"/>
    <x v="1"/>
    <x v="0"/>
  </r>
  <r>
    <s v="ORD01756"/>
    <x v="1413"/>
    <x v="1"/>
    <s v="Erna Hidayat"/>
    <s v="Bandar Lampung"/>
    <x v="7"/>
    <n v="16000"/>
    <n v="2"/>
    <n v="15"/>
    <n v="32000"/>
    <n v="4800"/>
    <n v="27200"/>
    <n v="28000"/>
    <n v="55200"/>
    <x v="0"/>
    <x v="0"/>
    <x v="4"/>
    <n v="2"/>
    <x v="0"/>
    <x v="0"/>
  </r>
  <r>
    <s v="ORD00894"/>
    <x v="1414"/>
    <x v="1"/>
    <s v="Gita Ananda"/>
    <s v="Surabaya"/>
    <x v="0"/>
    <n v="45000"/>
    <n v="3"/>
    <n v="15"/>
    <n v="135000"/>
    <n v="20250"/>
    <n v="114750"/>
    <n v="74000"/>
    <n v="188750"/>
    <x v="0"/>
    <x v="1"/>
    <x v="3"/>
    <n v="2"/>
    <x v="0"/>
    <x v="2"/>
  </r>
  <r>
    <s v="ORD00288"/>
    <x v="1415"/>
    <x v="1"/>
    <s v="Gita Pradipta"/>
    <s v="Jambi"/>
    <x v="12"/>
    <n v="55000"/>
    <n v="2"/>
    <n v="20"/>
    <n v="110000"/>
    <n v="22000"/>
    <n v="88000"/>
    <n v="87000"/>
    <n v="175000"/>
    <x v="3"/>
    <x v="0"/>
    <x v="3"/>
    <n v="3"/>
    <x v="0"/>
    <x v="2"/>
  </r>
  <r>
    <s v="ORD01358"/>
    <x v="1416"/>
    <x v="1"/>
    <s v="Hana Wijaya"/>
    <s v="Sorong"/>
    <x v="20"/>
    <n v="12000"/>
    <n v="2"/>
    <n v="0"/>
    <n v="24000"/>
    <n v="0"/>
    <n v="24000"/>
    <n v="87000"/>
    <n v="111000"/>
    <x v="0"/>
    <x v="0"/>
    <x v="1"/>
    <n v="5"/>
    <x v="0"/>
    <x v="0"/>
  </r>
  <r>
    <s v="ORD00849"/>
    <x v="1417"/>
    <x v="1"/>
    <s v="Fitri Iskandar"/>
    <s v="Kendari"/>
    <x v="9"/>
    <n v="50000"/>
    <n v="2"/>
    <n v="15"/>
    <n v="100000"/>
    <n v="15000"/>
    <n v="85000"/>
    <n v="59000"/>
    <n v="144000"/>
    <x v="2"/>
    <x v="0"/>
    <x v="3"/>
    <n v="5"/>
    <x v="0"/>
    <x v="1"/>
  </r>
  <r>
    <s v="ORD01331"/>
    <x v="1418"/>
    <x v="1"/>
    <s v="Vina Ananda"/>
    <s v="Jayapura"/>
    <x v="21"/>
    <n v="17000"/>
    <n v="5"/>
    <n v="0"/>
    <n v="85000"/>
    <n v="0"/>
    <n v="85000"/>
    <n v="30000"/>
    <n v="115000"/>
    <x v="2"/>
    <x v="0"/>
    <x v="0"/>
    <n v="4"/>
    <x v="0"/>
    <x v="0"/>
  </r>
  <r>
    <s v="ORD01864"/>
    <x v="1419"/>
    <x v="1"/>
    <s v="Dewi Hidayat"/>
    <s v="Manokwari"/>
    <x v="5"/>
    <n v="40000"/>
    <n v="1"/>
    <n v="5"/>
    <n v="40000"/>
    <n v="2000"/>
    <n v="38000"/>
    <n v="18000"/>
    <n v="56000"/>
    <x v="3"/>
    <x v="0"/>
    <x v="0"/>
    <n v="2"/>
    <x v="0"/>
    <x v="0"/>
  </r>
  <r>
    <s v="ORD00594"/>
    <x v="1420"/>
    <x v="1"/>
    <s v="Rizky Ramadhani"/>
    <s v="Pangkalpinang"/>
    <x v="1"/>
    <n v="5000"/>
    <n v="1"/>
    <n v="20"/>
    <n v="5000"/>
    <n v="1000"/>
    <n v="4000"/>
    <n v="18000"/>
    <n v="22000"/>
    <x v="2"/>
    <x v="0"/>
    <x v="4"/>
    <n v="4"/>
    <x v="1"/>
    <x v="0"/>
  </r>
  <r>
    <s v="ORD01737"/>
    <x v="1421"/>
    <x v="1"/>
    <s v="Bella Ananda"/>
    <s v="Samarinda"/>
    <x v="25"/>
    <n v="35000"/>
    <n v="1"/>
    <n v="0"/>
    <n v="35000"/>
    <n v="0"/>
    <n v="35000"/>
    <n v="43000"/>
    <n v="78000"/>
    <x v="0"/>
    <x v="0"/>
    <x v="0"/>
    <n v="1"/>
    <x v="0"/>
    <x v="0"/>
  </r>
  <r>
    <s v="ORD00878"/>
    <x v="1422"/>
    <x v="1"/>
    <s v="Rizky Fauziah"/>
    <s v="Sorong"/>
    <x v="13"/>
    <n v="17000"/>
    <n v="2"/>
    <n v="15"/>
    <n v="34000"/>
    <n v="5100"/>
    <n v="28900"/>
    <n v="87000"/>
    <n v="115900"/>
    <x v="0"/>
    <x v="0"/>
    <x v="1"/>
    <n v="5"/>
    <x v="1"/>
    <x v="1"/>
  </r>
  <r>
    <s v="ORD01840"/>
    <x v="1423"/>
    <x v="1"/>
    <s v="Kartika Pradipta"/>
    <s v="Kupang"/>
    <x v="19"/>
    <n v="22000"/>
    <n v="2"/>
    <n v="20"/>
    <n v="44000"/>
    <n v="8800"/>
    <n v="35200"/>
    <n v="21000"/>
    <n v="56200"/>
    <x v="2"/>
    <x v="0"/>
    <x v="2"/>
    <n v="1"/>
    <x v="0"/>
    <x v="1"/>
  </r>
  <r>
    <s v="ORD01593"/>
    <x v="1424"/>
    <x v="1"/>
    <s v="Putri Hidayat"/>
    <s v="Padang"/>
    <x v="3"/>
    <n v="28000"/>
    <n v="3"/>
    <n v="5"/>
    <n v="84000"/>
    <n v="4200"/>
    <n v="79800"/>
    <n v="68000"/>
    <n v="147800"/>
    <x v="0"/>
    <x v="0"/>
    <x v="4"/>
    <n v="3"/>
    <x v="0"/>
    <x v="0"/>
  </r>
  <r>
    <s v="ORD00737"/>
    <x v="1425"/>
    <x v="1"/>
    <s v="Gita Syahputra"/>
    <s v="Merauke"/>
    <x v="22"/>
    <n v="18000"/>
    <n v="5"/>
    <n v="0"/>
    <n v="90000"/>
    <n v="0"/>
    <n v="90000"/>
    <n v="59000"/>
    <n v="149000"/>
    <x v="1"/>
    <x v="0"/>
    <x v="0"/>
    <n v="5"/>
    <x v="0"/>
    <x v="0"/>
  </r>
  <r>
    <s v="ORD00770"/>
    <x v="1426"/>
    <x v="1"/>
    <s v="Vina Fauziah"/>
    <s v="Merauke"/>
    <x v="25"/>
    <n v="35000"/>
    <n v="4"/>
    <n v="15"/>
    <n v="140000"/>
    <n v="21000"/>
    <n v="119000"/>
    <n v="59000"/>
    <n v="178000"/>
    <x v="3"/>
    <x v="0"/>
    <x v="0"/>
    <n v="4"/>
    <x v="0"/>
    <x v="2"/>
  </r>
  <r>
    <s v="ORD01186"/>
    <x v="1427"/>
    <x v="1"/>
    <s v="Lestari Syahputra"/>
    <s v="Banda Aceh"/>
    <x v="7"/>
    <n v="16000"/>
    <n v="2"/>
    <n v="10"/>
    <n v="32000"/>
    <n v="3200"/>
    <n v="28800"/>
    <n v="18000"/>
    <n v="46800"/>
    <x v="3"/>
    <x v="1"/>
    <x v="0"/>
    <n v="5"/>
    <x v="0"/>
    <x v="0"/>
  </r>
  <r>
    <s v="ORD00997"/>
    <x v="1428"/>
    <x v="1"/>
    <s v="Andi Iskandar"/>
    <s v="Jambi"/>
    <x v="1"/>
    <n v="5000"/>
    <n v="3"/>
    <n v="0"/>
    <n v="15000"/>
    <n v="0"/>
    <n v="15000"/>
    <n v="87000"/>
    <n v="102000"/>
    <x v="2"/>
    <x v="0"/>
    <x v="2"/>
    <n v="2"/>
    <x v="1"/>
    <x v="0"/>
  </r>
  <r>
    <s v="ORD01824"/>
    <x v="1429"/>
    <x v="1"/>
    <s v="Eka Hidayat"/>
    <s v="Samarinda"/>
    <x v="25"/>
    <n v="35000"/>
    <n v="3"/>
    <n v="10"/>
    <n v="105000"/>
    <n v="10500"/>
    <n v="94500"/>
    <n v="43000"/>
    <n v="137500"/>
    <x v="1"/>
    <x v="0"/>
    <x v="3"/>
    <n v="3"/>
    <x v="0"/>
    <x v="1"/>
  </r>
  <r>
    <s v="ORD01522"/>
    <x v="1430"/>
    <x v="1"/>
    <s v="Made Kusuma"/>
    <s v="Makassar"/>
    <x v="12"/>
    <n v="55000"/>
    <n v="1"/>
    <n v="10"/>
    <n v="55000"/>
    <n v="5500"/>
    <n v="49500"/>
    <n v="84000"/>
    <n v="133500"/>
    <x v="0"/>
    <x v="0"/>
    <x v="4"/>
    <n v="3"/>
    <x v="1"/>
    <x v="1"/>
  </r>
  <r>
    <s v="ORD00668"/>
    <x v="1431"/>
    <x v="1"/>
    <s v="Qori Pradipta"/>
    <s v="Tanjung Selor"/>
    <x v="21"/>
    <n v="17000"/>
    <n v="4"/>
    <n v="15"/>
    <n v="68000"/>
    <n v="10200"/>
    <n v="57800"/>
    <n v="26000"/>
    <n v="83800"/>
    <x v="3"/>
    <x v="0"/>
    <x v="3"/>
    <n v="2"/>
    <x v="0"/>
    <x v="1"/>
  </r>
  <r>
    <s v="ORD01788"/>
    <x v="1432"/>
    <x v="1"/>
    <s v="Lestari Wijaya"/>
    <s v="Bandung"/>
    <x v="12"/>
    <n v="55000"/>
    <n v="3"/>
    <n v="5"/>
    <n v="165000"/>
    <n v="8250"/>
    <n v="156750"/>
    <n v="0"/>
    <n v="156750"/>
    <x v="0"/>
    <x v="2"/>
    <x v="0"/>
    <n v="1"/>
    <x v="0"/>
    <x v="1"/>
  </r>
  <r>
    <s v="ORD01359"/>
    <x v="1433"/>
    <x v="1"/>
    <s v="Hana Budiman"/>
    <s v="Jakarta"/>
    <x v="20"/>
    <n v="12000"/>
    <n v="1"/>
    <n v="10"/>
    <n v="12000"/>
    <n v="1200"/>
    <n v="10800"/>
    <n v="97000"/>
    <n v="107800"/>
    <x v="3"/>
    <x v="0"/>
    <x v="4"/>
    <n v="2"/>
    <x v="0"/>
    <x v="0"/>
  </r>
  <r>
    <s v="ORD01442"/>
    <x v="1434"/>
    <x v="1"/>
    <s v="Budi Wijaya"/>
    <s v="Gorontalo"/>
    <x v="26"/>
    <n v="18000"/>
    <n v="5"/>
    <n v="0"/>
    <n v="90000"/>
    <n v="0"/>
    <n v="90000"/>
    <n v="80000"/>
    <n v="170000"/>
    <x v="0"/>
    <x v="1"/>
    <x v="4"/>
    <n v="4"/>
    <x v="1"/>
    <x v="0"/>
  </r>
  <r>
    <s v="ORD00560"/>
    <x v="1435"/>
    <x v="1"/>
    <s v="Clara Ramadhani"/>
    <s v="Tanjungpinang"/>
    <x v="15"/>
    <n v="14000"/>
    <n v="2"/>
    <n v="5"/>
    <n v="28000"/>
    <n v="1400"/>
    <n v="26600"/>
    <n v="48000"/>
    <n v="74600"/>
    <x v="3"/>
    <x v="0"/>
    <x v="3"/>
    <n v="1"/>
    <x v="0"/>
    <x v="0"/>
  </r>
  <r>
    <s v="ORD00342"/>
    <x v="1436"/>
    <x v="1"/>
    <s v="Lestari Santoso"/>
    <s v="Pangkalpinang"/>
    <x v="26"/>
    <n v="18000"/>
    <n v="1"/>
    <n v="10"/>
    <n v="18000"/>
    <n v="1800"/>
    <n v="16200"/>
    <n v="18000"/>
    <n v="34200"/>
    <x v="1"/>
    <x v="0"/>
    <x v="2"/>
    <n v="2"/>
    <x v="0"/>
    <x v="0"/>
  </r>
  <r>
    <s v="ORD00335"/>
    <x v="1437"/>
    <x v="1"/>
    <s v="Zahra Nugroho"/>
    <s v="Yogyakarta"/>
    <x v="0"/>
    <n v="45000"/>
    <n v="3"/>
    <n v="0"/>
    <n v="135000"/>
    <n v="0"/>
    <n v="135000"/>
    <n v="78000"/>
    <n v="213000"/>
    <x v="1"/>
    <x v="0"/>
    <x v="2"/>
    <n v="4"/>
    <x v="0"/>
    <x v="0"/>
  </r>
  <r>
    <s v="ORD01184"/>
    <x v="1438"/>
    <x v="1"/>
    <s v="Vina Puspita"/>
    <s v="Manokwari"/>
    <x v="6"/>
    <n v="14000"/>
    <n v="1"/>
    <n v="10"/>
    <n v="14000"/>
    <n v="1400"/>
    <n v="12600"/>
    <n v="18000"/>
    <n v="30600"/>
    <x v="3"/>
    <x v="0"/>
    <x v="2"/>
    <n v="5"/>
    <x v="0"/>
    <x v="0"/>
  </r>
  <r>
    <s v="ORD00482"/>
    <x v="1439"/>
    <x v="1"/>
    <s v="Lestari Budiman"/>
    <s v="Pontianak"/>
    <x v="4"/>
    <n v="4000"/>
    <n v="3"/>
    <n v="0"/>
    <n v="12000"/>
    <n v="0"/>
    <n v="12000"/>
    <n v="85000"/>
    <n v="97000"/>
    <x v="0"/>
    <x v="1"/>
    <x v="3"/>
    <n v="2"/>
    <x v="0"/>
    <x v="0"/>
  </r>
  <r>
    <s v="ORD01852"/>
    <x v="1440"/>
    <x v="1"/>
    <s v="Yani Nugroho"/>
    <s v="Palembang"/>
    <x v="12"/>
    <n v="55000"/>
    <n v="2"/>
    <n v="20"/>
    <n v="110000"/>
    <n v="22000"/>
    <n v="88000"/>
    <n v="17000"/>
    <n v="105000"/>
    <x v="3"/>
    <x v="0"/>
    <x v="1"/>
    <n v="1"/>
    <x v="0"/>
    <x v="2"/>
  </r>
  <r>
    <s v="ORD01142"/>
    <x v="1441"/>
    <x v="1"/>
    <s v="Indra Rahmawati"/>
    <s v="Manokwari"/>
    <x v="7"/>
    <n v="16000"/>
    <n v="3"/>
    <n v="5"/>
    <n v="48000"/>
    <n v="2400"/>
    <n v="45600"/>
    <n v="18000"/>
    <n v="63600"/>
    <x v="2"/>
    <x v="0"/>
    <x v="3"/>
    <n v="2"/>
    <x v="1"/>
    <x v="0"/>
  </r>
  <r>
    <s v="ORD01196"/>
    <x v="1442"/>
    <x v="1"/>
    <s v="Hendra Ramadhani"/>
    <s v="Jayapura"/>
    <x v="14"/>
    <n v="35000"/>
    <n v="3"/>
    <n v="5"/>
    <n v="105000"/>
    <n v="5250"/>
    <n v="99750"/>
    <n v="30000"/>
    <n v="129750"/>
    <x v="2"/>
    <x v="0"/>
    <x v="4"/>
    <n v="1"/>
    <x v="1"/>
    <x v="1"/>
  </r>
  <r>
    <s v="ORD00121"/>
    <x v="1443"/>
    <x v="1"/>
    <s v="Dewi Iskandar"/>
    <s v="Banda Aceh"/>
    <x v="15"/>
    <n v="14000"/>
    <n v="2"/>
    <n v="15"/>
    <n v="28000"/>
    <n v="4200"/>
    <n v="23800"/>
    <n v="18000"/>
    <n v="41800"/>
    <x v="2"/>
    <x v="0"/>
    <x v="3"/>
    <n v="2"/>
    <x v="0"/>
    <x v="0"/>
  </r>
  <r>
    <s v="ORD01749"/>
    <x v="1444"/>
    <x v="1"/>
    <s v="Indra Syahputra"/>
    <s v="Semarang"/>
    <x v="3"/>
    <n v="28000"/>
    <n v="5"/>
    <n v="15"/>
    <n v="140000"/>
    <n v="21000"/>
    <n v="119000"/>
    <n v="76000"/>
    <n v="195000"/>
    <x v="2"/>
    <x v="2"/>
    <x v="0"/>
    <n v="4"/>
    <x v="1"/>
    <x v="2"/>
  </r>
  <r>
    <s v="ORD00080"/>
    <x v="1445"/>
    <x v="1"/>
    <s v="Fajar Budiman"/>
    <s v="Nabire"/>
    <x v="3"/>
    <n v="28000"/>
    <n v="3"/>
    <n v="10"/>
    <n v="84000"/>
    <n v="8400"/>
    <n v="75600"/>
    <n v="89000"/>
    <n v="164600"/>
    <x v="3"/>
    <x v="0"/>
    <x v="4"/>
    <n v="4"/>
    <x v="1"/>
    <x v="1"/>
  </r>
  <r>
    <s v="ORD00292"/>
    <x v="1446"/>
    <x v="1"/>
    <s v="Aulia Santoso"/>
    <s v="Bandar Lampung"/>
    <x v="16"/>
    <n v="25000"/>
    <n v="4"/>
    <n v="15"/>
    <n v="100000"/>
    <n v="15000"/>
    <n v="85000"/>
    <n v="28000"/>
    <n v="113000"/>
    <x v="2"/>
    <x v="0"/>
    <x v="3"/>
    <n v="3"/>
    <x v="0"/>
    <x v="1"/>
  </r>
  <r>
    <s v="ORD00425"/>
    <x v="1447"/>
    <x v="1"/>
    <s v="Dewi Hidayat"/>
    <s v="Manokwari"/>
    <x v="15"/>
    <n v="14000"/>
    <n v="5"/>
    <n v="0"/>
    <n v="70000"/>
    <n v="0"/>
    <n v="70000"/>
    <n v="18000"/>
    <n v="88000"/>
    <x v="2"/>
    <x v="1"/>
    <x v="3"/>
    <n v="3"/>
    <x v="0"/>
    <x v="0"/>
  </r>
  <r>
    <s v="ORD00425"/>
    <x v="1447"/>
    <x v="1"/>
    <s v="Dewi Hidayat"/>
    <s v="Manokwari"/>
    <x v="17"/>
    <n v="30000"/>
    <n v="3"/>
    <n v="15"/>
    <n v="90000"/>
    <n v="13500"/>
    <n v="76500"/>
    <n v="0"/>
    <n v="76500"/>
    <x v="2"/>
    <x v="1"/>
    <x v="3"/>
    <n v="3"/>
    <x v="0"/>
    <x v="1"/>
  </r>
  <r>
    <s v="ORD01245"/>
    <x v="1448"/>
    <x v="1"/>
    <s v="Zahra Puspita"/>
    <s v="Yogyakarta"/>
    <x v="21"/>
    <n v="17000"/>
    <n v="4"/>
    <n v="0"/>
    <n v="68000"/>
    <n v="0"/>
    <n v="68000"/>
    <n v="78000"/>
    <n v="146000"/>
    <x v="0"/>
    <x v="0"/>
    <x v="4"/>
    <n v="1"/>
    <x v="0"/>
    <x v="0"/>
  </r>
  <r>
    <s v="ORD01458"/>
    <x v="1449"/>
    <x v="1"/>
    <s v="Nanda Setiawan"/>
    <s v="Sorong"/>
    <x v="4"/>
    <n v="4000"/>
    <n v="4"/>
    <n v="15"/>
    <n v="16000"/>
    <n v="2400"/>
    <n v="13600"/>
    <n v="87000"/>
    <n v="100600"/>
    <x v="1"/>
    <x v="0"/>
    <x v="2"/>
    <n v="2"/>
    <x v="1"/>
    <x v="0"/>
  </r>
  <r>
    <s v="ORD01470"/>
    <x v="1450"/>
    <x v="1"/>
    <s v="Bella Rahmawati"/>
    <s v="Kendari"/>
    <x v="5"/>
    <n v="40000"/>
    <n v="4"/>
    <n v="20"/>
    <n v="160000"/>
    <n v="32000"/>
    <n v="128000"/>
    <n v="59000"/>
    <n v="187000"/>
    <x v="2"/>
    <x v="0"/>
    <x v="3"/>
    <n v="3"/>
    <x v="0"/>
    <x v="3"/>
  </r>
  <r>
    <s v="ORD00301"/>
    <x v="1451"/>
    <x v="1"/>
    <s v="Eka Pradipta"/>
    <s v="Bandung"/>
    <x v="26"/>
    <n v="18000"/>
    <n v="2"/>
    <n v="10"/>
    <n v="36000"/>
    <n v="3600"/>
    <n v="32400"/>
    <n v="0"/>
    <n v="32400"/>
    <x v="1"/>
    <x v="0"/>
    <x v="4"/>
    <n v="2"/>
    <x v="0"/>
    <x v="0"/>
  </r>
  <r>
    <s v="ORD00301"/>
    <x v="1451"/>
    <x v="1"/>
    <s v="Eka Pradipta"/>
    <s v="Bandung"/>
    <x v="8"/>
    <n v="16000"/>
    <n v="1"/>
    <n v="10"/>
    <n v="16000"/>
    <n v="1600"/>
    <n v="14400"/>
    <n v="0"/>
    <n v="14400"/>
    <x v="1"/>
    <x v="0"/>
    <x v="4"/>
    <n v="2"/>
    <x v="0"/>
    <x v="0"/>
  </r>
  <r>
    <s v="ORD01845"/>
    <x v="1452"/>
    <x v="1"/>
    <s v="Aulia Iskandar"/>
    <s v="Surabaya"/>
    <x v="20"/>
    <n v="12000"/>
    <n v="2"/>
    <n v="15"/>
    <n v="24000"/>
    <n v="3600"/>
    <n v="20400"/>
    <n v="74000"/>
    <n v="94400"/>
    <x v="2"/>
    <x v="1"/>
    <x v="4"/>
    <n v="4"/>
    <x v="0"/>
    <x v="0"/>
  </r>
  <r>
    <s v="ORD00962"/>
    <x v="1453"/>
    <x v="1"/>
    <s v="Zahra Pradipta"/>
    <s v="Nabire"/>
    <x v="21"/>
    <n v="17000"/>
    <n v="3"/>
    <n v="10"/>
    <n v="51000"/>
    <n v="5100"/>
    <n v="45900"/>
    <n v="89000"/>
    <n v="134900"/>
    <x v="0"/>
    <x v="2"/>
    <x v="3"/>
    <n v="1"/>
    <x v="0"/>
    <x v="1"/>
  </r>
  <r>
    <s v="ORD01533"/>
    <x v="1454"/>
    <x v="1"/>
    <s v="Ani Maulana"/>
    <s v="Nabire"/>
    <x v="22"/>
    <n v="18000"/>
    <n v="2"/>
    <n v="5"/>
    <n v="36000"/>
    <n v="1800"/>
    <n v="34200"/>
    <n v="89000"/>
    <n v="123200"/>
    <x v="1"/>
    <x v="0"/>
    <x v="2"/>
    <n v="4"/>
    <x v="0"/>
    <x v="0"/>
  </r>
  <r>
    <s v="ORD01297"/>
    <x v="1455"/>
    <x v="1"/>
    <s v="Citra Ananda"/>
    <s v="Manokwari"/>
    <x v="20"/>
    <n v="12000"/>
    <n v="3"/>
    <n v="20"/>
    <n v="36000"/>
    <n v="7200"/>
    <n v="28800"/>
    <n v="18000"/>
    <n v="46800"/>
    <x v="1"/>
    <x v="0"/>
    <x v="3"/>
    <n v="5"/>
    <x v="0"/>
    <x v="1"/>
  </r>
  <r>
    <s v="ORD00164"/>
    <x v="1456"/>
    <x v="1"/>
    <s v="Vina Budiman"/>
    <s v="Samarinda"/>
    <x v="13"/>
    <n v="17000"/>
    <n v="1"/>
    <n v="15"/>
    <n v="17000"/>
    <n v="2550"/>
    <n v="14450"/>
    <n v="43000"/>
    <n v="57450"/>
    <x v="1"/>
    <x v="0"/>
    <x v="4"/>
    <n v="4"/>
    <x v="0"/>
    <x v="0"/>
  </r>
  <r>
    <s v="ORD00164"/>
    <x v="1456"/>
    <x v="1"/>
    <s v="Vina Budiman"/>
    <s v="Samarinda"/>
    <x v="22"/>
    <n v="18000"/>
    <n v="3"/>
    <n v="10"/>
    <n v="54000"/>
    <n v="5400"/>
    <n v="48600"/>
    <n v="0"/>
    <n v="48600"/>
    <x v="1"/>
    <x v="0"/>
    <x v="4"/>
    <n v="4"/>
    <x v="0"/>
    <x v="1"/>
  </r>
  <r>
    <s v="ORD01684"/>
    <x v="1457"/>
    <x v="1"/>
    <s v="Hana Nugroho"/>
    <s v="Surabaya"/>
    <x v="3"/>
    <n v="28000"/>
    <n v="2"/>
    <n v="20"/>
    <n v="56000"/>
    <n v="11200"/>
    <n v="44800"/>
    <n v="74000"/>
    <n v="118800"/>
    <x v="1"/>
    <x v="1"/>
    <x v="0"/>
    <n v="4"/>
    <x v="0"/>
    <x v="1"/>
  </r>
  <r>
    <s v="ORD01809"/>
    <x v="1458"/>
    <x v="1"/>
    <s v="Rizky Ananda"/>
    <s v="Jambi"/>
    <x v="12"/>
    <n v="55000"/>
    <n v="2"/>
    <n v="10"/>
    <n v="110000"/>
    <n v="11000"/>
    <n v="99000"/>
    <n v="87000"/>
    <n v="186000"/>
    <x v="2"/>
    <x v="0"/>
    <x v="4"/>
    <n v="2"/>
    <x v="1"/>
    <x v="1"/>
  </r>
  <r>
    <s v="ORD01360"/>
    <x v="1459"/>
    <x v="1"/>
    <s v="Made Setiawan"/>
    <s v="Denpasar"/>
    <x v="7"/>
    <n v="16000"/>
    <n v="5"/>
    <n v="10"/>
    <n v="80000"/>
    <n v="8000"/>
    <n v="72000"/>
    <n v="80000"/>
    <n v="152000"/>
    <x v="2"/>
    <x v="1"/>
    <x v="3"/>
    <n v="5"/>
    <x v="1"/>
    <x v="1"/>
  </r>
  <r>
    <s v="ORD01315"/>
    <x v="1460"/>
    <x v="1"/>
    <s v="Vina Kurniawan"/>
    <s v="Yogyakarta"/>
    <x v="24"/>
    <n v="45000"/>
    <n v="3"/>
    <n v="5"/>
    <n v="135000"/>
    <n v="6750"/>
    <n v="128250"/>
    <n v="78000"/>
    <n v="206250"/>
    <x v="2"/>
    <x v="0"/>
    <x v="2"/>
    <n v="1"/>
    <x v="0"/>
    <x v="1"/>
  </r>
  <r>
    <s v="ORD00387"/>
    <x v="1461"/>
    <x v="1"/>
    <s v="Vina Kurniawan"/>
    <s v="Yogyakarta"/>
    <x v="13"/>
    <n v="17000"/>
    <n v="3"/>
    <n v="15"/>
    <n v="51000"/>
    <n v="7650"/>
    <n v="43350"/>
    <n v="78000"/>
    <n v="121350"/>
    <x v="2"/>
    <x v="0"/>
    <x v="3"/>
    <n v="2"/>
    <x v="0"/>
    <x v="1"/>
  </r>
  <r>
    <s v="ORD01786"/>
    <x v="1462"/>
    <x v="1"/>
    <s v="Qori Utami"/>
    <s v="Serang"/>
    <x v="25"/>
    <n v="35000"/>
    <n v="3"/>
    <n v="0"/>
    <n v="105000"/>
    <n v="0"/>
    <n v="105000"/>
    <n v="57000"/>
    <n v="162000"/>
    <x v="0"/>
    <x v="0"/>
    <x v="4"/>
    <n v="2"/>
    <x v="0"/>
    <x v="0"/>
  </r>
  <r>
    <s v="ORD00446"/>
    <x v="1463"/>
    <x v="1"/>
    <s v="Yani Hidayat"/>
    <s v="Gorontalo"/>
    <x v="18"/>
    <n v="6000"/>
    <n v="3"/>
    <n v="10"/>
    <n v="18000"/>
    <n v="1800"/>
    <n v="16200"/>
    <n v="80000"/>
    <n v="96200"/>
    <x v="3"/>
    <x v="0"/>
    <x v="1"/>
    <n v="5"/>
    <x v="0"/>
    <x v="0"/>
  </r>
  <r>
    <s v="ORD01228"/>
    <x v="1464"/>
    <x v="1"/>
    <s v="Aulia Budiman"/>
    <s v="Jakarta"/>
    <x v="14"/>
    <n v="35000"/>
    <n v="1"/>
    <n v="5"/>
    <n v="35000"/>
    <n v="1750"/>
    <n v="33250"/>
    <n v="97000"/>
    <n v="130250"/>
    <x v="2"/>
    <x v="1"/>
    <x v="2"/>
    <n v="4"/>
    <x v="0"/>
    <x v="0"/>
  </r>
  <r>
    <s v="ORD01648"/>
    <x v="1465"/>
    <x v="1"/>
    <s v="Putri Hidayat"/>
    <s v="Padang"/>
    <x v="1"/>
    <n v="5000"/>
    <n v="4"/>
    <n v="20"/>
    <n v="20000"/>
    <n v="4000"/>
    <n v="16000"/>
    <n v="68000"/>
    <n v="84000"/>
    <x v="1"/>
    <x v="0"/>
    <x v="4"/>
    <n v="1"/>
    <x v="0"/>
    <x v="0"/>
  </r>
  <r>
    <s v="ORD00041"/>
    <x v="1466"/>
    <x v="1"/>
    <s v="Wahyu Santoso"/>
    <s v="Pangkalpinang"/>
    <x v="23"/>
    <n v="10000"/>
    <n v="4"/>
    <n v="5"/>
    <n v="40000"/>
    <n v="2000"/>
    <n v="38000"/>
    <n v="18000"/>
    <n v="56000"/>
    <x v="2"/>
    <x v="0"/>
    <x v="2"/>
    <n v="4"/>
    <x v="1"/>
    <x v="0"/>
  </r>
  <r>
    <s v="ORD00041"/>
    <x v="1466"/>
    <x v="1"/>
    <s v="Wahyu Santoso"/>
    <s v="Pangkalpinang"/>
    <x v="16"/>
    <n v="25000"/>
    <n v="5"/>
    <n v="0"/>
    <n v="125000"/>
    <n v="0"/>
    <n v="125000"/>
    <n v="0"/>
    <n v="125000"/>
    <x v="2"/>
    <x v="0"/>
    <x v="2"/>
    <n v="4"/>
    <x v="1"/>
    <x v="0"/>
  </r>
  <r>
    <s v="ORD00923"/>
    <x v="1467"/>
    <x v="1"/>
    <s v="Yani Hidayat"/>
    <s v="Gorontalo"/>
    <x v="22"/>
    <n v="18000"/>
    <n v="1"/>
    <n v="20"/>
    <n v="18000"/>
    <n v="3600"/>
    <n v="14400"/>
    <n v="80000"/>
    <n v="94400"/>
    <x v="3"/>
    <x v="0"/>
    <x v="1"/>
    <n v="1"/>
    <x v="0"/>
    <x v="0"/>
  </r>
  <r>
    <s v="ORD01366"/>
    <x v="1468"/>
    <x v="1"/>
    <s v="Dewi Halim"/>
    <s v="Tanjungpinang"/>
    <x v="15"/>
    <n v="14000"/>
    <n v="3"/>
    <n v="0"/>
    <n v="42000"/>
    <n v="0"/>
    <n v="42000"/>
    <n v="48000"/>
    <n v="90000"/>
    <x v="0"/>
    <x v="0"/>
    <x v="2"/>
    <n v="1"/>
    <x v="0"/>
    <x v="0"/>
  </r>
  <r>
    <s v="ORD00472"/>
    <x v="1469"/>
    <x v="1"/>
    <s v="Erna Hidayat"/>
    <s v="Bandar Lampung"/>
    <x v="15"/>
    <n v="14000"/>
    <n v="4"/>
    <n v="5"/>
    <n v="56000"/>
    <n v="2800"/>
    <n v="53200"/>
    <n v="28000"/>
    <n v="81200"/>
    <x v="0"/>
    <x v="0"/>
    <x v="2"/>
    <n v="5"/>
    <x v="0"/>
    <x v="0"/>
  </r>
  <r>
    <s v="ORD00736"/>
    <x v="1470"/>
    <x v="1"/>
    <s v="Nanda Utami"/>
    <s v="Manado"/>
    <x v="16"/>
    <n v="25000"/>
    <n v="4"/>
    <n v="0"/>
    <n v="100000"/>
    <n v="0"/>
    <n v="100000"/>
    <n v="93000"/>
    <n v="193000"/>
    <x v="0"/>
    <x v="0"/>
    <x v="1"/>
    <n v="2"/>
    <x v="1"/>
    <x v="0"/>
  </r>
  <r>
    <s v="ORD01103"/>
    <x v="1471"/>
    <x v="1"/>
    <s v="Erna Santoso"/>
    <s v="Samarinda"/>
    <x v="10"/>
    <n v="15000"/>
    <n v="3"/>
    <n v="15"/>
    <n v="45000"/>
    <n v="6750"/>
    <n v="38250"/>
    <n v="43000"/>
    <n v="81250"/>
    <x v="3"/>
    <x v="1"/>
    <x v="1"/>
    <n v="1"/>
    <x v="0"/>
    <x v="1"/>
  </r>
  <r>
    <s v="ORD00344"/>
    <x v="1472"/>
    <x v="1"/>
    <s v="Dina Ananda"/>
    <s v="Semarang"/>
    <x v="13"/>
    <n v="17000"/>
    <n v="5"/>
    <n v="20"/>
    <n v="85000"/>
    <n v="17000"/>
    <n v="68000"/>
    <n v="76000"/>
    <n v="144000"/>
    <x v="2"/>
    <x v="1"/>
    <x v="2"/>
    <n v="2"/>
    <x v="0"/>
    <x v="2"/>
  </r>
  <r>
    <s v="ORD01013"/>
    <x v="1473"/>
    <x v="1"/>
    <s v="Joko Nugroho"/>
    <s v="Bandar Lampung"/>
    <x v="19"/>
    <n v="22000"/>
    <n v="3"/>
    <n v="15"/>
    <n v="66000"/>
    <n v="9900"/>
    <n v="56100"/>
    <n v="28000"/>
    <n v="84100"/>
    <x v="0"/>
    <x v="0"/>
    <x v="4"/>
    <n v="5"/>
    <x v="1"/>
    <x v="1"/>
  </r>
  <r>
    <s v="ORD00621"/>
    <x v="1474"/>
    <x v="1"/>
    <s v="Citra Hidayat"/>
    <s v="Merauke"/>
    <x v="2"/>
    <n v="16000"/>
    <n v="3"/>
    <n v="0"/>
    <n v="48000"/>
    <n v="0"/>
    <n v="48000"/>
    <n v="59000"/>
    <n v="107000"/>
    <x v="3"/>
    <x v="0"/>
    <x v="0"/>
    <n v="4"/>
    <x v="0"/>
    <x v="0"/>
  </r>
  <r>
    <s v="ORD00118"/>
    <x v="1475"/>
    <x v="1"/>
    <s v="Erna Hidayat"/>
    <s v="Bandar Lampung"/>
    <x v="6"/>
    <n v="14000"/>
    <n v="2"/>
    <n v="15"/>
    <n v="28000"/>
    <n v="4200"/>
    <n v="23800"/>
    <n v="28000"/>
    <n v="51800"/>
    <x v="0"/>
    <x v="0"/>
    <x v="1"/>
    <n v="5"/>
    <x v="0"/>
    <x v="0"/>
  </r>
  <r>
    <s v="ORD00134"/>
    <x v="1476"/>
    <x v="1"/>
    <s v="Lestari Kusuma"/>
    <s v="Palangka Raya"/>
    <x v="15"/>
    <n v="14000"/>
    <n v="2"/>
    <n v="10"/>
    <n v="28000"/>
    <n v="2800"/>
    <n v="25200"/>
    <n v="50000"/>
    <n v="75200"/>
    <x v="2"/>
    <x v="0"/>
    <x v="4"/>
    <n v="5"/>
    <x v="0"/>
    <x v="0"/>
  </r>
  <r>
    <s v="ORD00126"/>
    <x v="1477"/>
    <x v="1"/>
    <s v="Clara Puspita"/>
    <s v="Medan"/>
    <x v="23"/>
    <n v="10000"/>
    <n v="3"/>
    <n v="0"/>
    <n v="30000"/>
    <n v="0"/>
    <n v="30000"/>
    <n v="79000"/>
    <n v="109000"/>
    <x v="0"/>
    <x v="0"/>
    <x v="1"/>
    <n v="1"/>
    <x v="0"/>
    <x v="0"/>
  </r>
  <r>
    <s v="ORD01061"/>
    <x v="1478"/>
    <x v="1"/>
    <s v="Vina Kurniawan"/>
    <s v="Yogyakarta"/>
    <x v="12"/>
    <n v="55000"/>
    <n v="2"/>
    <n v="0"/>
    <n v="110000"/>
    <n v="0"/>
    <n v="110000"/>
    <n v="78000"/>
    <n v="188000"/>
    <x v="1"/>
    <x v="0"/>
    <x v="4"/>
    <n v="1"/>
    <x v="0"/>
    <x v="0"/>
  </r>
  <r>
    <s v="ORD00308"/>
    <x v="1479"/>
    <x v="1"/>
    <s v="Vina Hidayat"/>
    <s v="Nabire"/>
    <x v="19"/>
    <n v="22000"/>
    <n v="5"/>
    <n v="0"/>
    <n v="110000"/>
    <n v="0"/>
    <n v="110000"/>
    <n v="89000"/>
    <n v="199000"/>
    <x v="2"/>
    <x v="1"/>
    <x v="4"/>
    <n v="2"/>
    <x v="0"/>
    <x v="0"/>
  </r>
  <r>
    <s v="ORD01645"/>
    <x v="1480"/>
    <x v="1"/>
    <s v="Andi Iskandar"/>
    <s v="Jambi"/>
    <x v="2"/>
    <n v="16000"/>
    <n v="2"/>
    <n v="0"/>
    <n v="32000"/>
    <n v="0"/>
    <n v="32000"/>
    <n v="87000"/>
    <n v="119000"/>
    <x v="2"/>
    <x v="1"/>
    <x v="2"/>
    <n v="4"/>
    <x v="1"/>
    <x v="0"/>
  </r>
  <r>
    <s v="ORD00469"/>
    <x v="1481"/>
    <x v="1"/>
    <s v="Erna Utami"/>
    <s v="Jambi"/>
    <x v="11"/>
    <n v="40000"/>
    <n v="5"/>
    <n v="15"/>
    <n v="200000"/>
    <n v="30000"/>
    <n v="170000"/>
    <n v="87000"/>
    <n v="257000"/>
    <x v="2"/>
    <x v="1"/>
    <x v="2"/>
    <n v="4"/>
    <x v="0"/>
    <x v="2"/>
  </r>
  <r>
    <s v="ORD00516"/>
    <x v="1482"/>
    <x v="1"/>
    <s v="Clara Hidayat"/>
    <s v="Mamuju"/>
    <x v="18"/>
    <n v="6000"/>
    <n v="1"/>
    <n v="15"/>
    <n v="6000"/>
    <n v="900"/>
    <n v="5100"/>
    <n v="46000"/>
    <n v="51100"/>
    <x v="2"/>
    <x v="0"/>
    <x v="4"/>
    <n v="5"/>
    <x v="0"/>
    <x v="0"/>
  </r>
  <r>
    <s v="ORD01035"/>
    <x v="1483"/>
    <x v="1"/>
    <s v="Zahra Maulana"/>
    <s v="Wamena"/>
    <x v="11"/>
    <n v="40000"/>
    <n v="1"/>
    <n v="0"/>
    <n v="40000"/>
    <n v="0"/>
    <n v="40000"/>
    <n v="15000"/>
    <n v="55000"/>
    <x v="3"/>
    <x v="0"/>
    <x v="2"/>
    <n v="1"/>
    <x v="0"/>
    <x v="0"/>
  </r>
  <r>
    <s v="ORD01012"/>
    <x v="1484"/>
    <x v="1"/>
    <s v="Ani Fauziah"/>
    <s v="Jakarta"/>
    <x v="3"/>
    <n v="28000"/>
    <n v="5"/>
    <n v="15"/>
    <n v="140000"/>
    <n v="21000"/>
    <n v="119000"/>
    <n v="97000"/>
    <n v="216000"/>
    <x v="1"/>
    <x v="0"/>
    <x v="4"/>
    <n v="2"/>
    <x v="0"/>
    <x v="2"/>
  </r>
  <r>
    <s v="ORD01261"/>
    <x v="1485"/>
    <x v="1"/>
    <s v="Yani Saputra"/>
    <s v="Jayapura"/>
    <x v="24"/>
    <n v="45000"/>
    <n v="1"/>
    <n v="15"/>
    <n v="45000"/>
    <n v="6750"/>
    <n v="38250"/>
    <n v="30000"/>
    <n v="68250"/>
    <x v="0"/>
    <x v="0"/>
    <x v="0"/>
    <n v="3"/>
    <x v="0"/>
    <x v="1"/>
  </r>
  <r>
    <s v="ORD00448"/>
    <x v="1486"/>
    <x v="1"/>
    <s v="Fitri Budiman"/>
    <s v="Manokwari"/>
    <x v="2"/>
    <n v="16000"/>
    <n v="3"/>
    <n v="20"/>
    <n v="48000"/>
    <n v="9600"/>
    <n v="38400"/>
    <n v="18000"/>
    <n v="56400"/>
    <x v="2"/>
    <x v="0"/>
    <x v="0"/>
    <n v="5"/>
    <x v="0"/>
    <x v="1"/>
  </r>
  <r>
    <s v="ORD00448"/>
    <x v="1486"/>
    <x v="1"/>
    <s v="Fitri Budiman"/>
    <s v="Manokwari"/>
    <x v="22"/>
    <n v="18000"/>
    <n v="5"/>
    <n v="10"/>
    <n v="90000"/>
    <n v="9000"/>
    <n v="81000"/>
    <n v="0"/>
    <n v="81000"/>
    <x v="2"/>
    <x v="0"/>
    <x v="0"/>
    <n v="5"/>
    <x v="0"/>
    <x v="1"/>
  </r>
  <r>
    <s v="ORD01216"/>
    <x v="1487"/>
    <x v="1"/>
    <s v="Erna Kurniawan"/>
    <s v="Tanjung Selor"/>
    <x v="5"/>
    <n v="40000"/>
    <n v="2"/>
    <n v="15"/>
    <n v="80000"/>
    <n v="12000"/>
    <n v="68000"/>
    <n v="26000"/>
    <n v="94000"/>
    <x v="0"/>
    <x v="0"/>
    <x v="4"/>
    <n v="4"/>
    <x v="0"/>
    <x v="1"/>
  </r>
  <r>
    <s v="ORD01222"/>
    <x v="1488"/>
    <x v="1"/>
    <s v="Clara Utami"/>
    <s v="Pangkalpinang"/>
    <x v="25"/>
    <n v="35000"/>
    <n v="1"/>
    <n v="0"/>
    <n v="35000"/>
    <n v="0"/>
    <n v="35000"/>
    <n v="18000"/>
    <n v="53000"/>
    <x v="1"/>
    <x v="1"/>
    <x v="3"/>
    <n v="1"/>
    <x v="0"/>
    <x v="0"/>
  </r>
  <r>
    <s v="ORD01787"/>
    <x v="1489"/>
    <x v="1"/>
    <s v="Hendra Syahputra"/>
    <s v="Wamena"/>
    <x v="3"/>
    <n v="28000"/>
    <n v="3"/>
    <n v="0"/>
    <n v="84000"/>
    <n v="0"/>
    <n v="84000"/>
    <n v="15000"/>
    <n v="99000"/>
    <x v="2"/>
    <x v="0"/>
    <x v="3"/>
    <n v="5"/>
    <x v="1"/>
    <x v="0"/>
  </r>
  <r>
    <s v="ORD01624"/>
    <x v="1490"/>
    <x v="1"/>
    <s v="Vina Budiman"/>
    <s v="Samarinda"/>
    <x v="9"/>
    <n v="50000"/>
    <n v="4"/>
    <n v="15"/>
    <n v="200000"/>
    <n v="30000"/>
    <n v="170000"/>
    <n v="43000"/>
    <n v="213000"/>
    <x v="0"/>
    <x v="1"/>
    <x v="2"/>
    <n v="1"/>
    <x v="0"/>
    <x v="2"/>
  </r>
  <r>
    <s v="ORD00312"/>
    <x v="1491"/>
    <x v="1"/>
    <s v="Zahra Hidayat"/>
    <s v="Nabire"/>
    <x v="24"/>
    <n v="45000"/>
    <n v="4"/>
    <n v="5"/>
    <n v="180000"/>
    <n v="9000"/>
    <n v="171000"/>
    <n v="89000"/>
    <n v="260000"/>
    <x v="1"/>
    <x v="1"/>
    <x v="3"/>
    <n v="4"/>
    <x v="0"/>
    <x v="1"/>
  </r>
  <r>
    <s v="ORD00312"/>
    <x v="1491"/>
    <x v="1"/>
    <s v="Zahra Hidayat"/>
    <s v="Nabire"/>
    <x v="9"/>
    <n v="50000"/>
    <n v="3"/>
    <n v="15"/>
    <n v="150000"/>
    <n v="22500"/>
    <n v="127500"/>
    <n v="0"/>
    <n v="127500"/>
    <x v="1"/>
    <x v="1"/>
    <x v="3"/>
    <n v="4"/>
    <x v="0"/>
    <x v="2"/>
  </r>
  <r>
    <s v="ORD00978"/>
    <x v="1492"/>
    <x v="1"/>
    <s v="Sari Halim"/>
    <s v="Banjarbaru"/>
    <x v="15"/>
    <n v="14000"/>
    <n v="3"/>
    <n v="15"/>
    <n v="42000"/>
    <n v="6300"/>
    <n v="35700"/>
    <n v="55000"/>
    <n v="90700"/>
    <x v="1"/>
    <x v="0"/>
    <x v="0"/>
    <n v="1"/>
    <x v="0"/>
    <x v="1"/>
  </r>
  <r>
    <s v="ORD01836"/>
    <x v="1493"/>
    <x v="1"/>
    <s v="Dewi Fauziah"/>
    <s v="Samarinda"/>
    <x v="18"/>
    <n v="6000"/>
    <n v="4"/>
    <n v="20"/>
    <n v="24000"/>
    <n v="4800"/>
    <n v="19200"/>
    <n v="43000"/>
    <n v="62200"/>
    <x v="0"/>
    <x v="0"/>
    <x v="2"/>
    <n v="3"/>
    <x v="0"/>
    <x v="0"/>
  </r>
  <r>
    <s v="ORD01631"/>
    <x v="1494"/>
    <x v="1"/>
    <s v="Ani Utami"/>
    <s v="Banjarbaru"/>
    <x v="0"/>
    <n v="45000"/>
    <n v="3"/>
    <n v="5"/>
    <n v="135000"/>
    <n v="6750"/>
    <n v="128250"/>
    <n v="55000"/>
    <n v="183250"/>
    <x v="2"/>
    <x v="1"/>
    <x v="1"/>
    <n v="3"/>
    <x v="0"/>
    <x v="1"/>
  </r>
  <r>
    <s v="ORD01031"/>
    <x v="1495"/>
    <x v="1"/>
    <s v="Dina Setiawan"/>
    <s v="Mamuju"/>
    <x v="12"/>
    <n v="55000"/>
    <n v="4"/>
    <n v="15"/>
    <n v="220000"/>
    <n v="33000"/>
    <n v="187000"/>
    <n v="46000"/>
    <n v="233000"/>
    <x v="1"/>
    <x v="0"/>
    <x v="3"/>
    <n v="5"/>
    <x v="0"/>
    <x v="3"/>
  </r>
  <r>
    <s v="ORD01615"/>
    <x v="1496"/>
    <x v="1"/>
    <s v="Dewi Santoso"/>
    <s v="Mamuju"/>
    <x v="18"/>
    <n v="6000"/>
    <n v="4"/>
    <n v="15"/>
    <n v="24000"/>
    <n v="3600"/>
    <n v="20400"/>
    <n v="46000"/>
    <n v="66400"/>
    <x v="3"/>
    <x v="0"/>
    <x v="0"/>
    <n v="4"/>
    <x v="0"/>
    <x v="0"/>
  </r>
  <r>
    <s v="ORD01365"/>
    <x v="1497"/>
    <x v="1"/>
    <s v="Clara Ramadhani"/>
    <s v="Tanjungpinang"/>
    <x v="17"/>
    <n v="30000"/>
    <n v="4"/>
    <n v="0"/>
    <n v="120000"/>
    <n v="0"/>
    <n v="120000"/>
    <n v="48000"/>
    <n v="168000"/>
    <x v="2"/>
    <x v="0"/>
    <x v="3"/>
    <n v="3"/>
    <x v="0"/>
    <x v="0"/>
  </r>
  <r>
    <s v="ORD01129"/>
    <x v="1498"/>
    <x v="1"/>
    <s v="Wahyu Fauziah"/>
    <s v="Medan"/>
    <x v="17"/>
    <n v="30000"/>
    <n v="2"/>
    <n v="15"/>
    <n v="60000"/>
    <n v="9000"/>
    <n v="51000"/>
    <n v="79000"/>
    <n v="130000"/>
    <x v="3"/>
    <x v="1"/>
    <x v="2"/>
    <n v="4"/>
    <x v="1"/>
    <x v="1"/>
  </r>
  <r>
    <s v="ORD00370"/>
    <x v="1499"/>
    <x v="1"/>
    <s v="Eka Kusuma"/>
    <s v="Pontianak"/>
    <x v="2"/>
    <n v="16000"/>
    <n v="5"/>
    <n v="5"/>
    <n v="80000"/>
    <n v="4000"/>
    <n v="76000"/>
    <n v="85000"/>
    <n v="161000"/>
    <x v="3"/>
    <x v="1"/>
    <x v="2"/>
    <n v="5"/>
    <x v="0"/>
    <x v="0"/>
  </r>
  <r>
    <s v="ORD00587"/>
    <x v="1500"/>
    <x v="1"/>
    <s v="Gita Halim"/>
    <s v="Banda Aceh"/>
    <x v="23"/>
    <n v="10000"/>
    <n v="1"/>
    <n v="5"/>
    <n v="10000"/>
    <n v="500"/>
    <n v="9500"/>
    <n v="18000"/>
    <n v="27500"/>
    <x v="3"/>
    <x v="0"/>
    <x v="1"/>
    <n v="3"/>
    <x v="0"/>
    <x v="0"/>
  </r>
  <r>
    <s v="ORD01825"/>
    <x v="1501"/>
    <x v="1"/>
    <s v="Sari Kurniawan"/>
    <s v="Medan"/>
    <x v="4"/>
    <n v="4000"/>
    <n v="5"/>
    <n v="15"/>
    <n v="20000"/>
    <n v="3000"/>
    <n v="17000"/>
    <n v="79000"/>
    <n v="96000"/>
    <x v="3"/>
    <x v="0"/>
    <x v="3"/>
    <n v="2"/>
    <x v="0"/>
    <x v="0"/>
  </r>
  <r>
    <s v="ORD00424"/>
    <x v="1502"/>
    <x v="1"/>
    <s v="Erna Santoso"/>
    <s v="Samarinda"/>
    <x v="18"/>
    <n v="6000"/>
    <n v="4"/>
    <n v="0"/>
    <n v="24000"/>
    <n v="0"/>
    <n v="24000"/>
    <n v="43000"/>
    <n v="67000"/>
    <x v="2"/>
    <x v="0"/>
    <x v="2"/>
    <n v="4"/>
    <x v="0"/>
    <x v="0"/>
  </r>
  <r>
    <s v="ORD01019"/>
    <x v="1503"/>
    <x v="1"/>
    <s v="Hana Santoso"/>
    <s v="Wamena"/>
    <x v="10"/>
    <n v="15000"/>
    <n v="5"/>
    <n v="5"/>
    <n v="75000"/>
    <n v="3750"/>
    <n v="71250"/>
    <n v="15000"/>
    <n v="86250"/>
    <x v="2"/>
    <x v="0"/>
    <x v="4"/>
    <n v="4"/>
    <x v="0"/>
    <x v="0"/>
  </r>
  <r>
    <s v="ORD01253"/>
    <x v="1504"/>
    <x v="1"/>
    <s v="Ani Maulana"/>
    <s v="Nabire"/>
    <x v="18"/>
    <n v="6000"/>
    <n v="2"/>
    <n v="0"/>
    <n v="12000"/>
    <n v="0"/>
    <n v="12000"/>
    <n v="89000"/>
    <n v="101000"/>
    <x v="0"/>
    <x v="0"/>
    <x v="4"/>
    <n v="3"/>
    <x v="0"/>
    <x v="0"/>
  </r>
  <r>
    <s v="ORD00089"/>
    <x v="1505"/>
    <x v="1"/>
    <s v="Fajar Fauziah"/>
    <s v="Padang"/>
    <x v="0"/>
    <n v="45000"/>
    <n v="3"/>
    <n v="10"/>
    <n v="135000"/>
    <n v="13500"/>
    <n v="121500"/>
    <n v="68000"/>
    <n v="189500"/>
    <x v="1"/>
    <x v="0"/>
    <x v="3"/>
    <n v="2"/>
    <x v="1"/>
    <x v="1"/>
  </r>
  <r>
    <s v="ORD00550"/>
    <x v="1506"/>
    <x v="1"/>
    <s v="Lestari Puspita"/>
    <s v="Yogyakarta"/>
    <x v="17"/>
    <n v="30000"/>
    <n v="4"/>
    <n v="0"/>
    <n v="120000"/>
    <n v="0"/>
    <n v="120000"/>
    <n v="78000"/>
    <n v="198000"/>
    <x v="0"/>
    <x v="0"/>
    <x v="0"/>
    <n v="3"/>
    <x v="0"/>
    <x v="0"/>
  </r>
  <r>
    <s v="ORD01143"/>
    <x v="1507"/>
    <x v="1"/>
    <s v="Kartika Saputra"/>
    <s v="Palu"/>
    <x v="19"/>
    <n v="22000"/>
    <n v="2"/>
    <n v="5"/>
    <n v="44000"/>
    <n v="2200"/>
    <n v="41800"/>
    <n v="67000"/>
    <n v="108800"/>
    <x v="0"/>
    <x v="0"/>
    <x v="0"/>
    <n v="3"/>
    <x v="0"/>
    <x v="0"/>
  </r>
  <r>
    <s v="ORD00321"/>
    <x v="1508"/>
    <x v="1"/>
    <s v="Dewi Kusuma"/>
    <s v="Surabaya"/>
    <x v="18"/>
    <n v="6000"/>
    <n v="2"/>
    <n v="10"/>
    <n v="12000"/>
    <n v="1200"/>
    <n v="10800"/>
    <n v="74000"/>
    <n v="84800"/>
    <x v="1"/>
    <x v="1"/>
    <x v="0"/>
    <n v="4"/>
    <x v="0"/>
    <x v="0"/>
  </r>
  <r>
    <s v="ORD00010"/>
    <x v="1509"/>
    <x v="1"/>
    <s v="Budi Hidayat"/>
    <s v="Wamena"/>
    <x v="12"/>
    <n v="55000"/>
    <n v="5"/>
    <n v="10"/>
    <n v="275000"/>
    <n v="27500"/>
    <n v="247500"/>
    <n v="15000"/>
    <n v="262500"/>
    <x v="2"/>
    <x v="0"/>
    <x v="2"/>
    <n v="2"/>
    <x v="1"/>
    <x v="2"/>
  </r>
  <r>
    <s v="ORD01564"/>
    <x v="1510"/>
    <x v="1"/>
    <s v="Gita Halim"/>
    <s v="Banda Aceh"/>
    <x v="1"/>
    <n v="5000"/>
    <n v="4"/>
    <n v="0"/>
    <n v="20000"/>
    <n v="0"/>
    <n v="20000"/>
    <n v="18000"/>
    <n v="38000"/>
    <x v="1"/>
    <x v="0"/>
    <x v="1"/>
    <n v="1"/>
    <x v="0"/>
    <x v="0"/>
  </r>
  <r>
    <s v="ORD01694"/>
    <x v="1511"/>
    <x v="1"/>
    <s v="Qori Utami"/>
    <s v="Serang"/>
    <x v="2"/>
    <n v="16000"/>
    <n v="3"/>
    <n v="5"/>
    <n v="48000"/>
    <n v="2400"/>
    <n v="45600"/>
    <n v="57000"/>
    <n v="102600"/>
    <x v="3"/>
    <x v="0"/>
    <x v="2"/>
    <n v="4"/>
    <x v="0"/>
    <x v="0"/>
  </r>
  <r>
    <s v="ORD00340"/>
    <x v="1512"/>
    <x v="1"/>
    <s v="Sari Pradipta"/>
    <s v="Banda Aceh"/>
    <x v="7"/>
    <n v="16000"/>
    <n v="1"/>
    <n v="15"/>
    <n v="16000"/>
    <n v="2400"/>
    <n v="13600"/>
    <n v="18000"/>
    <n v="31600"/>
    <x v="0"/>
    <x v="0"/>
    <x v="2"/>
    <n v="2"/>
    <x v="0"/>
    <x v="0"/>
  </r>
  <r>
    <s v="ORD00205"/>
    <x v="1513"/>
    <x v="1"/>
    <s v="Dewi Kurniawan"/>
    <s v="Semarang"/>
    <x v="10"/>
    <n v="15000"/>
    <n v="1"/>
    <n v="10"/>
    <n v="15000"/>
    <n v="1500"/>
    <n v="13500"/>
    <n v="76000"/>
    <n v="89500"/>
    <x v="3"/>
    <x v="1"/>
    <x v="2"/>
    <n v="4"/>
    <x v="0"/>
    <x v="0"/>
  </r>
  <r>
    <s v="ORD01257"/>
    <x v="1514"/>
    <x v="1"/>
    <s v="Sari Puspita"/>
    <s v="Jakarta"/>
    <x v="21"/>
    <n v="17000"/>
    <n v="4"/>
    <n v="20"/>
    <n v="68000"/>
    <n v="13600"/>
    <n v="54400"/>
    <n v="97000"/>
    <n v="151400"/>
    <x v="1"/>
    <x v="0"/>
    <x v="4"/>
    <n v="1"/>
    <x v="0"/>
    <x v="1"/>
  </r>
  <r>
    <s v="ORD00268"/>
    <x v="1515"/>
    <x v="1"/>
    <s v="Kartika Ananda"/>
    <s v="Pekanbaru"/>
    <x v="25"/>
    <n v="35000"/>
    <n v="2"/>
    <n v="10"/>
    <n v="70000"/>
    <n v="7000"/>
    <n v="63000"/>
    <n v="49000"/>
    <n v="112000"/>
    <x v="2"/>
    <x v="0"/>
    <x v="0"/>
    <n v="2"/>
    <x v="0"/>
    <x v="1"/>
  </r>
  <r>
    <s v="ORD00268"/>
    <x v="1515"/>
    <x v="1"/>
    <s v="Kartika Ananda"/>
    <s v="Pekanbaru"/>
    <x v="19"/>
    <n v="22000"/>
    <n v="1"/>
    <n v="15"/>
    <n v="22000"/>
    <n v="3300"/>
    <n v="18700"/>
    <n v="0"/>
    <n v="18700"/>
    <x v="2"/>
    <x v="0"/>
    <x v="0"/>
    <n v="2"/>
    <x v="0"/>
    <x v="0"/>
  </r>
  <r>
    <s v="ORD00547"/>
    <x v="1516"/>
    <x v="1"/>
    <s v="Arif Maulana"/>
    <s v="Jakarta"/>
    <x v="22"/>
    <n v="18000"/>
    <n v="4"/>
    <n v="5"/>
    <n v="72000"/>
    <n v="3600"/>
    <n v="68400"/>
    <n v="97000"/>
    <n v="165400"/>
    <x v="1"/>
    <x v="1"/>
    <x v="1"/>
    <n v="2"/>
    <x v="1"/>
    <x v="0"/>
  </r>
  <r>
    <s v="ORD00203"/>
    <x v="1517"/>
    <x v="1"/>
    <s v="Erna Maulana"/>
    <s v="Sorong"/>
    <x v="7"/>
    <n v="16000"/>
    <n v="3"/>
    <n v="5"/>
    <n v="48000"/>
    <n v="2400"/>
    <n v="45600"/>
    <n v="87000"/>
    <n v="132600"/>
    <x v="0"/>
    <x v="0"/>
    <x v="1"/>
    <n v="1"/>
    <x v="0"/>
    <x v="0"/>
  </r>
  <r>
    <s v="ORD01136"/>
    <x v="1518"/>
    <x v="1"/>
    <s v="Dewi Wijaya"/>
    <s v="Jayapura"/>
    <x v="26"/>
    <n v="18000"/>
    <n v="4"/>
    <n v="15"/>
    <n v="72000"/>
    <n v="10800"/>
    <n v="61200"/>
    <n v="30000"/>
    <n v="91200"/>
    <x v="2"/>
    <x v="0"/>
    <x v="4"/>
    <n v="4"/>
    <x v="0"/>
    <x v="1"/>
  </r>
  <r>
    <s v="ORD01863"/>
    <x v="1519"/>
    <x v="1"/>
    <s v="Erna Setiawan"/>
    <s v="Denpasar"/>
    <x v="17"/>
    <n v="30000"/>
    <n v="2"/>
    <n v="15"/>
    <n v="60000"/>
    <n v="9000"/>
    <n v="51000"/>
    <n v="80000"/>
    <n v="131000"/>
    <x v="3"/>
    <x v="0"/>
    <x v="3"/>
    <n v="4"/>
    <x v="0"/>
    <x v="1"/>
  </r>
  <r>
    <s v="ORD01676"/>
    <x v="1520"/>
    <x v="1"/>
    <s v="Erna Wijaya"/>
    <s v="Bandar Lampung"/>
    <x v="10"/>
    <n v="15000"/>
    <n v="4"/>
    <n v="5"/>
    <n v="60000"/>
    <n v="3000"/>
    <n v="57000"/>
    <n v="28000"/>
    <n v="85000"/>
    <x v="2"/>
    <x v="0"/>
    <x v="3"/>
    <n v="2"/>
    <x v="0"/>
    <x v="0"/>
  </r>
  <r>
    <s v="ORD01399"/>
    <x v="1521"/>
    <x v="1"/>
    <s v="Clara Kusuma"/>
    <s v="Jakarta"/>
    <x v="5"/>
    <n v="40000"/>
    <n v="5"/>
    <n v="5"/>
    <n v="200000"/>
    <n v="10000"/>
    <n v="190000"/>
    <n v="97000"/>
    <n v="287000"/>
    <x v="3"/>
    <x v="0"/>
    <x v="1"/>
    <n v="5"/>
    <x v="0"/>
    <x v="1"/>
  </r>
  <r>
    <s v="ORD01092"/>
    <x v="1522"/>
    <x v="1"/>
    <s v="Indra Puspita"/>
    <s v="Ambon"/>
    <x v="4"/>
    <n v="4000"/>
    <n v="3"/>
    <n v="15"/>
    <n v="12000"/>
    <n v="1800"/>
    <n v="10200"/>
    <n v="49000"/>
    <n v="59200"/>
    <x v="1"/>
    <x v="0"/>
    <x v="2"/>
    <n v="1"/>
    <x v="1"/>
    <x v="0"/>
  </r>
  <r>
    <s v="ORD01628"/>
    <x v="1523"/>
    <x v="1"/>
    <s v="Yoga Utami"/>
    <s v="Banjarbaru"/>
    <x v="5"/>
    <n v="40000"/>
    <n v="3"/>
    <n v="10"/>
    <n v="120000"/>
    <n v="12000"/>
    <n v="108000"/>
    <n v="55000"/>
    <n v="163000"/>
    <x v="2"/>
    <x v="0"/>
    <x v="0"/>
    <n v="2"/>
    <x v="1"/>
    <x v="1"/>
  </r>
  <r>
    <s v="ORD00279"/>
    <x v="1524"/>
    <x v="1"/>
    <s v="Clara Kusuma"/>
    <s v="Jakarta"/>
    <x v="22"/>
    <n v="18000"/>
    <n v="5"/>
    <n v="5"/>
    <n v="90000"/>
    <n v="4500"/>
    <n v="85500"/>
    <n v="97000"/>
    <n v="182500"/>
    <x v="1"/>
    <x v="0"/>
    <x v="3"/>
    <n v="2"/>
    <x v="0"/>
    <x v="0"/>
  </r>
  <r>
    <s v="ORD01612"/>
    <x v="1525"/>
    <x v="1"/>
    <s v="Iwan Maulana"/>
    <s v="Pontianak"/>
    <x v="0"/>
    <n v="45000"/>
    <n v="5"/>
    <n v="5"/>
    <n v="225000"/>
    <n v="11250"/>
    <n v="213750"/>
    <n v="85000"/>
    <n v="298750"/>
    <x v="1"/>
    <x v="0"/>
    <x v="2"/>
    <n v="3"/>
    <x v="1"/>
    <x v="1"/>
  </r>
  <r>
    <s v="ORD00201"/>
    <x v="1526"/>
    <x v="1"/>
    <s v="Qori Wijaya"/>
    <s v="Samarinda"/>
    <x v="3"/>
    <n v="28000"/>
    <n v="2"/>
    <n v="15"/>
    <n v="56000"/>
    <n v="8400"/>
    <n v="47600"/>
    <n v="43000"/>
    <n v="90600"/>
    <x v="1"/>
    <x v="0"/>
    <x v="0"/>
    <n v="5"/>
    <x v="0"/>
    <x v="1"/>
  </r>
  <r>
    <s v="ORD01597"/>
    <x v="1527"/>
    <x v="1"/>
    <s v="Qori Syahputra"/>
    <s v="Jayapura"/>
    <x v="4"/>
    <n v="4000"/>
    <n v="3"/>
    <n v="5"/>
    <n v="12000"/>
    <n v="600"/>
    <n v="11400"/>
    <n v="30000"/>
    <n v="41400"/>
    <x v="0"/>
    <x v="0"/>
    <x v="3"/>
    <n v="5"/>
    <x v="0"/>
    <x v="0"/>
  </r>
  <r>
    <s v="ORD00284"/>
    <x v="1528"/>
    <x v="1"/>
    <s v="Putri Wijaya"/>
    <s v="Jayapura"/>
    <x v="9"/>
    <n v="50000"/>
    <n v="5"/>
    <n v="10"/>
    <n v="250000"/>
    <n v="25000"/>
    <n v="225000"/>
    <n v="30000"/>
    <n v="255000"/>
    <x v="0"/>
    <x v="1"/>
    <x v="1"/>
    <n v="5"/>
    <x v="0"/>
    <x v="2"/>
  </r>
  <r>
    <s v="ORD00298"/>
    <x v="1529"/>
    <x v="1"/>
    <s v="Citra Iskandar"/>
    <s v="Palangka Raya"/>
    <x v="4"/>
    <n v="4000"/>
    <n v="1"/>
    <n v="20"/>
    <n v="4000"/>
    <n v="800"/>
    <n v="3200"/>
    <n v="50000"/>
    <n v="53200"/>
    <x v="1"/>
    <x v="0"/>
    <x v="3"/>
    <n v="3"/>
    <x v="0"/>
    <x v="0"/>
  </r>
  <r>
    <s v="ORD01096"/>
    <x v="1530"/>
    <x v="1"/>
    <s v="Yoga Utami"/>
    <s v="Banjarbaru"/>
    <x v="13"/>
    <n v="17000"/>
    <n v="3"/>
    <n v="5"/>
    <n v="51000"/>
    <n v="2550"/>
    <n v="48450"/>
    <n v="55000"/>
    <n v="103450"/>
    <x v="2"/>
    <x v="0"/>
    <x v="2"/>
    <n v="1"/>
    <x v="1"/>
    <x v="0"/>
  </r>
  <r>
    <s v="ORD00963"/>
    <x v="1531"/>
    <x v="1"/>
    <s v="Oka Kurniawan"/>
    <s v="Sorong"/>
    <x v="22"/>
    <n v="18000"/>
    <n v="5"/>
    <n v="5"/>
    <n v="90000"/>
    <n v="4500"/>
    <n v="85500"/>
    <n v="87000"/>
    <n v="172500"/>
    <x v="3"/>
    <x v="0"/>
    <x v="4"/>
    <n v="5"/>
    <x v="1"/>
    <x v="0"/>
  </r>
  <r>
    <s v="ORD01329"/>
    <x v="1532"/>
    <x v="1"/>
    <s v="Aulia Syahputra"/>
    <s v="Medan"/>
    <x v="10"/>
    <n v="15000"/>
    <n v="2"/>
    <n v="5"/>
    <n v="30000"/>
    <n v="1500"/>
    <n v="28500"/>
    <n v="79000"/>
    <n v="107500"/>
    <x v="0"/>
    <x v="0"/>
    <x v="2"/>
    <n v="5"/>
    <x v="0"/>
    <x v="0"/>
  </r>
  <r>
    <s v="ORD01736"/>
    <x v="1533"/>
    <x v="1"/>
    <s v="Zahra Budiman"/>
    <s v="Ambon"/>
    <x v="10"/>
    <n v="15000"/>
    <n v="2"/>
    <n v="20"/>
    <n v="30000"/>
    <n v="6000"/>
    <n v="24000"/>
    <n v="49000"/>
    <n v="73000"/>
    <x v="2"/>
    <x v="0"/>
    <x v="3"/>
    <n v="5"/>
    <x v="0"/>
    <x v="1"/>
  </r>
  <r>
    <s v="ORD00481"/>
    <x v="1534"/>
    <x v="1"/>
    <s v="Citra Iskandar"/>
    <s v="Palangka Raya"/>
    <x v="1"/>
    <n v="5000"/>
    <n v="1"/>
    <n v="10"/>
    <n v="5000"/>
    <n v="500"/>
    <n v="4500"/>
    <n v="50000"/>
    <n v="54500"/>
    <x v="2"/>
    <x v="1"/>
    <x v="4"/>
    <n v="3"/>
    <x v="0"/>
    <x v="0"/>
  </r>
  <r>
    <s v="ORD01117"/>
    <x v="1535"/>
    <x v="1"/>
    <s v="Hana Saputra"/>
    <s v="Bengkulu"/>
    <x v="18"/>
    <n v="6000"/>
    <n v="2"/>
    <n v="0"/>
    <n v="12000"/>
    <n v="0"/>
    <n v="12000"/>
    <n v="72000"/>
    <n v="84000"/>
    <x v="2"/>
    <x v="0"/>
    <x v="3"/>
    <n v="3"/>
    <x v="0"/>
    <x v="0"/>
  </r>
  <r>
    <s v="ORD00047"/>
    <x v="1536"/>
    <x v="1"/>
    <s v="Joko Maulana"/>
    <s v="Ambon"/>
    <x v="23"/>
    <n v="10000"/>
    <n v="5"/>
    <n v="0"/>
    <n v="50000"/>
    <n v="0"/>
    <n v="50000"/>
    <n v="49000"/>
    <n v="99000"/>
    <x v="3"/>
    <x v="0"/>
    <x v="1"/>
    <n v="1"/>
    <x v="1"/>
    <x v="0"/>
  </r>
  <r>
    <s v="ORD00270"/>
    <x v="1537"/>
    <x v="1"/>
    <s v="Zahra Saputra"/>
    <s v="Palembang"/>
    <x v="13"/>
    <n v="17000"/>
    <n v="3"/>
    <n v="0"/>
    <n v="51000"/>
    <n v="0"/>
    <n v="51000"/>
    <n v="17000"/>
    <n v="68000"/>
    <x v="3"/>
    <x v="0"/>
    <x v="1"/>
    <n v="5"/>
    <x v="0"/>
    <x v="0"/>
  </r>
  <r>
    <s v="ORD00786"/>
    <x v="1538"/>
    <x v="1"/>
    <s v="Erna Budiman"/>
    <s v="Sorong"/>
    <x v="14"/>
    <n v="35000"/>
    <n v="4"/>
    <n v="0"/>
    <n v="140000"/>
    <n v="0"/>
    <n v="140000"/>
    <n v="87000"/>
    <n v="227000"/>
    <x v="2"/>
    <x v="2"/>
    <x v="4"/>
    <n v="4"/>
    <x v="0"/>
    <x v="0"/>
  </r>
  <r>
    <s v="ORD00654"/>
    <x v="1539"/>
    <x v="1"/>
    <s v="Fajar Puspita"/>
    <s v="Denpasar"/>
    <x v="10"/>
    <n v="15000"/>
    <n v="5"/>
    <n v="10"/>
    <n v="75000"/>
    <n v="7500"/>
    <n v="67500"/>
    <n v="80000"/>
    <n v="147500"/>
    <x v="0"/>
    <x v="0"/>
    <x v="1"/>
    <n v="3"/>
    <x v="1"/>
    <x v="1"/>
  </r>
  <r>
    <s v="ORD00263"/>
    <x v="1540"/>
    <x v="1"/>
    <s v="Citra Utami"/>
    <s v="Tanjungpinang"/>
    <x v="18"/>
    <n v="6000"/>
    <n v="1"/>
    <n v="20"/>
    <n v="6000"/>
    <n v="1200"/>
    <n v="4800"/>
    <n v="48000"/>
    <n v="52800"/>
    <x v="3"/>
    <x v="1"/>
    <x v="0"/>
    <n v="1"/>
    <x v="0"/>
    <x v="0"/>
  </r>
  <r>
    <s v="ORD00263"/>
    <x v="1540"/>
    <x v="1"/>
    <s v="Citra Utami"/>
    <s v="Tanjungpinang"/>
    <x v="5"/>
    <n v="40000"/>
    <n v="4"/>
    <n v="15"/>
    <n v="160000"/>
    <n v="24000"/>
    <n v="136000"/>
    <n v="0"/>
    <n v="136000"/>
    <x v="3"/>
    <x v="1"/>
    <x v="0"/>
    <n v="1"/>
    <x v="0"/>
    <x v="2"/>
  </r>
  <r>
    <s v="ORD01724"/>
    <x v="1541"/>
    <x v="1"/>
    <s v="Sari Kurniawan"/>
    <s v="Medan"/>
    <x v="23"/>
    <n v="10000"/>
    <n v="1"/>
    <n v="0"/>
    <n v="10000"/>
    <n v="0"/>
    <n v="10000"/>
    <n v="79000"/>
    <n v="89000"/>
    <x v="0"/>
    <x v="0"/>
    <x v="4"/>
    <n v="1"/>
    <x v="0"/>
    <x v="0"/>
  </r>
  <r>
    <s v="ORD00604"/>
    <x v="1542"/>
    <x v="1"/>
    <s v="Lestari Fauziah"/>
    <s v="Banjarbaru"/>
    <x v="6"/>
    <n v="14000"/>
    <n v="1"/>
    <n v="15"/>
    <n v="14000"/>
    <n v="2100"/>
    <n v="11900"/>
    <n v="55000"/>
    <n v="66900"/>
    <x v="1"/>
    <x v="0"/>
    <x v="1"/>
    <n v="3"/>
    <x v="0"/>
    <x v="0"/>
  </r>
  <r>
    <s v="ORD00282"/>
    <x v="1543"/>
    <x v="1"/>
    <s v="Eka Ramadhani"/>
    <s v="Sorong"/>
    <x v="21"/>
    <n v="17000"/>
    <n v="3"/>
    <n v="15"/>
    <n v="51000"/>
    <n v="7650"/>
    <n v="43350"/>
    <n v="87000"/>
    <n v="130350"/>
    <x v="3"/>
    <x v="0"/>
    <x v="0"/>
    <n v="2"/>
    <x v="0"/>
    <x v="1"/>
  </r>
  <r>
    <s v="ORD00018"/>
    <x v="1544"/>
    <x v="1"/>
    <s v="Tono Puspita"/>
    <s v="Yogyakarta"/>
    <x v="22"/>
    <n v="18000"/>
    <n v="5"/>
    <n v="20"/>
    <n v="90000"/>
    <n v="18000"/>
    <n v="72000"/>
    <n v="78000"/>
    <n v="150000"/>
    <x v="0"/>
    <x v="0"/>
    <x v="3"/>
    <n v="4"/>
    <x v="1"/>
    <x v="2"/>
  </r>
  <r>
    <s v="ORD01367"/>
    <x v="1545"/>
    <x v="1"/>
    <s v="Nanda Setiawan"/>
    <s v="Sorong"/>
    <x v="9"/>
    <n v="50000"/>
    <n v="3"/>
    <n v="20"/>
    <n v="150000"/>
    <n v="30000"/>
    <n v="120000"/>
    <n v="87000"/>
    <n v="207000"/>
    <x v="1"/>
    <x v="0"/>
    <x v="0"/>
    <n v="4"/>
    <x v="1"/>
    <x v="2"/>
  </r>
  <r>
    <s v="ORD01007"/>
    <x v="1546"/>
    <x v="1"/>
    <s v="Yani Kusuma"/>
    <s v="Kendari"/>
    <x v="18"/>
    <n v="6000"/>
    <n v="2"/>
    <n v="0"/>
    <n v="12000"/>
    <n v="0"/>
    <n v="12000"/>
    <n v="59000"/>
    <n v="71000"/>
    <x v="2"/>
    <x v="0"/>
    <x v="3"/>
    <n v="2"/>
    <x v="0"/>
    <x v="0"/>
  </r>
  <r>
    <s v="ORD00986"/>
    <x v="1547"/>
    <x v="1"/>
    <s v="Clara Halim"/>
    <s v="Sorong"/>
    <x v="16"/>
    <n v="25000"/>
    <n v="3"/>
    <n v="10"/>
    <n v="75000"/>
    <n v="7500"/>
    <n v="67500"/>
    <n v="87000"/>
    <n v="154500"/>
    <x v="1"/>
    <x v="2"/>
    <x v="2"/>
    <n v="2"/>
    <x v="0"/>
    <x v="1"/>
  </r>
  <r>
    <s v="ORD01856"/>
    <x v="1548"/>
    <x v="1"/>
    <s v="Kartika Santoso"/>
    <s v="Jambi"/>
    <x v="7"/>
    <n v="16000"/>
    <n v="5"/>
    <n v="20"/>
    <n v="80000"/>
    <n v="16000"/>
    <n v="64000"/>
    <n v="87000"/>
    <n v="151000"/>
    <x v="1"/>
    <x v="0"/>
    <x v="0"/>
    <n v="3"/>
    <x v="0"/>
    <x v="2"/>
  </r>
  <r>
    <s v="ORD00476"/>
    <x v="1549"/>
    <x v="1"/>
    <s v="Yani Budiman"/>
    <s v="Sofifi"/>
    <x v="18"/>
    <n v="6000"/>
    <n v="2"/>
    <n v="15"/>
    <n v="12000"/>
    <n v="1800"/>
    <n v="10200"/>
    <n v="50000"/>
    <n v="60200"/>
    <x v="0"/>
    <x v="0"/>
    <x v="4"/>
    <n v="2"/>
    <x v="0"/>
    <x v="0"/>
  </r>
  <r>
    <s v="ORD00476"/>
    <x v="1549"/>
    <x v="1"/>
    <s v="Yani Budiman"/>
    <s v="Sofifi"/>
    <x v="9"/>
    <n v="50000"/>
    <n v="5"/>
    <n v="10"/>
    <n v="250000"/>
    <n v="25000"/>
    <n v="225000"/>
    <n v="0"/>
    <n v="225000"/>
    <x v="0"/>
    <x v="0"/>
    <x v="4"/>
    <n v="2"/>
    <x v="0"/>
    <x v="2"/>
  </r>
  <r>
    <s v="ORD01467"/>
    <x v="1550"/>
    <x v="1"/>
    <s v="Andi Wijaya"/>
    <s v="Kupang"/>
    <x v="4"/>
    <n v="4000"/>
    <n v="1"/>
    <n v="0"/>
    <n v="4000"/>
    <n v="0"/>
    <n v="4000"/>
    <n v="21000"/>
    <n v="25000"/>
    <x v="3"/>
    <x v="0"/>
    <x v="1"/>
    <n v="3"/>
    <x v="1"/>
    <x v="0"/>
  </r>
  <r>
    <s v="ORD00064"/>
    <x v="1551"/>
    <x v="1"/>
    <s v="Indra Setiawan"/>
    <s v="Mataram"/>
    <x v="20"/>
    <n v="12000"/>
    <n v="1"/>
    <n v="15"/>
    <n v="12000"/>
    <n v="1800"/>
    <n v="10200"/>
    <n v="56000"/>
    <n v="66200"/>
    <x v="3"/>
    <x v="0"/>
    <x v="1"/>
    <n v="3"/>
    <x v="1"/>
    <x v="0"/>
  </r>
  <r>
    <s v="ORD00416"/>
    <x v="1552"/>
    <x v="1"/>
    <s v="Gita Halim"/>
    <s v="Banda Aceh"/>
    <x v="15"/>
    <n v="14000"/>
    <n v="5"/>
    <n v="0"/>
    <n v="70000"/>
    <n v="0"/>
    <n v="70000"/>
    <n v="18000"/>
    <n v="88000"/>
    <x v="1"/>
    <x v="0"/>
    <x v="0"/>
    <n v="3"/>
    <x v="0"/>
    <x v="0"/>
  </r>
  <r>
    <s v="ORD00416"/>
    <x v="1552"/>
    <x v="1"/>
    <s v="Gita Halim"/>
    <s v="Banda Aceh"/>
    <x v="2"/>
    <n v="16000"/>
    <n v="2"/>
    <n v="5"/>
    <n v="32000"/>
    <n v="1600"/>
    <n v="30400"/>
    <n v="0"/>
    <n v="30400"/>
    <x v="1"/>
    <x v="0"/>
    <x v="0"/>
    <n v="3"/>
    <x v="0"/>
    <x v="0"/>
  </r>
  <r>
    <s v="ORD00703"/>
    <x v="1553"/>
    <x v="1"/>
    <s v="Lestari Fauziah"/>
    <s v="Banjarbaru"/>
    <x v="13"/>
    <n v="17000"/>
    <n v="3"/>
    <n v="20"/>
    <n v="51000"/>
    <n v="10200"/>
    <n v="40800"/>
    <n v="55000"/>
    <n v="95800"/>
    <x v="0"/>
    <x v="0"/>
    <x v="3"/>
    <n v="2"/>
    <x v="0"/>
    <x v="1"/>
  </r>
  <r>
    <s v="ORD00914"/>
    <x v="1554"/>
    <x v="1"/>
    <s v="Putri Puspita"/>
    <s v="Kendari"/>
    <x v="9"/>
    <n v="50000"/>
    <n v="5"/>
    <n v="20"/>
    <n v="250000"/>
    <n v="50000"/>
    <n v="200000"/>
    <n v="59000"/>
    <n v="259000"/>
    <x v="2"/>
    <x v="0"/>
    <x v="3"/>
    <n v="4"/>
    <x v="0"/>
    <x v="3"/>
  </r>
  <r>
    <s v="ORD01368"/>
    <x v="1555"/>
    <x v="1"/>
    <s v="Bella Maulana"/>
    <s v="Pekanbaru"/>
    <x v="15"/>
    <n v="14000"/>
    <n v="5"/>
    <n v="15"/>
    <n v="70000"/>
    <n v="10500"/>
    <n v="59500"/>
    <n v="49000"/>
    <n v="108500"/>
    <x v="2"/>
    <x v="1"/>
    <x v="2"/>
    <n v="4"/>
    <x v="0"/>
    <x v="1"/>
  </r>
  <r>
    <s v="ORD01250"/>
    <x v="1556"/>
    <x v="1"/>
    <s v="Arif Santoso"/>
    <s v="Manokwari"/>
    <x v="20"/>
    <n v="12000"/>
    <n v="4"/>
    <n v="5"/>
    <n v="48000"/>
    <n v="2400"/>
    <n v="45600"/>
    <n v="18000"/>
    <n v="63600"/>
    <x v="0"/>
    <x v="0"/>
    <x v="0"/>
    <n v="1"/>
    <x v="1"/>
    <x v="0"/>
  </r>
  <r>
    <s v="ORD01344"/>
    <x v="1557"/>
    <x v="1"/>
    <s v="Erna Budiman"/>
    <s v="Sorong"/>
    <x v="16"/>
    <n v="25000"/>
    <n v="3"/>
    <n v="5"/>
    <n v="75000"/>
    <n v="3750"/>
    <n v="71250"/>
    <n v="87000"/>
    <n v="158250"/>
    <x v="0"/>
    <x v="0"/>
    <x v="2"/>
    <n v="3"/>
    <x v="0"/>
    <x v="0"/>
  </r>
  <r>
    <s v="ORD00087"/>
    <x v="1558"/>
    <x v="1"/>
    <s v="Wahyu Santoso"/>
    <s v="Pangkalpinang"/>
    <x v="7"/>
    <n v="16000"/>
    <n v="2"/>
    <n v="5"/>
    <n v="32000"/>
    <n v="1600"/>
    <n v="30400"/>
    <n v="18000"/>
    <n v="48400"/>
    <x v="1"/>
    <x v="0"/>
    <x v="2"/>
    <n v="2"/>
    <x v="1"/>
    <x v="0"/>
  </r>
  <r>
    <s v="ORD00087"/>
    <x v="1558"/>
    <x v="1"/>
    <s v="Wahyu Santoso"/>
    <s v="Pangkalpinang"/>
    <x v="26"/>
    <n v="18000"/>
    <n v="4"/>
    <n v="10"/>
    <n v="72000"/>
    <n v="7200"/>
    <n v="64800"/>
    <n v="0"/>
    <n v="64800"/>
    <x v="1"/>
    <x v="0"/>
    <x v="2"/>
    <n v="2"/>
    <x v="1"/>
    <x v="1"/>
  </r>
  <r>
    <s v="ORD00429"/>
    <x v="1559"/>
    <x v="1"/>
    <s v="Ani Budiman"/>
    <s v="Bengkulu"/>
    <x v="8"/>
    <n v="16000"/>
    <n v="3"/>
    <n v="10"/>
    <n v="48000"/>
    <n v="4800"/>
    <n v="43200"/>
    <n v="72000"/>
    <n v="115200"/>
    <x v="3"/>
    <x v="0"/>
    <x v="3"/>
    <n v="4"/>
    <x v="0"/>
    <x v="0"/>
  </r>
  <r>
    <s v="ORD00033"/>
    <x v="1560"/>
    <x v="1"/>
    <s v="Arif Maulana"/>
    <s v="Jakarta"/>
    <x v="15"/>
    <n v="14000"/>
    <n v="2"/>
    <n v="5"/>
    <n v="28000"/>
    <n v="1400"/>
    <n v="26600"/>
    <n v="97000"/>
    <n v="123600"/>
    <x v="0"/>
    <x v="0"/>
    <x v="0"/>
    <n v="2"/>
    <x v="1"/>
    <x v="0"/>
  </r>
  <r>
    <s v="ORD00033"/>
    <x v="1560"/>
    <x v="1"/>
    <s v="Arif Maulana"/>
    <s v="Jakarta"/>
    <x v="1"/>
    <n v="5000"/>
    <n v="4"/>
    <n v="0"/>
    <n v="20000"/>
    <n v="0"/>
    <n v="20000"/>
    <n v="0"/>
    <n v="20000"/>
    <x v="0"/>
    <x v="0"/>
    <x v="0"/>
    <n v="2"/>
    <x v="1"/>
    <x v="0"/>
  </r>
  <r>
    <s v="ORD00485"/>
    <x v="1561"/>
    <x v="1"/>
    <s v="Gita Utami"/>
    <s v="Pangkalpinang"/>
    <x v="21"/>
    <n v="17000"/>
    <n v="5"/>
    <n v="10"/>
    <n v="85000"/>
    <n v="8500"/>
    <n v="76500"/>
    <n v="18000"/>
    <n v="94500"/>
    <x v="2"/>
    <x v="0"/>
    <x v="2"/>
    <n v="2"/>
    <x v="0"/>
    <x v="1"/>
  </r>
  <r>
    <s v="ORD00103"/>
    <x v="1562"/>
    <x v="1"/>
    <s v="Gita Budiman"/>
    <s v="Padang"/>
    <x v="19"/>
    <n v="22000"/>
    <n v="4"/>
    <n v="0"/>
    <n v="88000"/>
    <n v="0"/>
    <n v="88000"/>
    <n v="68000"/>
    <n v="156000"/>
    <x v="3"/>
    <x v="1"/>
    <x v="0"/>
    <n v="5"/>
    <x v="0"/>
    <x v="0"/>
  </r>
  <r>
    <s v="ORD01262"/>
    <x v="1563"/>
    <x v="1"/>
    <s v="Lestari Wijaya"/>
    <s v="Bandung"/>
    <x v="12"/>
    <n v="55000"/>
    <n v="3"/>
    <n v="5"/>
    <n v="165000"/>
    <n v="8250"/>
    <n v="156750"/>
    <n v="0"/>
    <n v="156750"/>
    <x v="1"/>
    <x v="0"/>
    <x v="2"/>
    <n v="4"/>
    <x v="0"/>
    <x v="1"/>
  </r>
  <r>
    <s v="ORD00858"/>
    <x v="1564"/>
    <x v="1"/>
    <s v="Aulia Pradipta"/>
    <s v="Yogyakarta"/>
    <x v="11"/>
    <n v="40000"/>
    <n v="1"/>
    <n v="20"/>
    <n v="40000"/>
    <n v="8000"/>
    <n v="32000"/>
    <n v="78000"/>
    <n v="110000"/>
    <x v="2"/>
    <x v="0"/>
    <x v="4"/>
    <n v="1"/>
    <x v="0"/>
    <x v="1"/>
  </r>
  <r>
    <s v="ORD01284"/>
    <x v="1565"/>
    <x v="1"/>
    <s v="Galih Budiman"/>
    <s v="Palembang"/>
    <x v="17"/>
    <n v="30000"/>
    <n v="4"/>
    <n v="5"/>
    <n v="120000"/>
    <n v="6000"/>
    <n v="114000"/>
    <n v="17000"/>
    <n v="131000"/>
    <x v="3"/>
    <x v="0"/>
    <x v="4"/>
    <n v="2"/>
    <x v="1"/>
    <x v="1"/>
  </r>
  <r>
    <s v="ORD01056"/>
    <x v="1566"/>
    <x v="1"/>
    <s v="Qori Fauziah"/>
    <s v="Surabaya"/>
    <x v="18"/>
    <n v="6000"/>
    <n v="4"/>
    <n v="20"/>
    <n v="24000"/>
    <n v="4800"/>
    <n v="19200"/>
    <n v="74000"/>
    <n v="93200"/>
    <x v="2"/>
    <x v="0"/>
    <x v="4"/>
    <n v="4"/>
    <x v="0"/>
    <x v="0"/>
  </r>
  <r>
    <s v="ORD01528"/>
    <x v="1567"/>
    <x v="1"/>
    <s v="Hana Kusuma"/>
    <s v="Denpasar"/>
    <x v="5"/>
    <n v="40000"/>
    <n v="4"/>
    <n v="20"/>
    <n v="160000"/>
    <n v="32000"/>
    <n v="128000"/>
    <n v="80000"/>
    <n v="208000"/>
    <x v="0"/>
    <x v="0"/>
    <x v="3"/>
    <n v="4"/>
    <x v="0"/>
    <x v="3"/>
  </r>
  <r>
    <s v="ORD00324"/>
    <x v="1568"/>
    <x v="1"/>
    <s v="Zahra Budiman"/>
    <s v="Ambon"/>
    <x v="7"/>
    <n v="16000"/>
    <n v="4"/>
    <n v="10"/>
    <n v="64000"/>
    <n v="6400"/>
    <n v="57600"/>
    <n v="49000"/>
    <n v="106600"/>
    <x v="0"/>
    <x v="0"/>
    <x v="1"/>
    <n v="4"/>
    <x v="0"/>
    <x v="1"/>
  </r>
  <r>
    <s v="ORD00067"/>
    <x v="1569"/>
    <x v="1"/>
    <s v="Nanda Iskandar"/>
    <s v="Pontianak"/>
    <x v="8"/>
    <n v="16000"/>
    <n v="5"/>
    <n v="20"/>
    <n v="80000"/>
    <n v="16000"/>
    <n v="64000"/>
    <n v="85000"/>
    <n v="149000"/>
    <x v="1"/>
    <x v="0"/>
    <x v="3"/>
    <n v="3"/>
    <x v="1"/>
    <x v="2"/>
  </r>
  <r>
    <s v="ORD00067"/>
    <x v="1569"/>
    <x v="1"/>
    <s v="Nanda Iskandar"/>
    <s v="Pontianak"/>
    <x v="0"/>
    <n v="45000"/>
    <n v="1"/>
    <n v="20"/>
    <n v="45000"/>
    <n v="9000"/>
    <n v="36000"/>
    <n v="0"/>
    <n v="36000"/>
    <x v="1"/>
    <x v="0"/>
    <x v="3"/>
    <n v="3"/>
    <x v="1"/>
    <x v="1"/>
  </r>
  <r>
    <s v="ORD01765"/>
    <x v="1570"/>
    <x v="1"/>
    <s v="Ani Budiman"/>
    <s v="Bengkulu"/>
    <x v="22"/>
    <n v="18000"/>
    <n v="2"/>
    <n v="5"/>
    <n v="36000"/>
    <n v="1800"/>
    <n v="34200"/>
    <n v="72000"/>
    <n v="106200"/>
    <x v="0"/>
    <x v="0"/>
    <x v="2"/>
    <n v="1"/>
    <x v="0"/>
    <x v="0"/>
  </r>
  <r>
    <s v="ORD00765"/>
    <x v="1571"/>
    <x v="1"/>
    <s v="Citra Maulana"/>
    <s v="Bengkulu"/>
    <x v="20"/>
    <n v="12000"/>
    <n v="5"/>
    <n v="10"/>
    <n v="60000"/>
    <n v="6000"/>
    <n v="54000"/>
    <n v="72000"/>
    <n v="126000"/>
    <x v="0"/>
    <x v="1"/>
    <x v="3"/>
    <n v="4"/>
    <x v="0"/>
    <x v="1"/>
  </r>
  <r>
    <s v="ORD00568"/>
    <x v="1572"/>
    <x v="1"/>
    <s v="Putri Ananda"/>
    <s v="Tanjung Selor"/>
    <x v="9"/>
    <n v="50000"/>
    <n v="1"/>
    <n v="0"/>
    <n v="50000"/>
    <n v="0"/>
    <n v="50000"/>
    <n v="26000"/>
    <n v="76000"/>
    <x v="3"/>
    <x v="0"/>
    <x v="4"/>
    <n v="5"/>
    <x v="0"/>
    <x v="0"/>
  </r>
  <r>
    <s v="ORD01642"/>
    <x v="1573"/>
    <x v="1"/>
    <s v="Qori Ramadhani"/>
    <s v="Merauke"/>
    <x v="25"/>
    <n v="35000"/>
    <n v="1"/>
    <n v="0"/>
    <n v="35000"/>
    <n v="0"/>
    <n v="35000"/>
    <n v="59000"/>
    <n v="94000"/>
    <x v="3"/>
    <x v="0"/>
    <x v="2"/>
    <n v="3"/>
    <x v="0"/>
    <x v="0"/>
  </r>
  <r>
    <s v="ORD00776"/>
    <x v="1574"/>
    <x v="1"/>
    <s v="Dina Budiman"/>
    <s v="Merauke"/>
    <x v="16"/>
    <n v="25000"/>
    <n v="4"/>
    <n v="0"/>
    <n v="100000"/>
    <n v="0"/>
    <n v="100000"/>
    <n v="59000"/>
    <n v="159000"/>
    <x v="2"/>
    <x v="2"/>
    <x v="0"/>
    <n v="1"/>
    <x v="0"/>
    <x v="0"/>
  </r>
  <r>
    <s v="ORD01508"/>
    <x v="1575"/>
    <x v="1"/>
    <s v="Clara Utami"/>
    <s v="Pangkalpinang"/>
    <x v="11"/>
    <n v="40000"/>
    <n v="1"/>
    <n v="0"/>
    <n v="40000"/>
    <n v="0"/>
    <n v="40000"/>
    <n v="18000"/>
    <n v="58000"/>
    <x v="3"/>
    <x v="0"/>
    <x v="1"/>
    <n v="5"/>
    <x v="0"/>
    <x v="0"/>
  </r>
  <r>
    <s v="ORD01381"/>
    <x v="1576"/>
    <x v="1"/>
    <s v="Tono Syahputra"/>
    <s v="Wamena"/>
    <x v="24"/>
    <n v="45000"/>
    <n v="3"/>
    <n v="10"/>
    <n v="135000"/>
    <n v="13500"/>
    <n v="121500"/>
    <n v="15000"/>
    <n v="136500"/>
    <x v="1"/>
    <x v="0"/>
    <x v="4"/>
    <n v="5"/>
    <x v="1"/>
    <x v="1"/>
  </r>
  <r>
    <s v="ORD00884"/>
    <x v="1577"/>
    <x v="1"/>
    <s v="Sari Ramadhani"/>
    <s v="Mamuju"/>
    <x v="18"/>
    <n v="6000"/>
    <n v="2"/>
    <n v="0"/>
    <n v="12000"/>
    <n v="0"/>
    <n v="12000"/>
    <n v="46000"/>
    <n v="58000"/>
    <x v="3"/>
    <x v="0"/>
    <x v="3"/>
    <n v="5"/>
    <x v="0"/>
    <x v="0"/>
  </r>
  <r>
    <s v="ORD00792"/>
    <x v="1578"/>
    <x v="1"/>
    <s v="Dewi Iskandar"/>
    <s v="Banda Aceh"/>
    <x v="24"/>
    <n v="45000"/>
    <n v="1"/>
    <n v="15"/>
    <n v="45000"/>
    <n v="6750"/>
    <n v="38250"/>
    <n v="18000"/>
    <n v="56250"/>
    <x v="1"/>
    <x v="0"/>
    <x v="2"/>
    <n v="5"/>
    <x v="0"/>
    <x v="1"/>
  </r>
  <r>
    <s v="ORD01390"/>
    <x v="1579"/>
    <x v="1"/>
    <s v="Kartika Ananda"/>
    <s v="Pekanbaru"/>
    <x v="4"/>
    <n v="4000"/>
    <n v="2"/>
    <n v="10"/>
    <n v="8000"/>
    <n v="800"/>
    <n v="7200"/>
    <n v="49000"/>
    <n v="56200"/>
    <x v="2"/>
    <x v="0"/>
    <x v="0"/>
    <n v="3"/>
    <x v="0"/>
    <x v="0"/>
  </r>
  <r>
    <s v="ORD01093"/>
    <x v="1580"/>
    <x v="1"/>
    <s v="Joko Halim"/>
    <s v="Kendari"/>
    <x v="12"/>
    <n v="55000"/>
    <n v="5"/>
    <n v="15"/>
    <n v="275000"/>
    <n v="41250"/>
    <n v="233750"/>
    <n v="59000"/>
    <n v="292750"/>
    <x v="3"/>
    <x v="0"/>
    <x v="0"/>
    <n v="2"/>
    <x v="1"/>
    <x v="3"/>
  </r>
  <r>
    <s v="ORD01860"/>
    <x v="1581"/>
    <x v="1"/>
    <s v="Dina Rahmawati"/>
    <s v="Merauke"/>
    <x v="8"/>
    <n v="16000"/>
    <n v="4"/>
    <n v="15"/>
    <n v="64000"/>
    <n v="9600"/>
    <n v="54400"/>
    <n v="59000"/>
    <n v="113400"/>
    <x v="0"/>
    <x v="0"/>
    <x v="3"/>
    <n v="4"/>
    <x v="0"/>
    <x v="1"/>
  </r>
  <r>
    <s v="ORD00721"/>
    <x v="1582"/>
    <x v="1"/>
    <s v="Citra Rahmawati"/>
    <s v="Sofifi"/>
    <x v="2"/>
    <n v="16000"/>
    <n v="1"/>
    <n v="0"/>
    <n v="16000"/>
    <n v="0"/>
    <n v="16000"/>
    <n v="50000"/>
    <n v="66000"/>
    <x v="2"/>
    <x v="0"/>
    <x v="1"/>
    <n v="2"/>
    <x v="0"/>
    <x v="0"/>
  </r>
  <r>
    <s v="ORD01637"/>
    <x v="1583"/>
    <x v="1"/>
    <s v="Fitri Budiman"/>
    <s v="Manokwari"/>
    <x v="9"/>
    <n v="50000"/>
    <n v="2"/>
    <n v="10"/>
    <n v="100000"/>
    <n v="10000"/>
    <n v="90000"/>
    <n v="18000"/>
    <n v="108000"/>
    <x v="2"/>
    <x v="0"/>
    <x v="2"/>
    <n v="2"/>
    <x v="0"/>
    <x v="1"/>
  </r>
  <r>
    <s v="ORD00577"/>
    <x v="1584"/>
    <x v="1"/>
    <s v="Dewi Pradipta"/>
    <s v="Pontianak"/>
    <x v="17"/>
    <n v="30000"/>
    <n v="4"/>
    <n v="10"/>
    <n v="120000"/>
    <n v="12000"/>
    <n v="108000"/>
    <n v="85000"/>
    <n v="193000"/>
    <x v="0"/>
    <x v="0"/>
    <x v="4"/>
    <n v="3"/>
    <x v="0"/>
    <x v="1"/>
  </r>
  <r>
    <s v="ORD01305"/>
    <x v="1585"/>
    <x v="1"/>
    <s v="Yani Ananda"/>
    <s v="Mataram"/>
    <x v="25"/>
    <n v="35000"/>
    <n v="4"/>
    <n v="10"/>
    <n v="140000"/>
    <n v="14000"/>
    <n v="126000"/>
    <n v="56000"/>
    <n v="182000"/>
    <x v="1"/>
    <x v="0"/>
    <x v="3"/>
    <n v="4"/>
    <x v="0"/>
    <x v="1"/>
  </r>
  <r>
    <s v="ORD00054"/>
    <x v="1586"/>
    <x v="1"/>
    <s v="Wahyu Hidayat"/>
    <s v="Wamena"/>
    <x v="22"/>
    <n v="18000"/>
    <n v="5"/>
    <n v="20"/>
    <n v="90000"/>
    <n v="18000"/>
    <n v="72000"/>
    <n v="15000"/>
    <n v="87000"/>
    <x v="3"/>
    <x v="0"/>
    <x v="3"/>
    <n v="2"/>
    <x v="1"/>
    <x v="2"/>
  </r>
  <r>
    <s v="ORD00054"/>
    <x v="1586"/>
    <x v="1"/>
    <s v="Wahyu Hidayat"/>
    <s v="Wamena"/>
    <x v="14"/>
    <n v="35000"/>
    <n v="5"/>
    <n v="10"/>
    <n v="175000"/>
    <n v="17500"/>
    <n v="157500"/>
    <n v="0"/>
    <n v="157500"/>
    <x v="3"/>
    <x v="0"/>
    <x v="3"/>
    <n v="2"/>
    <x v="1"/>
    <x v="2"/>
  </r>
  <r>
    <s v="ORD00052"/>
    <x v="1587"/>
    <x v="1"/>
    <s v="Made Budiman"/>
    <s v="Jayapura"/>
    <x v="5"/>
    <n v="40000"/>
    <n v="1"/>
    <n v="5"/>
    <n v="40000"/>
    <n v="2000"/>
    <n v="38000"/>
    <n v="30000"/>
    <n v="68000"/>
    <x v="3"/>
    <x v="1"/>
    <x v="2"/>
    <n v="1"/>
    <x v="1"/>
    <x v="0"/>
  </r>
  <r>
    <s v="ORD01070"/>
    <x v="1588"/>
    <x v="1"/>
    <s v="Eka Pradipta"/>
    <s v="Bandung"/>
    <x v="13"/>
    <n v="17000"/>
    <n v="4"/>
    <n v="0"/>
    <n v="68000"/>
    <n v="0"/>
    <n v="68000"/>
    <n v="0"/>
    <n v="68000"/>
    <x v="0"/>
    <x v="1"/>
    <x v="3"/>
    <n v="4"/>
    <x v="0"/>
    <x v="0"/>
  </r>
  <r>
    <s v="ORD00665"/>
    <x v="1589"/>
    <x v="1"/>
    <s v="Clara Santoso"/>
    <s v="Palu"/>
    <x v="22"/>
    <n v="18000"/>
    <n v="2"/>
    <n v="0"/>
    <n v="36000"/>
    <n v="0"/>
    <n v="36000"/>
    <n v="67000"/>
    <n v="103000"/>
    <x v="0"/>
    <x v="0"/>
    <x v="2"/>
    <n v="5"/>
    <x v="0"/>
    <x v="0"/>
  </r>
  <r>
    <s v="ORD00722"/>
    <x v="1590"/>
    <x v="1"/>
    <s v="Wahyu Santoso"/>
    <s v="Pangkalpinang"/>
    <x v="3"/>
    <n v="28000"/>
    <n v="4"/>
    <n v="10"/>
    <n v="112000"/>
    <n v="11200"/>
    <n v="100800"/>
    <n v="18000"/>
    <n v="118800"/>
    <x v="3"/>
    <x v="0"/>
    <x v="0"/>
    <n v="2"/>
    <x v="1"/>
    <x v="1"/>
  </r>
  <r>
    <s v="ORD00418"/>
    <x v="1591"/>
    <x v="1"/>
    <s v="Sari Ramadhani"/>
    <s v="Mamuju"/>
    <x v="20"/>
    <n v="12000"/>
    <n v="5"/>
    <n v="10"/>
    <n v="60000"/>
    <n v="6000"/>
    <n v="54000"/>
    <n v="46000"/>
    <n v="100000"/>
    <x v="0"/>
    <x v="0"/>
    <x v="2"/>
    <n v="3"/>
    <x v="0"/>
    <x v="1"/>
  </r>
  <r>
    <s v="ORD01785"/>
    <x v="1592"/>
    <x v="1"/>
    <s v="Lestari Santoso"/>
    <s v="Pangkalpinang"/>
    <x v="8"/>
    <n v="16000"/>
    <n v="4"/>
    <n v="15"/>
    <n v="64000"/>
    <n v="9600"/>
    <n v="54400"/>
    <n v="18000"/>
    <n v="72400"/>
    <x v="3"/>
    <x v="0"/>
    <x v="2"/>
    <n v="5"/>
    <x v="0"/>
    <x v="1"/>
  </r>
  <r>
    <s v="ORD01837"/>
    <x v="1593"/>
    <x v="1"/>
    <s v="Hana Wijaya"/>
    <s v="Sorong"/>
    <x v="20"/>
    <n v="12000"/>
    <n v="2"/>
    <n v="10"/>
    <n v="24000"/>
    <n v="2400"/>
    <n v="21600"/>
    <n v="87000"/>
    <n v="108600"/>
    <x v="2"/>
    <x v="2"/>
    <x v="2"/>
    <n v="2"/>
    <x v="0"/>
    <x v="0"/>
  </r>
  <r>
    <s v="ORD00293"/>
    <x v="1594"/>
    <x v="1"/>
    <s v="Sari Ananda"/>
    <s v="Pangkalpinang"/>
    <x v="12"/>
    <n v="55000"/>
    <n v="4"/>
    <n v="15"/>
    <n v="220000"/>
    <n v="33000"/>
    <n v="187000"/>
    <n v="18000"/>
    <n v="205000"/>
    <x v="0"/>
    <x v="0"/>
    <x v="3"/>
    <n v="2"/>
    <x v="0"/>
    <x v="3"/>
  </r>
  <r>
    <s v="ORD00293"/>
    <x v="1594"/>
    <x v="1"/>
    <s v="Sari Ananda"/>
    <s v="Pangkalpinang"/>
    <x v="14"/>
    <n v="35000"/>
    <n v="3"/>
    <n v="15"/>
    <n v="105000"/>
    <n v="15750"/>
    <n v="89250"/>
    <n v="0"/>
    <n v="89250"/>
    <x v="0"/>
    <x v="0"/>
    <x v="3"/>
    <n v="2"/>
    <x v="0"/>
    <x v="2"/>
  </r>
  <r>
    <s v="ORD01436"/>
    <x v="1595"/>
    <x v="1"/>
    <s v="Made Fauziah"/>
    <s v="Kendari"/>
    <x v="17"/>
    <n v="30000"/>
    <n v="2"/>
    <n v="10"/>
    <n v="60000"/>
    <n v="6000"/>
    <n v="54000"/>
    <n v="59000"/>
    <n v="113000"/>
    <x v="3"/>
    <x v="0"/>
    <x v="3"/>
    <n v="3"/>
    <x v="1"/>
    <x v="1"/>
  </r>
  <r>
    <s v="ORD01094"/>
    <x v="1596"/>
    <x v="1"/>
    <s v="Qori Santoso"/>
    <s v="Wamena"/>
    <x v="10"/>
    <n v="15000"/>
    <n v="4"/>
    <n v="15"/>
    <n v="60000"/>
    <n v="9000"/>
    <n v="51000"/>
    <n v="15000"/>
    <n v="66000"/>
    <x v="3"/>
    <x v="0"/>
    <x v="3"/>
    <n v="3"/>
    <x v="0"/>
    <x v="1"/>
  </r>
  <r>
    <s v="ORD01162"/>
    <x v="1597"/>
    <x v="1"/>
    <s v="Galih Iskandar"/>
    <s v="Ambon"/>
    <x v="23"/>
    <n v="10000"/>
    <n v="5"/>
    <n v="20"/>
    <n v="50000"/>
    <n v="10000"/>
    <n v="40000"/>
    <n v="49000"/>
    <n v="89000"/>
    <x v="1"/>
    <x v="0"/>
    <x v="2"/>
    <n v="1"/>
    <x v="1"/>
    <x v="1"/>
  </r>
  <r>
    <s v="ORD01745"/>
    <x v="1598"/>
    <x v="1"/>
    <s v="Aulia Ramadhani"/>
    <s v="Semarang"/>
    <x v="0"/>
    <n v="45000"/>
    <n v="2"/>
    <n v="0"/>
    <n v="90000"/>
    <n v="0"/>
    <n v="90000"/>
    <n v="76000"/>
    <n v="166000"/>
    <x v="0"/>
    <x v="0"/>
    <x v="2"/>
    <n v="4"/>
    <x v="0"/>
    <x v="0"/>
  </r>
  <r>
    <s v="ORD00506"/>
    <x v="1599"/>
    <x v="1"/>
    <s v="Clara Ramadhani"/>
    <s v="Tanjungpinang"/>
    <x v="22"/>
    <n v="18000"/>
    <n v="2"/>
    <n v="15"/>
    <n v="36000"/>
    <n v="5400"/>
    <n v="30600"/>
    <n v="48000"/>
    <n v="78600"/>
    <x v="2"/>
    <x v="0"/>
    <x v="2"/>
    <n v="5"/>
    <x v="0"/>
    <x v="1"/>
  </r>
  <r>
    <s v="ORD00597"/>
    <x v="1600"/>
    <x v="1"/>
    <s v="Ani Budiman"/>
    <s v="Bengkulu"/>
    <x v="25"/>
    <n v="35000"/>
    <n v="4"/>
    <n v="10"/>
    <n v="140000"/>
    <n v="14000"/>
    <n v="126000"/>
    <n v="72000"/>
    <n v="198000"/>
    <x v="0"/>
    <x v="0"/>
    <x v="4"/>
    <n v="3"/>
    <x v="0"/>
    <x v="1"/>
  </r>
  <r>
    <s v="ORD00617"/>
    <x v="1601"/>
    <x v="1"/>
    <s v="Indra Halim"/>
    <s v="Tanjung Selor"/>
    <x v="16"/>
    <n v="25000"/>
    <n v="5"/>
    <n v="5"/>
    <n v="125000"/>
    <n v="6250"/>
    <n v="118750"/>
    <n v="26000"/>
    <n v="144750"/>
    <x v="3"/>
    <x v="0"/>
    <x v="0"/>
    <n v="2"/>
    <x v="1"/>
    <x v="1"/>
  </r>
  <r>
    <s v="ORD01510"/>
    <x v="1602"/>
    <x v="1"/>
    <s v="Citra Iskandar"/>
    <s v="Palangka Raya"/>
    <x v="18"/>
    <n v="6000"/>
    <n v="5"/>
    <n v="15"/>
    <n v="30000"/>
    <n v="4500"/>
    <n v="25500"/>
    <n v="50000"/>
    <n v="75500"/>
    <x v="0"/>
    <x v="0"/>
    <x v="3"/>
    <n v="2"/>
    <x v="0"/>
    <x v="0"/>
  </r>
  <r>
    <s v="ORD00113"/>
    <x v="1603"/>
    <x v="1"/>
    <s v="Lestari Hidayat"/>
    <s v="Surabaya"/>
    <x v="14"/>
    <n v="35000"/>
    <n v="1"/>
    <n v="15"/>
    <n v="35000"/>
    <n v="5250"/>
    <n v="29750"/>
    <n v="74000"/>
    <n v="103750"/>
    <x v="3"/>
    <x v="0"/>
    <x v="4"/>
    <n v="1"/>
    <x v="0"/>
    <x v="1"/>
  </r>
  <r>
    <s v="ORD00113"/>
    <x v="1603"/>
    <x v="1"/>
    <s v="Lestari Hidayat"/>
    <s v="Surabaya"/>
    <x v="17"/>
    <n v="30000"/>
    <n v="4"/>
    <n v="0"/>
    <n v="120000"/>
    <n v="0"/>
    <n v="120000"/>
    <n v="0"/>
    <n v="120000"/>
    <x v="3"/>
    <x v="0"/>
    <x v="4"/>
    <n v="1"/>
    <x v="0"/>
    <x v="0"/>
  </r>
  <r>
    <s v="ORD01098"/>
    <x v="1604"/>
    <x v="1"/>
    <s v="Made Budiman"/>
    <s v="Jayapura"/>
    <x v="24"/>
    <n v="45000"/>
    <n v="5"/>
    <n v="5"/>
    <n v="225000"/>
    <n v="11250"/>
    <n v="213750"/>
    <n v="30000"/>
    <n v="243750"/>
    <x v="2"/>
    <x v="0"/>
    <x v="1"/>
    <n v="4"/>
    <x v="1"/>
    <x v="1"/>
  </r>
  <r>
    <s v="ORD00767"/>
    <x v="1605"/>
    <x v="1"/>
    <s v="Eka Maulana"/>
    <s v="Semarang"/>
    <x v="24"/>
    <n v="45000"/>
    <n v="1"/>
    <n v="10"/>
    <n v="45000"/>
    <n v="4500"/>
    <n v="40500"/>
    <n v="76000"/>
    <n v="116500"/>
    <x v="2"/>
    <x v="1"/>
    <x v="1"/>
    <n v="1"/>
    <x v="0"/>
    <x v="0"/>
  </r>
  <r>
    <s v="ORD01808"/>
    <x v="1606"/>
    <x v="1"/>
    <s v="Clara Puspita"/>
    <s v="Medan"/>
    <x v="4"/>
    <n v="4000"/>
    <n v="2"/>
    <n v="20"/>
    <n v="8000"/>
    <n v="1600"/>
    <n v="6400"/>
    <n v="79000"/>
    <n v="85400"/>
    <x v="2"/>
    <x v="0"/>
    <x v="4"/>
    <n v="2"/>
    <x v="0"/>
    <x v="0"/>
  </r>
  <r>
    <s v="ORD00745"/>
    <x v="1607"/>
    <x v="1"/>
    <s v="Kartika Nugroho"/>
    <s v="Samarinda"/>
    <x v="16"/>
    <n v="25000"/>
    <n v="4"/>
    <n v="10"/>
    <n v="100000"/>
    <n v="10000"/>
    <n v="90000"/>
    <n v="43000"/>
    <n v="133000"/>
    <x v="1"/>
    <x v="2"/>
    <x v="0"/>
    <n v="4"/>
    <x v="0"/>
    <x v="1"/>
  </r>
  <r>
    <s v="ORD01783"/>
    <x v="1608"/>
    <x v="1"/>
    <s v="Yani Rahmawati"/>
    <s v="Ambon"/>
    <x v="23"/>
    <n v="10000"/>
    <n v="2"/>
    <n v="10"/>
    <n v="20000"/>
    <n v="2000"/>
    <n v="18000"/>
    <n v="49000"/>
    <n v="67000"/>
    <x v="3"/>
    <x v="0"/>
    <x v="4"/>
    <n v="2"/>
    <x v="0"/>
    <x v="0"/>
  </r>
  <r>
    <s v="ORD00046"/>
    <x v="1609"/>
    <x v="1"/>
    <s v="Rizky Ramadhani"/>
    <s v="Pangkalpinang"/>
    <x v="16"/>
    <n v="25000"/>
    <n v="4"/>
    <n v="10"/>
    <n v="100000"/>
    <n v="10000"/>
    <n v="90000"/>
    <n v="18000"/>
    <n v="108000"/>
    <x v="1"/>
    <x v="0"/>
    <x v="4"/>
    <n v="3"/>
    <x v="1"/>
    <x v="1"/>
  </r>
  <r>
    <s v="ORD00183"/>
    <x v="1610"/>
    <x v="1"/>
    <s v="Aulia Nugroho"/>
    <s v="Banda Aceh"/>
    <x v="13"/>
    <n v="17000"/>
    <n v="2"/>
    <n v="10"/>
    <n v="34000"/>
    <n v="3400"/>
    <n v="30600"/>
    <n v="18000"/>
    <n v="48600"/>
    <x v="1"/>
    <x v="0"/>
    <x v="1"/>
    <n v="4"/>
    <x v="0"/>
    <x v="0"/>
  </r>
  <r>
    <s v="ORD00842"/>
    <x v="1611"/>
    <x v="1"/>
    <s v="Zahra Budiman"/>
    <s v="Ambon"/>
    <x v="9"/>
    <n v="50000"/>
    <n v="1"/>
    <n v="5"/>
    <n v="50000"/>
    <n v="2500"/>
    <n v="47500"/>
    <n v="49000"/>
    <n v="96500"/>
    <x v="2"/>
    <x v="0"/>
    <x v="2"/>
    <n v="4"/>
    <x v="0"/>
    <x v="0"/>
  </r>
  <r>
    <s v="ORD00399"/>
    <x v="1612"/>
    <x v="1"/>
    <s v="Vina Hidayat"/>
    <s v="Nabire"/>
    <x v="10"/>
    <n v="15000"/>
    <n v="1"/>
    <n v="0"/>
    <n v="15000"/>
    <n v="0"/>
    <n v="15000"/>
    <n v="89000"/>
    <n v="104000"/>
    <x v="2"/>
    <x v="0"/>
    <x v="1"/>
    <n v="3"/>
    <x v="0"/>
    <x v="0"/>
  </r>
  <r>
    <s v="ORD00561"/>
    <x v="1613"/>
    <x v="1"/>
    <s v="Erna Rahmawati"/>
    <s v="Banda Aceh"/>
    <x v="16"/>
    <n v="25000"/>
    <n v="1"/>
    <n v="20"/>
    <n v="25000"/>
    <n v="5000"/>
    <n v="20000"/>
    <n v="18000"/>
    <n v="38000"/>
    <x v="3"/>
    <x v="0"/>
    <x v="0"/>
    <n v="4"/>
    <x v="0"/>
    <x v="0"/>
  </r>
  <r>
    <s v="ORD00360"/>
    <x v="1614"/>
    <x v="1"/>
    <s v="Dina Halim"/>
    <s v="Wamena"/>
    <x v="8"/>
    <n v="16000"/>
    <n v="3"/>
    <n v="15"/>
    <n v="48000"/>
    <n v="7200"/>
    <n v="40800"/>
    <n v="15000"/>
    <n v="55800"/>
    <x v="2"/>
    <x v="0"/>
    <x v="2"/>
    <n v="3"/>
    <x v="0"/>
    <x v="1"/>
  </r>
  <r>
    <s v="ORD01412"/>
    <x v="1615"/>
    <x v="1"/>
    <s v="Putri Wijaya"/>
    <s v="Jayapura"/>
    <x v="1"/>
    <n v="5000"/>
    <n v="2"/>
    <n v="15"/>
    <n v="10000"/>
    <n v="1500"/>
    <n v="8500"/>
    <n v="30000"/>
    <n v="38500"/>
    <x v="2"/>
    <x v="0"/>
    <x v="4"/>
    <n v="2"/>
    <x v="0"/>
    <x v="0"/>
  </r>
  <r>
    <s v="ORD00123"/>
    <x v="1616"/>
    <x v="1"/>
    <s v="Kartika Kusuma"/>
    <s v="Pontianak"/>
    <x v="18"/>
    <n v="6000"/>
    <n v="1"/>
    <n v="20"/>
    <n v="6000"/>
    <n v="1200"/>
    <n v="4800"/>
    <n v="85000"/>
    <n v="89800"/>
    <x v="0"/>
    <x v="0"/>
    <x v="1"/>
    <n v="1"/>
    <x v="0"/>
    <x v="0"/>
  </r>
  <r>
    <s v="ORD01400"/>
    <x v="1617"/>
    <x v="1"/>
    <s v="Tono Saputra"/>
    <s v="Serang"/>
    <x v="13"/>
    <n v="17000"/>
    <n v="3"/>
    <n v="5"/>
    <n v="51000"/>
    <n v="2550"/>
    <n v="48450"/>
    <n v="57000"/>
    <n v="105450"/>
    <x v="3"/>
    <x v="1"/>
    <x v="1"/>
    <n v="4"/>
    <x v="1"/>
    <x v="0"/>
  </r>
  <r>
    <s v="ORD00938"/>
    <x v="1618"/>
    <x v="1"/>
    <s v="Sari Fauziah"/>
    <s v="Bandar Lampung"/>
    <x v="20"/>
    <n v="12000"/>
    <n v="2"/>
    <n v="0"/>
    <n v="24000"/>
    <n v="0"/>
    <n v="24000"/>
    <n v="28000"/>
    <n v="52000"/>
    <x v="1"/>
    <x v="0"/>
    <x v="1"/>
    <n v="1"/>
    <x v="0"/>
    <x v="0"/>
  </r>
  <r>
    <s v="ORD01268"/>
    <x v="1619"/>
    <x v="1"/>
    <s v="Dina Kusuma"/>
    <s v="Tanjungpinang"/>
    <x v="20"/>
    <n v="12000"/>
    <n v="3"/>
    <n v="0"/>
    <n v="36000"/>
    <n v="0"/>
    <n v="36000"/>
    <n v="48000"/>
    <n v="84000"/>
    <x v="0"/>
    <x v="1"/>
    <x v="3"/>
    <n v="5"/>
    <x v="0"/>
    <x v="0"/>
  </r>
  <r>
    <s v="ORD01405"/>
    <x v="1620"/>
    <x v="1"/>
    <s v="Sari Puspita"/>
    <s v="Jakarta"/>
    <x v="12"/>
    <n v="55000"/>
    <n v="3"/>
    <n v="0"/>
    <n v="165000"/>
    <n v="0"/>
    <n v="165000"/>
    <n v="97000"/>
    <n v="262000"/>
    <x v="2"/>
    <x v="0"/>
    <x v="3"/>
    <n v="1"/>
    <x v="0"/>
    <x v="0"/>
  </r>
  <r>
    <s v="ORD01771"/>
    <x v="1621"/>
    <x v="1"/>
    <s v="Indra Ananda"/>
    <s v="Makassar"/>
    <x v="8"/>
    <n v="16000"/>
    <n v="5"/>
    <n v="5"/>
    <n v="80000"/>
    <n v="4000"/>
    <n v="76000"/>
    <n v="84000"/>
    <n v="160000"/>
    <x v="2"/>
    <x v="1"/>
    <x v="0"/>
    <n v="5"/>
    <x v="1"/>
    <x v="0"/>
  </r>
  <r>
    <s v="ORD00381"/>
    <x v="1622"/>
    <x v="1"/>
    <s v="Zahra Nugroho"/>
    <s v="Yogyakarta"/>
    <x v="8"/>
    <n v="16000"/>
    <n v="2"/>
    <n v="15"/>
    <n v="32000"/>
    <n v="4800"/>
    <n v="27200"/>
    <n v="78000"/>
    <n v="105200"/>
    <x v="2"/>
    <x v="1"/>
    <x v="4"/>
    <n v="5"/>
    <x v="0"/>
    <x v="0"/>
  </r>
  <r>
    <s v="ORD00920"/>
    <x v="1623"/>
    <x v="1"/>
    <s v="Eka Maulana"/>
    <s v="Semarang"/>
    <x v="6"/>
    <n v="14000"/>
    <n v="3"/>
    <n v="0"/>
    <n v="42000"/>
    <n v="0"/>
    <n v="42000"/>
    <n v="76000"/>
    <n v="118000"/>
    <x v="3"/>
    <x v="1"/>
    <x v="4"/>
    <n v="3"/>
    <x v="0"/>
    <x v="0"/>
  </r>
  <r>
    <s v="ORD01037"/>
    <x v="1624"/>
    <x v="1"/>
    <s v="Zahra Kurniawan"/>
    <s v="Wamena"/>
    <x v="14"/>
    <n v="35000"/>
    <n v="3"/>
    <n v="5"/>
    <n v="105000"/>
    <n v="5250"/>
    <n v="99750"/>
    <n v="15000"/>
    <n v="114750"/>
    <x v="1"/>
    <x v="0"/>
    <x v="1"/>
    <n v="2"/>
    <x v="0"/>
    <x v="1"/>
  </r>
  <r>
    <s v="ORD00717"/>
    <x v="1625"/>
    <x v="1"/>
    <s v="Ani Wijaya"/>
    <s v="Tanjungpinang"/>
    <x v="19"/>
    <n v="22000"/>
    <n v="3"/>
    <n v="5"/>
    <n v="66000"/>
    <n v="3300"/>
    <n v="62700"/>
    <n v="48000"/>
    <n v="110700"/>
    <x v="0"/>
    <x v="0"/>
    <x v="4"/>
    <n v="2"/>
    <x v="0"/>
    <x v="0"/>
  </r>
  <r>
    <s v="ORD00295"/>
    <x v="1626"/>
    <x v="1"/>
    <s v="Dewi Rahmawati"/>
    <s v="Tanjung Selor"/>
    <x v="24"/>
    <n v="45000"/>
    <n v="4"/>
    <n v="15"/>
    <n v="180000"/>
    <n v="27000"/>
    <n v="153000"/>
    <n v="26000"/>
    <n v="179000"/>
    <x v="3"/>
    <x v="0"/>
    <x v="4"/>
    <n v="5"/>
    <x v="0"/>
    <x v="2"/>
  </r>
  <r>
    <s v="ORD00913"/>
    <x v="1627"/>
    <x v="1"/>
    <s v="Oka Kurniawan"/>
    <s v="Sorong"/>
    <x v="17"/>
    <n v="30000"/>
    <n v="2"/>
    <n v="10"/>
    <n v="60000"/>
    <n v="6000"/>
    <n v="54000"/>
    <n v="87000"/>
    <n v="141000"/>
    <x v="3"/>
    <x v="0"/>
    <x v="0"/>
    <n v="4"/>
    <x v="1"/>
    <x v="1"/>
  </r>
  <r>
    <s v="ORD00333"/>
    <x v="1628"/>
    <x v="1"/>
    <s v="Hana Santoso"/>
    <s v="Wamena"/>
    <x v="26"/>
    <n v="18000"/>
    <n v="3"/>
    <n v="10"/>
    <n v="54000"/>
    <n v="5400"/>
    <n v="48600"/>
    <n v="15000"/>
    <n v="63600"/>
    <x v="2"/>
    <x v="0"/>
    <x v="4"/>
    <n v="2"/>
    <x v="0"/>
    <x v="1"/>
  </r>
  <r>
    <s v="ORD01546"/>
    <x v="1629"/>
    <x v="1"/>
    <s v="Qori Maulana"/>
    <s v="Banda Aceh"/>
    <x v="9"/>
    <n v="50000"/>
    <n v="3"/>
    <n v="20"/>
    <n v="150000"/>
    <n v="30000"/>
    <n v="120000"/>
    <n v="18000"/>
    <n v="138000"/>
    <x v="0"/>
    <x v="3"/>
    <x v="1"/>
    <n v="3"/>
    <x v="0"/>
    <x v="2"/>
  </r>
  <r>
    <s v="ORD00004"/>
    <x v="1630"/>
    <x v="1"/>
    <s v="Oka Santoso"/>
    <s v="Manokwari"/>
    <x v="2"/>
    <n v="16000"/>
    <n v="4"/>
    <n v="5"/>
    <n v="64000"/>
    <n v="3200"/>
    <n v="60800"/>
    <n v="18000"/>
    <n v="78800"/>
    <x v="0"/>
    <x v="3"/>
    <x v="1"/>
    <n v="5"/>
    <x v="1"/>
    <x v="0"/>
  </r>
  <r>
    <s v="ORD01858"/>
    <x v="1631"/>
    <x v="1"/>
    <s v="Galih Budiman"/>
    <s v="Palembang"/>
    <x v="26"/>
    <n v="18000"/>
    <n v="3"/>
    <n v="0"/>
    <n v="54000"/>
    <n v="0"/>
    <n v="54000"/>
    <n v="17000"/>
    <n v="71000"/>
    <x v="2"/>
    <x v="4"/>
    <x v="2"/>
    <n v="4"/>
    <x v="1"/>
    <x v="0"/>
  </r>
  <r>
    <s v="ORD00669"/>
    <x v="1632"/>
    <x v="1"/>
    <s v="Yani Hidayat"/>
    <s v="Gorontalo"/>
    <x v="17"/>
    <n v="30000"/>
    <n v="4"/>
    <n v="0"/>
    <n v="120000"/>
    <n v="0"/>
    <n v="120000"/>
    <n v="80000"/>
    <n v="200000"/>
    <x v="3"/>
    <x v="4"/>
    <x v="1"/>
    <n v="5"/>
    <x v="0"/>
    <x v="0"/>
  </r>
  <r>
    <s v="ORD00720"/>
    <x v="1633"/>
    <x v="1"/>
    <s v="Dina Syahputra"/>
    <s v="Mataram"/>
    <x v="16"/>
    <n v="25000"/>
    <n v="1"/>
    <n v="20"/>
    <n v="25000"/>
    <n v="5000"/>
    <n v="20000"/>
    <n v="56000"/>
    <n v="76000"/>
    <x v="2"/>
    <x v="4"/>
    <x v="3"/>
    <n v="5"/>
    <x v="0"/>
    <x v="0"/>
  </r>
  <r>
    <s v="ORD01625"/>
    <x v="1634"/>
    <x v="1"/>
    <s v="Citra Maulana"/>
    <s v="Bengkulu"/>
    <x v="0"/>
    <n v="45000"/>
    <n v="5"/>
    <n v="0"/>
    <n v="225000"/>
    <n v="0"/>
    <n v="225000"/>
    <n v="72000"/>
    <n v="297000"/>
    <x v="1"/>
    <x v="1"/>
    <x v="1"/>
    <n v="3"/>
    <x v="0"/>
    <x v="0"/>
  </r>
  <r>
    <s v="ORD00583"/>
    <x v="1635"/>
    <x v="1"/>
    <s v="Lestari Wijaya"/>
    <s v="Bandung"/>
    <x v="26"/>
    <n v="18000"/>
    <n v="4"/>
    <n v="5"/>
    <n v="72000"/>
    <n v="3600"/>
    <n v="68400"/>
    <n v="0"/>
    <n v="68400"/>
    <x v="1"/>
    <x v="0"/>
    <x v="3"/>
    <n v="3"/>
    <x v="0"/>
    <x v="0"/>
  </r>
  <r>
    <s v="ORD00020"/>
    <x v="1636"/>
    <x v="1"/>
    <s v="Rizky Saputra"/>
    <s v="Banjarbaru"/>
    <x v="24"/>
    <n v="45000"/>
    <n v="1"/>
    <n v="5"/>
    <n v="45000"/>
    <n v="2250"/>
    <n v="42750"/>
    <n v="55000"/>
    <n v="97750"/>
    <x v="2"/>
    <x v="0"/>
    <x v="3"/>
    <n v="1"/>
    <x v="1"/>
    <x v="0"/>
  </r>
  <r>
    <s v="ORD01114"/>
    <x v="1637"/>
    <x v="1"/>
    <s v="Budi Fauziah"/>
    <s v="Manado"/>
    <x v="15"/>
    <n v="14000"/>
    <n v="1"/>
    <n v="5"/>
    <n v="14000"/>
    <n v="700"/>
    <n v="13300"/>
    <n v="93000"/>
    <n v="106300"/>
    <x v="0"/>
    <x v="1"/>
    <x v="2"/>
    <n v="2"/>
    <x v="1"/>
    <x v="0"/>
  </r>
  <r>
    <s v="ORD00499"/>
    <x v="1638"/>
    <x v="1"/>
    <s v="Hana Nugroho"/>
    <s v="Surabaya"/>
    <x v="9"/>
    <n v="50000"/>
    <n v="5"/>
    <n v="10"/>
    <n v="250000"/>
    <n v="25000"/>
    <n v="225000"/>
    <n v="74000"/>
    <n v="299000"/>
    <x v="3"/>
    <x v="3"/>
    <x v="1"/>
    <n v="5"/>
    <x v="0"/>
    <x v="2"/>
  </r>
  <r>
    <s v="ORD00499"/>
    <x v="1638"/>
    <x v="1"/>
    <s v="Hana Nugroho"/>
    <s v="Surabaya"/>
    <x v="4"/>
    <n v="4000"/>
    <n v="2"/>
    <n v="0"/>
    <n v="8000"/>
    <n v="0"/>
    <n v="8000"/>
    <n v="0"/>
    <n v="8000"/>
    <x v="3"/>
    <x v="3"/>
    <x v="1"/>
    <n v="5"/>
    <x v="0"/>
    <x v="0"/>
  </r>
  <r>
    <s v="ORD00572"/>
    <x v="1639"/>
    <x v="1"/>
    <s v="Eka Kurniawan"/>
    <s v="Palu"/>
    <x v="20"/>
    <n v="12000"/>
    <n v="4"/>
    <n v="20"/>
    <n v="48000"/>
    <n v="9600"/>
    <n v="38400"/>
    <n v="67000"/>
    <n v="105400"/>
    <x v="3"/>
    <x v="0"/>
    <x v="0"/>
    <n v="1"/>
    <x v="0"/>
    <x v="1"/>
  </r>
  <r>
    <s v="ORD00558"/>
    <x v="1640"/>
    <x v="1"/>
    <s v="Bella Iskandar"/>
    <s v="Kendari"/>
    <x v="10"/>
    <n v="15000"/>
    <n v="3"/>
    <n v="15"/>
    <n v="45000"/>
    <n v="6750"/>
    <n v="38250"/>
    <n v="59000"/>
    <n v="97250"/>
    <x v="0"/>
    <x v="0"/>
    <x v="3"/>
    <n v="2"/>
    <x v="0"/>
    <x v="1"/>
  </r>
  <r>
    <s v="ORD01690"/>
    <x v="1641"/>
    <x v="1"/>
    <s v="Sari Hidayat"/>
    <s v="Semarang"/>
    <x v="15"/>
    <n v="14000"/>
    <n v="2"/>
    <n v="0"/>
    <n v="28000"/>
    <n v="0"/>
    <n v="28000"/>
    <n v="76000"/>
    <n v="104000"/>
    <x v="0"/>
    <x v="4"/>
    <x v="4"/>
    <n v="4"/>
    <x v="0"/>
    <x v="0"/>
  </r>
  <r>
    <s v="ORD00898"/>
    <x v="1642"/>
    <x v="1"/>
    <s v="Dewi Setiawan"/>
    <s v="Jakarta"/>
    <x v="8"/>
    <n v="16000"/>
    <n v="1"/>
    <n v="5"/>
    <n v="16000"/>
    <n v="800"/>
    <n v="15200"/>
    <n v="97000"/>
    <n v="112200"/>
    <x v="1"/>
    <x v="0"/>
    <x v="1"/>
    <n v="2"/>
    <x v="0"/>
    <x v="0"/>
  </r>
  <r>
    <s v="ORD00338"/>
    <x v="1643"/>
    <x v="1"/>
    <s v="Vina Maulana"/>
    <s v="Wamena"/>
    <x v="26"/>
    <n v="18000"/>
    <n v="4"/>
    <n v="15"/>
    <n v="72000"/>
    <n v="10800"/>
    <n v="61200"/>
    <n v="15000"/>
    <n v="76200"/>
    <x v="0"/>
    <x v="0"/>
    <x v="4"/>
    <n v="1"/>
    <x v="0"/>
    <x v="1"/>
  </r>
  <r>
    <s v="ORD00285"/>
    <x v="1644"/>
    <x v="1"/>
    <s v="Bella Saputra"/>
    <s v="Banda Aceh"/>
    <x v="25"/>
    <n v="35000"/>
    <n v="4"/>
    <n v="20"/>
    <n v="140000"/>
    <n v="28000"/>
    <n v="112000"/>
    <n v="18000"/>
    <n v="130000"/>
    <x v="1"/>
    <x v="0"/>
    <x v="2"/>
    <n v="5"/>
    <x v="0"/>
    <x v="2"/>
  </r>
  <r>
    <s v="ORD00631"/>
    <x v="1645"/>
    <x v="1"/>
    <s v="Eka Saputra"/>
    <s v="Tanjungpinang"/>
    <x v="24"/>
    <n v="45000"/>
    <n v="4"/>
    <n v="15"/>
    <n v="180000"/>
    <n v="27000"/>
    <n v="153000"/>
    <n v="48000"/>
    <n v="201000"/>
    <x v="1"/>
    <x v="0"/>
    <x v="4"/>
    <n v="5"/>
    <x v="0"/>
    <x v="2"/>
  </r>
  <r>
    <s v="ORD01440"/>
    <x v="1646"/>
    <x v="1"/>
    <s v="Bella Halim"/>
    <s v="Semarang"/>
    <x v="14"/>
    <n v="35000"/>
    <n v="5"/>
    <n v="5"/>
    <n v="175000"/>
    <n v="8750"/>
    <n v="166250"/>
    <n v="76000"/>
    <n v="242250"/>
    <x v="1"/>
    <x v="3"/>
    <x v="2"/>
    <n v="5"/>
    <x v="0"/>
    <x v="1"/>
  </r>
  <r>
    <s v="ORD00454"/>
    <x v="1647"/>
    <x v="1"/>
    <s v="Ani Fauziah"/>
    <s v="Jakarta"/>
    <x v="1"/>
    <n v="5000"/>
    <n v="3"/>
    <n v="10"/>
    <n v="15000"/>
    <n v="1500"/>
    <n v="13500"/>
    <n v="97000"/>
    <n v="110500"/>
    <x v="2"/>
    <x v="0"/>
    <x v="4"/>
    <n v="5"/>
    <x v="0"/>
    <x v="0"/>
  </r>
  <r>
    <s v="ORD00454"/>
    <x v="1647"/>
    <x v="1"/>
    <s v="Ani Fauziah"/>
    <s v="Jakarta"/>
    <x v="20"/>
    <n v="12000"/>
    <n v="4"/>
    <n v="0"/>
    <n v="48000"/>
    <n v="0"/>
    <n v="48000"/>
    <n v="0"/>
    <n v="48000"/>
    <x v="2"/>
    <x v="0"/>
    <x v="4"/>
    <n v="5"/>
    <x v="0"/>
    <x v="0"/>
  </r>
  <r>
    <s v="ORD00711"/>
    <x v="1648"/>
    <x v="1"/>
    <s v="Arif Maulana"/>
    <s v="Jakarta"/>
    <x v="6"/>
    <n v="14000"/>
    <n v="4"/>
    <n v="5"/>
    <n v="56000"/>
    <n v="2800"/>
    <n v="53200"/>
    <n v="97000"/>
    <n v="150200"/>
    <x v="0"/>
    <x v="4"/>
    <x v="1"/>
    <n v="5"/>
    <x v="1"/>
    <x v="0"/>
  </r>
  <r>
    <s v="ORD00984"/>
    <x v="1649"/>
    <x v="1"/>
    <s v="Galih Iskandar"/>
    <s v="Ambon"/>
    <x v="0"/>
    <n v="45000"/>
    <n v="3"/>
    <n v="20"/>
    <n v="135000"/>
    <n v="27000"/>
    <n v="108000"/>
    <n v="49000"/>
    <n v="157000"/>
    <x v="2"/>
    <x v="4"/>
    <x v="3"/>
    <n v="3"/>
    <x v="1"/>
    <x v="2"/>
  </r>
  <r>
    <s v="ORD01718"/>
    <x v="1650"/>
    <x v="1"/>
    <s v="Eka Maulana"/>
    <s v="Semarang"/>
    <x v="1"/>
    <n v="5000"/>
    <n v="3"/>
    <n v="20"/>
    <n v="15000"/>
    <n v="3000"/>
    <n v="12000"/>
    <n v="76000"/>
    <n v="88000"/>
    <x v="1"/>
    <x v="4"/>
    <x v="3"/>
    <n v="3"/>
    <x v="0"/>
    <x v="0"/>
  </r>
  <r>
    <s v="ORD00738"/>
    <x v="1651"/>
    <x v="1"/>
    <s v="Gita Iskandar"/>
    <s v="Banjarbaru"/>
    <x v="0"/>
    <n v="45000"/>
    <n v="3"/>
    <n v="15"/>
    <n v="135000"/>
    <n v="20250"/>
    <n v="114750"/>
    <n v="55000"/>
    <n v="169750"/>
    <x v="3"/>
    <x v="3"/>
    <x v="3"/>
    <n v="2"/>
    <x v="0"/>
    <x v="2"/>
  </r>
  <r>
    <s v="ORD00602"/>
    <x v="1652"/>
    <x v="1"/>
    <s v="Eka Iskandar"/>
    <s v="Surabaya"/>
    <x v="9"/>
    <n v="50000"/>
    <n v="4"/>
    <n v="0"/>
    <n v="200000"/>
    <n v="0"/>
    <n v="200000"/>
    <n v="74000"/>
    <n v="274000"/>
    <x v="2"/>
    <x v="0"/>
    <x v="2"/>
    <n v="2"/>
    <x v="0"/>
    <x v="0"/>
  </r>
  <r>
    <s v="ORD01501"/>
    <x v="1653"/>
    <x v="1"/>
    <s v="Sari Hidayat"/>
    <s v="Semarang"/>
    <x v="4"/>
    <n v="4000"/>
    <n v="1"/>
    <n v="0"/>
    <n v="4000"/>
    <n v="0"/>
    <n v="4000"/>
    <n v="76000"/>
    <n v="80000"/>
    <x v="3"/>
    <x v="4"/>
    <x v="3"/>
    <n v="1"/>
    <x v="0"/>
    <x v="0"/>
  </r>
  <r>
    <s v="ORD00839"/>
    <x v="1654"/>
    <x v="1"/>
    <s v="Citra Ananda"/>
    <s v="Manokwari"/>
    <x v="20"/>
    <n v="12000"/>
    <n v="2"/>
    <n v="20"/>
    <n v="24000"/>
    <n v="4800"/>
    <n v="19200"/>
    <n v="18000"/>
    <n v="37200"/>
    <x v="2"/>
    <x v="3"/>
    <x v="2"/>
    <n v="5"/>
    <x v="0"/>
    <x v="0"/>
  </r>
  <r>
    <s v="ORD00125"/>
    <x v="1655"/>
    <x v="1"/>
    <s v="Bella Setiawan"/>
    <s v="Kupang"/>
    <x v="26"/>
    <n v="18000"/>
    <n v="2"/>
    <n v="10"/>
    <n v="36000"/>
    <n v="3600"/>
    <n v="32400"/>
    <n v="21000"/>
    <n v="53400"/>
    <x v="3"/>
    <x v="3"/>
    <x v="4"/>
    <n v="2"/>
    <x v="0"/>
    <x v="0"/>
  </r>
  <r>
    <s v="ORD00756"/>
    <x v="1656"/>
    <x v="1"/>
    <s v="Erna Halim"/>
    <s v="Samarinda"/>
    <x v="13"/>
    <n v="17000"/>
    <n v="4"/>
    <n v="15"/>
    <n v="68000"/>
    <n v="10200"/>
    <n v="57800"/>
    <n v="43000"/>
    <n v="100800"/>
    <x v="1"/>
    <x v="3"/>
    <x v="0"/>
    <n v="5"/>
    <x v="0"/>
    <x v="1"/>
  </r>
  <r>
    <s v="ORD00359"/>
    <x v="1657"/>
    <x v="1"/>
    <s v="Yani Kusuma"/>
    <s v="Kendari"/>
    <x v="14"/>
    <n v="35000"/>
    <n v="1"/>
    <n v="20"/>
    <n v="35000"/>
    <n v="7000"/>
    <n v="28000"/>
    <n v="59000"/>
    <n v="87000"/>
    <x v="3"/>
    <x v="3"/>
    <x v="4"/>
    <n v="4"/>
    <x v="0"/>
    <x v="1"/>
  </r>
  <r>
    <s v="ORD00557"/>
    <x v="1658"/>
    <x v="1"/>
    <s v="Eko Pradipta"/>
    <s v="Samarinda"/>
    <x v="21"/>
    <n v="17000"/>
    <n v="3"/>
    <n v="0"/>
    <n v="51000"/>
    <n v="0"/>
    <n v="51000"/>
    <n v="43000"/>
    <n v="94000"/>
    <x v="1"/>
    <x v="3"/>
    <x v="2"/>
    <n v="1"/>
    <x v="1"/>
    <x v="0"/>
  </r>
  <r>
    <s v="ORD00652"/>
    <x v="1659"/>
    <x v="1"/>
    <s v="Andi Utami"/>
    <s v="Bandar Lampung"/>
    <x v="24"/>
    <n v="45000"/>
    <n v="2"/>
    <n v="5"/>
    <n v="90000"/>
    <n v="4500"/>
    <n v="85500"/>
    <n v="28000"/>
    <n v="113500"/>
    <x v="2"/>
    <x v="0"/>
    <x v="1"/>
    <n v="5"/>
    <x v="1"/>
    <x v="0"/>
  </r>
  <r>
    <s v="ORD01343"/>
    <x v="1660"/>
    <x v="1"/>
    <s v="Dimas Utami"/>
    <s v="Bandung"/>
    <x v="15"/>
    <n v="14000"/>
    <n v="2"/>
    <n v="15"/>
    <n v="28000"/>
    <n v="4200"/>
    <n v="23800"/>
    <n v="0"/>
    <n v="23800"/>
    <x v="3"/>
    <x v="0"/>
    <x v="0"/>
    <n v="1"/>
    <x v="1"/>
    <x v="0"/>
  </r>
  <r>
    <s v="ORD00460"/>
    <x v="1661"/>
    <x v="1"/>
    <s v="Aulia Setiawan"/>
    <s v="Pekanbaru"/>
    <x v="1"/>
    <n v="5000"/>
    <n v="2"/>
    <n v="5"/>
    <n v="10000"/>
    <n v="500"/>
    <n v="9500"/>
    <n v="49000"/>
    <n v="58500"/>
    <x v="0"/>
    <x v="0"/>
    <x v="3"/>
    <n v="1"/>
    <x v="0"/>
    <x v="0"/>
  </r>
  <r>
    <s v="ORD00460"/>
    <x v="1661"/>
    <x v="1"/>
    <s v="Aulia Setiawan"/>
    <s v="Pekanbaru"/>
    <x v="16"/>
    <n v="25000"/>
    <n v="5"/>
    <n v="5"/>
    <n v="125000"/>
    <n v="6250"/>
    <n v="118750"/>
    <n v="0"/>
    <n v="118750"/>
    <x v="0"/>
    <x v="0"/>
    <x v="3"/>
    <n v="1"/>
    <x v="0"/>
    <x v="1"/>
  </r>
  <r>
    <s v="ORD01215"/>
    <x v="1662"/>
    <x v="1"/>
    <s v="Ani Kusuma"/>
    <s v="Tanjungpinang"/>
    <x v="5"/>
    <n v="40000"/>
    <n v="1"/>
    <n v="5"/>
    <n v="40000"/>
    <n v="2000"/>
    <n v="38000"/>
    <n v="48000"/>
    <n v="86000"/>
    <x v="2"/>
    <x v="0"/>
    <x v="3"/>
    <n v="4"/>
    <x v="0"/>
    <x v="0"/>
  </r>
  <r>
    <s v="ORD01627"/>
    <x v="1663"/>
    <x v="1"/>
    <s v="Yani Nugroho"/>
    <s v="Palembang"/>
    <x v="0"/>
    <n v="45000"/>
    <n v="2"/>
    <n v="0"/>
    <n v="90000"/>
    <n v="0"/>
    <n v="90000"/>
    <n v="17000"/>
    <n v="107000"/>
    <x v="3"/>
    <x v="0"/>
    <x v="4"/>
    <n v="3"/>
    <x v="0"/>
    <x v="0"/>
  </r>
  <r>
    <s v="ORD00833"/>
    <x v="1664"/>
    <x v="1"/>
    <s v="Eka Puspita"/>
    <s v="Ambon"/>
    <x v="23"/>
    <n v="10000"/>
    <n v="1"/>
    <n v="20"/>
    <n v="10000"/>
    <n v="2000"/>
    <n v="8000"/>
    <n v="49000"/>
    <n v="57000"/>
    <x v="2"/>
    <x v="4"/>
    <x v="2"/>
    <n v="1"/>
    <x v="0"/>
    <x v="0"/>
  </r>
  <r>
    <s v="ORD01683"/>
    <x v="1665"/>
    <x v="1"/>
    <s v="Citra Maulana"/>
    <s v="Bengkulu"/>
    <x v="11"/>
    <n v="40000"/>
    <n v="4"/>
    <n v="10"/>
    <n v="160000"/>
    <n v="16000"/>
    <n v="144000"/>
    <n v="72000"/>
    <n v="216000"/>
    <x v="2"/>
    <x v="3"/>
    <x v="4"/>
    <n v="5"/>
    <x v="0"/>
    <x v="2"/>
  </r>
  <r>
    <s v="ORD00880"/>
    <x v="1666"/>
    <x v="1"/>
    <s v="Made Setiawan"/>
    <s v="Denpasar"/>
    <x v="25"/>
    <n v="35000"/>
    <n v="4"/>
    <n v="20"/>
    <n v="140000"/>
    <n v="28000"/>
    <n v="112000"/>
    <n v="80000"/>
    <n v="192000"/>
    <x v="1"/>
    <x v="4"/>
    <x v="1"/>
    <n v="5"/>
    <x v="1"/>
    <x v="2"/>
  </r>
  <r>
    <s v="ORD00274"/>
    <x v="1667"/>
    <x v="1"/>
    <s v="Clara Hidayat"/>
    <s v="Mamuju"/>
    <x v="5"/>
    <n v="40000"/>
    <n v="4"/>
    <n v="20"/>
    <n v="160000"/>
    <n v="32000"/>
    <n v="128000"/>
    <n v="46000"/>
    <n v="174000"/>
    <x v="2"/>
    <x v="4"/>
    <x v="4"/>
    <n v="5"/>
    <x v="0"/>
    <x v="3"/>
  </r>
  <r>
    <s v="ORD01811"/>
    <x v="1668"/>
    <x v="1"/>
    <s v="Gita Saputra"/>
    <s v="Bengkulu"/>
    <x v="8"/>
    <n v="16000"/>
    <n v="1"/>
    <n v="20"/>
    <n v="16000"/>
    <n v="3200"/>
    <n v="12800"/>
    <n v="72000"/>
    <n v="84800"/>
    <x v="0"/>
    <x v="4"/>
    <x v="2"/>
    <n v="5"/>
    <x v="0"/>
    <x v="0"/>
  </r>
  <r>
    <s v="ORD01613"/>
    <x v="1669"/>
    <x v="1"/>
    <s v="Vina Saputra"/>
    <s v="Gorontalo"/>
    <x v="19"/>
    <n v="22000"/>
    <n v="5"/>
    <n v="0"/>
    <n v="110000"/>
    <n v="0"/>
    <n v="110000"/>
    <n v="80000"/>
    <n v="190000"/>
    <x v="1"/>
    <x v="0"/>
    <x v="4"/>
    <n v="1"/>
    <x v="0"/>
    <x v="0"/>
  </r>
  <r>
    <s v="ORD01742"/>
    <x v="1670"/>
    <x v="1"/>
    <s v="Yani Rahmawati"/>
    <s v="Ambon"/>
    <x v="9"/>
    <n v="50000"/>
    <n v="1"/>
    <n v="10"/>
    <n v="50000"/>
    <n v="5000"/>
    <n v="45000"/>
    <n v="49000"/>
    <n v="94000"/>
    <x v="3"/>
    <x v="4"/>
    <x v="1"/>
    <n v="5"/>
    <x v="0"/>
    <x v="0"/>
  </r>
  <r>
    <s v="ORD01273"/>
    <x v="1671"/>
    <x v="1"/>
    <s v="Hana Nugroho"/>
    <s v="Surabaya"/>
    <x v="26"/>
    <n v="18000"/>
    <n v="3"/>
    <n v="20"/>
    <n v="54000"/>
    <n v="10800"/>
    <n v="43200"/>
    <n v="74000"/>
    <n v="117200"/>
    <x v="2"/>
    <x v="4"/>
    <x v="4"/>
    <n v="1"/>
    <x v="0"/>
    <x v="1"/>
  </r>
  <r>
    <s v="ORD01321"/>
    <x v="1672"/>
    <x v="1"/>
    <s v="Gita Kurniawan"/>
    <s v="Yogyakarta"/>
    <x v="12"/>
    <n v="55000"/>
    <n v="4"/>
    <n v="5"/>
    <n v="220000"/>
    <n v="11000"/>
    <n v="209000"/>
    <n v="78000"/>
    <n v="287000"/>
    <x v="1"/>
    <x v="0"/>
    <x v="0"/>
    <n v="4"/>
    <x v="0"/>
    <x v="1"/>
  </r>
  <r>
    <s v="ORD00408"/>
    <x v="1673"/>
    <x v="1"/>
    <s v="Fitri Iskandar"/>
    <s v="Kendari"/>
    <x v="25"/>
    <n v="35000"/>
    <n v="2"/>
    <n v="10"/>
    <n v="70000"/>
    <n v="7000"/>
    <n v="63000"/>
    <n v="59000"/>
    <n v="122000"/>
    <x v="0"/>
    <x v="4"/>
    <x v="3"/>
    <n v="5"/>
    <x v="0"/>
    <x v="1"/>
  </r>
  <r>
    <s v="ORD00408"/>
    <x v="1673"/>
    <x v="1"/>
    <s v="Fitri Iskandar"/>
    <s v="Kendari"/>
    <x v="8"/>
    <n v="16000"/>
    <n v="3"/>
    <n v="10"/>
    <n v="48000"/>
    <n v="4800"/>
    <n v="43200"/>
    <n v="0"/>
    <n v="43200"/>
    <x v="0"/>
    <x v="4"/>
    <x v="3"/>
    <n v="5"/>
    <x v="0"/>
    <x v="0"/>
  </r>
  <r>
    <s v="ORD00626"/>
    <x v="1674"/>
    <x v="1"/>
    <s v="Vina Setiawan"/>
    <s v="Bandung"/>
    <x v="10"/>
    <n v="15000"/>
    <n v="3"/>
    <n v="10"/>
    <n v="45000"/>
    <n v="4500"/>
    <n v="40500"/>
    <n v="0"/>
    <n v="40500"/>
    <x v="1"/>
    <x v="0"/>
    <x v="2"/>
    <n v="4"/>
    <x v="0"/>
    <x v="0"/>
  </r>
  <r>
    <s v="ORD01386"/>
    <x v="1675"/>
    <x v="1"/>
    <s v="Erna Hidayat"/>
    <s v="Bandar Lampung"/>
    <x v="8"/>
    <n v="16000"/>
    <n v="3"/>
    <n v="20"/>
    <n v="48000"/>
    <n v="9600"/>
    <n v="38400"/>
    <n v="28000"/>
    <n v="66400"/>
    <x v="3"/>
    <x v="0"/>
    <x v="3"/>
    <n v="4"/>
    <x v="0"/>
    <x v="1"/>
  </r>
  <r>
    <s v="ORD01256"/>
    <x v="1676"/>
    <x v="1"/>
    <s v="Erna Wijaya"/>
    <s v="Bandar Lampung"/>
    <x v="15"/>
    <n v="14000"/>
    <n v="5"/>
    <n v="5"/>
    <n v="70000"/>
    <n v="3500"/>
    <n v="66500"/>
    <n v="28000"/>
    <n v="94500"/>
    <x v="1"/>
    <x v="3"/>
    <x v="4"/>
    <n v="2"/>
    <x v="0"/>
    <x v="0"/>
  </r>
  <r>
    <s v="ORD00373"/>
    <x v="1677"/>
    <x v="1"/>
    <s v="Hana Saputra"/>
    <s v="Bengkulu"/>
    <x v="2"/>
    <n v="16000"/>
    <n v="1"/>
    <n v="15"/>
    <n v="16000"/>
    <n v="2400"/>
    <n v="13600"/>
    <n v="72000"/>
    <n v="85600"/>
    <x v="2"/>
    <x v="4"/>
    <x v="0"/>
    <n v="4"/>
    <x v="0"/>
    <x v="0"/>
  </r>
  <r>
    <s v="ORD00615"/>
    <x v="1678"/>
    <x v="1"/>
    <s v="Yani Nugroho"/>
    <s v="Palembang"/>
    <x v="14"/>
    <n v="35000"/>
    <n v="4"/>
    <n v="20"/>
    <n v="140000"/>
    <n v="28000"/>
    <n v="112000"/>
    <n v="17000"/>
    <n v="129000"/>
    <x v="1"/>
    <x v="4"/>
    <x v="1"/>
    <n v="5"/>
    <x v="0"/>
    <x v="2"/>
  </r>
  <r>
    <s v="ORD01159"/>
    <x v="1679"/>
    <x v="1"/>
    <s v="Hana Saputra"/>
    <s v="Bengkulu"/>
    <x v="15"/>
    <n v="14000"/>
    <n v="3"/>
    <n v="10"/>
    <n v="42000"/>
    <n v="4200"/>
    <n v="37800"/>
    <n v="72000"/>
    <n v="109800"/>
    <x v="0"/>
    <x v="0"/>
    <x v="2"/>
    <n v="4"/>
    <x v="0"/>
    <x v="0"/>
  </r>
  <r>
    <s v="ORD01338"/>
    <x v="1680"/>
    <x v="1"/>
    <s v="Erna Fauziah"/>
    <s v="Mataram"/>
    <x v="22"/>
    <n v="18000"/>
    <n v="5"/>
    <n v="15"/>
    <n v="90000"/>
    <n v="13500"/>
    <n v="76500"/>
    <n v="56000"/>
    <n v="132500"/>
    <x v="1"/>
    <x v="0"/>
    <x v="0"/>
    <n v="3"/>
    <x v="0"/>
    <x v="1"/>
  </r>
  <r>
    <s v="ORD01166"/>
    <x v="1681"/>
    <x v="1"/>
    <s v="Vina Kurniawan"/>
    <s v="Yogyakarta"/>
    <x v="19"/>
    <n v="22000"/>
    <n v="1"/>
    <n v="15"/>
    <n v="22000"/>
    <n v="3300"/>
    <n v="18700"/>
    <n v="78000"/>
    <n v="96700"/>
    <x v="2"/>
    <x v="3"/>
    <x v="2"/>
    <n v="2"/>
    <x v="0"/>
    <x v="0"/>
  </r>
  <r>
    <s v="ORD01185"/>
    <x v="1682"/>
    <x v="1"/>
    <s v="Dina Halim"/>
    <s v="Wamena"/>
    <x v="16"/>
    <n v="25000"/>
    <n v="4"/>
    <n v="20"/>
    <n v="100000"/>
    <n v="20000"/>
    <n v="80000"/>
    <n v="15000"/>
    <n v="95000"/>
    <x v="0"/>
    <x v="0"/>
    <x v="2"/>
    <n v="4"/>
    <x v="0"/>
    <x v="2"/>
  </r>
  <r>
    <s v="ORD01285"/>
    <x v="1683"/>
    <x v="1"/>
    <s v="Zahra Budiman"/>
    <s v="Ambon"/>
    <x v="20"/>
    <n v="12000"/>
    <n v="1"/>
    <n v="15"/>
    <n v="12000"/>
    <n v="1800"/>
    <n v="10200"/>
    <n v="49000"/>
    <n v="59200"/>
    <x v="1"/>
    <x v="4"/>
    <x v="2"/>
    <n v="2"/>
    <x v="0"/>
    <x v="0"/>
  </r>
  <r>
    <s v="ORD01542"/>
    <x v="1684"/>
    <x v="1"/>
    <s v="Budi Saputra"/>
    <s v="Mataram"/>
    <x v="17"/>
    <n v="30000"/>
    <n v="5"/>
    <n v="5"/>
    <n v="150000"/>
    <n v="7500"/>
    <n v="142500"/>
    <n v="56000"/>
    <n v="198500"/>
    <x v="2"/>
    <x v="4"/>
    <x v="1"/>
    <n v="5"/>
    <x v="1"/>
    <x v="1"/>
  </r>
  <r>
    <s v="ORD01666"/>
    <x v="1685"/>
    <x v="1"/>
    <s v="Dewi Iskandar"/>
    <s v="Banda Aceh"/>
    <x v="14"/>
    <n v="35000"/>
    <n v="3"/>
    <n v="20"/>
    <n v="105000"/>
    <n v="21000"/>
    <n v="84000"/>
    <n v="18000"/>
    <n v="102000"/>
    <x v="0"/>
    <x v="3"/>
    <x v="3"/>
    <n v="4"/>
    <x v="0"/>
    <x v="2"/>
  </r>
  <r>
    <s v="ORD00757"/>
    <x v="1686"/>
    <x v="1"/>
    <s v="Zahra Budiman"/>
    <s v="Ambon"/>
    <x v="15"/>
    <n v="14000"/>
    <n v="5"/>
    <n v="15"/>
    <n v="70000"/>
    <n v="10500"/>
    <n v="59500"/>
    <n v="49000"/>
    <n v="108500"/>
    <x v="2"/>
    <x v="3"/>
    <x v="1"/>
    <n v="2"/>
    <x v="0"/>
    <x v="1"/>
  </r>
  <r>
    <s v="ORD01236"/>
    <x v="1687"/>
    <x v="1"/>
    <s v="Lestari Nugroho"/>
    <s v="Samarinda"/>
    <x v="1"/>
    <n v="5000"/>
    <n v="1"/>
    <n v="15"/>
    <n v="5000"/>
    <n v="750"/>
    <n v="4250"/>
    <n v="43000"/>
    <n v="47250"/>
    <x v="2"/>
    <x v="0"/>
    <x v="4"/>
    <n v="4"/>
    <x v="0"/>
    <x v="0"/>
  </r>
  <r>
    <s v="ORD01153"/>
    <x v="1688"/>
    <x v="1"/>
    <s v="Citra Kusuma"/>
    <s v="Manado"/>
    <x v="15"/>
    <n v="14000"/>
    <n v="4"/>
    <n v="0"/>
    <n v="56000"/>
    <n v="0"/>
    <n v="56000"/>
    <n v="93000"/>
    <n v="149000"/>
    <x v="1"/>
    <x v="0"/>
    <x v="2"/>
    <n v="1"/>
    <x v="0"/>
    <x v="0"/>
  </r>
  <r>
    <s v="ORD01429"/>
    <x v="1689"/>
    <x v="1"/>
    <s v="Aulia Kusuma"/>
    <s v="Surabaya"/>
    <x v="26"/>
    <n v="18000"/>
    <n v="1"/>
    <n v="0"/>
    <n v="18000"/>
    <n v="0"/>
    <n v="18000"/>
    <n v="74000"/>
    <n v="92000"/>
    <x v="1"/>
    <x v="2"/>
    <x v="3"/>
    <n v="5"/>
    <x v="0"/>
    <x v="0"/>
  </r>
  <r>
    <s v="ORD00356"/>
    <x v="1690"/>
    <x v="1"/>
    <s v="Eka Budiman"/>
    <s v="Manado"/>
    <x v="13"/>
    <n v="17000"/>
    <n v="2"/>
    <n v="0"/>
    <n v="34000"/>
    <n v="0"/>
    <n v="34000"/>
    <n v="93000"/>
    <n v="127000"/>
    <x v="3"/>
    <x v="3"/>
    <x v="4"/>
    <n v="2"/>
    <x v="0"/>
    <x v="0"/>
  </r>
  <r>
    <s v="ORD00611"/>
    <x v="1691"/>
    <x v="1"/>
    <s v="Yani Maulana"/>
    <s v="Yogyakarta"/>
    <x v="19"/>
    <n v="22000"/>
    <n v="5"/>
    <n v="0"/>
    <n v="110000"/>
    <n v="0"/>
    <n v="110000"/>
    <n v="78000"/>
    <n v="188000"/>
    <x v="0"/>
    <x v="3"/>
    <x v="0"/>
    <n v="2"/>
    <x v="0"/>
    <x v="0"/>
  </r>
  <r>
    <s v="ORD01680"/>
    <x v="1692"/>
    <x v="1"/>
    <s v="Citra Utami"/>
    <s v="Tanjungpinang"/>
    <x v="14"/>
    <n v="35000"/>
    <n v="3"/>
    <n v="15"/>
    <n v="105000"/>
    <n v="15750"/>
    <n v="89250"/>
    <n v="48000"/>
    <n v="137250"/>
    <x v="3"/>
    <x v="4"/>
    <x v="4"/>
    <n v="5"/>
    <x v="0"/>
    <x v="2"/>
  </r>
  <r>
    <s v="ORD00117"/>
    <x v="1693"/>
    <x v="1"/>
    <s v="Dina Pradipta"/>
    <s v="Tanjungpinang"/>
    <x v="5"/>
    <n v="40000"/>
    <n v="2"/>
    <n v="15"/>
    <n v="80000"/>
    <n v="12000"/>
    <n v="68000"/>
    <n v="48000"/>
    <n v="116000"/>
    <x v="3"/>
    <x v="4"/>
    <x v="3"/>
    <n v="3"/>
    <x v="0"/>
    <x v="1"/>
  </r>
  <r>
    <s v="ORD00339"/>
    <x v="1694"/>
    <x v="1"/>
    <s v="Dina Rahmawati"/>
    <s v="Merauke"/>
    <x v="25"/>
    <n v="35000"/>
    <n v="4"/>
    <n v="0"/>
    <n v="140000"/>
    <n v="0"/>
    <n v="140000"/>
    <n v="59000"/>
    <n v="199000"/>
    <x v="2"/>
    <x v="0"/>
    <x v="1"/>
    <n v="1"/>
    <x v="0"/>
    <x v="0"/>
  </r>
  <r>
    <s v="ORD01324"/>
    <x v="1695"/>
    <x v="1"/>
    <s v="Aulia Wijaya"/>
    <s v="Palangka Raya"/>
    <x v="1"/>
    <n v="5000"/>
    <n v="2"/>
    <n v="15"/>
    <n v="10000"/>
    <n v="1500"/>
    <n v="8500"/>
    <n v="50000"/>
    <n v="58500"/>
    <x v="2"/>
    <x v="0"/>
    <x v="1"/>
    <n v="5"/>
    <x v="0"/>
    <x v="0"/>
  </r>
  <r>
    <s v="ORD00726"/>
    <x v="1696"/>
    <x v="1"/>
    <s v="Arif Santoso"/>
    <s v="Manokwari"/>
    <x v="0"/>
    <n v="45000"/>
    <n v="3"/>
    <n v="0"/>
    <n v="135000"/>
    <n v="0"/>
    <n v="135000"/>
    <n v="18000"/>
    <n v="153000"/>
    <x v="3"/>
    <x v="4"/>
    <x v="1"/>
    <n v="3"/>
    <x v="1"/>
    <x v="0"/>
  </r>
  <r>
    <s v="ORD01614"/>
    <x v="1697"/>
    <x v="1"/>
    <s v="Sari Ananda"/>
    <s v="Pangkalpinang"/>
    <x v="18"/>
    <n v="6000"/>
    <n v="4"/>
    <n v="20"/>
    <n v="24000"/>
    <n v="4800"/>
    <n v="19200"/>
    <n v="18000"/>
    <n v="37200"/>
    <x v="0"/>
    <x v="2"/>
    <x v="3"/>
    <n v="1"/>
    <x v="0"/>
    <x v="0"/>
  </r>
  <r>
    <s v="ORD00377"/>
    <x v="1698"/>
    <x v="1"/>
    <s v="Sari Pradipta"/>
    <s v="Banda Aceh"/>
    <x v="11"/>
    <n v="40000"/>
    <n v="2"/>
    <n v="15"/>
    <n v="80000"/>
    <n v="12000"/>
    <n v="68000"/>
    <n v="18000"/>
    <n v="86000"/>
    <x v="1"/>
    <x v="3"/>
    <x v="1"/>
    <n v="1"/>
    <x v="0"/>
    <x v="1"/>
  </r>
  <r>
    <s v="ORD01496"/>
    <x v="1699"/>
    <x v="1"/>
    <s v="Made Santoso"/>
    <s v="Medan"/>
    <x v="3"/>
    <n v="28000"/>
    <n v="3"/>
    <n v="0"/>
    <n v="84000"/>
    <n v="0"/>
    <n v="84000"/>
    <n v="79000"/>
    <n v="163000"/>
    <x v="1"/>
    <x v="1"/>
    <x v="3"/>
    <n v="4"/>
    <x v="1"/>
    <x v="0"/>
  </r>
  <r>
    <s v="ORD00119"/>
    <x v="1700"/>
    <x v="1"/>
    <s v="Dewi Puspita"/>
    <s v="Jayapura"/>
    <x v="23"/>
    <n v="10000"/>
    <n v="2"/>
    <n v="5"/>
    <n v="20000"/>
    <n v="1000"/>
    <n v="19000"/>
    <n v="30000"/>
    <n v="49000"/>
    <x v="3"/>
    <x v="2"/>
    <x v="2"/>
    <n v="5"/>
    <x v="0"/>
    <x v="0"/>
  </r>
  <r>
    <s v="ORD00119"/>
    <x v="1700"/>
    <x v="1"/>
    <s v="Dewi Puspita"/>
    <s v="Jayapura"/>
    <x v="3"/>
    <n v="28000"/>
    <n v="2"/>
    <n v="0"/>
    <n v="56000"/>
    <n v="0"/>
    <n v="56000"/>
    <n v="0"/>
    <n v="56000"/>
    <x v="3"/>
    <x v="2"/>
    <x v="2"/>
    <n v="5"/>
    <x v="0"/>
    <x v="0"/>
  </r>
  <r>
    <s v="ORD01802"/>
    <x v="1701"/>
    <x v="1"/>
    <s v="Lestari Santoso"/>
    <s v="Pangkalpinang"/>
    <x v="6"/>
    <n v="14000"/>
    <n v="3"/>
    <n v="0"/>
    <n v="42000"/>
    <n v="0"/>
    <n v="42000"/>
    <n v="18000"/>
    <n v="60000"/>
    <x v="0"/>
    <x v="0"/>
    <x v="2"/>
    <n v="5"/>
    <x v="0"/>
    <x v="0"/>
  </r>
  <r>
    <s v="ORD01598"/>
    <x v="1702"/>
    <x v="1"/>
    <s v="Indra Ananda"/>
    <s v="Makassar"/>
    <x v="23"/>
    <n v="10000"/>
    <n v="4"/>
    <n v="20"/>
    <n v="40000"/>
    <n v="8000"/>
    <n v="32000"/>
    <n v="84000"/>
    <n v="116000"/>
    <x v="2"/>
    <x v="0"/>
    <x v="1"/>
    <n v="1"/>
    <x v="1"/>
    <x v="1"/>
  </r>
  <r>
    <s v="ORD00664"/>
    <x v="1703"/>
    <x v="1"/>
    <s v="Dewi Syahputra"/>
    <s v="Manokwari"/>
    <x v="18"/>
    <n v="6000"/>
    <n v="3"/>
    <n v="15"/>
    <n v="18000"/>
    <n v="2700"/>
    <n v="15300"/>
    <n v="18000"/>
    <n v="33300"/>
    <x v="0"/>
    <x v="3"/>
    <x v="4"/>
    <n v="4"/>
    <x v="0"/>
    <x v="0"/>
  </r>
  <r>
    <s v="ORD00622"/>
    <x v="1704"/>
    <x v="1"/>
    <s v="Umar Setiawan"/>
    <s v="Bengkulu"/>
    <x v="18"/>
    <n v="6000"/>
    <n v="5"/>
    <n v="0"/>
    <n v="30000"/>
    <n v="0"/>
    <n v="30000"/>
    <n v="72000"/>
    <n v="102000"/>
    <x v="0"/>
    <x v="4"/>
    <x v="4"/>
    <n v="2"/>
    <x v="1"/>
    <x v="0"/>
  </r>
  <r>
    <s v="ORD00912"/>
    <x v="1705"/>
    <x v="1"/>
    <s v="Dina Setiawan"/>
    <s v="Mamuju"/>
    <x v="9"/>
    <n v="50000"/>
    <n v="3"/>
    <n v="15"/>
    <n v="150000"/>
    <n v="22500"/>
    <n v="127500"/>
    <n v="46000"/>
    <n v="173500"/>
    <x v="0"/>
    <x v="0"/>
    <x v="1"/>
    <n v="2"/>
    <x v="0"/>
    <x v="2"/>
  </r>
  <r>
    <s v="ORD00112"/>
    <x v="1706"/>
    <x v="1"/>
    <s v="Kartika Ramadhani"/>
    <s v="Bandar Lampung"/>
    <x v="4"/>
    <n v="4000"/>
    <n v="5"/>
    <n v="5"/>
    <n v="20000"/>
    <n v="1000"/>
    <n v="19000"/>
    <n v="28000"/>
    <n v="47000"/>
    <x v="1"/>
    <x v="4"/>
    <x v="0"/>
    <n v="1"/>
    <x v="0"/>
    <x v="0"/>
  </r>
  <r>
    <s v="ORD01494"/>
    <x v="1707"/>
    <x v="1"/>
    <s v="Hana Halim"/>
    <s v="Sorong"/>
    <x v="2"/>
    <n v="16000"/>
    <n v="4"/>
    <n v="5"/>
    <n v="64000"/>
    <n v="3200"/>
    <n v="60800"/>
    <n v="87000"/>
    <n v="147800"/>
    <x v="1"/>
    <x v="4"/>
    <x v="0"/>
    <n v="4"/>
    <x v="0"/>
    <x v="0"/>
  </r>
  <r>
    <s v="ORD01828"/>
    <x v="1708"/>
    <x v="1"/>
    <s v="Hendra Wijaya"/>
    <s v="Wamena"/>
    <x v="24"/>
    <n v="45000"/>
    <n v="2"/>
    <n v="10"/>
    <n v="90000"/>
    <n v="9000"/>
    <n v="81000"/>
    <n v="15000"/>
    <n v="96000"/>
    <x v="2"/>
    <x v="0"/>
    <x v="2"/>
    <n v="5"/>
    <x v="1"/>
    <x v="1"/>
  </r>
  <r>
    <s v="ORD00598"/>
    <x v="1709"/>
    <x v="1"/>
    <s v="Ani Budiman"/>
    <s v="Bengkulu"/>
    <x v="12"/>
    <n v="55000"/>
    <n v="5"/>
    <n v="10"/>
    <n v="275000"/>
    <n v="27500"/>
    <n v="247500"/>
    <n v="72000"/>
    <n v="319500"/>
    <x v="1"/>
    <x v="0"/>
    <x v="3"/>
    <n v="4"/>
    <x v="0"/>
    <x v="2"/>
  </r>
  <r>
    <s v="ORD01241"/>
    <x v="1710"/>
    <x v="1"/>
    <s v="Zahra Utami"/>
    <s v="Sofifi"/>
    <x v="16"/>
    <n v="25000"/>
    <n v="4"/>
    <n v="20"/>
    <n v="100000"/>
    <n v="20000"/>
    <n v="80000"/>
    <n v="50000"/>
    <n v="130000"/>
    <x v="3"/>
    <x v="3"/>
    <x v="1"/>
    <n v="5"/>
    <x v="0"/>
    <x v="2"/>
  </r>
  <r>
    <s v="ORD00255"/>
    <x v="1711"/>
    <x v="1"/>
    <s v="Lestari Syahputra"/>
    <s v="Banda Aceh"/>
    <x v="6"/>
    <n v="14000"/>
    <n v="2"/>
    <n v="10"/>
    <n v="28000"/>
    <n v="2800"/>
    <n v="25200"/>
    <n v="18000"/>
    <n v="43200"/>
    <x v="1"/>
    <x v="3"/>
    <x v="3"/>
    <n v="2"/>
    <x v="0"/>
    <x v="0"/>
  </r>
  <r>
    <s v="ORD00078"/>
    <x v="1712"/>
    <x v="1"/>
    <s v="Rizky Ananda"/>
    <s v="Jambi"/>
    <x v="25"/>
    <n v="35000"/>
    <n v="5"/>
    <n v="0"/>
    <n v="175000"/>
    <n v="0"/>
    <n v="175000"/>
    <n v="87000"/>
    <n v="262000"/>
    <x v="3"/>
    <x v="3"/>
    <x v="0"/>
    <n v="4"/>
    <x v="1"/>
    <x v="0"/>
  </r>
  <r>
    <s v="ORD00246"/>
    <x v="1713"/>
    <x v="1"/>
    <s v="Sari Saputra"/>
    <s v="Gorontalo"/>
    <x v="20"/>
    <n v="12000"/>
    <n v="1"/>
    <n v="10"/>
    <n v="12000"/>
    <n v="1200"/>
    <n v="10800"/>
    <n v="80000"/>
    <n v="90800"/>
    <x v="2"/>
    <x v="0"/>
    <x v="4"/>
    <n v="4"/>
    <x v="0"/>
    <x v="0"/>
  </r>
  <r>
    <s v="ORD00246"/>
    <x v="1713"/>
    <x v="1"/>
    <s v="Sari Saputra"/>
    <s v="Gorontalo"/>
    <x v="18"/>
    <n v="6000"/>
    <n v="4"/>
    <n v="5"/>
    <n v="24000"/>
    <n v="1200"/>
    <n v="22800"/>
    <n v="0"/>
    <n v="22800"/>
    <x v="2"/>
    <x v="0"/>
    <x v="4"/>
    <n v="4"/>
    <x v="0"/>
    <x v="0"/>
  </r>
  <r>
    <s v="ORD00106"/>
    <x v="1714"/>
    <x v="1"/>
    <s v="Citra Maulana"/>
    <s v="Bengkulu"/>
    <x v="20"/>
    <n v="12000"/>
    <n v="2"/>
    <n v="20"/>
    <n v="24000"/>
    <n v="4800"/>
    <n v="19200"/>
    <n v="72000"/>
    <n v="91200"/>
    <x v="3"/>
    <x v="0"/>
    <x v="1"/>
    <n v="1"/>
    <x v="0"/>
    <x v="0"/>
  </r>
  <r>
    <s v="ORD01551"/>
    <x v="1715"/>
    <x v="1"/>
    <s v="Yani Pradipta"/>
    <s v="Palembang"/>
    <x v="16"/>
    <n v="25000"/>
    <n v="4"/>
    <n v="5"/>
    <n v="100000"/>
    <n v="5000"/>
    <n v="95000"/>
    <n v="17000"/>
    <n v="112000"/>
    <x v="3"/>
    <x v="0"/>
    <x v="0"/>
    <n v="5"/>
    <x v="0"/>
    <x v="0"/>
  </r>
  <r>
    <s v="ORD00545"/>
    <x v="1716"/>
    <x v="1"/>
    <s v="Kartika Utami"/>
    <s v="Bandar Lampung"/>
    <x v="26"/>
    <n v="18000"/>
    <n v="2"/>
    <n v="10"/>
    <n v="36000"/>
    <n v="3600"/>
    <n v="32400"/>
    <n v="28000"/>
    <n v="60400"/>
    <x v="0"/>
    <x v="0"/>
    <x v="1"/>
    <n v="1"/>
    <x v="0"/>
    <x v="0"/>
  </r>
  <r>
    <s v="ORD01748"/>
    <x v="1717"/>
    <x v="1"/>
    <s v="Qori Syahputra"/>
    <s v="Jayapura"/>
    <x v="6"/>
    <n v="14000"/>
    <n v="1"/>
    <n v="10"/>
    <n v="14000"/>
    <n v="1400"/>
    <n v="12600"/>
    <n v="30000"/>
    <n v="42600"/>
    <x v="3"/>
    <x v="3"/>
    <x v="2"/>
    <n v="5"/>
    <x v="0"/>
    <x v="0"/>
  </r>
  <r>
    <s v="ORD00357"/>
    <x v="1718"/>
    <x v="1"/>
    <s v="Dina Setiawan"/>
    <s v="Mamuju"/>
    <x v="4"/>
    <n v="4000"/>
    <n v="4"/>
    <n v="10"/>
    <n v="16000"/>
    <n v="1600"/>
    <n v="14400"/>
    <n v="46000"/>
    <n v="60400"/>
    <x v="0"/>
    <x v="0"/>
    <x v="3"/>
    <n v="5"/>
    <x v="0"/>
    <x v="0"/>
  </r>
  <r>
    <s v="ORD00822"/>
    <x v="1719"/>
    <x v="1"/>
    <s v="Aulia Iskandar"/>
    <s v="Surabaya"/>
    <x v="17"/>
    <n v="30000"/>
    <n v="1"/>
    <n v="10"/>
    <n v="30000"/>
    <n v="3000"/>
    <n v="27000"/>
    <n v="74000"/>
    <n v="101000"/>
    <x v="0"/>
    <x v="3"/>
    <x v="3"/>
    <n v="1"/>
    <x v="0"/>
    <x v="0"/>
  </r>
  <r>
    <s v="ORD00567"/>
    <x v="1720"/>
    <x v="1"/>
    <s v="Zahra Ramadhani"/>
    <s v="Makassar"/>
    <x v="0"/>
    <n v="45000"/>
    <n v="4"/>
    <n v="15"/>
    <n v="180000"/>
    <n v="27000"/>
    <n v="153000"/>
    <n v="84000"/>
    <n v="237000"/>
    <x v="0"/>
    <x v="0"/>
    <x v="3"/>
    <n v="1"/>
    <x v="0"/>
    <x v="2"/>
  </r>
  <r>
    <s v="ORD01043"/>
    <x v="1721"/>
    <x v="1"/>
    <s v="Bella Rahmawati"/>
    <s v="Kendari"/>
    <x v="23"/>
    <n v="10000"/>
    <n v="3"/>
    <n v="0"/>
    <n v="30000"/>
    <n v="0"/>
    <n v="30000"/>
    <n v="59000"/>
    <n v="89000"/>
    <x v="2"/>
    <x v="4"/>
    <x v="0"/>
    <n v="1"/>
    <x v="0"/>
    <x v="0"/>
  </r>
  <r>
    <s v="ORD01322"/>
    <x v="1722"/>
    <x v="1"/>
    <s v="Dewi Pradipta"/>
    <s v="Pontianak"/>
    <x v="9"/>
    <n v="50000"/>
    <n v="2"/>
    <n v="10"/>
    <n v="100000"/>
    <n v="10000"/>
    <n v="90000"/>
    <n v="85000"/>
    <n v="175000"/>
    <x v="0"/>
    <x v="3"/>
    <x v="0"/>
    <n v="2"/>
    <x v="0"/>
    <x v="1"/>
  </r>
  <r>
    <s v="ORD01120"/>
    <x v="1723"/>
    <x v="1"/>
    <s v="Bella Fauziah"/>
    <s v="Manado"/>
    <x v="8"/>
    <n v="16000"/>
    <n v="2"/>
    <n v="0"/>
    <n v="32000"/>
    <n v="0"/>
    <n v="32000"/>
    <n v="93000"/>
    <n v="125000"/>
    <x v="1"/>
    <x v="0"/>
    <x v="2"/>
    <n v="5"/>
    <x v="0"/>
    <x v="0"/>
  </r>
  <r>
    <s v="ORD01289"/>
    <x v="1724"/>
    <x v="1"/>
    <s v="Citra Syahputra"/>
    <s v="Mamuju"/>
    <x v="3"/>
    <n v="28000"/>
    <n v="5"/>
    <n v="20"/>
    <n v="140000"/>
    <n v="28000"/>
    <n v="112000"/>
    <n v="46000"/>
    <n v="158000"/>
    <x v="2"/>
    <x v="0"/>
    <x v="1"/>
    <n v="5"/>
    <x v="0"/>
    <x v="2"/>
  </r>
  <r>
    <s v="ORD00245"/>
    <x v="1725"/>
    <x v="1"/>
    <s v="Kartika Santoso"/>
    <s v="Jambi"/>
    <x v="4"/>
    <n v="4000"/>
    <n v="5"/>
    <n v="20"/>
    <n v="20000"/>
    <n v="4000"/>
    <n v="16000"/>
    <n v="87000"/>
    <n v="103000"/>
    <x v="1"/>
    <x v="0"/>
    <x v="4"/>
    <n v="1"/>
    <x v="0"/>
    <x v="0"/>
  </r>
  <r>
    <s v="ORD00245"/>
    <x v="1725"/>
    <x v="1"/>
    <s v="Kartika Santoso"/>
    <s v="Jambi"/>
    <x v="22"/>
    <n v="18000"/>
    <n v="1"/>
    <n v="15"/>
    <n v="18000"/>
    <n v="2700"/>
    <n v="15300"/>
    <n v="0"/>
    <n v="15300"/>
    <x v="1"/>
    <x v="0"/>
    <x v="4"/>
    <n v="1"/>
    <x v="0"/>
    <x v="0"/>
  </r>
  <r>
    <s v="ORD00911"/>
    <x v="1726"/>
    <x v="1"/>
    <s v="Lestari Budiman"/>
    <s v="Pontianak"/>
    <x v="20"/>
    <n v="12000"/>
    <n v="5"/>
    <n v="10"/>
    <n v="60000"/>
    <n v="6000"/>
    <n v="54000"/>
    <n v="85000"/>
    <n v="139000"/>
    <x v="3"/>
    <x v="0"/>
    <x v="0"/>
    <n v="3"/>
    <x v="0"/>
    <x v="1"/>
  </r>
  <r>
    <s v="ORD00345"/>
    <x v="1727"/>
    <x v="1"/>
    <s v="Eka Kusuma"/>
    <s v="Pontianak"/>
    <x v="5"/>
    <n v="40000"/>
    <n v="2"/>
    <n v="5"/>
    <n v="80000"/>
    <n v="4000"/>
    <n v="76000"/>
    <n v="85000"/>
    <n v="161000"/>
    <x v="1"/>
    <x v="4"/>
    <x v="3"/>
    <n v="5"/>
    <x v="0"/>
    <x v="0"/>
  </r>
  <r>
    <s v="ORD01699"/>
    <x v="1728"/>
    <x v="1"/>
    <s v="Aulia Syahputra"/>
    <s v="Medan"/>
    <x v="1"/>
    <n v="5000"/>
    <n v="3"/>
    <n v="15"/>
    <n v="15000"/>
    <n v="2250"/>
    <n v="12750"/>
    <n v="79000"/>
    <n v="91750"/>
    <x v="0"/>
    <x v="0"/>
    <x v="1"/>
    <n v="4"/>
    <x v="0"/>
    <x v="0"/>
  </r>
  <r>
    <s v="ORD00093"/>
    <x v="1729"/>
    <x v="1"/>
    <s v="Nanda Iskandar"/>
    <s v="Pontianak"/>
    <x v="4"/>
    <n v="4000"/>
    <n v="4"/>
    <n v="0"/>
    <n v="16000"/>
    <n v="0"/>
    <n v="16000"/>
    <n v="85000"/>
    <n v="101000"/>
    <x v="1"/>
    <x v="0"/>
    <x v="0"/>
    <n v="4"/>
    <x v="1"/>
    <x v="0"/>
  </r>
  <r>
    <s v="ORD00093"/>
    <x v="1729"/>
    <x v="1"/>
    <s v="Nanda Iskandar"/>
    <s v="Pontianak"/>
    <x v="25"/>
    <n v="35000"/>
    <n v="3"/>
    <n v="20"/>
    <n v="105000"/>
    <n v="21000"/>
    <n v="84000"/>
    <n v="0"/>
    <n v="84000"/>
    <x v="1"/>
    <x v="0"/>
    <x v="0"/>
    <n v="4"/>
    <x v="1"/>
    <x v="2"/>
  </r>
  <r>
    <s v="ORD00070"/>
    <x v="1730"/>
    <x v="1"/>
    <s v="Fajar Puspita"/>
    <s v="Denpasar"/>
    <x v="4"/>
    <n v="4000"/>
    <n v="4"/>
    <n v="0"/>
    <n v="16000"/>
    <n v="0"/>
    <n v="16000"/>
    <n v="80000"/>
    <n v="96000"/>
    <x v="2"/>
    <x v="2"/>
    <x v="1"/>
    <n v="2"/>
    <x v="1"/>
    <x v="0"/>
  </r>
  <r>
    <s v="ORD01270"/>
    <x v="1731"/>
    <x v="1"/>
    <s v="Made Santoso"/>
    <s v="Medan"/>
    <x v="26"/>
    <n v="18000"/>
    <n v="2"/>
    <n v="15"/>
    <n v="36000"/>
    <n v="5400"/>
    <n v="30600"/>
    <n v="79000"/>
    <n v="109600"/>
    <x v="3"/>
    <x v="0"/>
    <x v="3"/>
    <n v="3"/>
    <x v="1"/>
    <x v="1"/>
  </r>
  <r>
    <s v="ORD00271"/>
    <x v="1732"/>
    <x v="1"/>
    <s v="Eka Wijaya"/>
    <s v="Tanjung Selor"/>
    <x v="23"/>
    <n v="10000"/>
    <n v="1"/>
    <n v="20"/>
    <n v="10000"/>
    <n v="2000"/>
    <n v="8000"/>
    <n v="26000"/>
    <n v="34000"/>
    <x v="0"/>
    <x v="4"/>
    <x v="2"/>
    <n v="2"/>
    <x v="0"/>
    <x v="0"/>
  </r>
  <r>
    <s v="ORD01760"/>
    <x v="1733"/>
    <x v="1"/>
    <s v="Putri Ananda"/>
    <s v="Tanjung Selor"/>
    <x v="21"/>
    <n v="17000"/>
    <n v="4"/>
    <n v="0"/>
    <n v="68000"/>
    <n v="0"/>
    <n v="68000"/>
    <n v="26000"/>
    <n v="94000"/>
    <x v="1"/>
    <x v="0"/>
    <x v="1"/>
    <n v="2"/>
    <x v="0"/>
    <x v="0"/>
  </r>
  <r>
    <s v="ORD00655"/>
    <x v="1734"/>
    <x v="1"/>
    <s v="Dina Ananda"/>
    <s v="Semarang"/>
    <x v="15"/>
    <n v="14000"/>
    <n v="4"/>
    <n v="0"/>
    <n v="56000"/>
    <n v="0"/>
    <n v="56000"/>
    <n v="76000"/>
    <n v="132000"/>
    <x v="3"/>
    <x v="0"/>
    <x v="4"/>
    <n v="2"/>
    <x v="0"/>
    <x v="0"/>
  </r>
  <r>
    <s v="ORD01242"/>
    <x v="1735"/>
    <x v="1"/>
    <s v="Vina Ramadhani"/>
    <s v="Jambi"/>
    <x v="24"/>
    <n v="45000"/>
    <n v="3"/>
    <n v="10"/>
    <n v="135000"/>
    <n v="13500"/>
    <n v="121500"/>
    <n v="87000"/>
    <n v="208500"/>
    <x v="3"/>
    <x v="4"/>
    <x v="1"/>
    <n v="5"/>
    <x v="0"/>
    <x v="1"/>
  </r>
  <r>
    <s v="ORD00036"/>
    <x v="1736"/>
    <x v="1"/>
    <s v="Wahyu Pradipta"/>
    <s v="Jakarta"/>
    <x v="0"/>
    <n v="45000"/>
    <n v="3"/>
    <n v="5"/>
    <n v="135000"/>
    <n v="6750"/>
    <n v="128250"/>
    <n v="97000"/>
    <n v="225250"/>
    <x v="1"/>
    <x v="3"/>
    <x v="1"/>
    <n v="4"/>
    <x v="1"/>
    <x v="1"/>
  </r>
  <r>
    <s v="ORD00680"/>
    <x v="1737"/>
    <x v="1"/>
    <s v="Gita Kurniawan"/>
    <s v="Yogyakarta"/>
    <x v="14"/>
    <n v="35000"/>
    <n v="3"/>
    <n v="10"/>
    <n v="105000"/>
    <n v="10500"/>
    <n v="94500"/>
    <n v="78000"/>
    <n v="172500"/>
    <x v="0"/>
    <x v="0"/>
    <x v="2"/>
    <n v="3"/>
    <x v="0"/>
    <x v="1"/>
  </r>
  <r>
    <s v="ORD00718"/>
    <x v="1738"/>
    <x v="1"/>
    <s v="Hana Wijaya"/>
    <s v="Sorong"/>
    <x v="3"/>
    <n v="28000"/>
    <n v="2"/>
    <n v="15"/>
    <n v="56000"/>
    <n v="8400"/>
    <n v="47600"/>
    <n v="87000"/>
    <n v="134600"/>
    <x v="2"/>
    <x v="0"/>
    <x v="1"/>
    <n v="5"/>
    <x v="0"/>
    <x v="1"/>
  </r>
  <r>
    <s v="ORD01599"/>
    <x v="1739"/>
    <x v="1"/>
    <s v="Oka Kusuma"/>
    <s v="Palembang"/>
    <x v="23"/>
    <n v="10000"/>
    <n v="1"/>
    <n v="10"/>
    <n v="10000"/>
    <n v="1000"/>
    <n v="9000"/>
    <n v="17000"/>
    <n v="26000"/>
    <x v="2"/>
    <x v="3"/>
    <x v="2"/>
    <n v="1"/>
    <x v="1"/>
    <x v="0"/>
  </r>
  <r>
    <s v="ORD01685"/>
    <x v="1740"/>
    <x v="1"/>
    <s v="Hana Saputra"/>
    <s v="Bengkulu"/>
    <x v="17"/>
    <n v="30000"/>
    <n v="2"/>
    <n v="5"/>
    <n v="60000"/>
    <n v="3000"/>
    <n v="57000"/>
    <n v="72000"/>
    <n v="129000"/>
    <x v="1"/>
    <x v="3"/>
    <x v="3"/>
    <n v="2"/>
    <x v="0"/>
    <x v="0"/>
  </r>
  <r>
    <s v="ORD01791"/>
    <x v="1741"/>
    <x v="1"/>
    <s v="Hana Fauziah"/>
    <s v="Pontianak"/>
    <x v="9"/>
    <n v="50000"/>
    <n v="3"/>
    <n v="15"/>
    <n v="150000"/>
    <n v="22500"/>
    <n v="127500"/>
    <n v="85000"/>
    <n v="212500"/>
    <x v="1"/>
    <x v="4"/>
    <x v="1"/>
    <n v="3"/>
    <x v="0"/>
    <x v="2"/>
  </r>
  <r>
    <s v="ORD00581"/>
    <x v="1742"/>
    <x v="1"/>
    <s v="Aulia Ramadhani"/>
    <s v="Semarang"/>
    <x v="24"/>
    <n v="45000"/>
    <n v="3"/>
    <n v="20"/>
    <n v="135000"/>
    <n v="27000"/>
    <n v="108000"/>
    <n v="76000"/>
    <n v="184000"/>
    <x v="2"/>
    <x v="2"/>
    <x v="0"/>
    <n v="5"/>
    <x v="0"/>
    <x v="2"/>
  </r>
  <r>
    <s v="ORD00540"/>
    <x v="1743"/>
    <x v="1"/>
    <s v="Fitri Saputra"/>
    <s v="Jakarta"/>
    <x v="6"/>
    <n v="14000"/>
    <n v="3"/>
    <n v="20"/>
    <n v="42000"/>
    <n v="8400"/>
    <n v="33600"/>
    <n v="97000"/>
    <n v="130600"/>
    <x v="3"/>
    <x v="0"/>
    <x v="1"/>
    <n v="3"/>
    <x v="0"/>
    <x v="1"/>
  </r>
  <r>
    <s v="ORD01350"/>
    <x v="1744"/>
    <x v="1"/>
    <s v="Fitri Halim"/>
    <s v="Denpasar"/>
    <x v="19"/>
    <n v="22000"/>
    <n v="5"/>
    <n v="5"/>
    <n v="110000"/>
    <n v="5500"/>
    <n v="104500"/>
    <n v="80000"/>
    <n v="184500"/>
    <x v="2"/>
    <x v="3"/>
    <x v="1"/>
    <n v="5"/>
    <x v="0"/>
    <x v="1"/>
  </r>
  <r>
    <s v="ORD01398"/>
    <x v="1745"/>
    <x v="1"/>
    <s v="Zahra Kurniawan"/>
    <s v="Wamena"/>
    <x v="17"/>
    <n v="30000"/>
    <n v="4"/>
    <n v="0"/>
    <n v="120000"/>
    <n v="0"/>
    <n v="120000"/>
    <n v="15000"/>
    <n v="135000"/>
    <x v="2"/>
    <x v="4"/>
    <x v="4"/>
    <n v="2"/>
    <x v="0"/>
    <x v="0"/>
  </r>
  <r>
    <s v="ORD00007"/>
    <x v="1746"/>
    <x v="1"/>
    <s v="Bayu Fauziah"/>
    <s v="Surabaya"/>
    <x v="9"/>
    <n v="50000"/>
    <n v="1"/>
    <n v="15"/>
    <n v="50000"/>
    <n v="7500"/>
    <n v="42500"/>
    <n v="74000"/>
    <n v="116500"/>
    <x v="1"/>
    <x v="0"/>
    <x v="4"/>
    <n v="1"/>
    <x v="1"/>
    <x v="1"/>
  </r>
  <r>
    <s v="ORD00815"/>
    <x v="1747"/>
    <x v="1"/>
    <s v="Budi Wijaya"/>
    <s v="Gorontalo"/>
    <x v="10"/>
    <n v="15000"/>
    <n v="1"/>
    <n v="20"/>
    <n v="15000"/>
    <n v="3000"/>
    <n v="12000"/>
    <n v="80000"/>
    <n v="92000"/>
    <x v="0"/>
    <x v="4"/>
    <x v="1"/>
    <n v="1"/>
    <x v="1"/>
    <x v="0"/>
  </r>
  <r>
    <s v="ORD00401"/>
    <x v="1748"/>
    <x v="1"/>
    <s v="Putri Ramadhani"/>
    <s v="Pangkalpinang"/>
    <x v="15"/>
    <n v="14000"/>
    <n v="3"/>
    <n v="15"/>
    <n v="42000"/>
    <n v="6300"/>
    <n v="35700"/>
    <n v="18000"/>
    <n v="53700"/>
    <x v="3"/>
    <x v="4"/>
    <x v="0"/>
    <n v="1"/>
    <x v="0"/>
    <x v="1"/>
  </r>
  <r>
    <s v="ORD00563"/>
    <x v="1749"/>
    <x v="1"/>
    <s v="Erna Hidayat"/>
    <s v="Bandar Lampung"/>
    <x v="19"/>
    <n v="22000"/>
    <n v="5"/>
    <n v="15"/>
    <n v="110000"/>
    <n v="16500"/>
    <n v="93500"/>
    <n v="28000"/>
    <n v="121500"/>
    <x v="1"/>
    <x v="0"/>
    <x v="2"/>
    <n v="2"/>
    <x v="0"/>
    <x v="2"/>
  </r>
  <r>
    <s v="ORD00347"/>
    <x v="1750"/>
    <x v="1"/>
    <s v="Gita Santoso"/>
    <s v="Mamuju"/>
    <x v="2"/>
    <n v="16000"/>
    <n v="3"/>
    <n v="20"/>
    <n v="48000"/>
    <n v="9600"/>
    <n v="38400"/>
    <n v="46000"/>
    <n v="84400"/>
    <x v="2"/>
    <x v="4"/>
    <x v="4"/>
    <n v="2"/>
    <x v="0"/>
    <x v="1"/>
  </r>
  <r>
    <s v="ORD01456"/>
    <x v="1751"/>
    <x v="1"/>
    <s v="Dina Kusuma"/>
    <s v="Tanjungpinang"/>
    <x v="4"/>
    <n v="4000"/>
    <n v="4"/>
    <n v="0"/>
    <n v="16000"/>
    <n v="0"/>
    <n v="16000"/>
    <n v="48000"/>
    <n v="64000"/>
    <x v="2"/>
    <x v="4"/>
    <x v="4"/>
    <n v="1"/>
    <x v="0"/>
    <x v="0"/>
  </r>
  <r>
    <s v="ORD00367"/>
    <x v="1752"/>
    <x v="1"/>
    <s v="Qori Syahputra"/>
    <s v="Jayapura"/>
    <x v="4"/>
    <n v="4000"/>
    <n v="2"/>
    <n v="0"/>
    <n v="8000"/>
    <n v="0"/>
    <n v="8000"/>
    <n v="30000"/>
    <n v="38000"/>
    <x v="2"/>
    <x v="1"/>
    <x v="1"/>
    <n v="2"/>
    <x v="0"/>
    <x v="0"/>
  </r>
  <r>
    <s v="ORD01332"/>
    <x v="1753"/>
    <x v="1"/>
    <s v="Qori Iskandar"/>
    <s v="Surabaya"/>
    <x v="9"/>
    <n v="50000"/>
    <n v="5"/>
    <n v="15"/>
    <n v="250000"/>
    <n v="37500"/>
    <n v="212500"/>
    <n v="74000"/>
    <n v="286500"/>
    <x v="2"/>
    <x v="3"/>
    <x v="2"/>
    <n v="3"/>
    <x v="0"/>
    <x v="3"/>
  </r>
  <r>
    <s v="ORD01525"/>
    <x v="1754"/>
    <x v="1"/>
    <s v="Vina Halim"/>
    <s v="Jambi"/>
    <x v="5"/>
    <n v="40000"/>
    <n v="4"/>
    <n v="5"/>
    <n v="160000"/>
    <n v="8000"/>
    <n v="152000"/>
    <n v="87000"/>
    <n v="239000"/>
    <x v="3"/>
    <x v="3"/>
    <x v="0"/>
    <n v="2"/>
    <x v="0"/>
    <x v="1"/>
  </r>
  <r>
    <s v="ORD00001"/>
    <x v="1755"/>
    <x v="1"/>
    <s v="Dimas Maulana"/>
    <s v="Mataram"/>
    <x v="1"/>
    <n v="5000"/>
    <n v="1"/>
    <n v="5"/>
    <n v="5000"/>
    <n v="250"/>
    <n v="4750"/>
    <n v="56000"/>
    <n v="60750"/>
    <x v="2"/>
    <x v="1"/>
    <x v="2"/>
    <n v="4"/>
    <x v="1"/>
    <x v="0"/>
  </r>
  <r>
    <s v="ORD00001"/>
    <x v="1755"/>
    <x v="1"/>
    <s v="Dimas Maulana"/>
    <s v="Mataram"/>
    <x v="17"/>
    <n v="30000"/>
    <n v="5"/>
    <n v="15"/>
    <n v="150000"/>
    <n v="22500"/>
    <n v="127500"/>
    <n v="0"/>
    <n v="127500"/>
    <x v="2"/>
    <x v="1"/>
    <x v="2"/>
    <n v="4"/>
    <x v="1"/>
    <x v="2"/>
  </r>
  <r>
    <s v="ORD00552"/>
    <x v="1756"/>
    <x v="1"/>
    <s v="Yani Santoso"/>
    <s v="Pontianak"/>
    <x v="6"/>
    <n v="14000"/>
    <n v="3"/>
    <n v="0"/>
    <n v="42000"/>
    <n v="0"/>
    <n v="42000"/>
    <n v="85000"/>
    <n v="127000"/>
    <x v="2"/>
    <x v="0"/>
    <x v="4"/>
    <n v="3"/>
    <x v="0"/>
    <x v="0"/>
  </r>
  <r>
    <s v="ORD01085"/>
    <x v="1757"/>
    <x v="1"/>
    <s v="Zahra Ramadhani"/>
    <s v="Makassar"/>
    <x v="12"/>
    <n v="55000"/>
    <n v="5"/>
    <n v="15"/>
    <n v="275000"/>
    <n v="41250"/>
    <n v="233750"/>
    <n v="84000"/>
    <n v="317750"/>
    <x v="3"/>
    <x v="0"/>
    <x v="1"/>
    <n v="5"/>
    <x v="0"/>
    <x v="3"/>
  </r>
  <r>
    <s v="ORD00953"/>
    <x v="1758"/>
    <x v="1"/>
    <s v="Zahra Rahmawati"/>
    <s v="Bengkulu"/>
    <x v="26"/>
    <n v="18000"/>
    <n v="1"/>
    <n v="5"/>
    <n v="18000"/>
    <n v="900"/>
    <n v="17100"/>
    <n v="72000"/>
    <n v="89100"/>
    <x v="3"/>
    <x v="4"/>
    <x v="1"/>
    <n v="2"/>
    <x v="0"/>
    <x v="0"/>
  </r>
  <r>
    <s v="ORD01243"/>
    <x v="1759"/>
    <x v="1"/>
    <s v="Indra Setiawan"/>
    <s v="Mataram"/>
    <x v="26"/>
    <n v="18000"/>
    <n v="1"/>
    <n v="20"/>
    <n v="18000"/>
    <n v="3600"/>
    <n v="14400"/>
    <n v="56000"/>
    <n v="70400"/>
    <x v="2"/>
    <x v="3"/>
    <x v="2"/>
    <n v="4"/>
    <x v="1"/>
    <x v="0"/>
  </r>
  <r>
    <s v="ORD01618"/>
    <x v="1760"/>
    <x v="1"/>
    <s v="Kartika Saputra"/>
    <s v="Palu"/>
    <x v="18"/>
    <n v="6000"/>
    <n v="4"/>
    <n v="20"/>
    <n v="24000"/>
    <n v="4800"/>
    <n v="19200"/>
    <n v="67000"/>
    <n v="86200"/>
    <x v="3"/>
    <x v="3"/>
    <x v="3"/>
    <n v="1"/>
    <x v="0"/>
    <x v="0"/>
  </r>
  <r>
    <s v="ORD01287"/>
    <x v="1761"/>
    <x v="1"/>
    <s v="Hana Nugroho"/>
    <s v="Surabaya"/>
    <x v="5"/>
    <n v="40000"/>
    <n v="5"/>
    <n v="15"/>
    <n v="200000"/>
    <n v="30000"/>
    <n v="170000"/>
    <n v="74000"/>
    <n v="244000"/>
    <x v="1"/>
    <x v="4"/>
    <x v="2"/>
    <n v="1"/>
    <x v="0"/>
    <x v="2"/>
  </r>
  <r>
    <s v="ORD01589"/>
    <x v="1762"/>
    <x v="1"/>
    <s v="Dewi Setiawan"/>
    <s v="Jakarta"/>
    <x v="23"/>
    <n v="10000"/>
    <n v="3"/>
    <n v="5"/>
    <n v="30000"/>
    <n v="1500"/>
    <n v="28500"/>
    <n v="97000"/>
    <n v="125500"/>
    <x v="1"/>
    <x v="0"/>
    <x v="1"/>
    <n v="4"/>
    <x v="0"/>
    <x v="0"/>
  </r>
  <r>
    <s v="ORD00935"/>
    <x v="1763"/>
    <x v="1"/>
    <s v="Lestari Budiman"/>
    <s v="Pontianak"/>
    <x v="4"/>
    <n v="4000"/>
    <n v="1"/>
    <n v="10"/>
    <n v="4000"/>
    <n v="400"/>
    <n v="3600"/>
    <n v="85000"/>
    <n v="88600"/>
    <x v="1"/>
    <x v="4"/>
    <x v="4"/>
    <n v="1"/>
    <x v="0"/>
    <x v="0"/>
  </r>
  <r>
    <s v="ORD01158"/>
    <x v="1764"/>
    <x v="1"/>
    <s v="Fitri Ramadhani"/>
    <s v="Surabaya"/>
    <x v="0"/>
    <n v="45000"/>
    <n v="2"/>
    <n v="5"/>
    <n v="90000"/>
    <n v="4500"/>
    <n v="85500"/>
    <n v="74000"/>
    <n v="159500"/>
    <x v="3"/>
    <x v="4"/>
    <x v="0"/>
    <n v="3"/>
    <x v="0"/>
    <x v="0"/>
  </r>
  <r>
    <s v="ORD00180"/>
    <x v="1765"/>
    <x v="1"/>
    <s v="Ani Puspita"/>
    <s v="Palu"/>
    <x v="24"/>
    <n v="45000"/>
    <n v="2"/>
    <n v="15"/>
    <n v="90000"/>
    <n v="13500"/>
    <n v="76500"/>
    <n v="67000"/>
    <n v="143500"/>
    <x v="3"/>
    <x v="0"/>
    <x v="0"/>
    <n v="3"/>
    <x v="0"/>
    <x v="1"/>
  </r>
  <r>
    <s v="ORD00873"/>
    <x v="1766"/>
    <x v="1"/>
    <s v="Andi Setiawan"/>
    <s v="Pontianak"/>
    <x v="9"/>
    <n v="50000"/>
    <n v="4"/>
    <n v="5"/>
    <n v="200000"/>
    <n v="10000"/>
    <n v="190000"/>
    <n v="85000"/>
    <n v="275000"/>
    <x v="2"/>
    <x v="4"/>
    <x v="1"/>
    <n v="4"/>
    <x v="1"/>
    <x v="1"/>
  </r>
  <r>
    <s v="ORD00820"/>
    <x v="1767"/>
    <x v="1"/>
    <s v="Dina Hidayat"/>
    <s v="Pekanbaru"/>
    <x v="18"/>
    <n v="6000"/>
    <n v="5"/>
    <n v="10"/>
    <n v="30000"/>
    <n v="3000"/>
    <n v="27000"/>
    <n v="49000"/>
    <n v="76000"/>
    <x v="1"/>
    <x v="0"/>
    <x v="4"/>
    <n v="5"/>
    <x v="0"/>
    <x v="0"/>
  </r>
  <r>
    <s v="ORD01622"/>
    <x v="1768"/>
    <x v="1"/>
    <s v="Dewi Saputra"/>
    <s v="Jambi"/>
    <x v="2"/>
    <n v="16000"/>
    <n v="4"/>
    <n v="20"/>
    <n v="64000"/>
    <n v="12800"/>
    <n v="51200"/>
    <n v="87000"/>
    <n v="138200"/>
    <x v="1"/>
    <x v="3"/>
    <x v="4"/>
    <n v="2"/>
    <x v="0"/>
    <x v="1"/>
  </r>
  <r>
    <s v="ORD01814"/>
    <x v="1769"/>
    <x v="1"/>
    <s v="Qori Halim"/>
    <s v="Pekanbaru"/>
    <x v="2"/>
    <n v="16000"/>
    <n v="3"/>
    <n v="20"/>
    <n v="48000"/>
    <n v="9600"/>
    <n v="38400"/>
    <n v="49000"/>
    <n v="87400"/>
    <x v="1"/>
    <x v="4"/>
    <x v="3"/>
    <n v="2"/>
    <x v="0"/>
    <x v="1"/>
  </r>
  <r>
    <s v="ORD01553"/>
    <x v="1770"/>
    <x v="1"/>
    <s v="Bella Saputra"/>
    <s v="Banda Aceh"/>
    <x v="20"/>
    <n v="12000"/>
    <n v="1"/>
    <n v="0"/>
    <n v="12000"/>
    <n v="0"/>
    <n v="12000"/>
    <n v="18000"/>
    <n v="30000"/>
    <x v="2"/>
    <x v="0"/>
    <x v="4"/>
    <n v="3"/>
    <x v="0"/>
    <x v="0"/>
  </r>
  <r>
    <s v="ORD01503"/>
    <x v="1771"/>
    <x v="1"/>
    <s v="Lestari Syahputra"/>
    <s v="Banda Aceh"/>
    <x v="13"/>
    <n v="17000"/>
    <n v="1"/>
    <n v="5"/>
    <n v="17000"/>
    <n v="850"/>
    <n v="16150"/>
    <n v="18000"/>
    <n v="34150"/>
    <x v="1"/>
    <x v="2"/>
    <x v="0"/>
    <n v="1"/>
    <x v="0"/>
    <x v="0"/>
  </r>
  <r>
    <s v="ORD00100"/>
    <x v="1772"/>
    <x v="1"/>
    <s v="Nanda Utami"/>
    <s v="Manado"/>
    <x v="17"/>
    <n v="30000"/>
    <n v="3"/>
    <n v="0"/>
    <n v="90000"/>
    <n v="0"/>
    <n v="90000"/>
    <n v="93000"/>
    <n v="183000"/>
    <x v="1"/>
    <x v="0"/>
    <x v="4"/>
    <n v="1"/>
    <x v="1"/>
    <x v="0"/>
  </r>
  <r>
    <s v="ORD00294"/>
    <x v="1773"/>
    <x v="1"/>
    <s v="Sari Puspita"/>
    <s v="Jakarta"/>
    <x v="25"/>
    <n v="35000"/>
    <n v="5"/>
    <n v="20"/>
    <n v="175000"/>
    <n v="35000"/>
    <n v="140000"/>
    <n v="97000"/>
    <n v="237000"/>
    <x v="1"/>
    <x v="0"/>
    <x v="2"/>
    <n v="1"/>
    <x v="0"/>
    <x v="3"/>
  </r>
  <r>
    <s v="ORD00294"/>
    <x v="1773"/>
    <x v="1"/>
    <s v="Sari Puspita"/>
    <s v="Jakarta"/>
    <x v="8"/>
    <n v="16000"/>
    <n v="5"/>
    <n v="5"/>
    <n v="80000"/>
    <n v="4000"/>
    <n v="76000"/>
    <n v="0"/>
    <n v="76000"/>
    <x v="1"/>
    <x v="0"/>
    <x v="2"/>
    <n v="1"/>
    <x v="0"/>
    <x v="0"/>
  </r>
  <r>
    <s v="ORD01199"/>
    <x v="1774"/>
    <x v="1"/>
    <s v="Eka Hidayat"/>
    <s v="Samarinda"/>
    <x v="5"/>
    <n v="40000"/>
    <n v="5"/>
    <n v="0"/>
    <n v="200000"/>
    <n v="0"/>
    <n v="200000"/>
    <n v="43000"/>
    <n v="243000"/>
    <x v="0"/>
    <x v="4"/>
    <x v="3"/>
    <n v="2"/>
    <x v="0"/>
    <x v="0"/>
  </r>
  <r>
    <s v="ORD01309"/>
    <x v="1775"/>
    <x v="1"/>
    <s v="Aulia Saputra"/>
    <s v="Kendari"/>
    <x v="20"/>
    <n v="12000"/>
    <n v="5"/>
    <n v="15"/>
    <n v="60000"/>
    <n v="9000"/>
    <n v="51000"/>
    <n v="59000"/>
    <n v="110000"/>
    <x v="0"/>
    <x v="4"/>
    <x v="3"/>
    <n v="2"/>
    <x v="0"/>
    <x v="1"/>
  </r>
  <r>
    <s v="ORD00392"/>
    <x v="1776"/>
    <x v="1"/>
    <s v="Erna Rahmawati"/>
    <s v="Banda Aceh"/>
    <x v="20"/>
    <n v="12000"/>
    <n v="4"/>
    <n v="0"/>
    <n v="48000"/>
    <n v="0"/>
    <n v="48000"/>
    <n v="18000"/>
    <n v="66000"/>
    <x v="0"/>
    <x v="0"/>
    <x v="1"/>
    <n v="5"/>
    <x v="0"/>
    <x v="0"/>
  </r>
  <r>
    <s v="ORD01820"/>
    <x v="1777"/>
    <x v="1"/>
    <s v="Dewi Wijaya"/>
    <s v="Jayapura"/>
    <x v="26"/>
    <n v="18000"/>
    <n v="5"/>
    <n v="15"/>
    <n v="90000"/>
    <n v="13500"/>
    <n v="76500"/>
    <n v="30000"/>
    <n v="106500"/>
    <x v="3"/>
    <x v="0"/>
    <x v="4"/>
    <n v="3"/>
    <x v="0"/>
    <x v="1"/>
  </r>
  <r>
    <s v="ORD01032"/>
    <x v="1778"/>
    <x v="1"/>
    <s v="Budi Hidayat"/>
    <s v="Wamena"/>
    <x v="15"/>
    <n v="14000"/>
    <n v="3"/>
    <n v="20"/>
    <n v="42000"/>
    <n v="8400"/>
    <n v="33600"/>
    <n v="15000"/>
    <n v="48600"/>
    <x v="2"/>
    <x v="0"/>
    <x v="1"/>
    <n v="1"/>
    <x v="1"/>
    <x v="1"/>
  </r>
  <r>
    <s v="ORD00723"/>
    <x v="1779"/>
    <x v="1"/>
    <s v="Galih Saputra"/>
    <s v="Jakarta"/>
    <x v="5"/>
    <n v="40000"/>
    <n v="4"/>
    <n v="15"/>
    <n v="160000"/>
    <n v="24000"/>
    <n v="136000"/>
    <n v="97000"/>
    <n v="233000"/>
    <x v="0"/>
    <x v="3"/>
    <x v="1"/>
    <n v="1"/>
    <x v="1"/>
    <x v="2"/>
  </r>
  <r>
    <s v="ORD01260"/>
    <x v="1780"/>
    <x v="1"/>
    <s v="Oka Santoso"/>
    <s v="Manokwari"/>
    <x v="13"/>
    <n v="17000"/>
    <n v="3"/>
    <n v="0"/>
    <n v="51000"/>
    <n v="0"/>
    <n v="51000"/>
    <n v="18000"/>
    <n v="69000"/>
    <x v="1"/>
    <x v="4"/>
    <x v="0"/>
    <n v="1"/>
    <x v="1"/>
    <x v="0"/>
  </r>
  <r>
    <s v="ORD01571"/>
    <x v="1781"/>
    <x v="1"/>
    <s v="Zahra Rahmawati"/>
    <s v="Bengkulu"/>
    <x v="18"/>
    <n v="6000"/>
    <n v="1"/>
    <n v="15"/>
    <n v="6000"/>
    <n v="900"/>
    <n v="5100"/>
    <n v="72000"/>
    <n v="77100"/>
    <x v="3"/>
    <x v="4"/>
    <x v="4"/>
    <n v="4"/>
    <x v="0"/>
    <x v="0"/>
  </r>
  <r>
    <s v="ORD01385"/>
    <x v="1782"/>
    <x v="1"/>
    <s v="Yoga Nugroho"/>
    <s v="Banda Aceh"/>
    <x v="4"/>
    <n v="4000"/>
    <n v="1"/>
    <n v="5"/>
    <n v="4000"/>
    <n v="200"/>
    <n v="3800"/>
    <n v="18000"/>
    <n v="21800"/>
    <x v="3"/>
    <x v="4"/>
    <x v="0"/>
    <n v="4"/>
    <x v="1"/>
    <x v="0"/>
  </r>
  <r>
    <s v="ORD01634"/>
    <x v="1783"/>
    <x v="1"/>
    <s v="Hana Setiawan"/>
    <s v="Mataram"/>
    <x v="5"/>
    <n v="40000"/>
    <n v="2"/>
    <n v="15"/>
    <n v="80000"/>
    <n v="12000"/>
    <n v="68000"/>
    <n v="56000"/>
    <n v="124000"/>
    <x v="2"/>
    <x v="4"/>
    <x v="0"/>
    <n v="5"/>
    <x v="0"/>
    <x v="1"/>
  </r>
  <r>
    <s v="ORD01555"/>
    <x v="1784"/>
    <x v="1"/>
    <s v="Iwan Rahmawati"/>
    <s v="Bandung"/>
    <x v="8"/>
    <n v="16000"/>
    <n v="3"/>
    <n v="0"/>
    <n v="48000"/>
    <n v="0"/>
    <n v="48000"/>
    <n v="0"/>
    <n v="48000"/>
    <x v="1"/>
    <x v="3"/>
    <x v="4"/>
    <n v="3"/>
    <x v="1"/>
    <x v="0"/>
  </r>
  <r>
    <s v="ORD01434"/>
    <x v="1785"/>
    <x v="1"/>
    <s v="Dewi Rahmawati"/>
    <s v="Tanjung Selor"/>
    <x v="16"/>
    <n v="25000"/>
    <n v="2"/>
    <n v="10"/>
    <n v="50000"/>
    <n v="5000"/>
    <n v="45000"/>
    <n v="26000"/>
    <n v="71000"/>
    <x v="3"/>
    <x v="1"/>
    <x v="3"/>
    <n v="4"/>
    <x v="0"/>
    <x v="0"/>
  </r>
  <r>
    <s v="ORD00467"/>
    <x v="1786"/>
    <x v="1"/>
    <s v="Aulia Fauziah"/>
    <s v="Padang"/>
    <x v="10"/>
    <n v="15000"/>
    <n v="3"/>
    <n v="15"/>
    <n v="45000"/>
    <n v="6750"/>
    <n v="38250"/>
    <n v="68000"/>
    <n v="106250"/>
    <x v="1"/>
    <x v="0"/>
    <x v="1"/>
    <n v="2"/>
    <x v="0"/>
    <x v="1"/>
  </r>
  <r>
    <s v="ORD00846"/>
    <x v="1787"/>
    <x v="1"/>
    <s v="Yoga Utami"/>
    <s v="Banjarbaru"/>
    <x v="9"/>
    <n v="50000"/>
    <n v="1"/>
    <n v="20"/>
    <n v="50000"/>
    <n v="10000"/>
    <n v="40000"/>
    <n v="55000"/>
    <n v="95000"/>
    <x v="2"/>
    <x v="4"/>
    <x v="4"/>
    <n v="1"/>
    <x v="1"/>
    <x v="1"/>
  </r>
  <r>
    <s v="ORD00322"/>
    <x v="1788"/>
    <x v="1"/>
    <s v="Fitri Hidayat"/>
    <s v="Bengkulu"/>
    <x v="8"/>
    <n v="16000"/>
    <n v="1"/>
    <n v="15"/>
    <n v="16000"/>
    <n v="2400"/>
    <n v="13600"/>
    <n v="72000"/>
    <n v="85600"/>
    <x v="2"/>
    <x v="2"/>
    <x v="0"/>
    <n v="4"/>
    <x v="0"/>
    <x v="0"/>
  </r>
  <r>
    <s v="ORD00140"/>
    <x v="1789"/>
    <x v="1"/>
    <s v="Qori Ramadhani"/>
    <s v="Merauke"/>
    <x v="21"/>
    <n v="17000"/>
    <n v="4"/>
    <n v="15"/>
    <n v="68000"/>
    <n v="10200"/>
    <n v="57800"/>
    <n v="59000"/>
    <n v="116800"/>
    <x v="1"/>
    <x v="4"/>
    <x v="4"/>
    <n v="3"/>
    <x v="0"/>
    <x v="1"/>
  </r>
  <r>
    <s v="ORD01444"/>
    <x v="1790"/>
    <x v="1"/>
    <s v="Kartika Saputra"/>
    <s v="Palu"/>
    <x v="23"/>
    <n v="10000"/>
    <n v="1"/>
    <n v="15"/>
    <n v="10000"/>
    <n v="1500"/>
    <n v="8500"/>
    <n v="67000"/>
    <n v="75500"/>
    <x v="1"/>
    <x v="2"/>
    <x v="4"/>
    <n v="3"/>
    <x v="0"/>
    <x v="0"/>
  </r>
  <r>
    <s v="ORD01468"/>
    <x v="1791"/>
    <x v="1"/>
    <s v="Gita Utami"/>
    <s v="Pangkalpinang"/>
    <x v="19"/>
    <n v="22000"/>
    <n v="2"/>
    <n v="20"/>
    <n v="44000"/>
    <n v="8800"/>
    <n v="35200"/>
    <n v="18000"/>
    <n v="53200"/>
    <x v="2"/>
    <x v="4"/>
    <x v="3"/>
    <n v="5"/>
    <x v="0"/>
    <x v="1"/>
  </r>
  <r>
    <s v="ORD00739"/>
    <x v="1792"/>
    <x v="1"/>
    <s v="Fitri Budiman"/>
    <s v="Manokwari"/>
    <x v="18"/>
    <n v="6000"/>
    <n v="4"/>
    <n v="20"/>
    <n v="24000"/>
    <n v="4800"/>
    <n v="19200"/>
    <n v="18000"/>
    <n v="37200"/>
    <x v="1"/>
    <x v="0"/>
    <x v="4"/>
    <n v="4"/>
    <x v="0"/>
    <x v="0"/>
  </r>
  <r>
    <s v="ORD00783"/>
    <x v="1793"/>
    <x v="1"/>
    <s v="Clara Budiman"/>
    <s v="Manado"/>
    <x v="5"/>
    <n v="40000"/>
    <n v="3"/>
    <n v="0"/>
    <n v="120000"/>
    <n v="0"/>
    <n v="120000"/>
    <n v="93000"/>
    <n v="213000"/>
    <x v="3"/>
    <x v="3"/>
    <x v="1"/>
    <n v="4"/>
    <x v="0"/>
    <x v="0"/>
  </r>
  <r>
    <s v="ORD00150"/>
    <x v="1794"/>
    <x v="1"/>
    <s v="Citra Ananda"/>
    <s v="Manokwari"/>
    <x v="5"/>
    <n v="40000"/>
    <n v="1"/>
    <n v="5"/>
    <n v="40000"/>
    <n v="2000"/>
    <n v="38000"/>
    <n v="18000"/>
    <n v="56000"/>
    <x v="3"/>
    <x v="0"/>
    <x v="0"/>
    <n v="1"/>
    <x v="0"/>
    <x v="0"/>
  </r>
  <r>
    <s v="ORD00178"/>
    <x v="1795"/>
    <x v="1"/>
    <s v="Lestari Wijaya"/>
    <s v="Bandung"/>
    <x v="19"/>
    <n v="22000"/>
    <n v="3"/>
    <n v="0"/>
    <n v="66000"/>
    <n v="0"/>
    <n v="66000"/>
    <n v="0"/>
    <n v="66000"/>
    <x v="1"/>
    <x v="4"/>
    <x v="3"/>
    <n v="1"/>
    <x v="0"/>
    <x v="0"/>
  </r>
  <r>
    <s v="ORD00791"/>
    <x v="1796"/>
    <x v="1"/>
    <s v="Yani Utami"/>
    <s v="Jambi"/>
    <x v="17"/>
    <n v="30000"/>
    <n v="1"/>
    <n v="20"/>
    <n v="30000"/>
    <n v="6000"/>
    <n v="24000"/>
    <n v="87000"/>
    <n v="111000"/>
    <x v="1"/>
    <x v="0"/>
    <x v="0"/>
    <n v="3"/>
    <x v="0"/>
    <x v="1"/>
  </r>
  <r>
    <s v="ORD01842"/>
    <x v="1797"/>
    <x v="1"/>
    <s v="Sari Kurniawan"/>
    <s v="Medan"/>
    <x v="14"/>
    <n v="35000"/>
    <n v="4"/>
    <n v="20"/>
    <n v="140000"/>
    <n v="28000"/>
    <n v="112000"/>
    <n v="79000"/>
    <n v="191000"/>
    <x v="0"/>
    <x v="4"/>
    <x v="0"/>
    <n v="5"/>
    <x v="0"/>
    <x v="2"/>
  </r>
  <r>
    <s v="ORD00981"/>
    <x v="1798"/>
    <x v="1"/>
    <s v="Dimas Maulana"/>
    <s v="Mataram"/>
    <x v="12"/>
    <n v="55000"/>
    <n v="2"/>
    <n v="0"/>
    <n v="110000"/>
    <n v="0"/>
    <n v="110000"/>
    <n v="56000"/>
    <n v="166000"/>
    <x v="0"/>
    <x v="0"/>
    <x v="4"/>
    <n v="4"/>
    <x v="1"/>
    <x v="0"/>
  </r>
  <r>
    <s v="ORD01089"/>
    <x v="1799"/>
    <x v="1"/>
    <s v="Dewi Wijaya"/>
    <s v="Jayapura"/>
    <x v="0"/>
    <n v="45000"/>
    <n v="1"/>
    <n v="5"/>
    <n v="45000"/>
    <n v="2250"/>
    <n v="42750"/>
    <n v="30000"/>
    <n v="72750"/>
    <x v="1"/>
    <x v="0"/>
    <x v="2"/>
    <n v="4"/>
    <x v="0"/>
    <x v="0"/>
  </r>
  <r>
    <s v="ORD00867"/>
    <x v="1800"/>
    <x v="1"/>
    <s v="Dina Nugroho"/>
    <s v="Jakarta"/>
    <x v="0"/>
    <n v="45000"/>
    <n v="5"/>
    <n v="20"/>
    <n v="225000"/>
    <n v="45000"/>
    <n v="180000"/>
    <n v="97000"/>
    <n v="277000"/>
    <x v="1"/>
    <x v="2"/>
    <x v="3"/>
    <n v="1"/>
    <x v="0"/>
    <x v="3"/>
  </r>
  <r>
    <s v="ORD00906"/>
    <x v="1801"/>
    <x v="1"/>
    <s v="Fitri Setiawan"/>
    <s v="Pekanbaru"/>
    <x v="22"/>
    <n v="18000"/>
    <n v="2"/>
    <n v="10"/>
    <n v="36000"/>
    <n v="3600"/>
    <n v="32400"/>
    <n v="49000"/>
    <n v="81400"/>
    <x v="3"/>
    <x v="0"/>
    <x v="0"/>
    <n v="1"/>
    <x v="0"/>
    <x v="0"/>
  </r>
  <r>
    <s v="ORD00478"/>
    <x v="1802"/>
    <x v="1"/>
    <s v="Kartika Hidayat"/>
    <s v="Makassar"/>
    <x v="14"/>
    <n v="35000"/>
    <n v="1"/>
    <n v="10"/>
    <n v="35000"/>
    <n v="3500"/>
    <n v="31500"/>
    <n v="84000"/>
    <n v="115500"/>
    <x v="1"/>
    <x v="4"/>
    <x v="0"/>
    <n v="2"/>
    <x v="0"/>
    <x v="0"/>
  </r>
  <r>
    <s v="ORD01048"/>
    <x v="1803"/>
    <x v="1"/>
    <s v="Yani Wijaya"/>
    <s v="Surabaya"/>
    <x v="23"/>
    <n v="10000"/>
    <n v="2"/>
    <n v="5"/>
    <n v="20000"/>
    <n v="1000"/>
    <n v="19000"/>
    <n v="74000"/>
    <n v="93000"/>
    <x v="0"/>
    <x v="0"/>
    <x v="0"/>
    <n v="2"/>
    <x v="0"/>
    <x v="0"/>
  </r>
  <r>
    <s v="ORD01391"/>
    <x v="1804"/>
    <x v="1"/>
    <s v="Putri Santoso"/>
    <s v="Yogyakarta"/>
    <x v="0"/>
    <n v="45000"/>
    <n v="1"/>
    <n v="10"/>
    <n v="45000"/>
    <n v="4500"/>
    <n v="40500"/>
    <n v="78000"/>
    <n v="118500"/>
    <x v="3"/>
    <x v="3"/>
    <x v="2"/>
    <n v="2"/>
    <x v="0"/>
    <x v="0"/>
  </r>
  <r>
    <s v="ORD00814"/>
    <x v="1805"/>
    <x v="1"/>
    <s v="Putri Wijaya"/>
    <s v="Jayapura"/>
    <x v="1"/>
    <n v="5000"/>
    <n v="5"/>
    <n v="20"/>
    <n v="25000"/>
    <n v="5000"/>
    <n v="20000"/>
    <n v="30000"/>
    <n v="50000"/>
    <x v="3"/>
    <x v="0"/>
    <x v="4"/>
    <n v="3"/>
    <x v="0"/>
    <x v="0"/>
  </r>
  <r>
    <s v="ORD00937"/>
    <x v="1806"/>
    <x v="1"/>
    <s v="Erna Setiawan"/>
    <s v="Denpasar"/>
    <x v="7"/>
    <n v="16000"/>
    <n v="1"/>
    <n v="10"/>
    <n v="16000"/>
    <n v="1600"/>
    <n v="14400"/>
    <n v="80000"/>
    <n v="94400"/>
    <x v="2"/>
    <x v="3"/>
    <x v="4"/>
    <n v="2"/>
    <x v="0"/>
    <x v="0"/>
  </r>
  <r>
    <s v="ORD01743"/>
    <x v="1807"/>
    <x v="1"/>
    <s v="Eka Iskandar"/>
    <s v="Surabaya"/>
    <x v="24"/>
    <n v="45000"/>
    <n v="2"/>
    <n v="5"/>
    <n v="90000"/>
    <n v="4500"/>
    <n v="85500"/>
    <n v="74000"/>
    <n v="159500"/>
    <x v="3"/>
    <x v="4"/>
    <x v="4"/>
    <n v="3"/>
    <x v="0"/>
    <x v="0"/>
  </r>
  <r>
    <s v="ORD00236"/>
    <x v="1808"/>
    <x v="1"/>
    <s v="Zahra Utami"/>
    <s v="Sofifi"/>
    <x v="18"/>
    <n v="6000"/>
    <n v="1"/>
    <n v="5"/>
    <n v="6000"/>
    <n v="300"/>
    <n v="5700"/>
    <n v="50000"/>
    <n v="55700"/>
    <x v="0"/>
    <x v="0"/>
    <x v="2"/>
    <n v="1"/>
    <x v="0"/>
    <x v="0"/>
  </r>
  <r>
    <s v="ORD01298"/>
    <x v="1809"/>
    <x v="1"/>
    <s v="Eka Kusuma"/>
    <s v="Pontianak"/>
    <x v="14"/>
    <n v="35000"/>
    <n v="4"/>
    <n v="5"/>
    <n v="140000"/>
    <n v="7000"/>
    <n v="133000"/>
    <n v="85000"/>
    <n v="218000"/>
    <x v="3"/>
    <x v="0"/>
    <x v="2"/>
    <n v="1"/>
    <x v="0"/>
    <x v="1"/>
  </r>
  <r>
    <s v="ORD00869"/>
    <x v="1810"/>
    <x v="1"/>
    <s v="Sari Puspita"/>
    <s v="Jakarta"/>
    <x v="16"/>
    <n v="25000"/>
    <n v="1"/>
    <n v="0"/>
    <n v="25000"/>
    <n v="0"/>
    <n v="25000"/>
    <n v="97000"/>
    <n v="122000"/>
    <x v="0"/>
    <x v="0"/>
    <x v="2"/>
    <n v="1"/>
    <x v="0"/>
    <x v="0"/>
  </r>
  <r>
    <s v="ORD01097"/>
    <x v="1811"/>
    <x v="1"/>
    <s v="Fitri Budiman"/>
    <s v="Manokwari"/>
    <x v="10"/>
    <n v="15000"/>
    <n v="2"/>
    <n v="15"/>
    <n v="30000"/>
    <n v="4500"/>
    <n v="25500"/>
    <n v="18000"/>
    <n v="43500"/>
    <x v="0"/>
    <x v="3"/>
    <x v="1"/>
    <n v="2"/>
    <x v="0"/>
    <x v="0"/>
  </r>
  <r>
    <s v="ORD00760"/>
    <x v="1812"/>
    <x v="1"/>
    <s v="Zahra Santoso"/>
    <s v="Nabire"/>
    <x v="6"/>
    <n v="14000"/>
    <n v="1"/>
    <n v="15"/>
    <n v="14000"/>
    <n v="2100"/>
    <n v="11900"/>
    <n v="89000"/>
    <n v="100900"/>
    <x v="0"/>
    <x v="0"/>
    <x v="3"/>
    <n v="4"/>
    <x v="0"/>
    <x v="0"/>
  </r>
  <r>
    <s v="ORD01299"/>
    <x v="1813"/>
    <x v="1"/>
    <s v="Yani Nugroho"/>
    <s v="Palembang"/>
    <x v="26"/>
    <n v="18000"/>
    <n v="4"/>
    <n v="15"/>
    <n v="72000"/>
    <n v="10800"/>
    <n v="61200"/>
    <n v="17000"/>
    <n v="78200"/>
    <x v="2"/>
    <x v="0"/>
    <x v="0"/>
    <n v="2"/>
    <x v="0"/>
    <x v="1"/>
  </r>
  <r>
    <s v="ORD00142"/>
    <x v="1814"/>
    <x v="1"/>
    <s v="Erna Santoso"/>
    <s v="Samarinda"/>
    <x v="1"/>
    <n v="5000"/>
    <n v="3"/>
    <n v="10"/>
    <n v="15000"/>
    <n v="1500"/>
    <n v="13500"/>
    <n v="43000"/>
    <n v="56500"/>
    <x v="3"/>
    <x v="0"/>
    <x v="2"/>
    <n v="1"/>
    <x v="0"/>
    <x v="0"/>
  </r>
  <r>
    <s v="ORD00332"/>
    <x v="1815"/>
    <x v="1"/>
    <s v="Qori Syahputra"/>
    <s v="Jayapura"/>
    <x v="14"/>
    <n v="35000"/>
    <n v="1"/>
    <n v="10"/>
    <n v="35000"/>
    <n v="3500"/>
    <n v="31500"/>
    <n v="30000"/>
    <n v="61500"/>
    <x v="1"/>
    <x v="0"/>
    <x v="4"/>
    <n v="4"/>
    <x v="0"/>
    <x v="0"/>
  </r>
  <r>
    <s v="ORD01249"/>
    <x v="1816"/>
    <x v="1"/>
    <s v="Sari Kurniawan"/>
    <s v="Medan"/>
    <x v="19"/>
    <n v="22000"/>
    <n v="4"/>
    <n v="15"/>
    <n v="88000"/>
    <n v="13200"/>
    <n v="74800"/>
    <n v="79000"/>
    <n v="153800"/>
    <x v="0"/>
    <x v="3"/>
    <x v="1"/>
    <n v="4"/>
    <x v="0"/>
    <x v="1"/>
  </r>
  <r>
    <s v="ORD01472"/>
    <x v="1817"/>
    <x v="1"/>
    <s v="Kartika Pradipta"/>
    <s v="Kupang"/>
    <x v="24"/>
    <n v="45000"/>
    <n v="3"/>
    <n v="15"/>
    <n v="135000"/>
    <n v="20250"/>
    <n v="114750"/>
    <n v="21000"/>
    <n v="135750"/>
    <x v="0"/>
    <x v="3"/>
    <x v="4"/>
    <n v="4"/>
    <x v="0"/>
    <x v="2"/>
  </r>
  <r>
    <s v="ORD00266"/>
    <x v="1818"/>
    <x v="1"/>
    <s v="Clara Ramadhani"/>
    <s v="Tanjungpinang"/>
    <x v="16"/>
    <n v="25000"/>
    <n v="2"/>
    <n v="20"/>
    <n v="50000"/>
    <n v="10000"/>
    <n v="40000"/>
    <n v="48000"/>
    <n v="88000"/>
    <x v="0"/>
    <x v="3"/>
    <x v="3"/>
    <n v="3"/>
    <x v="0"/>
    <x v="1"/>
  </r>
  <r>
    <s v="ORD00266"/>
    <x v="1818"/>
    <x v="1"/>
    <s v="Clara Ramadhani"/>
    <s v="Tanjungpinang"/>
    <x v="7"/>
    <n v="16000"/>
    <n v="1"/>
    <n v="15"/>
    <n v="16000"/>
    <n v="2400"/>
    <n v="13600"/>
    <n v="0"/>
    <n v="13600"/>
    <x v="0"/>
    <x v="3"/>
    <x v="3"/>
    <n v="3"/>
    <x v="0"/>
    <x v="0"/>
  </r>
  <r>
    <s v="ORD01846"/>
    <x v="1819"/>
    <x v="1"/>
    <s v="Aulia Nugroho"/>
    <s v="Banda Aceh"/>
    <x v="1"/>
    <n v="5000"/>
    <n v="5"/>
    <n v="20"/>
    <n v="25000"/>
    <n v="5000"/>
    <n v="20000"/>
    <n v="18000"/>
    <n v="38000"/>
    <x v="3"/>
    <x v="0"/>
    <x v="4"/>
    <n v="4"/>
    <x v="0"/>
    <x v="0"/>
  </r>
  <r>
    <s v="ORD00810"/>
    <x v="1820"/>
    <x v="1"/>
    <s v="Dewi Hidayat"/>
    <s v="Manokwari"/>
    <x v="26"/>
    <n v="18000"/>
    <n v="2"/>
    <n v="15"/>
    <n v="36000"/>
    <n v="5400"/>
    <n v="30600"/>
    <n v="18000"/>
    <n v="48600"/>
    <x v="1"/>
    <x v="0"/>
    <x v="1"/>
    <n v="1"/>
    <x v="0"/>
    <x v="1"/>
  </r>
  <r>
    <s v="ORD00853"/>
    <x v="1821"/>
    <x v="1"/>
    <s v="Eka Halim"/>
    <s v="Manado"/>
    <x v="23"/>
    <n v="10000"/>
    <n v="1"/>
    <n v="15"/>
    <n v="10000"/>
    <n v="1500"/>
    <n v="8500"/>
    <n v="93000"/>
    <n v="101500"/>
    <x v="3"/>
    <x v="3"/>
    <x v="1"/>
    <n v="3"/>
    <x v="0"/>
    <x v="0"/>
  </r>
  <r>
    <s v="ORD01688"/>
    <x v="1822"/>
    <x v="1"/>
    <s v="Kartika Utami"/>
    <s v="Bandar Lampung"/>
    <x v="22"/>
    <n v="18000"/>
    <n v="4"/>
    <n v="15"/>
    <n v="72000"/>
    <n v="10800"/>
    <n v="61200"/>
    <n v="28000"/>
    <n v="89200"/>
    <x v="2"/>
    <x v="3"/>
    <x v="0"/>
    <n v="3"/>
    <x v="0"/>
    <x v="1"/>
  </r>
  <r>
    <s v="ORD01011"/>
    <x v="1823"/>
    <x v="1"/>
    <s v="Citra Syahputra"/>
    <s v="Mamuju"/>
    <x v="22"/>
    <n v="18000"/>
    <n v="5"/>
    <n v="0"/>
    <n v="90000"/>
    <n v="0"/>
    <n v="90000"/>
    <n v="46000"/>
    <n v="136000"/>
    <x v="1"/>
    <x v="4"/>
    <x v="4"/>
    <n v="1"/>
    <x v="0"/>
    <x v="0"/>
  </r>
  <r>
    <s v="ORD01482"/>
    <x v="1824"/>
    <x v="1"/>
    <s v="Zahra Nugroho"/>
    <s v="Yogyakarta"/>
    <x v="8"/>
    <n v="16000"/>
    <n v="4"/>
    <n v="15"/>
    <n v="64000"/>
    <n v="9600"/>
    <n v="54400"/>
    <n v="78000"/>
    <n v="132400"/>
    <x v="1"/>
    <x v="0"/>
    <x v="2"/>
    <n v="3"/>
    <x v="0"/>
    <x v="1"/>
  </r>
  <r>
    <s v="ORD00647"/>
    <x v="1825"/>
    <x v="1"/>
    <s v="Zahra Wijaya"/>
    <s v="Jayapura"/>
    <x v="11"/>
    <n v="40000"/>
    <n v="1"/>
    <n v="5"/>
    <n v="40000"/>
    <n v="2000"/>
    <n v="38000"/>
    <n v="30000"/>
    <n v="68000"/>
    <x v="1"/>
    <x v="4"/>
    <x v="3"/>
    <n v="5"/>
    <x v="0"/>
    <x v="0"/>
  </r>
  <r>
    <s v="ORD00243"/>
    <x v="1826"/>
    <x v="1"/>
    <s v="Putri Iskandar"/>
    <s v="Tanjungpinang"/>
    <x v="0"/>
    <n v="45000"/>
    <n v="3"/>
    <n v="0"/>
    <n v="135000"/>
    <n v="0"/>
    <n v="135000"/>
    <n v="48000"/>
    <n v="183000"/>
    <x v="3"/>
    <x v="0"/>
    <x v="3"/>
    <n v="1"/>
    <x v="0"/>
    <x v="0"/>
  </r>
  <r>
    <s v="ORD01346"/>
    <x v="1827"/>
    <x v="1"/>
    <s v="Indra Halim"/>
    <s v="Tanjung Selor"/>
    <x v="21"/>
    <n v="17000"/>
    <n v="3"/>
    <n v="10"/>
    <n v="51000"/>
    <n v="5100"/>
    <n v="45900"/>
    <n v="26000"/>
    <n v="71900"/>
    <x v="0"/>
    <x v="3"/>
    <x v="2"/>
    <n v="4"/>
    <x v="1"/>
    <x v="1"/>
  </r>
  <r>
    <s v="ORD01588"/>
    <x v="1828"/>
    <x v="1"/>
    <s v="Bayu Ramadhani"/>
    <s v="Sorong"/>
    <x v="0"/>
    <n v="45000"/>
    <n v="3"/>
    <n v="20"/>
    <n v="135000"/>
    <n v="27000"/>
    <n v="108000"/>
    <n v="87000"/>
    <n v="195000"/>
    <x v="1"/>
    <x v="4"/>
    <x v="1"/>
    <n v="4"/>
    <x v="1"/>
    <x v="2"/>
  </r>
  <r>
    <s v="ORD00555"/>
    <x v="1829"/>
    <x v="1"/>
    <s v="Fajar Kurniawan"/>
    <s v="Manado"/>
    <x v="25"/>
    <n v="35000"/>
    <n v="5"/>
    <n v="15"/>
    <n v="175000"/>
    <n v="26250"/>
    <n v="148750"/>
    <n v="93000"/>
    <n v="241750"/>
    <x v="1"/>
    <x v="4"/>
    <x v="1"/>
    <n v="1"/>
    <x v="1"/>
    <x v="2"/>
  </r>
  <r>
    <s v="ORD01479"/>
    <x v="1830"/>
    <x v="1"/>
    <s v="Yani Santoso"/>
    <s v="Pontianak"/>
    <x v="0"/>
    <n v="45000"/>
    <n v="3"/>
    <n v="5"/>
    <n v="135000"/>
    <n v="6750"/>
    <n v="128250"/>
    <n v="85000"/>
    <n v="213250"/>
    <x v="1"/>
    <x v="0"/>
    <x v="1"/>
    <n v="1"/>
    <x v="0"/>
    <x v="1"/>
  </r>
  <r>
    <s v="ORD01183"/>
    <x v="1831"/>
    <x v="1"/>
    <s v="Yoga Utami"/>
    <s v="Banjarbaru"/>
    <x v="12"/>
    <n v="55000"/>
    <n v="3"/>
    <n v="5"/>
    <n v="165000"/>
    <n v="8250"/>
    <n v="156750"/>
    <n v="55000"/>
    <n v="211750"/>
    <x v="2"/>
    <x v="4"/>
    <x v="4"/>
    <n v="5"/>
    <x v="1"/>
    <x v="1"/>
  </r>
  <r>
    <s v="ORD00902"/>
    <x v="1832"/>
    <x v="1"/>
    <s v="Hana Setiawan"/>
    <s v="Mataram"/>
    <x v="7"/>
    <n v="16000"/>
    <n v="2"/>
    <n v="10"/>
    <n v="32000"/>
    <n v="3200"/>
    <n v="28800"/>
    <n v="56000"/>
    <n v="84800"/>
    <x v="2"/>
    <x v="0"/>
    <x v="1"/>
    <n v="2"/>
    <x v="0"/>
    <x v="0"/>
  </r>
  <r>
    <s v="ORD00154"/>
    <x v="1833"/>
    <x v="1"/>
    <s v="Hana Pradipta"/>
    <s v="Jayapura"/>
    <x v="8"/>
    <n v="16000"/>
    <n v="1"/>
    <n v="0"/>
    <n v="16000"/>
    <n v="0"/>
    <n v="16000"/>
    <n v="30000"/>
    <n v="46000"/>
    <x v="0"/>
    <x v="2"/>
    <x v="4"/>
    <n v="4"/>
    <x v="0"/>
    <x v="0"/>
  </r>
  <r>
    <s v="ORD00176"/>
    <x v="1834"/>
    <x v="1"/>
    <s v="Fitri Santoso"/>
    <s v="Pekanbaru"/>
    <x v="10"/>
    <n v="15000"/>
    <n v="2"/>
    <n v="15"/>
    <n v="30000"/>
    <n v="4500"/>
    <n v="25500"/>
    <n v="49000"/>
    <n v="74500"/>
    <x v="1"/>
    <x v="0"/>
    <x v="3"/>
    <n v="3"/>
    <x v="0"/>
    <x v="0"/>
  </r>
  <r>
    <s v="ORD00527"/>
    <x v="1835"/>
    <x v="1"/>
    <s v="Fitri Halim"/>
    <s v="Denpasar"/>
    <x v="16"/>
    <n v="25000"/>
    <n v="4"/>
    <n v="5"/>
    <n v="100000"/>
    <n v="5000"/>
    <n v="95000"/>
    <n v="80000"/>
    <n v="175000"/>
    <x v="1"/>
    <x v="0"/>
    <x v="3"/>
    <n v="5"/>
    <x v="0"/>
    <x v="0"/>
  </r>
  <r>
    <s v="ORD00731"/>
    <x v="1836"/>
    <x v="1"/>
    <s v="Vina Iskandar"/>
    <s v="Manokwari"/>
    <x v="18"/>
    <n v="6000"/>
    <n v="4"/>
    <n v="10"/>
    <n v="24000"/>
    <n v="2400"/>
    <n v="21600"/>
    <n v="18000"/>
    <n v="39600"/>
    <x v="0"/>
    <x v="0"/>
    <x v="3"/>
    <n v="1"/>
    <x v="0"/>
    <x v="0"/>
  </r>
  <r>
    <s v="ORD00629"/>
    <x v="1837"/>
    <x v="1"/>
    <s v="Ani Ramadhani"/>
    <s v="Sofifi"/>
    <x v="8"/>
    <n v="16000"/>
    <n v="3"/>
    <n v="20"/>
    <n v="48000"/>
    <n v="9600"/>
    <n v="38400"/>
    <n v="50000"/>
    <n v="88400"/>
    <x v="3"/>
    <x v="4"/>
    <x v="2"/>
    <n v="4"/>
    <x v="0"/>
    <x v="1"/>
  </r>
  <r>
    <s v="ORD01049"/>
    <x v="1838"/>
    <x v="1"/>
    <s v="Umar Setiawan"/>
    <s v="Bengkulu"/>
    <x v="3"/>
    <n v="28000"/>
    <n v="2"/>
    <n v="5"/>
    <n v="56000"/>
    <n v="2800"/>
    <n v="53200"/>
    <n v="72000"/>
    <n v="125200"/>
    <x v="3"/>
    <x v="0"/>
    <x v="3"/>
    <n v="1"/>
    <x v="1"/>
    <x v="0"/>
  </r>
  <r>
    <s v="ORD00389"/>
    <x v="1839"/>
    <x v="1"/>
    <s v="Dina Puspita"/>
    <s v="Bandung"/>
    <x v="4"/>
    <n v="4000"/>
    <n v="1"/>
    <n v="0"/>
    <n v="4000"/>
    <n v="0"/>
    <n v="4000"/>
    <n v="0"/>
    <n v="4000"/>
    <x v="0"/>
    <x v="0"/>
    <x v="0"/>
    <n v="2"/>
    <x v="0"/>
    <x v="0"/>
  </r>
  <r>
    <s v="ORD00389"/>
    <x v="1839"/>
    <x v="1"/>
    <s v="Dina Puspita"/>
    <s v="Bandung"/>
    <x v="4"/>
    <n v="4000"/>
    <n v="2"/>
    <n v="15"/>
    <n v="8000"/>
    <n v="1200"/>
    <n v="6800"/>
    <n v="0"/>
    <n v="6800"/>
    <x v="0"/>
    <x v="0"/>
    <x v="0"/>
    <n v="2"/>
    <x v="0"/>
    <x v="0"/>
  </r>
  <r>
    <s v="ORD00708"/>
    <x v="1840"/>
    <x v="1"/>
    <s v="Zahra Saputra"/>
    <s v="Palembang"/>
    <x v="3"/>
    <n v="28000"/>
    <n v="1"/>
    <n v="10"/>
    <n v="28000"/>
    <n v="2800"/>
    <n v="25200"/>
    <n v="17000"/>
    <n v="42200"/>
    <x v="2"/>
    <x v="2"/>
    <x v="4"/>
    <n v="3"/>
    <x v="0"/>
    <x v="0"/>
  </r>
  <r>
    <s v="ORD01002"/>
    <x v="1841"/>
    <x v="1"/>
    <s v="Yani Santoso"/>
    <s v="Pontianak"/>
    <x v="3"/>
    <n v="28000"/>
    <n v="5"/>
    <n v="15"/>
    <n v="140000"/>
    <n v="21000"/>
    <n v="119000"/>
    <n v="85000"/>
    <n v="204000"/>
    <x v="3"/>
    <x v="4"/>
    <x v="2"/>
    <n v="4"/>
    <x v="0"/>
    <x v="2"/>
  </r>
  <r>
    <s v="ORD00610"/>
    <x v="1842"/>
    <x v="1"/>
    <s v="Ani Utami"/>
    <s v="Banjarbaru"/>
    <x v="4"/>
    <n v="4000"/>
    <n v="2"/>
    <n v="5"/>
    <n v="8000"/>
    <n v="400"/>
    <n v="7600"/>
    <n v="55000"/>
    <n v="62600"/>
    <x v="0"/>
    <x v="0"/>
    <x v="2"/>
    <n v="2"/>
    <x v="0"/>
    <x v="0"/>
  </r>
  <r>
    <s v="ORD00466"/>
    <x v="1843"/>
    <x v="1"/>
    <s v="Ani Hidayat"/>
    <s v="Samarinda"/>
    <x v="22"/>
    <n v="18000"/>
    <n v="3"/>
    <n v="20"/>
    <n v="54000"/>
    <n v="10800"/>
    <n v="43200"/>
    <n v="43000"/>
    <n v="86200"/>
    <x v="3"/>
    <x v="0"/>
    <x v="3"/>
    <n v="5"/>
    <x v="0"/>
    <x v="1"/>
  </r>
  <r>
    <s v="ORD00466"/>
    <x v="1843"/>
    <x v="1"/>
    <s v="Ani Hidayat"/>
    <s v="Samarinda"/>
    <x v="17"/>
    <n v="30000"/>
    <n v="1"/>
    <n v="0"/>
    <n v="30000"/>
    <n v="0"/>
    <n v="30000"/>
    <n v="0"/>
    <n v="30000"/>
    <x v="3"/>
    <x v="0"/>
    <x v="3"/>
    <n v="5"/>
    <x v="0"/>
    <x v="0"/>
  </r>
  <r>
    <s v="ORD00659"/>
    <x v="1844"/>
    <x v="1"/>
    <s v="Dewi Ananda"/>
    <s v="Palangka Raya"/>
    <x v="0"/>
    <n v="45000"/>
    <n v="2"/>
    <n v="20"/>
    <n v="90000"/>
    <n v="18000"/>
    <n v="72000"/>
    <n v="50000"/>
    <n v="122000"/>
    <x v="3"/>
    <x v="0"/>
    <x v="3"/>
    <n v="5"/>
    <x v="0"/>
    <x v="2"/>
  </r>
  <r>
    <s v="ORD00168"/>
    <x v="1845"/>
    <x v="1"/>
    <s v="Ani Ramadhani"/>
    <s v="Sofifi"/>
    <x v="22"/>
    <n v="18000"/>
    <n v="1"/>
    <n v="10"/>
    <n v="18000"/>
    <n v="1800"/>
    <n v="16200"/>
    <n v="50000"/>
    <n v="66200"/>
    <x v="2"/>
    <x v="3"/>
    <x v="1"/>
    <n v="2"/>
    <x v="0"/>
    <x v="0"/>
  </r>
  <r>
    <s v="ORD01701"/>
    <x v="1846"/>
    <x v="1"/>
    <s v="Qori Hidayat"/>
    <s v="Palembang"/>
    <x v="12"/>
    <n v="55000"/>
    <n v="4"/>
    <n v="20"/>
    <n v="220000"/>
    <n v="44000"/>
    <n v="176000"/>
    <n v="17000"/>
    <n v="193000"/>
    <x v="3"/>
    <x v="0"/>
    <x v="1"/>
    <n v="4"/>
    <x v="0"/>
    <x v="3"/>
  </r>
  <r>
    <s v="ORD01587"/>
    <x v="1847"/>
    <x v="1"/>
    <s v="Lestari Puspita"/>
    <s v="Yogyakarta"/>
    <x v="22"/>
    <n v="18000"/>
    <n v="1"/>
    <n v="0"/>
    <n v="18000"/>
    <n v="0"/>
    <n v="18000"/>
    <n v="78000"/>
    <n v="96000"/>
    <x v="1"/>
    <x v="0"/>
    <x v="2"/>
    <n v="2"/>
    <x v="0"/>
    <x v="0"/>
  </r>
  <r>
    <s v="ORD00027"/>
    <x v="1848"/>
    <x v="1"/>
    <s v="Made Kusuma"/>
    <s v="Makassar"/>
    <x v="21"/>
    <n v="17000"/>
    <n v="5"/>
    <n v="20"/>
    <n v="85000"/>
    <n v="17000"/>
    <n v="68000"/>
    <n v="84000"/>
    <n v="152000"/>
    <x v="0"/>
    <x v="0"/>
    <x v="2"/>
    <n v="5"/>
    <x v="1"/>
    <x v="2"/>
  </r>
  <r>
    <s v="ORD00027"/>
    <x v="1848"/>
    <x v="1"/>
    <s v="Made Kusuma"/>
    <s v="Makassar"/>
    <x v="20"/>
    <n v="12000"/>
    <n v="4"/>
    <n v="0"/>
    <n v="48000"/>
    <n v="0"/>
    <n v="48000"/>
    <n v="0"/>
    <n v="48000"/>
    <x v="0"/>
    <x v="0"/>
    <x v="2"/>
    <n v="5"/>
    <x v="1"/>
    <x v="0"/>
  </r>
  <r>
    <s v="ORD00303"/>
    <x v="1849"/>
    <x v="1"/>
    <s v="Ani Setiawan"/>
    <s v="Mamuju"/>
    <x v="13"/>
    <n v="17000"/>
    <n v="3"/>
    <n v="0"/>
    <n v="51000"/>
    <n v="0"/>
    <n v="51000"/>
    <n v="46000"/>
    <n v="97000"/>
    <x v="2"/>
    <x v="0"/>
    <x v="4"/>
    <n v="3"/>
    <x v="0"/>
    <x v="0"/>
  </r>
  <r>
    <s v="ORD00303"/>
    <x v="1849"/>
    <x v="1"/>
    <s v="Ani Setiawan"/>
    <s v="Mamuju"/>
    <x v="6"/>
    <n v="14000"/>
    <n v="4"/>
    <n v="0"/>
    <n v="56000"/>
    <n v="0"/>
    <n v="56000"/>
    <n v="0"/>
    <n v="56000"/>
    <x v="2"/>
    <x v="0"/>
    <x v="4"/>
    <n v="3"/>
    <x v="0"/>
    <x v="0"/>
  </r>
  <r>
    <s v="ORD00192"/>
    <x v="1850"/>
    <x v="1"/>
    <s v="Clara Halim"/>
    <s v="Sorong"/>
    <x v="13"/>
    <n v="17000"/>
    <n v="5"/>
    <n v="0"/>
    <n v="85000"/>
    <n v="0"/>
    <n v="85000"/>
    <n v="87000"/>
    <n v="172000"/>
    <x v="3"/>
    <x v="0"/>
    <x v="1"/>
    <n v="2"/>
    <x v="0"/>
    <x v="0"/>
  </r>
  <r>
    <s v="ORD00299"/>
    <x v="1851"/>
    <x v="1"/>
    <s v="Aulia Kusuma"/>
    <s v="Surabaya"/>
    <x v="1"/>
    <n v="5000"/>
    <n v="1"/>
    <n v="10"/>
    <n v="5000"/>
    <n v="500"/>
    <n v="4500"/>
    <n v="74000"/>
    <n v="78500"/>
    <x v="3"/>
    <x v="0"/>
    <x v="1"/>
    <n v="5"/>
    <x v="0"/>
    <x v="0"/>
  </r>
  <r>
    <s v="ORD00147"/>
    <x v="1852"/>
    <x v="1"/>
    <s v="Lestari Pradipta"/>
    <s v="Mataram"/>
    <x v="16"/>
    <n v="25000"/>
    <n v="3"/>
    <n v="5"/>
    <n v="75000"/>
    <n v="3750"/>
    <n v="71250"/>
    <n v="56000"/>
    <n v="127250"/>
    <x v="3"/>
    <x v="4"/>
    <x v="0"/>
    <n v="5"/>
    <x v="0"/>
    <x v="0"/>
  </r>
  <r>
    <s v="ORD00304"/>
    <x v="1853"/>
    <x v="1"/>
    <s v="Zahra Ramadhani"/>
    <s v="Makassar"/>
    <x v="17"/>
    <n v="30000"/>
    <n v="5"/>
    <n v="5"/>
    <n v="150000"/>
    <n v="7500"/>
    <n v="142500"/>
    <n v="84000"/>
    <n v="226500"/>
    <x v="2"/>
    <x v="0"/>
    <x v="4"/>
    <n v="1"/>
    <x v="0"/>
    <x v="1"/>
  </r>
  <r>
    <s v="ORD00860"/>
    <x v="1854"/>
    <x v="1"/>
    <s v="Zahra Halim"/>
    <s v="Jayapura"/>
    <x v="9"/>
    <n v="50000"/>
    <n v="3"/>
    <n v="10"/>
    <n v="150000"/>
    <n v="15000"/>
    <n v="135000"/>
    <n v="30000"/>
    <n v="165000"/>
    <x v="0"/>
    <x v="0"/>
    <x v="0"/>
    <n v="1"/>
    <x v="0"/>
    <x v="1"/>
  </r>
  <r>
    <s v="ORD00447"/>
    <x v="1855"/>
    <x v="1"/>
    <s v="Dina Maulana"/>
    <s v="Kupang"/>
    <x v="0"/>
    <n v="45000"/>
    <n v="1"/>
    <n v="10"/>
    <n v="45000"/>
    <n v="4500"/>
    <n v="40500"/>
    <n v="21000"/>
    <n v="61500"/>
    <x v="3"/>
    <x v="4"/>
    <x v="4"/>
    <n v="3"/>
    <x v="0"/>
    <x v="0"/>
  </r>
  <r>
    <s v="ORD00039"/>
    <x v="1856"/>
    <x v="1"/>
    <s v="Andi Iskandar"/>
    <s v="Jambi"/>
    <x v="6"/>
    <n v="14000"/>
    <n v="5"/>
    <n v="20"/>
    <n v="70000"/>
    <n v="14000"/>
    <n v="56000"/>
    <n v="87000"/>
    <n v="143000"/>
    <x v="0"/>
    <x v="3"/>
    <x v="2"/>
    <n v="3"/>
    <x v="1"/>
    <x v="1"/>
  </r>
  <r>
    <s v="ORD00039"/>
    <x v="1856"/>
    <x v="1"/>
    <s v="Andi Iskandar"/>
    <s v="Jambi"/>
    <x v="14"/>
    <n v="35000"/>
    <n v="3"/>
    <n v="0"/>
    <n v="105000"/>
    <n v="0"/>
    <n v="105000"/>
    <n v="0"/>
    <n v="105000"/>
    <x v="0"/>
    <x v="3"/>
    <x v="2"/>
    <n v="3"/>
    <x v="1"/>
    <x v="0"/>
  </r>
  <r>
    <s v="ORD01314"/>
    <x v="1857"/>
    <x v="1"/>
    <s v="Bella Santoso"/>
    <s v="Tanjung Selor"/>
    <x v="20"/>
    <n v="12000"/>
    <n v="2"/>
    <n v="0"/>
    <n v="24000"/>
    <n v="0"/>
    <n v="24000"/>
    <n v="26000"/>
    <n v="50000"/>
    <x v="1"/>
    <x v="2"/>
    <x v="0"/>
    <n v="1"/>
    <x v="0"/>
    <x v="0"/>
  </r>
  <r>
    <s v="ORD01797"/>
    <x v="1858"/>
    <x v="1"/>
    <s v="Dina Halim"/>
    <s v="Wamena"/>
    <x v="12"/>
    <n v="55000"/>
    <n v="4"/>
    <n v="0"/>
    <n v="220000"/>
    <n v="0"/>
    <n v="220000"/>
    <n v="15000"/>
    <n v="235000"/>
    <x v="1"/>
    <x v="4"/>
    <x v="2"/>
    <n v="5"/>
    <x v="0"/>
    <x v="0"/>
  </r>
  <r>
    <s v="ORD00676"/>
    <x v="1859"/>
    <x v="1"/>
    <s v="Dewi Wijaya"/>
    <s v="Jayapura"/>
    <x v="9"/>
    <n v="50000"/>
    <n v="1"/>
    <n v="10"/>
    <n v="50000"/>
    <n v="5000"/>
    <n v="45000"/>
    <n v="30000"/>
    <n v="75000"/>
    <x v="3"/>
    <x v="0"/>
    <x v="0"/>
    <n v="4"/>
    <x v="0"/>
    <x v="0"/>
  </r>
  <r>
    <s v="ORD00593"/>
    <x v="1860"/>
    <x v="1"/>
    <s v="Aulia Utami"/>
    <s v="Yogyakarta"/>
    <x v="18"/>
    <n v="6000"/>
    <n v="3"/>
    <n v="15"/>
    <n v="18000"/>
    <n v="2700"/>
    <n v="15300"/>
    <n v="78000"/>
    <n v="93300"/>
    <x v="0"/>
    <x v="0"/>
    <x v="3"/>
    <n v="2"/>
    <x v="0"/>
    <x v="0"/>
  </r>
  <r>
    <s v="ORD00755"/>
    <x v="1861"/>
    <x v="1"/>
    <s v="Eka Pradipta"/>
    <s v="Bandung"/>
    <x v="18"/>
    <n v="6000"/>
    <n v="3"/>
    <n v="20"/>
    <n v="18000"/>
    <n v="3600"/>
    <n v="14400"/>
    <n v="0"/>
    <n v="14400"/>
    <x v="0"/>
    <x v="4"/>
    <x v="3"/>
    <n v="3"/>
    <x v="0"/>
    <x v="0"/>
  </r>
  <r>
    <s v="ORD00687"/>
    <x v="1862"/>
    <x v="1"/>
    <s v="Oka Santoso"/>
    <s v="Manokwari"/>
    <x v="15"/>
    <n v="14000"/>
    <n v="4"/>
    <n v="15"/>
    <n v="56000"/>
    <n v="8400"/>
    <n v="47600"/>
    <n v="18000"/>
    <n v="65600"/>
    <x v="2"/>
    <x v="0"/>
    <x v="2"/>
    <n v="1"/>
    <x v="1"/>
    <x v="1"/>
  </r>
  <r>
    <s v="ORD01566"/>
    <x v="1863"/>
    <x v="1"/>
    <s v="Qori Pradipta"/>
    <s v="Tanjung Selor"/>
    <x v="1"/>
    <n v="5000"/>
    <n v="1"/>
    <n v="0"/>
    <n v="5000"/>
    <n v="0"/>
    <n v="5000"/>
    <n v="26000"/>
    <n v="31000"/>
    <x v="0"/>
    <x v="3"/>
    <x v="1"/>
    <n v="3"/>
    <x v="0"/>
    <x v="0"/>
  </r>
  <r>
    <s v="ORD00700"/>
    <x v="1864"/>
    <x v="1"/>
    <s v="Yani Kusuma"/>
    <s v="Kendari"/>
    <x v="21"/>
    <n v="17000"/>
    <n v="1"/>
    <n v="0"/>
    <n v="17000"/>
    <n v="0"/>
    <n v="17000"/>
    <n v="59000"/>
    <n v="76000"/>
    <x v="2"/>
    <x v="4"/>
    <x v="1"/>
    <n v="2"/>
    <x v="0"/>
    <x v="0"/>
  </r>
  <r>
    <s v="ORD00553"/>
    <x v="1865"/>
    <x v="1"/>
    <s v="Kartika Saputra"/>
    <s v="Palu"/>
    <x v="8"/>
    <n v="16000"/>
    <n v="5"/>
    <n v="10"/>
    <n v="80000"/>
    <n v="8000"/>
    <n v="72000"/>
    <n v="67000"/>
    <n v="139000"/>
    <x v="0"/>
    <x v="3"/>
    <x v="4"/>
    <n v="3"/>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2FF9ADA-DCA4-4453-A8E1-64E0B1CBCAF5}"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7">
  <location ref="H10:I14" firstHeaderRow="1" firstDataRow="1" firstDataCol="1"/>
  <pivotFields count="23">
    <pivotField compact="0" outline="0" showAll="0">
      <extLst>
        <ext xmlns:x14="http://schemas.microsoft.com/office/spreadsheetml/2009/9/main" uri="{2946ED86-A175-432a-8AC1-64E0C546D7DE}">
          <x14:pivotField fillDownLabels="1"/>
        </ext>
      </extLst>
    </pivotField>
    <pivotField compact="0" numFmtId="164" outline="0"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extLst>
        <ext xmlns:x14="http://schemas.microsoft.com/office/spreadsheetml/2009/9/main" uri="{2946ED86-A175-432a-8AC1-64E0C546D7DE}">
          <x14:pivotField fillDownLabels="1"/>
        </ext>
      </extLst>
    </pivotField>
    <pivotField compact="0" outline="0" showAll="0">
      <items count="3">
        <item h="1"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axis="axisRow" compact="0" outline="0" showAll="0">
      <items count="5">
        <item x="2"/>
        <item x="3"/>
        <item x="0"/>
        <item x="1"/>
        <item t="default"/>
      </items>
      <extLst>
        <ext xmlns:x14="http://schemas.microsoft.com/office/spreadsheetml/2009/9/main" uri="{2946ED86-A175-432a-8AC1-64E0C546D7DE}">
          <x14:pivotField fillDownLabels="1"/>
        </ext>
      </extLst>
    </pivotField>
    <pivotField compact="0" outline="0" showAll="0">
      <items count="6">
        <item x="2"/>
        <item x="0"/>
        <item x="4"/>
        <item x="1"/>
        <item x="3"/>
        <item t="default"/>
      </items>
      <extLst>
        <ext xmlns:x14="http://schemas.microsoft.com/office/spreadsheetml/2009/9/main" uri="{2946ED86-A175-432a-8AC1-64E0C546D7DE}">
          <x14:pivotField fillDownLabels="1"/>
        </ext>
      </extLst>
    </pivotField>
    <pivotField compact="0" outline="0" showAll="0">
      <items count="6">
        <item h="1" x="4"/>
        <item h="1" x="0"/>
        <item h="1" x="2"/>
        <item x="1"/>
        <item h="1"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extLst>
        <ext xmlns:x14="http://schemas.microsoft.com/office/spreadsheetml/2009/9/main" uri="{2946ED86-A175-432a-8AC1-64E0C546D7DE}">
          <x14:pivotField fillDownLabels="1"/>
        </ext>
      </extLst>
    </pivotField>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extLst>
        <ext xmlns:x14="http://schemas.microsoft.com/office/spreadsheetml/2009/9/main" uri="{2946ED86-A175-432a-8AC1-64E0C546D7DE}">
          <x14:pivotField fillDownLabels="1"/>
        </ext>
      </extLst>
    </pivotField>
    <pivotField compact="0" outline="0" showAll="0">
      <items count="27">
        <item x="0"/>
        <item x="1"/>
        <item x="2"/>
        <item x="3"/>
        <item x="4"/>
        <item x="5"/>
        <item x="6"/>
        <item x="7"/>
        <item x="8"/>
        <item x="9"/>
        <item x="10"/>
        <item x="11"/>
        <item x="12"/>
        <item x="13"/>
        <item x="14"/>
        <item x="15"/>
        <item x="16"/>
        <item x="17"/>
        <item x="18"/>
        <item x="19"/>
        <item x="20"/>
        <item x="21"/>
        <item x="22"/>
        <item x="23"/>
        <item x="24"/>
        <item x="25"/>
        <item t="default"/>
      </items>
      <extLst>
        <ext xmlns:x14="http://schemas.microsoft.com/office/spreadsheetml/2009/9/main" uri="{2946ED86-A175-432a-8AC1-64E0C546D7DE}">
          <x14:pivotField fillDownLabels="1"/>
        </ext>
      </extLst>
    </pivotField>
  </pivotFields>
  <rowFields count="1">
    <field x="14"/>
  </rowFields>
  <rowItems count="4">
    <i>
      <x/>
    </i>
    <i>
      <x v="1"/>
    </i>
    <i>
      <x v="2"/>
    </i>
    <i>
      <x v="3"/>
    </i>
  </rowItems>
  <colItems count="1">
    <i/>
  </colItems>
  <dataFields count="1">
    <dataField name="Sum of Total Sales" fld="11" baseField="0" baseItem="0" numFmtId="170"/>
  </dataFields>
  <formats count="1">
    <format dxfId="0">
      <pivotArea outline="0" collapsedLevelsAreSubtotals="1" fieldPosition="0"/>
    </format>
  </formats>
  <chartFormats count="5">
    <chartFormat chart="16" format="5" series="1">
      <pivotArea type="data" outline="0" fieldPosition="0">
        <references count="1">
          <reference field="4294967294" count="1" selected="0">
            <x v="0"/>
          </reference>
        </references>
      </pivotArea>
    </chartFormat>
    <chartFormat chart="16" format="6">
      <pivotArea type="data" outline="0" fieldPosition="0">
        <references count="2">
          <reference field="4294967294" count="1" selected="0">
            <x v="0"/>
          </reference>
          <reference field="14" count="1" selected="0">
            <x v="0"/>
          </reference>
        </references>
      </pivotArea>
    </chartFormat>
    <chartFormat chart="16" format="7">
      <pivotArea type="data" outline="0" fieldPosition="0">
        <references count="2">
          <reference field="4294967294" count="1" selected="0">
            <x v="0"/>
          </reference>
          <reference field="14" count="1" selected="0">
            <x v="1"/>
          </reference>
        </references>
      </pivotArea>
    </chartFormat>
    <chartFormat chart="16" format="8">
      <pivotArea type="data" outline="0" fieldPosition="0">
        <references count="2">
          <reference field="4294967294" count="1" selected="0">
            <x v="0"/>
          </reference>
          <reference field="14" count="1" selected="0">
            <x v="2"/>
          </reference>
        </references>
      </pivotArea>
    </chartFormat>
    <chartFormat chart="16" format="9">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085908C-B8DE-43C9-A33F-010B0EA91088}" name="PivotTable3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7">
  <location ref="H24:I28" firstHeaderRow="1" firstDataRow="1" firstDataCol="1"/>
  <pivotFields count="23">
    <pivotField compact="0" outline="0" showAll="0">
      <extLst>
        <ext xmlns:x14="http://schemas.microsoft.com/office/spreadsheetml/2009/9/main" uri="{2946ED86-A175-432a-8AC1-64E0C546D7DE}">
          <x14:pivotField fillDownLabels="1"/>
        </ext>
      </extLst>
    </pivotField>
    <pivotField compact="0" numFmtId="164" outline="0"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extLst>
        <ext xmlns:x14="http://schemas.microsoft.com/office/spreadsheetml/2009/9/main" uri="{2946ED86-A175-432a-8AC1-64E0C546D7DE}">
          <x14:pivotField fillDownLabels="1"/>
        </ext>
      </extLst>
    </pivotField>
    <pivotField compact="0" outline="0" showAll="0">
      <items count="3">
        <item h="1"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axis="axisRow" dataField="1" compact="0" outline="0" showAll="0">
      <items count="5">
        <item x="2"/>
        <item x="3"/>
        <item x="0"/>
        <item x="1"/>
        <item t="default"/>
      </items>
      <extLst>
        <ext xmlns:x14="http://schemas.microsoft.com/office/spreadsheetml/2009/9/main" uri="{2946ED86-A175-432a-8AC1-64E0C546D7DE}">
          <x14:pivotField fillDownLabels="1"/>
        </ext>
      </extLst>
    </pivotField>
    <pivotField compact="0" outline="0" showAll="0">
      <items count="6">
        <item x="2"/>
        <item x="0"/>
        <item x="4"/>
        <item x="1"/>
        <item x="3"/>
        <item t="default"/>
      </items>
      <extLst>
        <ext xmlns:x14="http://schemas.microsoft.com/office/spreadsheetml/2009/9/main" uri="{2946ED86-A175-432a-8AC1-64E0C546D7DE}">
          <x14:pivotField fillDownLabels="1"/>
        </ext>
      </extLst>
    </pivotField>
    <pivotField compact="0" outline="0" showAll="0">
      <items count="6">
        <item h="1" x="4"/>
        <item h="1" x="0"/>
        <item h="1" x="2"/>
        <item x="1"/>
        <item h="1"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extLst>
        <ext xmlns:x14="http://schemas.microsoft.com/office/spreadsheetml/2009/9/main" uri="{2946ED86-A175-432a-8AC1-64E0C546D7DE}">
          <x14:pivotField fillDownLabels="1"/>
        </ext>
      </extLst>
    </pivotField>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extLst>
        <ext xmlns:x14="http://schemas.microsoft.com/office/spreadsheetml/2009/9/main" uri="{2946ED86-A175-432a-8AC1-64E0C546D7DE}">
          <x14:pivotField fillDownLabels="1"/>
        </ext>
      </extLst>
    </pivotField>
    <pivotField compact="0" outline="0" showAll="0">
      <items count="27">
        <item x="0"/>
        <item x="1"/>
        <item x="2"/>
        <item x="3"/>
        <item x="4"/>
        <item x="5"/>
        <item x="6"/>
        <item x="7"/>
        <item x="8"/>
        <item x="9"/>
        <item x="10"/>
        <item x="11"/>
        <item x="12"/>
        <item x="13"/>
        <item x="14"/>
        <item x="15"/>
        <item x="16"/>
        <item x="17"/>
        <item x="18"/>
        <item x="19"/>
        <item x="20"/>
        <item x="21"/>
        <item x="22"/>
        <item x="23"/>
        <item x="24"/>
        <item x="25"/>
        <item t="default"/>
      </items>
      <extLst>
        <ext xmlns:x14="http://schemas.microsoft.com/office/spreadsheetml/2009/9/main" uri="{2946ED86-A175-432a-8AC1-64E0C546D7DE}">
          <x14:pivotField fillDownLabels="1"/>
        </ext>
      </extLst>
    </pivotField>
  </pivotFields>
  <rowFields count="1">
    <field x="14"/>
  </rowFields>
  <rowItems count="4">
    <i>
      <x/>
    </i>
    <i>
      <x v="1"/>
    </i>
    <i>
      <x v="2"/>
    </i>
    <i>
      <x v="3"/>
    </i>
  </rowItems>
  <colItems count="1">
    <i/>
  </colItems>
  <dataFields count="1">
    <dataField name="Count of Payment Method" fld="14" subtotal="count" baseField="0" baseItem="0"/>
  </dataFields>
  <formats count="2">
    <format dxfId="2">
      <pivotArea outline="0" collapsedLevelsAreSubtotals="1" fieldPosition="0"/>
    </format>
    <format dxfId="1">
      <pivotArea outline="0" fieldPosition="0">
        <references count="1">
          <reference field="4294967294" count="1">
            <x v="0"/>
          </reference>
        </references>
      </pivotArea>
    </format>
  </formats>
  <chartFormats count="5">
    <chartFormat chart="26" format="17" series="1">
      <pivotArea type="data" outline="0" fieldPosition="0">
        <references count="1">
          <reference field="4294967294" count="1" selected="0">
            <x v="0"/>
          </reference>
        </references>
      </pivotArea>
    </chartFormat>
    <chartFormat chart="26" format="18">
      <pivotArea type="data" outline="0" fieldPosition="0">
        <references count="2">
          <reference field="4294967294" count="1" selected="0">
            <x v="0"/>
          </reference>
          <reference field="14" count="1" selected="0">
            <x v="0"/>
          </reference>
        </references>
      </pivotArea>
    </chartFormat>
    <chartFormat chart="26" format="19">
      <pivotArea type="data" outline="0" fieldPosition="0">
        <references count="2">
          <reference field="4294967294" count="1" selected="0">
            <x v="0"/>
          </reference>
          <reference field="14" count="1" selected="0">
            <x v="1"/>
          </reference>
        </references>
      </pivotArea>
    </chartFormat>
    <chartFormat chart="26" format="20">
      <pivotArea type="data" outline="0" fieldPosition="0">
        <references count="2">
          <reference field="4294967294" count="1" selected="0">
            <x v="0"/>
          </reference>
          <reference field="14" count="1" selected="0">
            <x v="2"/>
          </reference>
        </references>
      </pivotArea>
    </chartFormat>
    <chartFormat chart="26" format="2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D2440A-F0A3-447A-A7BB-E0EF5CB684B4}"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0:C38" firstHeaderRow="0" firstDataRow="1" firstDataCol="1" rowPageCount="2" colPageCount="1"/>
  <pivotFields count="23">
    <pivotField showAll="0"/>
    <pivotField numFmtId="164"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pivotField>
    <pivotField axis="axisPage" showAll="0">
      <items count="3">
        <item x="0"/>
        <item x="1"/>
        <item t="default"/>
      </items>
    </pivotField>
    <pivotField showAll="0"/>
    <pivotField showAll="0"/>
    <pivotField axis="axisRow" showAll="0" sortType="descending">
      <items count="28">
        <item x="6"/>
        <item x="20"/>
        <item x="23"/>
        <item x="3"/>
        <item x="16"/>
        <item x="19"/>
        <item x="12"/>
        <item x="9"/>
        <item x="24"/>
        <item x="26"/>
        <item x="13"/>
        <item x="2"/>
        <item x="22"/>
        <item x="21"/>
        <item x="8"/>
        <item x="18"/>
        <item x="1"/>
        <item x="4"/>
        <item x="0"/>
        <item x="5"/>
        <item x="14"/>
        <item x="7"/>
        <item x="10"/>
        <item x="15"/>
        <item x="11"/>
        <item x="25"/>
        <item x="17"/>
        <item t="default"/>
      </items>
      <autoSortScope>
        <pivotArea dataOnly="0" outline="0" fieldPosition="0">
          <references count="1">
            <reference field="4294967294" count="1" selected="0">
              <x v="0"/>
            </reference>
          </references>
        </pivotArea>
      </autoSortScope>
    </pivotField>
    <pivotField numFmtId="165" showAll="0"/>
    <pivotField showAll="0"/>
    <pivotField showAll="0"/>
    <pivotField numFmtId="165" showAll="0"/>
    <pivotField numFmtId="165" showAll="0"/>
    <pivotField numFmtId="165" showAll="0"/>
    <pivotField numFmtId="165" showAll="0"/>
    <pivotField dataField="1" numFmtId="165" showAll="0"/>
    <pivotField showAll="0">
      <items count="5">
        <item x="2"/>
        <item x="3"/>
        <item x="0"/>
        <item x="1"/>
        <item t="default"/>
      </items>
    </pivotField>
    <pivotField showAll="0">
      <items count="6">
        <item x="2"/>
        <item x="0"/>
        <item x="4"/>
        <item x="1"/>
        <item x="3"/>
        <item t="default"/>
      </items>
    </pivotField>
    <pivotField axis="axisPage" showAll="0">
      <items count="6">
        <item x="4"/>
        <item x="0"/>
        <item x="2"/>
        <item x="1"/>
        <item x="3"/>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5"/>
  </rowFields>
  <rowItems count="28">
    <i>
      <x v="18"/>
    </i>
    <i>
      <x v="7"/>
    </i>
    <i>
      <x v="19"/>
    </i>
    <i>
      <x v="8"/>
    </i>
    <i>
      <x v="20"/>
    </i>
    <i>
      <x v="25"/>
    </i>
    <i>
      <x v="6"/>
    </i>
    <i>
      <x v="4"/>
    </i>
    <i>
      <x v="10"/>
    </i>
    <i>
      <x v="26"/>
    </i>
    <i>
      <x v="22"/>
    </i>
    <i>
      <x v="1"/>
    </i>
    <i>
      <x v="12"/>
    </i>
    <i>
      <x v="2"/>
    </i>
    <i>
      <x v="13"/>
    </i>
    <i>
      <x v="5"/>
    </i>
    <i>
      <x v="3"/>
    </i>
    <i>
      <x v="21"/>
    </i>
    <i>
      <x v="14"/>
    </i>
    <i>
      <x/>
    </i>
    <i>
      <x v="15"/>
    </i>
    <i>
      <x v="11"/>
    </i>
    <i>
      <x v="9"/>
    </i>
    <i>
      <x v="16"/>
    </i>
    <i>
      <x v="24"/>
    </i>
    <i>
      <x v="23"/>
    </i>
    <i>
      <x v="17"/>
    </i>
    <i t="grand">
      <x/>
    </i>
  </rowItems>
  <colFields count="1">
    <field x="-2"/>
  </colFields>
  <colItems count="2">
    <i>
      <x/>
    </i>
    <i i="1">
      <x v="1"/>
    </i>
  </colItems>
  <pageFields count="2">
    <pageField fld="16" item="3" hier="-1"/>
    <pageField fld="2" item="1" hier="-1"/>
  </pageFields>
  <dataFields count="2">
    <dataField name="Sum of Grand Total" fld="13" baseField="0" baseItem="0" numFmtId="168"/>
    <dataField name="Sum of Grand Total2" fld="13" showDataAs="percentOfTotal" baseField="0" baseItem="0" numFmtId="10"/>
  </dataFields>
  <formats count="4">
    <format dxfId="6">
      <pivotArea outline="0" collapsedLevelsAreSubtotals="1" fieldPosition="0"/>
    </format>
    <format dxfId="5">
      <pivotArea outline="0" fieldPosition="0">
        <references count="1">
          <reference field="4294967294" count="1">
            <x v="1"/>
          </reference>
        </references>
      </pivotArea>
    </format>
    <format dxfId="4">
      <pivotArea outline="0" collapsedLevelsAreSubtotals="1" fieldPosition="0">
        <references count="1">
          <reference field="4294967294" count="1" selected="0">
            <x v="0"/>
          </reference>
        </references>
      </pivotArea>
    </format>
    <format dxfId="3">
      <pivotArea field="5" grandRow="1" outline="0" collapsedLevelsAreSubtotals="1" axis="axisRow" fieldPosition="0">
        <references count="1">
          <reference field="4294967294" count="1" selected="0">
            <x v="0"/>
          </reference>
        </references>
      </pivotArea>
    </format>
  </formats>
  <chartFormats count="4">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E568AB5-4461-43BD-A6FA-7DE591313C1E}" name="PivotTable2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3">
  <location ref="P1:Q278" firstHeaderRow="1" firstDataRow="1" firstDataCol="1"/>
  <pivotFields count="23">
    <pivotField compact="0" outline="0" showAll="0" defaultSubtotal="0">
      <extLst>
        <ext xmlns:x14="http://schemas.microsoft.com/office/spreadsheetml/2009/9/main" uri="{2946ED86-A175-432a-8AC1-64E0C546D7DE}">
          <x14:pivotField fillDownLabels="1"/>
        </ext>
      </extLst>
    </pivotField>
    <pivotField axis="axisRow" compact="0" numFmtId="164" outline="0" showAll="0" defaultSubtotal="0">
      <items count="18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s>
      <extLst>
        <ext xmlns:x14="http://schemas.microsoft.com/office/spreadsheetml/2009/9/main" uri="{2946ED86-A175-432a-8AC1-64E0C546D7DE}">
          <x14:pivotField fillDownLabels="1"/>
        </ext>
      </extLst>
    </pivotField>
    <pivotField compact="0" outline="0" showAll="0" defaultSubtotal="0">
      <items count="2">
        <item h="1"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dataField="1" compact="0" numFmtId="165" outline="0" showAll="0" defaultSubtotal="0">
      <extLst>
        <ext xmlns:x14="http://schemas.microsoft.com/office/spreadsheetml/2009/9/main" uri="{2946ED86-A175-432a-8AC1-64E0C546D7DE}">
          <x14:pivotField fillDownLabels="1"/>
        </ext>
      </extLst>
    </pivotField>
    <pivotField compact="0" outline="0" showAll="0" defaultSubtotal="0">
      <items count="4">
        <item x="2"/>
        <item x="3"/>
        <item x="0"/>
        <item x="1"/>
      </items>
      <extLst>
        <ext xmlns:x14="http://schemas.microsoft.com/office/spreadsheetml/2009/9/main" uri="{2946ED86-A175-432a-8AC1-64E0C546D7DE}">
          <x14:pivotField fillDownLabels="1"/>
        </ext>
      </extLst>
    </pivotField>
    <pivotField compact="0" outline="0" showAll="0" defaultSubtotal="0">
      <items count="5">
        <item x="2"/>
        <item x="0"/>
        <item x="4"/>
        <item x="1"/>
        <item x="3"/>
      </items>
      <extLst>
        <ext xmlns:x14="http://schemas.microsoft.com/office/spreadsheetml/2009/9/main" uri="{2946ED86-A175-432a-8AC1-64E0C546D7DE}">
          <x14:pivotField fillDownLabels="1"/>
        </ext>
      </extLst>
    </pivotField>
    <pivotField compact="0" outline="0" showAll="0" defaultSubtotal="0">
      <items count="5">
        <item h="1" x="4"/>
        <item h="1" x="0"/>
        <item h="1" x="2"/>
        <item x="1"/>
        <item h="1"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extLst>
        <ext xmlns:x14="http://schemas.microsoft.com/office/spreadsheetml/2009/9/main" uri="{2946ED86-A175-432a-8AC1-64E0C546D7DE}">
          <x14:pivotField fillDownLabels="1"/>
        </ext>
      </extLst>
    </pivotField>
    <pivotField compact="0" outline="0" subtotalTop="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extLst>
        <ext xmlns:x14="http://schemas.microsoft.com/office/spreadsheetml/2009/9/main" uri="{2946ED86-A175-432a-8AC1-64E0C546D7DE}">
          <x14:pivotField fillDownLabels="1"/>
        </ext>
      </extLst>
    </pivotField>
    <pivotField compact="0" outline="0" subtotalTop="0" showAll="0" defaultSubtotal="0">
      <items count="26">
        <item x="0"/>
        <item x="1"/>
        <item x="2"/>
        <item x="3"/>
        <item x="4"/>
        <item x="5"/>
        <item x="6"/>
        <item x="7"/>
        <item x="8"/>
        <item x="9"/>
        <item x="10"/>
        <item x="11"/>
        <item x="12"/>
        <item x="13"/>
        <item x="14"/>
        <item x="15"/>
        <item x="16"/>
        <item x="17"/>
        <item x="18"/>
        <item x="19"/>
        <item x="20"/>
        <item x="21"/>
        <item x="22"/>
        <item x="23"/>
        <item x="24"/>
        <item x="25"/>
      </items>
      <extLst>
        <ext xmlns:x14="http://schemas.microsoft.com/office/spreadsheetml/2009/9/main" uri="{2946ED86-A175-432a-8AC1-64E0C546D7DE}">
          <x14:pivotField fillDownLabels="1"/>
        </ext>
      </extLst>
    </pivotField>
  </pivotFields>
  <rowFields count="1">
    <field x="1"/>
  </rowFields>
  <rowItems count="277">
    <i>
      <x v="533"/>
    </i>
    <i>
      <x v="537"/>
    </i>
    <i>
      <x v="538"/>
    </i>
    <i>
      <x v="542"/>
    </i>
    <i>
      <x v="547"/>
    </i>
    <i>
      <x v="549"/>
    </i>
    <i>
      <x v="562"/>
    </i>
    <i>
      <x v="571"/>
    </i>
    <i>
      <x v="572"/>
    </i>
    <i>
      <x v="576"/>
    </i>
    <i>
      <x v="577"/>
    </i>
    <i>
      <x v="578"/>
    </i>
    <i>
      <x v="585"/>
    </i>
    <i>
      <x v="592"/>
    </i>
    <i>
      <x v="594"/>
    </i>
    <i>
      <x v="611"/>
    </i>
    <i>
      <x v="612"/>
    </i>
    <i>
      <x v="613"/>
    </i>
    <i>
      <x v="617"/>
    </i>
    <i>
      <x v="620"/>
    </i>
    <i>
      <x v="621"/>
    </i>
    <i>
      <x v="622"/>
    </i>
    <i>
      <x v="636"/>
    </i>
    <i>
      <x v="639"/>
    </i>
    <i>
      <x v="657"/>
    </i>
    <i>
      <x v="659"/>
    </i>
    <i>
      <x v="660"/>
    </i>
    <i>
      <x v="661"/>
    </i>
    <i>
      <x v="663"/>
    </i>
    <i>
      <x v="664"/>
    </i>
    <i>
      <x v="666"/>
    </i>
    <i>
      <x v="667"/>
    </i>
    <i>
      <x v="675"/>
    </i>
    <i>
      <x v="676"/>
    </i>
    <i>
      <x v="679"/>
    </i>
    <i>
      <x v="688"/>
    </i>
    <i>
      <x v="692"/>
    </i>
    <i>
      <x v="693"/>
    </i>
    <i>
      <x v="694"/>
    </i>
    <i>
      <x v="703"/>
    </i>
    <i>
      <x v="710"/>
    </i>
    <i>
      <x v="713"/>
    </i>
    <i>
      <x v="714"/>
    </i>
    <i>
      <x v="726"/>
    </i>
    <i>
      <x v="738"/>
    </i>
    <i>
      <x v="748"/>
    </i>
    <i>
      <x v="750"/>
    </i>
    <i>
      <x v="754"/>
    </i>
    <i>
      <x v="756"/>
    </i>
    <i>
      <x v="758"/>
    </i>
    <i>
      <x v="787"/>
    </i>
    <i>
      <x v="788"/>
    </i>
    <i>
      <x v="792"/>
    </i>
    <i>
      <x v="799"/>
    </i>
    <i>
      <x v="801"/>
    </i>
    <i>
      <x v="805"/>
    </i>
    <i>
      <x v="812"/>
    </i>
    <i>
      <x v="821"/>
    </i>
    <i>
      <x v="824"/>
    </i>
    <i>
      <x v="830"/>
    </i>
    <i>
      <x v="831"/>
    </i>
    <i>
      <x v="839"/>
    </i>
    <i>
      <x v="843"/>
    </i>
    <i>
      <x v="846"/>
    </i>
    <i>
      <x v="855"/>
    </i>
    <i>
      <x v="860"/>
    </i>
    <i>
      <x v="861"/>
    </i>
    <i>
      <x v="865"/>
    </i>
    <i>
      <x v="868"/>
    </i>
    <i>
      <x v="870"/>
    </i>
    <i>
      <x v="878"/>
    </i>
    <i>
      <x v="883"/>
    </i>
    <i>
      <x v="894"/>
    </i>
    <i>
      <x v="895"/>
    </i>
    <i>
      <x v="898"/>
    </i>
    <i>
      <x v="900"/>
    </i>
    <i>
      <x v="903"/>
    </i>
    <i>
      <x v="911"/>
    </i>
    <i>
      <x v="913"/>
    </i>
    <i>
      <x v="915"/>
    </i>
    <i>
      <x v="919"/>
    </i>
    <i>
      <x v="923"/>
    </i>
    <i>
      <x v="926"/>
    </i>
    <i>
      <x v="931"/>
    </i>
    <i>
      <x v="942"/>
    </i>
    <i>
      <x v="944"/>
    </i>
    <i>
      <x v="946"/>
    </i>
    <i>
      <x v="948"/>
    </i>
    <i>
      <x v="949"/>
    </i>
    <i>
      <x v="958"/>
    </i>
    <i>
      <x v="971"/>
    </i>
    <i>
      <x v="972"/>
    </i>
    <i>
      <x v="973"/>
    </i>
    <i>
      <x v="974"/>
    </i>
    <i>
      <x v="977"/>
    </i>
    <i>
      <x v="984"/>
    </i>
    <i>
      <x v="987"/>
    </i>
    <i>
      <x v="998"/>
    </i>
    <i>
      <x v="1003"/>
    </i>
    <i>
      <x v="1012"/>
    </i>
    <i>
      <x v="1017"/>
    </i>
    <i>
      <x v="1037"/>
    </i>
    <i>
      <x v="1043"/>
    </i>
    <i>
      <x v="1048"/>
    </i>
    <i>
      <x v="1049"/>
    </i>
    <i>
      <x v="1057"/>
    </i>
    <i>
      <x v="1059"/>
    </i>
    <i>
      <x v="1060"/>
    </i>
    <i>
      <x v="1061"/>
    </i>
    <i>
      <x v="1066"/>
    </i>
    <i>
      <x v="1073"/>
    </i>
    <i>
      <x v="1080"/>
    </i>
    <i>
      <x v="1084"/>
    </i>
    <i>
      <x v="1086"/>
    </i>
    <i>
      <x v="1090"/>
    </i>
    <i>
      <x v="1096"/>
    </i>
    <i>
      <x v="1099"/>
    </i>
    <i>
      <x v="1112"/>
    </i>
    <i>
      <x v="1120"/>
    </i>
    <i>
      <x v="1122"/>
    </i>
    <i>
      <x v="1126"/>
    </i>
    <i>
      <x v="1127"/>
    </i>
    <i>
      <x v="1129"/>
    </i>
    <i>
      <x v="1130"/>
    </i>
    <i>
      <x v="1135"/>
    </i>
    <i>
      <x v="1141"/>
    </i>
    <i>
      <x v="1142"/>
    </i>
    <i>
      <x v="1150"/>
    </i>
    <i>
      <x v="1154"/>
    </i>
    <i>
      <x v="1155"/>
    </i>
    <i>
      <x v="1159"/>
    </i>
    <i>
      <x v="1161"/>
    </i>
    <i>
      <x v="1162"/>
    </i>
    <i>
      <x v="1166"/>
    </i>
    <i>
      <x v="1167"/>
    </i>
    <i>
      <x v="1175"/>
    </i>
    <i>
      <x v="1181"/>
    </i>
    <i>
      <x v="1196"/>
    </i>
    <i>
      <x v="1197"/>
    </i>
    <i>
      <x v="1199"/>
    </i>
    <i>
      <x v="1207"/>
    </i>
    <i>
      <x v="1213"/>
    </i>
    <i>
      <x v="1217"/>
    </i>
    <i>
      <x v="1218"/>
    </i>
    <i>
      <x v="1221"/>
    </i>
    <i>
      <x v="1222"/>
    </i>
    <i>
      <x v="1230"/>
    </i>
    <i>
      <x v="1231"/>
    </i>
    <i>
      <x v="1233"/>
    </i>
    <i>
      <x v="1234"/>
    </i>
    <i>
      <x v="1235"/>
    </i>
    <i>
      <x v="1260"/>
    </i>
    <i>
      <x v="1266"/>
    </i>
    <i>
      <x v="1270"/>
    </i>
    <i>
      <x v="1275"/>
    </i>
    <i>
      <x v="1281"/>
    </i>
    <i>
      <x v="1284"/>
    </i>
    <i>
      <x v="1286"/>
    </i>
    <i>
      <x v="1287"/>
    </i>
    <i>
      <x v="1294"/>
    </i>
    <i>
      <x v="1298"/>
    </i>
    <i>
      <x v="1299"/>
    </i>
    <i>
      <x v="1303"/>
    </i>
    <i>
      <x v="1304"/>
    </i>
    <i>
      <x v="1312"/>
    </i>
    <i>
      <x v="1313"/>
    </i>
    <i>
      <x v="1315"/>
    </i>
    <i>
      <x v="1317"/>
    </i>
    <i>
      <x v="1321"/>
    </i>
    <i>
      <x v="1330"/>
    </i>
    <i>
      <x v="1340"/>
    </i>
    <i>
      <x v="1345"/>
    </i>
    <i>
      <x v="1350"/>
    </i>
    <i>
      <x v="1354"/>
    </i>
    <i>
      <x v="1357"/>
    </i>
    <i>
      <x v="1367"/>
    </i>
    <i>
      <x v="1372"/>
    </i>
    <i>
      <x v="1379"/>
    </i>
    <i>
      <x v="1382"/>
    </i>
    <i>
      <x v="1387"/>
    </i>
    <i>
      <x v="1388"/>
    </i>
    <i>
      <x v="1392"/>
    </i>
    <i>
      <x v="1393"/>
    </i>
    <i>
      <x v="1400"/>
    </i>
    <i>
      <x v="1403"/>
    </i>
    <i>
      <x v="1408"/>
    </i>
    <i>
      <x v="1411"/>
    </i>
    <i>
      <x v="1416"/>
    </i>
    <i>
      <x v="1422"/>
    </i>
    <i>
      <x v="1440"/>
    </i>
    <i>
      <x v="1463"/>
    </i>
    <i>
      <x v="1467"/>
    </i>
    <i>
      <x v="1470"/>
    </i>
    <i>
      <x v="1471"/>
    </i>
    <i>
      <x v="1475"/>
    </i>
    <i>
      <x v="1477"/>
    </i>
    <i>
      <x v="1494"/>
    </i>
    <i>
      <x v="1500"/>
    </i>
    <i>
      <x v="1510"/>
    </i>
    <i>
      <x v="1516"/>
    </i>
    <i>
      <x v="1517"/>
    </i>
    <i>
      <x v="1521"/>
    </i>
    <i>
      <x v="1528"/>
    </i>
    <i>
      <x v="1536"/>
    </i>
    <i>
      <x v="1537"/>
    </i>
    <i>
      <x v="1539"/>
    </i>
    <i>
      <x v="1542"/>
    </i>
    <i>
      <x v="1550"/>
    </i>
    <i>
      <x v="1551"/>
    </i>
    <i>
      <x v="1568"/>
    </i>
    <i>
      <x v="1575"/>
    </i>
    <i>
      <x v="1582"/>
    </i>
    <i>
      <x v="1604"/>
    </i>
    <i>
      <x v="1605"/>
    </i>
    <i>
      <x v="1610"/>
    </i>
    <i>
      <x v="1612"/>
    </i>
    <i>
      <x v="1616"/>
    </i>
    <i>
      <x v="1617"/>
    </i>
    <i>
      <x v="1618"/>
    </i>
    <i>
      <x v="1624"/>
    </i>
    <i>
      <x v="1629"/>
    </i>
    <i>
      <x v="1630"/>
    </i>
    <i>
      <x v="1632"/>
    </i>
    <i>
      <x v="1634"/>
    </i>
    <i>
      <x v="1638"/>
    </i>
    <i>
      <x v="1642"/>
    </i>
    <i>
      <x v="1648"/>
    </i>
    <i>
      <x v="1659"/>
    </i>
    <i>
      <x v="1666"/>
    </i>
    <i>
      <x v="1670"/>
    </i>
    <i>
      <x v="1678"/>
    </i>
    <i>
      <x v="1684"/>
    </i>
    <i>
      <x v="1686"/>
    </i>
    <i>
      <x v="1694"/>
    </i>
    <i>
      <x v="1695"/>
    </i>
    <i>
      <x v="1696"/>
    </i>
    <i>
      <x v="1698"/>
    </i>
    <i>
      <x v="1702"/>
    </i>
    <i>
      <x v="1705"/>
    </i>
    <i>
      <x v="1710"/>
    </i>
    <i>
      <x v="1714"/>
    </i>
    <i>
      <x v="1716"/>
    </i>
    <i>
      <x v="1724"/>
    </i>
    <i>
      <x v="1728"/>
    </i>
    <i>
      <x v="1730"/>
    </i>
    <i>
      <x v="1733"/>
    </i>
    <i>
      <x v="1735"/>
    </i>
    <i>
      <x v="1736"/>
    </i>
    <i>
      <x v="1738"/>
    </i>
    <i>
      <x v="1741"/>
    </i>
    <i>
      <x v="1743"/>
    </i>
    <i>
      <x v="1744"/>
    </i>
    <i>
      <x v="1747"/>
    </i>
    <i>
      <x v="1752"/>
    </i>
    <i>
      <x v="1757"/>
    </i>
    <i>
      <x v="1758"/>
    </i>
    <i>
      <x v="1762"/>
    </i>
    <i>
      <x v="1766"/>
    </i>
    <i>
      <x v="1776"/>
    </i>
    <i>
      <x v="1778"/>
    </i>
    <i>
      <x v="1779"/>
    </i>
    <i>
      <x v="1786"/>
    </i>
    <i>
      <x v="1793"/>
    </i>
    <i>
      <x v="1811"/>
    </i>
    <i>
      <x v="1816"/>
    </i>
    <i>
      <x v="1820"/>
    </i>
    <i>
      <x v="1821"/>
    </i>
    <i>
      <x v="1828"/>
    </i>
    <i>
      <x v="1829"/>
    </i>
    <i>
      <x v="1830"/>
    </i>
    <i>
      <x v="1832"/>
    </i>
    <i>
      <x v="1845"/>
    </i>
    <i>
      <x v="1846"/>
    </i>
    <i>
      <x v="1850"/>
    </i>
    <i>
      <x v="1851"/>
    </i>
    <i>
      <x v="1863"/>
    </i>
    <i>
      <x v="1864"/>
    </i>
  </rowItems>
  <colItems count="1">
    <i/>
  </colItems>
  <dataFields count="1">
    <dataField name="Sum of Grand Total" fld="13" baseField="0" baseItem="0" numFmtId="165"/>
  </dataFields>
  <formats count="39">
    <format dxfId="45">
      <pivotArea outline="0" collapsedLevelsAreSubtotals="1" fieldPosition="0"/>
    </format>
    <format dxfId="44">
      <pivotArea dataOnly="0" labelOnly="1" outline="0"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3">
      <pivotArea dataOnly="0" labelOnly="1" outline="0" fieldPosition="0">
        <references count="1">
          <reference field="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2">
      <pivotArea dataOnly="0" labelOnly="1" outline="0" fieldPosition="0">
        <references count="1">
          <reference field="1"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41">
      <pivotArea dataOnly="0" labelOnly="1" outline="0" fieldPosition="0">
        <references count="1">
          <reference field="1"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40">
      <pivotArea dataOnly="0" labelOnly="1" outline="0" fieldPosition="0">
        <references count="1">
          <reference field="1"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39">
      <pivotArea dataOnly="0" labelOnly="1" outline="0" fieldPosition="0">
        <references count="1">
          <reference field="1"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38">
      <pivotArea dataOnly="0" labelOnly="1" outline="0" fieldPosition="0">
        <references count="1">
          <reference field="1"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37">
      <pivotArea dataOnly="0" labelOnly="1" outline="0" fieldPosition="0">
        <references count="1">
          <reference field="1"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36">
      <pivotArea dataOnly="0" labelOnly="1" outline="0" fieldPosition="0">
        <references count="1">
          <reference field="1"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35">
      <pivotArea dataOnly="0" labelOnly="1" outline="0" fieldPosition="0">
        <references count="1">
          <reference field="1"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34">
      <pivotArea dataOnly="0" labelOnly="1" outline="0" fieldPosition="0">
        <references count="1">
          <reference field="1"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33">
      <pivotArea dataOnly="0" labelOnly="1" outline="0" fieldPosition="0">
        <references count="1">
          <reference field="1"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32">
      <pivotArea dataOnly="0" labelOnly="1" outline="0" fieldPosition="0">
        <references count="1">
          <reference field="1"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31">
      <pivotArea dataOnly="0" labelOnly="1" outline="0" fieldPosition="0">
        <references count="1">
          <reference field="1"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30">
      <pivotArea dataOnly="0" labelOnly="1" outline="0" fieldPosition="0">
        <references count="1">
          <reference field="1"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29">
      <pivotArea dataOnly="0" labelOnly="1" outline="0" fieldPosition="0">
        <references count="1">
          <reference field="1"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28">
      <pivotArea dataOnly="0" labelOnly="1" outline="0" fieldPosition="0">
        <references count="1">
          <reference field="1"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27">
      <pivotArea dataOnly="0" labelOnly="1" outline="0" fieldPosition="0">
        <references count="1">
          <reference field="1"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26">
      <pivotArea dataOnly="0" labelOnly="1" outline="0" fieldPosition="0">
        <references count="1">
          <reference field="1"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25">
      <pivotArea dataOnly="0" labelOnly="1" outline="0" fieldPosition="0">
        <references count="1">
          <reference field="1"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24">
      <pivotArea dataOnly="0" labelOnly="1" outline="0" fieldPosition="0">
        <references count="1">
          <reference field="1"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23">
      <pivotArea dataOnly="0" labelOnly="1" outline="0" fieldPosition="0">
        <references count="1">
          <reference field="1" count="50">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reference>
        </references>
      </pivotArea>
    </format>
    <format dxfId="22">
      <pivotArea dataOnly="0" labelOnly="1" outline="0" fieldPosition="0">
        <references count="1">
          <reference field="1" count="50">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reference>
        </references>
      </pivotArea>
    </format>
    <format dxfId="21">
      <pivotArea dataOnly="0" labelOnly="1" outline="0" fieldPosition="0">
        <references count="1">
          <reference field="1" count="50">
            <x v="11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3"/>
            <x v="1194"/>
            <x v="1195"/>
            <x v="1196"/>
            <x v="1197"/>
            <x v="1198"/>
            <x v="1199"/>
          </reference>
        </references>
      </pivotArea>
    </format>
    <format dxfId="20">
      <pivotArea dataOnly="0" labelOnly="1" outline="0" fieldPosition="0">
        <references count="1">
          <reference field="1" count="50">
            <x v="1200"/>
            <x v="1201"/>
            <x v="1202"/>
            <x v="1203"/>
            <x v="1204"/>
            <x v="1205"/>
            <x v="1206"/>
            <x v="1207"/>
            <x v="1208"/>
            <x v="1209"/>
            <x v="1210"/>
            <x v="1211"/>
            <x v="1212"/>
            <x v="1213"/>
            <x v="1214"/>
            <x v="1215"/>
            <x v="1216"/>
            <x v="1217"/>
            <x v="1218"/>
            <x v="1219"/>
            <x v="1220"/>
            <x v="1221"/>
            <x v="1222"/>
            <x v="1223"/>
            <x v="1224"/>
            <x v="1225"/>
            <x v="1226"/>
            <x v="1227"/>
            <x v="1228"/>
            <x v="1229"/>
            <x v="1230"/>
            <x v="1231"/>
            <x v="1232"/>
            <x v="1233"/>
            <x v="1234"/>
            <x v="1235"/>
            <x v="1236"/>
            <x v="1237"/>
            <x v="1238"/>
            <x v="1239"/>
            <x v="1240"/>
            <x v="1241"/>
            <x v="1242"/>
            <x v="1243"/>
            <x v="1244"/>
            <x v="1245"/>
            <x v="1246"/>
            <x v="1247"/>
            <x v="1248"/>
            <x v="1249"/>
          </reference>
        </references>
      </pivotArea>
    </format>
    <format dxfId="19">
      <pivotArea dataOnly="0" labelOnly="1" outline="0" fieldPosition="0">
        <references count="1">
          <reference field="1" count="50">
            <x v="1250"/>
            <x v="1251"/>
            <x v="1252"/>
            <x v="1253"/>
            <x v="1254"/>
            <x v="1255"/>
            <x v="1256"/>
            <x v="1257"/>
            <x v="1258"/>
            <x v="1259"/>
            <x v="1260"/>
            <x v="1261"/>
            <x v="1262"/>
            <x v="1263"/>
            <x v="1264"/>
            <x v="1265"/>
            <x v="1266"/>
            <x v="1267"/>
            <x v="1268"/>
            <x v="1269"/>
            <x v="1270"/>
            <x v="1271"/>
            <x v="1272"/>
            <x v="1273"/>
            <x v="1274"/>
            <x v="1275"/>
            <x v="1276"/>
            <x v="1277"/>
            <x v="1278"/>
            <x v="1279"/>
            <x v="1280"/>
            <x v="1281"/>
            <x v="1282"/>
            <x v="1283"/>
            <x v="1284"/>
            <x v="1285"/>
            <x v="1286"/>
            <x v="1287"/>
            <x v="1288"/>
            <x v="1289"/>
            <x v="1290"/>
            <x v="1291"/>
            <x v="1292"/>
            <x v="1293"/>
            <x v="1294"/>
            <x v="1295"/>
            <x v="1296"/>
            <x v="1297"/>
            <x v="1298"/>
            <x v="1299"/>
          </reference>
        </references>
      </pivotArea>
    </format>
    <format dxfId="18">
      <pivotArea dataOnly="0" labelOnly="1" outline="0" fieldPosition="0">
        <references count="1">
          <reference field="1" count="50">
            <x v="1300"/>
            <x v="1301"/>
            <x v="1302"/>
            <x v="1303"/>
            <x v="1304"/>
            <x v="1305"/>
            <x v="1306"/>
            <x v="1307"/>
            <x v="1308"/>
            <x v="1309"/>
            <x v="1310"/>
            <x v="1311"/>
            <x v="1312"/>
            <x v="1313"/>
            <x v="1314"/>
            <x v="1315"/>
            <x v="1316"/>
            <x v="1317"/>
            <x v="1318"/>
            <x v="1319"/>
            <x v="1320"/>
            <x v="1321"/>
            <x v="1322"/>
            <x v="1323"/>
            <x v="1324"/>
            <x v="1325"/>
            <x v="1326"/>
            <x v="1327"/>
            <x v="1328"/>
            <x v="1329"/>
            <x v="1330"/>
            <x v="1331"/>
            <x v="1332"/>
            <x v="1333"/>
            <x v="1334"/>
            <x v="1335"/>
            <x v="1336"/>
            <x v="1337"/>
            <x v="1338"/>
            <x v="1339"/>
            <x v="1340"/>
            <x v="1341"/>
            <x v="1342"/>
            <x v="1343"/>
            <x v="1344"/>
            <x v="1345"/>
            <x v="1346"/>
            <x v="1347"/>
            <x v="1348"/>
            <x v="1349"/>
          </reference>
        </references>
      </pivotArea>
    </format>
    <format dxfId="17">
      <pivotArea dataOnly="0" labelOnly="1" outline="0" fieldPosition="0">
        <references count="1">
          <reference field="1" count="50">
            <x v="1350"/>
            <x v="1351"/>
            <x v="1352"/>
            <x v="1353"/>
            <x v="1354"/>
            <x v="1355"/>
            <x v="1356"/>
            <x v="1357"/>
            <x v="1358"/>
            <x v="1359"/>
            <x v="1360"/>
            <x v="1361"/>
            <x v="1362"/>
            <x v="1363"/>
            <x v="1364"/>
            <x v="1365"/>
            <x v="1366"/>
            <x v="1367"/>
            <x v="1368"/>
            <x v="1369"/>
            <x v="1370"/>
            <x v="1371"/>
            <x v="1372"/>
            <x v="1373"/>
            <x v="1374"/>
            <x v="1375"/>
            <x v="1376"/>
            <x v="1377"/>
            <x v="1378"/>
            <x v="1379"/>
            <x v="1380"/>
            <x v="1381"/>
            <x v="1382"/>
            <x v="1383"/>
            <x v="1384"/>
            <x v="1385"/>
            <x v="1386"/>
            <x v="1387"/>
            <x v="1388"/>
            <x v="1389"/>
            <x v="1390"/>
            <x v="1391"/>
            <x v="1392"/>
            <x v="1393"/>
            <x v="1394"/>
            <x v="1395"/>
            <x v="1396"/>
            <x v="1397"/>
            <x v="1398"/>
            <x v="1399"/>
          </reference>
        </references>
      </pivotArea>
    </format>
    <format dxfId="16">
      <pivotArea dataOnly="0" labelOnly="1" outline="0" fieldPosition="0">
        <references count="1">
          <reference field="1" count="50">
            <x v="1400"/>
            <x v="1401"/>
            <x v="1402"/>
            <x v="1403"/>
            <x v="1404"/>
            <x v="1405"/>
            <x v="1406"/>
            <x v="1407"/>
            <x v="1408"/>
            <x v="1409"/>
            <x v="1410"/>
            <x v="1411"/>
            <x v="1412"/>
            <x v="1413"/>
            <x v="1414"/>
            <x v="1415"/>
            <x v="1416"/>
            <x v="1417"/>
            <x v="1418"/>
            <x v="1419"/>
            <x v="1420"/>
            <x v="1421"/>
            <x v="1422"/>
            <x v="1423"/>
            <x v="1424"/>
            <x v="1425"/>
            <x v="1426"/>
            <x v="1427"/>
            <x v="1428"/>
            <x v="1429"/>
            <x v="1430"/>
            <x v="1431"/>
            <x v="1432"/>
            <x v="1433"/>
            <x v="1434"/>
            <x v="1435"/>
            <x v="1436"/>
            <x v="1437"/>
            <x v="1438"/>
            <x v="1439"/>
            <x v="1440"/>
            <x v="1441"/>
            <x v="1442"/>
            <x v="1443"/>
            <x v="1444"/>
            <x v="1445"/>
            <x v="1446"/>
            <x v="1447"/>
            <x v="1448"/>
            <x v="1449"/>
          </reference>
        </references>
      </pivotArea>
    </format>
    <format dxfId="15">
      <pivotArea dataOnly="0" labelOnly="1" outline="0" fieldPosition="0">
        <references count="1">
          <reference field="1" count="50">
            <x v="1450"/>
            <x v="1451"/>
            <x v="1452"/>
            <x v="1453"/>
            <x v="1454"/>
            <x v="1455"/>
            <x v="1456"/>
            <x v="1457"/>
            <x v="1458"/>
            <x v="1459"/>
            <x v="1460"/>
            <x v="1461"/>
            <x v="1462"/>
            <x v="1463"/>
            <x v="1464"/>
            <x v="1465"/>
            <x v="1466"/>
            <x v="1467"/>
            <x v="1468"/>
            <x v="1469"/>
            <x v="1470"/>
            <x v="1471"/>
            <x v="1472"/>
            <x v="1473"/>
            <x v="1474"/>
            <x v="1475"/>
            <x v="1476"/>
            <x v="1477"/>
            <x v="1478"/>
            <x v="1479"/>
            <x v="1480"/>
            <x v="1481"/>
            <x v="1482"/>
            <x v="1483"/>
            <x v="1484"/>
            <x v="1485"/>
            <x v="1486"/>
            <x v="1487"/>
            <x v="1488"/>
            <x v="1489"/>
            <x v="1490"/>
            <x v="1491"/>
            <x v="1492"/>
            <x v="1493"/>
            <x v="1494"/>
            <x v="1495"/>
            <x v="1496"/>
            <x v="1497"/>
            <x v="1498"/>
            <x v="1499"/>
          </reference>
        </references>
      </pivotArea>
    </format>
    <format dxfId="14">
      <pivotArea dataOnly="0" labelOnly="1" outline="0" fieldPosition="0">
        <references count="1">
          <reference field="1" count="50">
            <x v="1500"/>
            <x v="1501"/>
            <x v="1502"/>
            <x v="1503"/>
            <x v="1504"/>
            <x v="1505"/>
            <x v="1506"/>
            <x v="1507"/>
            <x v="1508"/>
            <x v="1509"/>
            <x v="1510"/>
            <x v="1511"/>
            <x v="1512"/>
            <x v="1513"/>
            <x v="1514"/>
            <x v="1515"/>
            <x v="1516"/>
            <x v="1517"/>
            <x v="1518"/>
            <x v="1519"/>
            <x v="1520"/>
            <x v="1521"/>
            <x v="1522"/>
            <x v="1523"/>
            <x v="1524"/>
            <x v="1525"/>
            <x v="1526"/>
            <x v="1527"/>
            <x v="1528"/>
            <x v="1529"/>
            <x v="1530"/>
            <x v="1531"/>
            <x v="1532"/>
            <x v="1533"/>
            <x v="1534"/>
            <x v="1535"/>
            <x v="1536"/>
            <x v="1537"/>
            <x v="1538"/>
            <x v="1539"/>
            <x v="1540"/>
            <x v="1541"/>
            <x v="1542"/>
            <x v="1543"/>
            <x v="1544"/>
            <x v="1545"/>
            <x v="1546"/>
            <x v="1547"/>
            <x v="1548"/>
            <x v="1549"/>
          </reference>
        </references>
      </pivotArea>
    </format>
    <format dxfId="13">
      <pivotArea dataOnly="0" labelOnly="1" outline="0" fieldPosition="0">
        <references count="1">
          <reference field="1" count="50">
            <x v="1550"/>
            <x v="1551"/>
            <x v="1552"/>
            <x v="1553"/>
            <x v="1554"/>
            <x v="1555"/>
            <x v="1556"/>
            <x v="1557"/>
            <x v="1558"/>
            <x v="1559"/>
            <x v="1560"/>
            <x v="1561"/>
            <x v="1562"/>
            <x v="1563"/>
            <x v="1564"/>
            <x v="1565"/>
            <x v="1566"/>
            <x v="1567"/>
            <x v="1568"/>
            <x v="1569"/>
            <x v="1570"/>
            <x v="1571"/>
            <x v="1572"/>
            <x v="1573"/>
            <x v="1574"/>
            <x v="1575"/>
            <x v="1576"/>
            <x v="1577"/>
            <x v="1578"/>
            <x v="1579"/>
            <x v="1580"/>
            <x v="1581"/>
            <x v="1582"/>
            <x v="1583"/>
            <x v="1584"/>
            <x v="1585"/>
            <x v="1586"/>
            <x v="1587"/>
            <x v="1588"/>
            <x v="1589"/>
            <x v="1590"/>
            <x v="1591"/>
            <x v="1592"/>
            <x v="1593"/>
            <x v="1594"/>
            <x v="1595"/>
            <x v="1596"/>
            <x v="1597"/>
            <x v="1598"/>
            <x v="1599"/>
          </reference>
        </references>
      </pivotArea>
    </format>
    <format dxfId="12">
      <pivotArea dataOnly="0" labelOnly="1" outline="0" fieldPosition="0">
        <references count="1">
          <reference field="1" count="50">
            <x v="1600"/>
            <x v="1601"/>
            <x v="1602"/>
            <x v="1603"/>
            <x v="1604"/>
            <x v="1605"/>
            <x v="1606"/>
            <x v="1607"/>
            <x v="1608"/>
            <x v="1609"/>
            <x v="1610"/>
            <x v="1611"/>
            <x v="1612"/>
            <x v="1613"/>
            <x v="1614"/>
            <x v="1615"/>
            <x v="1616"/>
            <x v="1617"/>
            <x v="1618"/>
            <x v="1619"/>
            <x v="1620"/>
            <x v="1621"/>
            <x v="1622"/>
            <x v="1623"/>
            <x v="1624"/>
            <x v="1625"/>
            <x v="1626"/>
            <x v="1627"/>
            <x v="1628"/>
            <x v="1629"/>
            <x v="1630"/>
            <x v="1631"/>
            <x v="1632"/>
            <x v="1633"/>
            <x v="1634"/>
            <x v="1635"/>
            <x v="1636"/>
            <x v="1637"/>
            <x v="1638"/>
            <x v="1639"/>
            <x v="1640"/>
            <x v="1641"/>
            <x v="1642"/>
            <x v="1643"/>
            <x v="1644"/>
            <x v="1645"/>
            <x v="1646"/>
            <x v="1647"/>
            <x v="1648"/>
            <x v="1649"/>
          </reference>
        </references>
      </pivotArea>
    </format>
    <format dxfId="11">
      <pivotArea dataOnly="0" labelOnly="1" outline="0" fieldPosition="0">
        <references count="1">
          <reference field="1" count="50">
            <x v="1650"/>
            <x v="1651"/>
            <x v="1652"/>
            <x v="1653"/>
            <x v="1654"/>
            <x v="1655"/>
            <x v="1656"/>
            <x v="1657"/>
            <x v="1658"/>
            <x v="1659"/>
            <x v="1660"/>
            <x v="1661"/>
            <x v="1662"/>
            <x v="1663"/>
            <x v="1664"/>
            <x v="1665"/>
            <x v="1666"/>
            <x v="1667"/>
            <x v="1668"/>
            <x v="1669"/>
            <x v="1670"/>
            <x v="1671"/>
            <x v="1672"/>
            <x v="1673"/>
            <x v="1674"/>
            <x v="1675"/>
            <x v="1676"/>
            <x v="1677"/>
            <x v="1678"/>
            <x v="1679"/>
            <x v="1680"/>
            <x v="1681"/>
            <x v="1682"/>
            <x v="1683"/>
            <x v="1684"/>
            <x v="1685"/>
            <x v="1686"/>
            <x v="1687"/>
            <x v="1688"/>
            <x v="1689"/>
            <x v="1690"/>
            <x v="1691"/>
            <x v="1692"/>
            <x v="1693"/>
            <x v="1694"/>
            <x v="1695"/>
            <x v="1696"/>
            <x v="1697"/>
            <x v="1698"/>
            <x v="1699"/>
          </reference>
        </references>
      </pivotArea>
    </format>
    <format dxfId="10">
      <pivotArea dataOnly="0" labelOnly="1" outline="0" fieldPosition="0">
        <references count="1">
          <reference field="1" count="50">
            <x v="1700"/>
            <x v="1701"/>
            <x v="1702"/>
            <x v="1703"/>
            <x v="1704"/>
            <x v="1705"/>
            <x v="1706"/>
            <x v="1707"/>
            <x v="1708"/>
            <x v="1709"/>
            <x v="1710"/>
            <x v="1711"/>
            <x v="1712"/>
            <x v="1713"/>
            <x v="1714"/>
            <x v="1715"/>
            <x v="1716"/>
            <x v="1717"/>
            <x v="1718"/>
            <x v="1719"/>
            <x v="1720"/>
            <x v="1721"/>
            <x v="1722"/>
            <x v="1723"/>
            <x v="1724"/>
            <x v="1725"/>
            <x v="1726"/>
            <x v="1727"/>
            <x v="1728"/>
            <x v="1729"/>
            <x v="1730"/>
            <x v="1731"/>
            <x v="1732"/>
            <x v="1733"/>
            <x v="1734"/>
            <x v="1735"/>
            <x v="1736"/>
            <x v="1737"/>
            <x v="1738"/>
            <x v="1739"/>
            <x v="1740"/>
            <x v="1741"/>
            <x v="1742"/>
            <x v="1743"/>
            <x v="1744"/>
            <x v="1745"/>
            <x v="1746"/>
            <x v="1747"/>
            <x v="1748"/>
            <x v="1749"/>
          </reference>
        </references>
      </pivotArea>
    </format>
    <format dxfId="9">
      <pivotArea dataOnly="0" labelOnly="1" outline="0" fieldPosition="0">
        <references count="1">
          <reference field="1" count="50">
            <x v="1750"/>
            <x v="1751"/>
            <x v="1752"/>
            <x v="1753"/>
            <x v="1754"/>
            <x v="1755"/>
            <x v="1756"/>
            <x v="1757"/>
            <x v="1758"/>
            <x v="1759"/>
            <x v="1760"/>
            <x v="1761"/>
            <x v="1762"/>
            <x v="1763"/>
            <x v="1764"/>
            <x v="1765"/>
            <x v="1766"/>
            <x v="1767"/>
            <x v="1768"/>
            <x v="1769"/>
            <x v="1770"/>
            <x v="1771"/>
            <x v="1772"/>
            <x v="1773"/>
            <x v="1774"/>
            <x v="1775"/>
            <x v="1776"/>
            <x v="1777"/>
            <x v="1778"/>
            <x v="1779"/>
            <x v="1780"/>
            <x v="1781"/>
            <x v="1782"/>
            <x v="1783"/>
            <x v="1784"/>
            <x v="1785"/>
            <x v="1786"/>
            <x v="1787"/>
            <x v="1788"/>
            <x v="1789"/>
            <x v="1790"/>
            <x v="1791"/>
            <x v="1792"/>
            <x v="1793"/>
            <x v="1794"/>
            <x v="1795"/>
            <x v="1796"/>
            <x v="1797"/>
            <x v="1798"/>
            <x v="1799"/>
          </reference>
        </references>
      </pivotArea>
    </format>
    <format dxfId="8">
      <pivotArea dataOnly="0" labelOnly="1" outline="0" fieldPosition="0">
        <references count="1">
          <reference field="1" count="50">
            <x v="1800"/>
            <x v="1801"/>
            <x v="1802"/>
            <x v="1803"/>
            <x v="1804"/>
            <x v="1805"/>
            <x v="1806"/>
            <x v="1807"/>
            <x v="1808"/>
            <x v="1809"/>
            <x v="1810"/>
            <x v="1811"/>
            <x v="1812"/>
            <x v="1813"/>
            <x v="1814"/>
            <x v="1815"/>
            <x v="1816"/>
            <x v="1817"/>
            <x v="1818"/>
            <x v="1819"/>
            <x v="1820"/>
            <x v="1821"/>
            <x v="1822"/>
            <x v="1823"/>
            <x v="1824"/>
            <x v="1825"/>
            <x v="1826"/>
            <x v="1827"/>
            <x v="1828"/>
            <x v="1829"/>
            <x v="1830"/>
            <x v="1831"/>
            <x v="1832"/>
            <x v="1833"/>
            <x v="1834"/>
            <x v="1835"/>
            <x v="1836"/>
            <x v="1837"/>
            <x v="1838"/>
            <x v="1839"/>
            <x v="1840"/>
            <x v="1841"/>
            <x v="1842"/>
            <x v="1843"/>
            <x v="1844"/>
            <x v="1845"/>
            <x v="1846"/>
            <x v="1847"/>
            <x v="1848"/>
            <x v="1849"/>
          </reference>
        </references>
      </pivotArea>
    </format>
    <format dxfId="7">
      <pivotArea dataOnly="0" labelOnly="1" outline="0" fieldPosition="0">
        <references count="1">
          <reference field="1" count="16">
            <x v="1850"/>
            <x v="1851"/>
            <x v="1852"/>
            <x v="1853"/>
            <x v="1854"/>
            <x v="1855"/>
            <x v="1856"/>
            <x v="1857"/>
            <x v="1858"/>
            <x v="1859"/>
            <x v="1860"/>
            <x v="1861"/>
            <x v="1862"/>
            <x v="1863"/>
            <x v="1864"/>
            <x v="186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2E49837-BE90-4391-B868-F68BE6432AA1}" name="PivotTable2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7">
  <location ref="K17:M22" firstHeaderRow="0" firstDataRow="1" firstDataCol="1"/>
  <pivotFields count="23">
    <pivotField compact="0" outline="0" showAll="0">
      <extLst>
        <ext xmlns:x14="http://schemas.microsoft.com/office/spreadsheetml/2009/9/main" uri="{2946ED86-A175-432a-8AC1-64E0C546D7DE}">
          <x14:pivotField fillDownLabels="1"/>
        </ext>
      </extLst>
    </pivotField>
    <pivotField compact="0" numFmtId="164" outline="0"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extLst>
        <ext xmlns:x14="http://schemas.microsoft.com/office/spreadsheetml/2009/9/main" uri="{2946ED86-A175-432a-8AC1-64E0C546D7DE}">
          <x14:pivotField fillDownLabels="1"/>
        </ext>
      </extLst>
    </pivotField>
    <pivotField compact="0" outline="0" showAll="0">
      <items count="3">
        <item h="1"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outline="0" showAll="0">
      <items count="5">
        <item x="2"/>
        <item x="3"/>
        <item x="0"/>
        <item x="1"/>
        <item t="default"/>
      </items>
      <extLst>
        <ext xmlns:x14="http://schemas.microsoft.com/office/spreadsheetml/2009/9/main" uri="{2946ED86-A175-432a-8AC1-64E0C546D7DE}">
          <x14:pivotField fillDownLabels="1"/>
        </ext>
      </extLst>
    </pivotField>
    <pivotField axis="axisRow" compact="0" outline="0" showAll="0">
      <items count="6">
        <item x="2"/>
        <item x="0"/>
        <item x="4"/>
        <item x="1"/>
        <item x="3"/>
        <item t="default"/>
      </items>
      <extLst>
        <ext xmlns:x14="http://schemas.microsoft.com/office/spreadsheetml/2009/9/main" uri="{2946ED86-A175-432a-8AC1-64E0C546D7DE}">
          <x14:pivotField fillDownLabels="1"/>
        </ext>
      </extLst>
    </pivotField>
    <pivotField compact="0" outline="0" showAll="0">
      <items count="6">
        <item h="1" x="4"/>
        <item h="1" x="0"/>
        <item h="1" x="2"/>
        <item x="1"/>
        <item h="1"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extLst>
        <ext xmlns:x14="http://schemas.microsoft.com/office/spreadsheetml/2009/9/main" uri="{2946ED86-A175-432a-8AC1-64E0C546D7DE}">
          <x14:pivotField fillDownLabels="1"/>
        </ext>
      </extLst>
    </pivotField>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extLst>
        <ext xmlns:x14="http://schemas.microsoft.com/office/spreadsheetml/2009/9/main" uri="{2946ED86-A175-432a-8AC1-64E0C546D7DE}">
          <x14:pivotField fillDownLabels="1"/>
        </ext>
      </extLst>
    </pivotField>
    <pivotField compact="0" outline="0" showAll="0">
      <items count="27">
        <item x="0"/>
        <item x="1"/>
        <item x="2"/>
        <item x="3"/>
        <item x="4"/>
        <item x="5"/>
        <item x="6"/>
        <item x="7"/>
        <item x="8"/>
        <item x="9"/>
        <item x="10"/>
        <item x="11"/>
        <item x="12"/>
        <item x="13"/>
        <item x="14"/>
        <item x="15"/>
        <item x="16"/>
        <item x="17"/>
        <item x="18"/>
        <item x="19"/>
        <item x="20"/>
        <item x="21"/>
        <item x="22"/>
        <item x="23"/>
        <item x="24"/>
        <item x="25"/>
        <item t="default"/>
      </items>
      <extLst>
        <ext xmlns:x14="http://schemas.microsoft.com/office/spreadsheetml/2009/9/main" uri="{2946ED86-A175-432a-8AC1-64E0C546D7DE}">
          <x14:pivotField fillDownLabels="1"/>
        </ext>
      </extLst>
    </pivotField>
  </pivotFields>
  <rowFields count="1">
    <field x="15"/>
  </rowFields>
  <rowItems count="5">
    <i>
      <x/>
    </i>
    <i>
      <x v="1"/>
    </i>
    <i>
      <x v="2"/>
    </i>
    <i>
      <x v="3"/>
    </i>
    <i>
      <x v="4"/>
    </i>
  </rowItems>
  <colFields count="1">
    <field x="-2"/>
  </colFields>
  <colItems count="2">
    <i>
      <x/>
    </i>
    <i i="1">
      <x v="1"/>
    </i>
  </colItems>
  <dataFields count="2">
    <dataField name="Sum of Shipping Fee" fld="12" baseField="0" baseItem="0" numFmtId="171"/>
    <dataField name="Count of Shipping Fee2" fld="12" subtotal="count" baseField="0" baseItem="0"/>
  </dataFields>
  <formats count="4">
    <format dxfId="49">
      <pivotArea outline="0" collapsedLevelsAreSubtotals="1" fieldPosition="0"/>
    </format>
    <format dxfId="48">
      <pivotArea outline="0" fieldPosition="0">
        <references count="1">
          <reference field="4294967294" count="1" selected="0">
            <x v="1"/>
          </reference>
        </references>
      </pivotArea>
    </format>
    <format dxfId="47">
      <pivotArea outline="0" fieldPosition="0">
        <references count="1">
          <reference field="4294967294" count="1" selected="0">
            <x v="0"/>
          </reference>
        </references>
      </pivotArea>
    </format>
    <format dxfId="46">
      <pivotArea dataOnly="0" labelOnly="1" outline="0" fieldPosition="0">
        <references count="1">
          <reference field="4294967294" count="1">
            <x v="0"/>
          </reference>
        </references>
      </pivotArea>
    </format>
  </formats>
  <chartFormats count="2">
    <chartFormat chart="26" format="2" series="1">
      <pivotArea type="data" outline="0" fieldPosition="0">
        <references count="1">
          <reference field="4294967294" count="1" selected="0">
            <x v="1"/>
          </reference>
        </references>
      </pivotArea>
    </chartFormat>
    <chartFormat chart="2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7873268-F9D9-491E-81F7-272F989EFDAC}"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3:G4" firstHeaderRow="1" firstDataRow="1" firstDataCol="0"/>
  <pivotFields count="23">
    <pivotField showAll="0"/>
    <pivotField numFmtId="164"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pivotField>
    <pivotField showAll="0">
      <items count="3">
        <item h="1" x="0"/>
        <item x="1"/>
        <item t="default"/>
      </items>
    </pivotField>
    <pivotField showAll="0"/>
    <pivotField showAll="0"/>
    <pivotField showAll="0"/>
    <pivotField numFmtId="165" showAll="0"/>
    <pivotField showAll="0"/>
    <pivotField showAll="0"/>
    <pivotField numFmtId="165" showAll="0"/>
    <pivotField numFmtId="165" showAll="0"/>
    <pivotField dataField="1" numFmtId="165" showAll="0"/>
    <pivotField numFmtId="165" showAll="0"/>
    <pivotField numFmtId="165" showAll="0"/>
    <pivotField showAll="0"/>
    <pivotField showAll="0">
      <items count="6">
        <item x="2"/>
        <item x="0"/>
        <item x="4"/>
        <item x="1"/>
        <item x="3"/>
        <item t="default"/>
      </items>
    </pivotField>
    <pivotField showAll="0">
      <items count="6">
        <item h="1" x="4"/>
        <item h="1" x="0"/>
        <item h="1" x="2"/>
        <item x="1"/>
        <item h="1" x="3"/>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Items count="1">
    <i/>
  </rowItems>
  <colItems count="1">
    <i/>
  </colItems>
  <dataFields count="1">
    <dataField name="Sum of Total Sales" fld="11" baseField="0" baseItem="0" numFmtId="165"/>
  </dataFields>
  <formats count="1">
    <format dxfId="5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3F9B1E8-9719-4E27-B43F-6C791EE04072}" name="PivotTable3"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E3:E4" firstHeaderRow="1" firstDataRow="1" firstDataCol="0"/>
  <pivotFields count="23">
    <pivotField showAll="0"/>
    <pivotField numFmtId="164"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pivotField>
    <pivotField showAll="0">
      <items count="3">
        <item h="1" x="0"/>
        <item x="1"/>
        <item t="default"/>
      </items>
    </pivotField>
    <pivotField showAll="0"/>
    <pivotField showAll="0"/>
    <pivotField showAll="0"/>
    <pivotField numFmtId="165" showAll="0"/>
    <pivotField showAll="0"/>
    <pivotField showAll="0"/>
    <pivotField numFmtId="165" showAll="0"/>
    <pivotField numFmtId="165" showAll="0"/>
    <pivotField numFmtId="165" showAll="0"/>
    <pivotField numFmtId="165" showAll="0"/>
    <pivotField numFmtId="165" showAll="0"/>
    <pivotField showAll="0"/>
    <pivotField showAll="0">
      <items count="6">
        <item x="2"/>
        <item x="0"/>
        <item x="4"/>
        <item x="1"/>
        <item x="3"/>
        <item t="default"/>
      </items>
    </pivotField>
    <pivotField showAll="0">
      <items count="6">
        <item h="1" x="4"/>
        <item h="1" x="0"/>
        <item h="1" x="2"/>
        <item x="1"/>
        <item h="1" x="3"/>
        <item t="default"/>
      </items>
    </pivotField>
    <pivotField dataField="1"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Items count="1">
    <i/>
  </rowItems>
  <colItems count="1">
    <i/>
  </colItems>
  <dataFields count="1">
    <dataField name="rata rata costumer rating" fld="17" subtotal="average" baseField="0" baseItem="0"/>
  </dataFields>
  <formats count="1">
    <format dxfId="5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1">
          <x14:conditionalFormat priority="4" id="{1C2617D5-4FFB-46D4-89AC-1755CCF93136}">
            <x14:pivotAreas count="1">
              <pivotArea type="data" outline="0" collapsedLevelsAreSubtotals="1" fieldPosition="0">
                <references count="1">
                  <reference field="4294967294" count="1" selected="0">
                    <x v="0"/>
                  </reference>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5A40566-577B-4841-B57E-2A7546B1742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23">
    <pivotField dataField="1" showAll="0"/>
    <pivotField numFmtId="164"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pivotField>
    <pivotField showAll="0">
      <items count="3">
        <item h="1" x="0"/>
        <item x="1"/>
        <item t="default"/>
      </items>
    </pivotField>
    <pivotField showAll="0"/>
    <pivotField showAll="0"/>
    <pivotField showAll="0"/>
    <pivotField numFmtId="165" showAll="0"/>
    <pivotField showAll="0"/>
    <pivotField showAll="0"/>
    <pivotField numFmtId="165" showAll="0"/>
    <pivotField numFmtId="165" showAll="0"/>
    <pivotField numFmtId="165" showAll="0"/>
    <pivotField numFmtId="165" showAll="0"/>
    <pivotField numFmtId="165" showAll="0"/>
    <pivotField showAll="0"/>
    <pivotField showAll="0">
      <items count="6">
        <item x="2"/>
        <item x="0"/>
        <item x="4"/>
        <item x="1"/>
        <item x="3"/>
        <item t="default"/>
      </items>
    </pivotField>
    <pivotField showAll="0">
      <items count="6">
        <item h="1" x="4"/>
        <item h="1" x="0"/>
        <item h="1" x="2"/>
        <item x="1"/>
        <item h="1" x="3"/>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Items count="1">
    <i/>
  </rowItems>
  <colItems count="1">
    <i/>
  </colItems>
  <dataFields count="1">
    <dataField name="jumlah transaksi" fld="0" subtotal="count" baseField="0" baseItem="0"/>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00B45BD-AA26-4BD1-824D-BE3C2D1D2A52}"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location ref="K10:M14" firstHeaderRow="0" firstDataRow="1" firstDataCol="1"/>
  <pivotFields count="23">
    <pivotField compact="0" outline="0" showAll="0">
      <extLst>
        <ext xmlns:x14="http://schemas.microsoft.com/office/spreadsheetml/2009/9/main" uri="{2946ED86-A175-432a-8AC1-64E0C546D7DE}">
          <x14:pivotField fillDownLabels="1"/>
        </ext>
      </extLst>
    </pivotField>
    <pivotField compact="0" numFmtId="164" outline="0"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extLst>
        <ext xmlns:x14="http://schemas.microsoft.com/office/spreadsheetml/2009/9/main" uri="{2946ED86-A175-432a-8AC1-64E0C546D7DE}">
          <x14:pivotField fillDownLabels="1"/>
        </ext>
      </extLst>
    </pivotField>
    <pivotField compact="0" outline="0" showAll="0">
      <items count="3">
        <item h="1"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items count="6">
        <item x="2"/>
        <item x="0"/>
        <item x="4"/>
        <item x="1"/>
        <item x="3"/>
        <item t="default"/>
      </items>
      <extLst>
        <ext xmlns:x14="http://schemas.microsoft.com/office/spreadsheetml/2009/9/main" uri="{2946ED86-A175-432a-8AC1-64E0C546D7DE}">
          <x14:pivotField fillDownLabels="1"/>
        </ext>
      </extLst>
    </pivotField>
    <pivotField compact="0" outline="0" showAll="0">
      <items count="6">
        <item h="1" x="4"/>
        <item h="1" x="0"/>
        <item h="1" x="2"/>
        <item x="1"/>
        <item h="1"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6">
        <item x="0"/>
        <item x="1"/>
        <item x="2"/>
        <item x="3"/>
        <item x="4"/>
        <item t="default"/>
      </items>
      <extLst>
        <ext xmlns:x14="http://schemas.microsoft.com/office/spreadsheetml/2009/9/main" uri="{2946ED86-A175-432a-8AC1-64E0C546D7DE}">
          <x14:pivotField fillDownLabels="1"/>
        </ext>
      </extLst>
    </pivotField>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extLst>
        <ext xmlns:x14="http://schemas.microsoft.com/office/spreadsheetml/2009/9/main" uri="{2946ED86-A175-432a-8AC1-64E0C546D7DE}">
          <x14:pivotField fillDownLabels="1"/>
        </ext>
      </extLst>
    </pivotField>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extLst>
        <ext xmlns:x14="http://schemas.microsoft.com/office/spreadsheetml/2009/9/main" uri="{2946ED86-A175-432a-8AC1-64E0C546D7DE}">
          <x14:pivotField fillDownLabels="1"/>
        </ext>
      </extLst>
    </pivotField>
    <pivotField compact="0" outline="0" showAll="0">
      <items count="27">
        <item x="0"/>
        <item x="1"/>
        <item x="2"/>
        <item x="3"/>
        <item x="4"/>
        <item x="5"/>
        <item x="6"/>
        <item x="7"/>
        <item x="8"/>
        <item x="9"/>
        <item x="10"/>
        <item x="11"/>
        <item x="12"/>
        <item x="13"/>
        <item x="14"/>
        <item x="15"/>
        <item x="16"/>
        <item x="17"/>
        <item x="18"/>
        <item x="19"/>
        <item x="20"/>
        <item x="21"/>
        <item x="22"/>
        <item x="23"/>
        <item x="24"/>
        <item x="25"/>
        <item t="default"/>
      </items>
      <extLst>
        <ext xmlns:x14="http://schemas.microsoft.com/office/spreadsheetml/2009/9/main" uri="{2946ED86-A175-432a-8AC1-64E0C546D7DE}">
          <x14:pivotField fillDownLabels="1"/>
        </ext>
      </extLst>
    </pivotField>
  </pivotFields>
  <rowFields count="1">
    <field x="19"/>
  </rowFields>
  <rowItems count="4">
    <i>
      <x/>
    </i>
    <i>
      <x v="1"/>
    </i>
    <i>
      <x v="2"/>
    </i>
    <i>
      <x v="3"/>
    </i>
  </rowItems>
  <colFields count="1">
    <field x="-2"/>
  </colFields>
  <colItems count="2">
    <i>
      <x/>
    </i>
    <i i="1">
      <x v="1"/>
    </i>
  </colItems>
  <dataFields count="2">
    <dataField name="Sum of Total Sales" fld="11" baseField="0" baseItem="0" numFmtId="171"/>
    <dataField name="Count of Order Status" fld="15" subtotal="count" baseField="0" baseItem="0"/>
  </dataFields>
  <formats count="3">
    <format dxfId="55">
      <pivotArea outline="0" collapsedLevelsAreSubtotals="1" fieldPosition="0"/>
    </format>
    <format dxfId="54">
      <pivotArea outline="0" fieldPosition="0">
        <references count="1">
          <reference field="4294967294" count="1" selected="0">
            <x v="1"/>
          </reference>
        </references>
      </pivotArea>
    </format>
    <format dxfId="53">
      <pivotArea outline="0" fieldPosition="0">
        <references count="1">
          <reference field="4294967294" count="1" selected="0">
            <x v="0"/>
          </reference>
        </references>
      </pivotArea>
    </format>
  </formats>
  <chartFormats count="2">
    <chartFormat chart="12" format="2" series="1">
      <pivotArea type="data" outline="0" fieldPosition="0">
        <references count="1">
          <reference field="4294967294" count="1" selected="0">
            <x v="1"/>
          </reference>
        </references>
      </pivotArea>
    </chartFormat>
    <chartFormat chart="1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B7C0183-CDA1-4C61-8B39-79801FA115E3}"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Jenis Kelamin">
  <location ref="E10:F12" firstHeaderRow="1" firstDataRow="1" firstDataCol="1"/>
  <pivotFields count="23">
    <pivotField showAll="0"/>
    <pivotField numFmtId="164"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pivotField>
    <pivotField showAll="0">
      <items count="3">
        <item h="1" x="0"/>
        <item x="1"/>
        <item t="default"/>
      </items>
    </pivotField>
    <pivotField showAll="0"/>
    <pivotField showAll="0"/>
    <pivotField showAll="0"/>
    <pivotField numFmtId="165" showAll="0"/>
    <pivotField showAll="0"/>
    <pivotField showAll="0"/>
    <pivotField numFmtId="165" showAll="0"/>
    <pivotField numFmtId="165" showAll="0"/>
    <pivotField numFmtId="165" showAll="0"/>
    <pivotField numFmtId="165" showAll="0"/>
    <pivotField numFmtId="165" showAll="0"/>
    <pivotField showAll="0"/>
    <pivotField showAll="0">
      <items count="6">
        <item x="2"/>
        <item x="0"/>
        <item x="4"/>
        <item x="1"/>
        <item x="3"/>
        <item t="default"/>
      </items>
    </pivotField>
    <pivotField showAll="0">
      <items count="6">
        <item h="1" x="4"/>
        <item h="1" x="0"/>
        <item h="1" x="2"/>
        <item x="1"/>
        <item h="1" x="3"/>
        <item t="default"/>
      </items>
    </pivotField>
    <pivotField showAll="0"/>
    <pivotField axis="axisRow" dataField="1" showAll="0">
      <items count="3">
        <item x="1"/>
        <item x="0"/>
        <item t="default"/>
      </items>
    </pivotField>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18"/>
  </rowFields>
  <rowItems count="2">
    <i>
      <x/>
    </i>
    <i>
      <x v="1"/>
    </i>
  </rowItems>
  <colItems count="1">
    <i/>
  </colItems>
  <dataFields count="1">
    <dataField name="Count of Jenis Kelamin" fld="18" subtotal="count" baseField="0" baseItem="0"/>
  </dataFields>
  <formats count="2">
    <format dxfId="57">
      <pivotArea outline="0" collapsedLevelsAreSubtotals="1" fieldPosition="0"/>
    </format>
    <format dxfId="56">
      <pivotArea collapsedLevelsAreSubtotals="1" fieldPosition="0">
        <references count="1">
          <reference field="18"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E3F231E-ABF4-4693-A498-5216DB39AA61}" name="PivotTable11"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8">
  <location ref="E15:F21" firstHeaderRow="1" firstDataRow="1" firstDataCol="1"/>
  <pivotFields count="23">
    <pivotField showAll="0"/>
    <pivotField numFmtId="164"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pivotField>
    <pivotField showAll="0">
      <items count="3">
        <item h="1" x="0"/>
        <item x="1"/>
        <item t="default"/>
      </items>
    </pivotField>
    <pivotField showAll="0"/>
    <pivotField showAll="0"/>
    <pivotField showAll="0"/>
    <pivotField numFmtId="165" showAll="0"/>
    <pivotField showAll="0"/>
    <pivotField showAll="0"/>
    <pivotField numFmtId="165" showAll="0"/>
    <pivotField numFmtId="165" showAll="0"/>
    <pivotField numFmtId="165" showAll="0"/>
    <pivotField numFmtId="165" showAll="0"/>
    <pivotField numFmtId="165" showAll="0"/>
    <pivotField showAll="0"/>
    <pivotField axis="axisRow" dataField="1" showAll="0">
      <items count="6">
        <item x="2"/>
        <item x="0"/>
        <item x="4"/>
        <item x="1"/>
        <item x="3"/>
        <item t="default"/>
      </items>
    </pivotField>
    <pivotField showAll="0">
      <items count="6">
        <item h="1" x="4"/>
        <item h="1" x="0"/>
        <item h="1" x="2"/>
        <item x="1"/>
        <item h="1" x="3"/>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15"/>
  </rowFields>
  <rowItems count="6">
    <i>
      <x/>
    </i>
    <i>
      <x v="1"/>
    </i>
    <i>
      <x v="2"/>
    </i>
    <i>
      <x v="3"/>
    </i>
    <i>
      <x v="4"/>
    </i>
    <i t="grand">
      <x/>
    </i>
  </rowItems>
  <colItems count="1">
    <i/>
  </colItems>
  <dataFields count="1">
    <dataField name="Count of Order Status" fld="15" subtotal="count" showDataAs="percentOfTotal" baseField="0" baseItem="0" numFmtId="10"/>
  </dataFields>
  <formats count="2">
    <format dxfId="59">
      <pivotArea outline="0" collapsedLevelsAreSubtotals="1" fieldPosition="0"/>
    </format>
    <format dxfId="58">
      <pivotArea outline="0" fieldPosition="0">
        <references count="1">
          <reference field="4294967294" count="1">
            <x v="0"/>
          </reference>
        </references>
      </pivotArea>
    </format>
  </formats>
  <chartFormats count="6">
    <chartFormat chart="17" format="26" series="1">
      <pivotArea type="data" outline="0" fieldPosition="0">
        <references count="1">
          <reference field="4294967294" count="1" selected="0">
            <x v="0"/>
          </reference>
        </references>
      </pivotArea>
    </chartFormat>
    <chartFormat chart="17" format="27">
      <pivotArea type="data" outline="0" fieldPosition="0">
        <references count="2">
          <reference field="4294967294" count="1" selected="0">
            <x v="0"/>
          </reference>
          <reference field="15" count="1" selected="0">
            <x v="0"/>
          </reference>
        </references>
      </pivotArea>
    </chartFormat>
    <chartFormat chart="17" format="28">
      <pivotArea type="data" outline="0" fieldPosition="0">
        <references count="2">
          <reference field="4294967294" count="1" selected="0">
            <x v="0"/>
          </reference>
          <reference field="15" count="1" selected="0">
            <x v="1"/>
          </reference>
        </references>
      </pivotArea>
    </chartFormat>
    <chartFormat chart="17" format="29">
      <pivotArea type="data" outline="0" fieldPosition="0">
        <references count="2">
          <reference field="4294967294" count="1" selected="0">
            <x v="0"/>
          </reference>
          <reference field="15" count="1" selected="0">
            <x v="2"/>
          </reference>
        </references>
      </pivotArea>
    </chartFormat>
    <chartFormat chart="17" format="30">
      <pivotArea type="data" outline="0" fieldPosition="0">
        <references count="2">
          <reference field="4294967294" count="1" selected="0">
            <x v="0"/>
          </reference>
          <reference field="15" count="1" selected="0">
            <x v="3"/>
          </reference>
        </references>
      </pivotArea>
    </chartFormat>
    <chartFormat chart="17" format="31">
      <pivotArea type="data" outline="0" fieldPosition="0">
        <references count="2">
          <reference field="4294967294" count="1" selected="0">
            <x v="0"/>
          </reference>
          <reference field="1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394F75B-E501-45EC-81B8-080B2326DEBB}" name="PivotTable30"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8">
  <location ref="E24:F30" firstHeaderRow="1" firstDataRow="1" firstDataCol="1"/>
  <pivotFields count="23">
    <pivotField showAll="0"/>
    <pivotField numFmtId="164"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pivotField>
    <pivotField showAll="0">
      <items count="3">
        <item h="1" x="0"/>
        <item x="1"/>
        <item t="default"/>
      </items>
    </pivotField>
    <pivotField showAll="0"/>
    <pivotField showAll="0"/>
    <pivotField showAll="0"/>
    <pivotField numFmtId="165" showAll="0"/>
    <pivotField showAll="0"/>
    <pivotField showAll="0"/>
    <pivotField numFmtId="165" showAll="0"/>
    <pivotField numFmtId="165" showAll="0"/>
    <pivotField numFmtId="165" showAll="0"/>
    <pivotField numFmtId="165" showAll="0"/>
    <pivotField numFmtId="165" showAll="0"/>
    <pivotField showAll="0"/>
    <pivotField axis="axisRow" dataField="1" showAll="0">
      <items count="6">
        <item x="2"/>
        <item x="0"/>
        <item x="4"/>
        <item x="1"/>
        <item x="3"/>
        <item t="default"/>
      </items>
    </pivotField>
    <pivotField showAll="0">
      <items count="6">
        <item h="1" x="4"/>
        <item h="1" x="0"/>
        <item h="1" x="2"/>
        <item x="1"/>
        <item h="1" x="3"/>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15"/>
  </rowFields>
  <rowItems count="6">
    <i>
      <x/>
    </i>
    <i>
      <x v="1"/>
    </i>
    <i>
      <x v="2"/>
    </i>
    <i>
      <x v="3"/>
    </i>
    <i>
      <x v="4"/>
    </i>
    <i t="grand">
      <x/>
    </i>
  </rowItems>
  <colItems count="1">
    <i/>
  </colItems>
  <dataFields count="1">
    <dataField name="Count of Order Status" fld="15" subtotal="count" baseField="0" baseItem="0"/>
  </dataFields>
  <formats count="2">
    <format dxfId="61">
      <pivotArea outline="0" collapsedLevelsAreSubtotals="1" fieldPosition="0"/>
    </format>
    <format dxfId="60">
      <pivotArea outline="0" fieldPosition="0">
        <references count="1">
          <reference field="4294967294" count="1">
            <x v="0"/>
          </reference>
        </references>
      </pivotArea>
    </format>
  </formats>
  <chartFormats count="6">
    <chartFormat chart="17" format="26" series="1">
      <pivotArea type="data" outline="0" fieldPosition="0">
        <references count="1">
          <reference field="4294967294" count="1" selected="0">
            <x v="0"/>
          </reference>
        </references>
      </pivotArea>
    </chartFormat>
    <chartFormat chart="17" format="27">
      <pivotArea type="data" outline="0" fieldPosition="0">
        <references count="2">
          <reference field="4294967294" count="1" selected="0">
            <x v="0"/>
          </reference>
          <reference field="15" count="1" selected="0">
            <x v="0"/>
          </reference>
        </references>
      </pivotArea>
    </chartFormat>
    <chartFormat chart="17" format="28">
      <pivotArea type="data" outline="0" fieldPosition="0">
        <references count="2">
          <reference field="4294967294" count="1" selected="0">
            <x v="0"/>
          </reference>
          <reference field="15" count="1" selected="0">
            <x v="1"/>
          </reference>
        </references>
      </pivotArea>
    </chartFormat>
    <chartFormat chart="17" format="29">
      <pivotArea type="data" outline="0" fieldPosition="0">
        <references count="2">
          <reference field="4294967294" count="1" selected="0">
            <x v="0"/>
          </reference>
          <reference field="15" count="1" selected="0">
            <x v="2"/>
          </reference>
        </references>
      </pivotArea>
    </chartFormat>
    <chartFormat chart="17" format="30">
      <pivotArea type="data" outline="0" fieldPosition="0">
        <references count="2">
          <reference field="4294967294" count="1" selected="0">
            <x v="0"/>
          </reference>
          <reference field="15" count="1" selected="0">
            <x v="3"/>
          </reference>
        </references>
      </pivotArea>
    </chartFormat>
    <chartFormat chart="17" format="31">
      <pivotArea type="data" outline="0" fieldPosition="0">
        <references count="2">
          <reference field="4294967294" count="1" selected="0">
            <x v="0"/>
          </reference>
          <reference field="1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ECEF356-FB77-46F2-9692-490486498E09}"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3:I4" firstHeaderRow="1" firstDataRow="1" firstDataCol="0"/>
  <pivotFields count="23">
    <pivotField showAll="0"/>
    <pivotField numFmtId="164"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pivotField>
    <pivotField showAll="0">
      <items count="3">
        <item h="1" x="0"/>
        <item x="1"/>
        <item t="default"/>
      </items>
    </pivotField>
    <pivotField showAll="0"/>
    <pivotField showAll="0"/>
    <pivotField showAll="0"/>
    <pivotField numFmtId="165" showAll="0"/>
    <pivotField showAll="0"/>
    <pivotField showAll="0"/>
    <pivotField numFmtId="165" showAll="0"/>
    <pivotField numFmtId="165" showAll="0"/>
    <pivotField numFmtId="165" showAll="0"/>
    <pivotField numFmtId="165" showAll="0"/>
    <pivotField dataField="1" numFmtId="165" showAll="0"/>
    <pivotField showAll="0"/>
    <pivotField showAll="0">
      <items count="6">
        <item x="2"/>
        <item x="0"/>
        <item x="4"/>
        <item x="1"/>
        <item x="3"/>
        <item t="default"/>
      </items>
    </pivotField>
    <pivotField showAll="0">
      <items count="6">
        <item h="1" x="4"/>
        <item h="1" x="0"/>
        <item h="1" x="2"/>
        <item x="1"/>
        <item h="1" x="3"/>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Items count="1">
    <i/>
  </rowItems>
  <colItems count="1">
    <i/>
  </colItems>
  <dataFields count="1">
    <dataField name="Sum of Grand Total" fld="13" baseField="0" baseItem="0" numFmtId="165"/>
  </dataFields>
  <formats count="1">
    <format dxfId="6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B0E685E-6C49-4D27-8388-9B809B2C9BC9}" name="PivotTable2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E37:G41" firstHeaderRow="0" firstDataRow="1" firstDataCol="1" rowPageCount="2" colPageCount="1"/>
  <pivotFields count="23">
    <pivotField showAll="0"/>
    <pivotField numFmtId="164"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pivotField>
    <pivotField axis="axisPage" showAll="0">
      <items count="3">
        <item x="0"/>
        <item x="1"/>
        <item t="default"/>
      </items>
    </pivotField>
    <pivotField showAll="0"/>
    <pivotField showAll="0"/>
    <pivotField axis="axisRow" showAll="0" measureFilter="1" sortType="ascending">
      <items count="28">
        <item x="17"/>
        <item x="25"/>
        <item x="11"/>
        <item x="15"/>
        <item x="10"/>
        <item x="7"/>
        <item x="14"/>
        <item x="5"/>
        <item x="0"/>
        <item x="4"/>
        <item x="1"/>
        <item x="18"/>
        <item x="8"/>
        <item x="21"/>
        <item x="22"/>
        <item x="2"/>
        <item x="13"/>
        <item x="26"/>
        <item x="24"/>
        <item x="9"/>
        <item x="12"/>
        <item x="19"/>
        <item x="16"/>
        <item x="3"/>
        <item x="23"/>
        <item x="20"/>
        <item x="6"/>
        <item t="default"/>
      </items>
      <autoSortScope>
        <pivotArea dataOnly="0" outline="0" fieldPosition="0">
          <references count="1">
            <reference field="4294967294" count="1" selected="0">
              <x v="0"/>
            </reference>
          </references>
        </pivotArea>
      </autoSortScope>
    </pivotField>
    <pivotField numFmtId="165" showAll="0"/>
    <pivotField showAll="0"/>
    <pivotField showAll="0"/>
    <pivotField numFmtId="165" showAll="0"/>
    <pivotField numFmtId="165" showAll="0"/>
    <pivotField numFmtId="165" showAll="0"/>
    <pivotField numFmtId="165" showAll="0"/>
    <pivotField dataField="1" numFmtId="165" showAll="0"/>
    <pivotField showAll="0">
      <items count="5">
        <item x="2"/>
        <item x="3"/>
        <item x="0"/>
        <item x="1"/>
        <item t="default"/>
      </items>
    </pivotField>
    <pivotField showAll="0">
      <items count="6">
        <item x="2"/>
        <item x="0"/>
        <item x="4"/>
        <item x="1"/>
        <item x="3"/>
        <item t="default"/>
      </items>
    </pivotField>
    <pivotField axis="axisPage" showAll="0">
      <items count="6">
        <item x="4"/>
        <item x="0"/>
        <item x="2"/>
        <item x="1"/>
        <item x="3"/>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5"/>
  </rowFields>
  <rowItems count="4">
    <i>
      <x v="7"/>
    </i>
    <i>
      <x v="19"/>
    </i>
    <i>
      <x v="8"/>
    </i>
    <i t="grand">
      <x/>
    </i>
  </rowItems>
  <colFields count="1">
    <field x="-2"/>
  </colFields>
  <colItems count="2">
    <i>
      <x/>
    </i>
    <i i="1">
      <x v="1"/>
    </i>
  </colItems>
  <pageFields count="2">
    <pageField fld="16" item="3" hier="-1"/>
    <pageField fld="2" item="1" hier="-1"/>
  </pageFields>
  <dataFields count="2">
    <dataField name="Sum of Grand Total" fld="13" baseField="0" baseItem="0" numFmtId="171"/>
    <dataField name="Sum of Grand Total2" fld="13" showDataAs="percentOfTotal" baseField="0" baseItem="0" numFmtId="10"/>
  </dataFields>
  <formats count="5">
    <format dxfId="67">
      <pivotArea outline="0" collapsedLevelsAreSubtotals="1" fieldPosition="0"/>
    </format>
    <format dxfId="66">
      <pivotArea outline="0" fieldPosition="0">
        <references count="1">
          <reference field="4294967294" count="1">
            <x v="1"/>
          </reference>
        </references>
      </pivotArea>
    </format>
    <format dxfId="65">
      <pivotArea field="5" grandRow="1" outline="0" collapsedLevelsAreSubtotals="1" axis="axisRow" fieldPosition="0">
        <references count="1">
          <reference field="4294967294" count="1" selected="0">
            <x v="0"/>
          </reference>
        </references>
      </pivotArea>
    </format>
    <format dxfId="64">
      <pivotArea outline="0" collapsedLevelsAreSubtotals="1" fieldPosition="0">
        <references count="1">
          <reference field="4294967294" count="1" selected="0">
            <x v="0"/>
          </reference>
        </references>
      </pivotArea>
    </format>
    <format dxfId="63">
      <pivotArea dataOnly="0" labelOnly="1" outline="0" fieldPosition="0">
        <references count="1">
          <reference field="4294967294" count="1">
            <x v="0"/>
          </reference>
        </references>
      </pivotArea>
    </format>
  </formats>
  <chartFormats count="4">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6EB7689-A6AD-4225-8056-1C8D6EA290CA}" name="PivotTable1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7">
  <location ref="H17:I21" firstHeaderRow="1" firstDataRow="1" firstDataCol="1"/>
  <pivotFields count="23">
    <pivotField compact="0" outline="0" showAll="0">
      <extLst>
        <ext xmlns:x14="http://schemas.microsoft.com/office/spreadsheetml/2009/9/main" uri="{2946ED86-A175-432a-8AC1-64E0C546D7DE}">
          <x14:pivotField fillDownLabels="1"/>
        </ext>
      </extLst>
    </pivotField>
    <pivotField compact="0" numFmtId="164" outline="0"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extLst>
        <ext xmlns:x14="http://schemas.microsoft.com/office/spreadsheetml/2009/9/main" uri="{2946ED86-A175-432a-8AC1-64E0C546D7DE}">
          <x14:pivotField fillDownLabels="1"/>
        </ext>
      </extLst>
    </pivotField>
    <pivotField compact="0" outline="0" showAll="0">
      <items count="3">
        <item h="1"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axis="axisRow" dataField="1" compact="0" outline="0" showAll="0">
      <items count="5">
        <item x="2"/>
        <item x="3"/>
        <item x="0"/>
        <item x="1"/>
        <item t="default"/>
      </items>
      <extLst>
        <ext xmlns:x14="http://schemas.microsoft.com/office/spreadsheetml/2009/9/main" uri="{2946ED86-A175-432a-8AC1-64E0C546D7DE}">
          <x14:pivotField fillDownLabels="1"/>
        </ext>
      </extLst>
    </pivotField>
    <pivotField compact="0" outline="0" showAll="0">
      <items count="6">
        <item x="2"/>
        <item x="0"/>
        <item x="4"/>
        <item x="1"/>
        <item x="3"/>
        <item t="default"/>
      </items>
      <extLst>
        <ext xmlns:x14="http://schemas.microsoft.com/office/spreadsheetml/2009/9/main" uri="{2946ED86-A175-432a-8AC1-64E0C546D7DE}">
          <x14:pivotField fillDownLabels="1"/>
        </ext>
      </extLst>
    </pivotField>
    <pivotField compact="0" outline="0" showAll="0">
      <items count="6">
        <item h="1" x="4"/>
        <item h="1" x="0"/>
        <item h="1" x="2"/>
        <item x="1"/>
        <item h="1"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extLst>
        <ext xmlns:x14="http://schemas.microsoft.com/office/spreadsheetml/2009/9/main" uri="{2946ED86-A175-432a-8AC1-64E0C546D7DE}">
          <x14:pivotField fillDownLabels="1"/>
        </ext>
      </extLst>
    </pivotField>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extLst>
        <ext xmlns:x14="http://schemas.microsoft.com/office/spreadsheetml/2009/9/main" uri="{2946ED86-A175-432a-8AC1-64E0C546D7DE}">
          <x14:pivotField fillDownLabels="1"/>
        </ext>
      </extLst>
    </pivotField>
    <pivotField compact="0" outline="0" showAll="0">
      <items count="27">
        <item x="0"/>
        <item x="1"/>
        <item x="2"/>
        <item x="3"/>
        <item x="4"/>
        <item x="5"/>
        <item x="6"/>
        <item x="7"/>
        <item x="8"/>
        <item x="9"/>
        <item x="10"/>
        <item x="11"/>
        <item x="12"/>
        <item x="13"/>
        <item x="14"/>
        <item x="15"/>
        <item x="16"/>
        <item x="17"/>
        <item x="18"/>
        <item x="19"/>
        <item x="20"/>
        <item x="21"/>
        <item x="22"/>
        <item x="23"/>
        <item x="24"/>
        <item x="25"/>
        <item t="default"/>
      </items>
      <extLst>
        <ext xmlns:x14="http://schemas.microsoft.com/office/spreadsheetml/2009/9/main" uri="{2946ED86-A175-432a-8AC1-64E0C546D7DE}">
          <x14:pivotField fillDownLabels="1"/>
        </ext>
      </extLst>
    </pivotField>
  </pivotFields>
  <rowFields count="1">
    <field x="14"/>
  </rowFields>
  <rowItems count="4">
    <i>
      <x/>
    </i>
    <i>
      <x v="1"/>
    </i>
    <i>
      <x v="2"/>
    </i>
    <i>
      <x v="3"/>
    </i>
  </rowItems>
  <colItems count="1">
    <i/>
  </colItems>
  <dataFields count="1">
    <dataField name="Count of Payment Method" fld="14" subtotal="count" showDataAs="percentOfTotal" baseField="0" baseItem="0" numFmtId="10"/>
  </dataFields>
  <formats count="2">
    <format dxfId="69">
      <pivotArea outline="0" collapsedLevelsAreSubtotals="1" fieldPosition="0"/>
    </format>
    <format dxfId="68">
      <pivotArea outline="0" fieldPosition="0">
        <references count="1">
          <reference field="4294967294" count="1">
            <x v="0"/>
          </reference>
        </references>
      </pivotArea>
    </format>
  </formats>
  <chartFormats count="5">
    <chartFormat chart="26" format="17" series="1">
      <pivotArea type="data" outline="0" fieldPosition="0">
        <references count="1">
          <reference field="4294967294" count="1" selected="0">
            <x v="0"/>
          </reference>
        </references>
      </pivotArea>
    </chartFormat>
    <chartFormat chart="26" format="18">
      <pivotArea type="data" outline="0" fieldPosition="0">
        <references count="2">
          <reference field="4294967294" count="1" selected="0">
            <x v="0"/>
          </reference>
          <reference field="14" count="1" selected="0">
            <x v="0"/>
          </reference>
        </references>
      </pivotArea>
    </chartFormat>
    <chartFormat chart="26" format="19">
      <pivotArea type="data" outline="0" fieldPosition="0">
        <references count="2">
          <reference field="4294967294" count="1" selected="0">
            <x v="0"/>
          </reference>
          <reference field="14" count="1" selected="0">
            <x v="1"/>
          </reference>
        </references>
      </pivotArea>
    </chartFormat>
    <chartFormat chart="26" format="20">
      <pivotArea type="data" outline="0" fieldPosition="0">
        <references count="2">
          <reference field="4294967294" count="1" selected="0">
            <x v="0"/>
          </reference>
          <reference field="14" count="1" selected="0">
            <x v="2"/>
          </reference>
        </references>
      </pivotArea>
    </chartFormat>
    <chartFormat chart="26" format="2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057C627-E9E7-4DEA-92AB-6B22981FFBF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3:C4" firstHeaderRow="1" firstDataRow="1" firstDataCol="0"/>
  <pivotFields count="23">
    <pivotField showAll="0"/>
    <pivotField numFmtId="164" showAll="0">
      <items count="18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t="default"/>
      </items>
    </pivotField>
    <pivotField showAll="0">
      <items count="3">
        <item h="1" x="0"/>
        <item x="1"/>
        <item t="default"/>
      </items>
    </pivotField>
    <pivotField showAll="0"/>
    <pivotField showAll="0"/>
    <pivotField showAll="0"/>
    <pivotField numFmtId="165" showAll="0"/>
    <pivotField showAll="0"/>
    <pivotField dataField="1" showAll="0"/>
    <pivotField numFmtId="165" showAll="0"/>
    <pivotField numFmtId="165" showAll="0"/>
    <pivotField numFmtId="165" showAll="0"/>
    <pivotField numFmtId="165" showAll="0"/>
    <pivotField numFmtId="165" showAll="0"/>
    <pivotField showAll="0"/>
    <pivotField showAll="0">
      <items count="6">
        <item x="2"/>
        <item x="0"/>
        <item x="4"/>
        <item x="1"/>
        <item x="3"/>
        <item t="default"/>
      </items>
    </pivotField>
    <pivotField showAll="0">
      <items count="6">
        <item h="1" x="4"/>
        <item h="1" x="0"/>
        <item h="1" x="2"/>
        <item x="1"/>
        <item h="1" x="3"/>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Items count="1">
    <i/>
  </rowItems>
  <colItems count="1">
    <i/>
  </colItems>
  <dataFields count="1">
    <dataField name="rata rata diskon" fld="8" subtotal="average" baseField="0" baseItem="0" numFmtId="4"/>
  </dataFields>
  <formats count="1">
    <format dxfId="7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E56A1EA-740E-4527-B372-D999E2AF4E1F}" sourceName="year">
  <pivotTables>
    <pivotTable tabId="6" name="PivotTable11"/>
    <pivotTable tabId="6" name="PivotTable1"/>
    <pivotTable tabId="6" name="PivotTable10"/>
    <pivotTable tabId="6" name="PivotTable14"/>
    <pivotTable tabId="6" name="PivotTable17"/>
    <pivotTable tabId="6" name="PivotTable18"/>
    <pivotTable tabId="6" name="PivotTable2"/>
    <pivotTable tabId="6" name="PivotTable3"/>
    <pivotTable tabId="6" name="PivotTable4"/>
    <pivotTable tabId="6" name="PivotTable5"/>
    <pivotTable tabId="6" name="PivotTable6"/>
    <pivotTable tabId="6" name="PivotTable21"/>
    <pivotTable tabId="6" name="PivotTable25"/>
    <pivotTable tabId="6" name="PivotTable26"/>
    <pivotTable tabId="6" name="PivotTable30"/>
    <pivotTable tabId="6" name="PivotTable31"/>
  </pivotTables>
  <data>
    <tabular pivotCacheId="1377410836">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tform" xr10:uid="{472CE8E2-E716-4353-9797-94AB2D838A99}" sourceName="Platform">
  <pivotTables>
    <pivotTable tabId="6" name="PivotTable11"/>
    <pivotTable tabId="6" name="PivotTable1"/>
    <pivotTable tabId="6" name="PivotTable10"/>
    <pivotTable tabId="6" name="PivotTable14"/>
    <pivotTable tabId="6" name="PivotTable17"/>
    <pivotTable tabId="6" name="PivotTable18"/>
    <pivotTable tabId="6" name="PivotTable2"/>
    <pivotTable tabId="6" name="PivotTable21"/>
    <pivotTable tabId="6" name="PivotTable3"/>
    <pivotTable tabId="6" name="PivotTable4"/>
    <pivotTable tabId="6" name="PivotTable5"/>
    <pivotTable tabId="6" name="PivotTable6"/>
    <pivotTable tabId="6" name="PivotTable25"/>
    <pivotTable tabId="6" name="PivotTable26"/>
    <pivotTable tabId="6" name="PivotTable30"/>
    <pivotTable tabId="6" name="PivotTable31"/>
  </pivotTables>
  <data>
    <tabular pivotCacheId="1377410836">
      <items count="5">
        <i x="4"/>
        <i x="0"/>
        <i x="2"/>
        <i x="1"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C4D2A445-B425-4DF6-9C30-E0690E97D8E6}" cache="Slicer_year" caption="Year" style="SlicerStyleLight3" rowHeight="241300"/>
  <slicer name="Platform" xr10:uid="{E71AB0F7-A44D-4232-9393-3E2302086090}" cache="Slicer_Platform" caption="Platform" style="SlicerStyleLigh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3D2F9B-8770-4099-BAFF-7D6509D172D9}" name="Table1" displayName="Table1" ref="B2:U2002" totalsRowShown="0" headerRowDxfId="94" dataDxfId="92" headerRowBorderDxfId="93" tableBorderDxfId="91">
  <autoFilter ref="B2:U2002" xr:uid="{E53D2F9B-8770-4099-BAFF-7D6509D172D9}"/>
  <tableColumns count="20">
    <tableColumn id="1" xr3:uid="{6649BA41-42F8-43FC-8CA7-F617EA14982E}" name="Order ID" dataDxfId="90"/>
    <tableColumn id="2" xr3:uid="{10FBC8CA-C8D1-4885-B16B-F428CF9146BE}" name="Order Date" dataDxfId="89"/>
    <tableColumn id="20" xr3:uid="{6DAFB51F-9865-4BD2-8F4D-1BA06091FA43}" name="year" dataDxfId="88">
      <calculatedColumnFormula>YEAR(Table1[[#This Row],[Order Date]])</calculatedColumnFormula>
    </tableColumn>
    <tableColumn id="3" xr3:uid="{B29ED948-9AEA-4F21-85FC-D3450A0C8857}" name="Customer Name" dataDxfId="87"/>
    <tableColumn id="4" xr3:uid="{D1E8B652-FBD1-40A4-B37A-1AC503FC5AE0}" name="City" dataDxfId="86"/>
    <tableColumn id="5" xr3:uid="{6FA1E1A9-93E6-40A5-8C47-5ACBDEBCA615}" name="Product Name" dataDxfId="85"/>
    <tableColumn id="6" xr3:uid="{97AFC409-D6CB-4C21-B151-639D9619A246}" name="Unit Price" dataDxfId="84" dataCellStyle="Currency"/>
    <tableColumn id="7" xr3:uid="{A9C632E6-7A67-4EC6-BF4C-62919F902D6E}" name="Quantity" dataDxfId="83"/>
    <tableColumn id="8" xr3:uid="{79174AD5-711C-4EBE-9069-EAE15F6E406F}" name="Discount (%)" dataDxfId="82"/>
    <tableColumn id="9" xr3:uid="{5413D1F1-6245-4F0F-A8F1-37C89073EB95}" name="Subtotal" dataDxfId="81" dataCellStyle="Currency">
      <calculatedColumnFormula>H3*I3</calculatedColumnFormula>
    </tableColumn>
    <tableColumn id="10" xr3:uid="{BE54C659-BA78-4B81-BE42-2B3CCA4C1662}" name="Discount Amount" dataDxfId="80" dataCellStyle="Currency">
      <calculatedColumnFormula>K3*(J3/100)</calculatedColumnFormula>
    </tableColumn>
    <tableColumn id="11" xr3:uid="{9721EB2E-ACC9-4DD6-9B63-1F6012B0BDB5}" name="Total Sales" dataDxfId="79" dataCellStyle="Currency">
      <calculatedColumnFormula>K3-L3</calculatedColumnFormula>
    </tableColumn>
    <tableColumn id="12" xr3:uid="{7C1AEEB3-F7A7-4BE1-A8D0-85F728FE5FEF}" name="Shipping Fee" dataDxfId="78" dataCellStyle="Currency"/>
    <tableColumn id="13" xr3:uid="{5C5CE171-CA08-4DCB-9BE3-0E28B6D0C2FC}" name="Grand Total" dataDxfId="77" dataCellStyle="Currency">
      <calculatedColumnFormula>SUM(M3:N3)</calculatedColumnFormula>
    </tableColumn>
    <tableColumn id="14" xr3:uid="{062A818A-FC8B-4E95-A19F-307CFCC36F9B}" name="Payment Method" dataDxfId="76"/>
    <tableColumn id="15" xr3:uid="{0572828D-A867-48EA-8350-C7217498263B}" name="Order Status" dataDxfId="75">
      <calculatedColumnFormula>_xlfn.XLOOKUP(B3,Status!$A$2:$A$1867,Status!$B$2:$B$1867)</calculatedColumnFormula>
    </tableColumn>
    <tableColumn id="16" xr3:uid="{72B05B08-9F1C-4AF3-8235-A7B8772CF8A9}" name="Platform" dataDxfId="74"/>
    <tableColumn id="17" xr3:uid="{DB6BD730-823D-4EC7-A322-EBC07CE48D16}" name="Customer Rating" dataDxfId="73"/>
    <tableColumn id="18" xr3:uid="{737FE700-7FD9-4D24-840A-5AF3EE54B07E}" name="Jenis Kelamin" dataDxfId="72"/>
    <tableColumn id="19" xr3:uid="{DD70FD33-7950-483C-AEE9-A991426DBBBD}" name="Disc Kategori" dataDxfId="71">
      <calculatedColumnFormula array="1">_xlfn.IFS(L3&lt;=5000,$Z$3,AND(L3&gt;5000,L3&lt;=15000),$Z$4,AND(L3&gt;15000,L3&lt;=30000),$Z$5,AND(L3&gt;30000,L3&lt;=50000),$Z$6,L3&gt;50000,$Z$7)</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eme/themeOverride1.xml><?xml version="1.0" encoding="utf-8"?>
<a:themeOverride xmlns:a="http://schemas.openxmlformats.org/drawingml/2006/main">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vmlDrawing" Target="../drawings/vmlDrawing1.v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5.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ctrlProp" Target="../ctrlProps/ctrlProp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ctrlProp" Target="../ctrlProps/ctrlProp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507A4-EF96-4BC3-98AE-853456147B75}">
  <sheetPr codeName="Sheet1"/>
  <dimension ref="A1"/>
  <sheetViews>
    <sheetView showGridLines="0" tabSelected="1" zoomScale="70" zoomScaleNormal="70" workbookViewId="0">
      <selection activeCell="AA23" sqref="AA23"/>
    </sheetView>
  </sheetViews>
  <sheetFormatPr defaultRowHeight="15" x14ac:dyDescent="0.25"/>
  <cols>
    <col min="1" max="21" width="9.140625" style="26"/>
    <col min="22" max="22" width="24.140625" style="26" customWidth="1"/>
    <col min="23" max="23" width="39.140625" style="26" customWidth="1"/>
    <col min="24" max="25" width="9.140625" style="26"/>
    <col min="26" max="26" width="13.28515625" style="26" bestFit="1" customWidth="1"/>
    <col min="27" max="27" width="20.28515625" style="26" bestFit="1" customWidth="1"/>
    <col min="28" max="16384" width="9.140625" style="2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45C54-AC36-4773-BD44-28DD5F8AB598}">
  <sheetPr codeName="Sheet2"/>
  <dimension ref="D4:T35"/>
  <sheetViews>
    <sheetView showGridLines="0" zoomScale="85" zoomScaleNormal="85" workbookViewId="0">
      <selection activeCell="G10" sqref="G10"/>
    </sheetView>
  </sheetViews>
  <sheetFormatPr defaultRowHeight="15" x14ac:dyDescent="0.25"/>
  <cols>
    <col min="1" max="2" width="9.140625" style="26"/>
    <col min="3" max="3" width="8" style="26" customWidth="1"/>
    <col min="4" max="6" width="9.140625" style="26"/>
    <col min="7" max="7" width="13.140625" style="26" customWidth="1"/>
    <col min="8" max="9" width="9.140625" style="26"/>
    <col min="10" max="10" width="14.140625" style="26" customWidth="1"/>
    <col min="11" max="19" width="9.140625" style="26"/>
    <col min="20" max="20" width="27.7109375" style="26" customWidth="1"/>
    <col min="21" max="16384" width="9.140625" style="26"/>
  </cols>
  <sheetData>
    <row r="4" spans="4:20" ht="18.75" x14ac:dyDescent="0.4">
      <c r="D4" s="58" t="s">
        <v>2407</v>
      </c>
      <c r="E4" s="33"/>
      <c r="F4" s="33"/>
      <c r="G4" s="33"/>
      <c r="H4" s="33"/>
      <c r="I4" s="33"/>
      <c r="J4" s="33"/>
      <c r="K4" s="33"/>
      <c r="L4" s="33"/>
      <c r="M4" s="33"/>
      <c r="N4" s="33"/>
      <c r="O4" s="33"/>
      <c r="P4" s="33"/>
      <c r="Q4" s="33"/>
      <c r="R4" s="33"/>
      <c r="S4" s="33"/>
      <c r="T4" s="33"/>
    </row>
    <row r="5" spans="4:20" x14ac:dyDescent="0.25">
      <c r="D5" s="57" t="s">
        <v>2408</v>
      </c>
      <c r="E5" s="33"/>
      <c r="F5" s="33"/>
      <c r="G5" s="33"/>
      <c r="H5" s="33"/>
      <c r="I5" s="33"/>
      <c r="J5" s="33"/>
      <c r="K5" s="33"/>
      <c r="L5" s="33"/>
      <c r="M5" s="33"/>
      <c r="N5" s="33"/>
      <c r="O5" s="33"/>
      <c r="P5" s="33"/>
      <c r="Q5" s="33"/>
      <c r="R5" s="33"/>
      <c r="S5" s="33"/>
      <c r="T5" s="33"/>
    </row>
    <row r="6" spans="4:20" ht="18.75" x14ac:dyDescent="0.4">
      <c r="D6" s="59" t="s">
        <v>2409</v>
      </c>
      <c r="E6" s="33"/>
      <c r="F6" s="33"/>
      <c r="G6" s="33"/>
      <c r="H6" s="33"/>
      <c r="I6" s="33"/>
      <c r="J6" s="33"/>
      <c r="K6" s="33"/>
      <c r="L6" s="33"/>
      <c r="M6" s="33"/>
      <c r="N6" s="33"/>
      <c r="O6" s="33"/>
      <c r="P6" s="33"/>
      <c r="Q6" s="33"/>
      <c r="R6" s="33"/>
      <c r="S6" s="33"/>
      <c r="T6" s="33"/>
    </row>
    <row r="7" spans="4:20" x14ac:dyDescent="0.25">
      <c r="D7" s="57" t="s">
        <v>2410</v>
      </c>
      <c r="E7" s="33"/>
      <c r="F7" s="33"/>
      <c r="G7" s="33"/>
      <c r="H7" s="33"/>
      <c r="I7" s="33"/>
      <c r="J7" s="33"/>
      <c r="K7" s="33"/>
      <c r="L7" s="33"/>
      <c r="M7" s="33"/>
      <c r="N7" s="33"/>
      <c r="O7" s="33"/>
      <c r="P7" s="33"/>
      <c r="Q7" s="33"/>
      <c r="R7" s="33"/>
      <c r="S7" s="33"/>
      <c r="T7" s="33"/>
    </row>
    <row r="8" spans="4:20" ht="18.75" x14ac:dyDescent="0.4">
      <c r="D8" s="59" t="s">
        <v>2411</v>
      </c>
      <c r="E8" s="33"/>
      <c r="F8" s="33"/>
      <c r="G8" s="33"/>
      <c r="H8" s="33"/>
      <c r="I8" s="33"/>
      <c r="J8" s="33"/>
      <c r="K8" s="33"/>
      <c r="L8" s="33"/>
      <c r="M8" s="33"/>
      <c r="N8" s="33"/>
      <c r="O8" s="33"/>
      <c r="P8" s="33"/>
      <c r="Q8" s="33"/>
      <c r="R8" s="33"/>
      <c r="S8" s="33"/>
      <c r="T8" s="33"/>
    </row>
    <row r="9" spans="4:20" x14ac:dyDescent="0.25">
      <c r="D9" s="57" t="s">
        <v>2413</v>
      </c>
      <c r="E9" s="33"/>
      <c r="F9" s="33"/>
      <c r="G9" s="33"/>
      <c r="H9" s="33"/>
      <c r="I9" s="33"/>
      <c r="J9" s="33"/>
      <c r="K9" s="33"/>
      <c r="L9" s="33"/>
      <c r="M9" s="33"/>
      <c r="N9" s="33"/>
      <c r="O9" s="33"/>
      <c r="P9" s="33"/>
      <c r="Q9" s="33"/>
      <c r="R9" s="33"/>
      <c r="S9" s="33"/>
      <c r="T9" s="33"/>
    </row>
    <row r="10" spans="4:20" ht="18.75" x14ac:dyDescent="0.4">
      <c r="D10" s="59" t="s">
        <v>2412</v>
      </c>
      <c r="E10" s="33"/>
      <c r="F10" s="33"/>
      <c r="G10" s="33"/>
      <c r="H10" s="33"/>
      <c r="I10" s="33"/>
      <c r="J10" s="33"/>
      <c r="K10" s="33"/>
      <c r="L10" s="33"/>
      <c r="M10" s="33"/>
      <c r="N10" s="33"/>
      <c r="O10" s="33"/>
      <c r="P10" s="33"/>
      <c r="Q10" s="33"/>
      <c r="R10" s="33"/>
      <c r="S10" s="33"/>
      <c r="T10" s="33"/>
    </row>
    <row r="11" spans="4:20" x14ac:dyDescent="0.25">
      <c r="D11" s="57" t="s">
        <v>2414</v>
      </c>
      <c r="E11" s="33"/>
      <c r="F11" s="33"/>
      <c r="G11" s="33"/>
      <c r="H11" s="33"/>
      <c r="I11" s="33"/>
      <c r="J11" s="33"/>
      <c r="K11" s="33"/>
      <c r="L11" s="33"/>
      <c r="M11" s="33"/>
      <c r="N11" s="33"/>
      <c r="O11" s="33"/>
      <c r="P11" s="33"/>
      <c r="Q11" s="33"/>
      <c r="R11" s="33"/>
      <c r="S11" s="33"/>
      <c r="T11" s="33"/>
    </row>
    <row r="12" spans="4:20" ht="18.75" x14ac:dyDescent="0.4">
      <c r="D12" s="59" t="s">
        <v>2415</v>
      </c>
      <c r="E12" s="33"/>
      <c r="F12" s="33"/>
      <c r="G12" s="33"/>
      <c r="H12" s="33"/>
      <c r="I12" s="33"/>
      <c r="J12" s="33"/>
      <c r="K12" s="33"/>
      <c r="L12" s="33"/>
      <c r="M12" s="33"/>
      <c r="N12" s="33"/>
      <c r="O12" s="33"/>
      <c r="P12" s="33"/>
      <c r="Q12" s="33"/>
      <c r="R12" s="33"/>
      <c r="S12" s="33"/>
      <c r="T12" s="33"/>
    </row>
    <row r="13" spans="4:20" x14ac:dyDescent="0.25">
      <c r="D13" s="57" t="s">
        <v>2416</v>
      </c>
      <c r="E13" s="33"/>
      <c r="F13" s="33"/>
      <c r="G13" s="33"/>
      <c r="H13" s="33"/>
      <c r="I13" s="33"/>
      <c r="J13" s="33"/>
      <c r="K13" s="33"/>
      <c r="L13" s="33"/>
      <c r="M13" s="33"/>
      <c r="N13" s="33"/>
      <c r="O13" s="33"/>
      <c r="P13" s="33"/>
      <c r="Q13" s="33"/>
      <c r="R13" s="33"/>
      <c r="S13" s="33"/>
      <c r="T13" s="33"/>
    </row>
    <row r="14" spans="4:20" ht="18.75" x14ac:dyDescent="0.4">
      <c r="D14" s="59" t="s">
        <v>2417</v>
      </c>
      <c r="E14" s="33"/>
      <c r="F14" s="33"/>
      <c r="G14" s="33"/>
      <c r="H14" s="33"/>
      <c r="I14" s="33"/>
      <c r="J14" s="33"/>
      <c r="K14" s="33"/>
      <c r="L14" s="33"/>
      <c r="M14" s="33"/>
      <c r="N14" s="33"/>
      <c r="O14" s="33"/>
      <c r="P14" s="33"/>
      <c r="Q14" s="33"/>
      <c r="R14" s="33"/>
      <c r="S14" s="33"/>
      <c r="T14" s="33"/>
    </row>
    <row r="15" spans="4:20" x14ac:dyDescent="0.25">
      <c r="D15" s="57" t="s">
        <v>2418</v>
      </c>
      <c r="E15" s="33"/>
      <c r="F15" s="33"/>
      <c r="G15" s="33"/>
      <c r="H15" s="33"/>
      <c r="I15" s="33"/>
      <c r="J15" s="33"/>
      <c r="K15" s="33"/>
      <c r="L15" s="33"/>
      <c r="M15" s="33"/>
      <c r="N15" s="33"/>
      <c r="O15" s="33"/>
      <c r="P15" s="33"/>
      <c r="Q15" s="33"/>
      <c r="R15" s="33"/>
      <c r="S15" s="33"/>
      <c r="T15" s="33"/>
    </row>
    <row r="16" spans="4:20" ht="18.75" x14ac:dyDescent="0.4">
      <c r="D16" s="59" t="s">
        <v>2422</v>
      </c>
      <c r="E16" s="33"/>
      <c r="F16" s="33"/>
      <c r="G16" s="33"/>
      <c r="H16" s="33"/>
      <c r="I16" s="33"/>
      <c r="J16" s="33"/>
      <c r="K16" s="33"/>
      <c r="L16" s="33"/>
      <c r="M16" s="33"/>
      <c r="N16" s="33"/>
      <c r="O16" s="33"/>
      <c r="P16" s="33"/>
      <c r="Q16" s="33"/>
      <c r="R16" s="33"/>
      <c r="S16" s="33"/>
      <c r="T16" s="33"/>
    </row>
    <row r="17" spans="4:20" x14ac:dyDescent="0.25">
      <c r="D17" s="57" t="s">
        <v>2423</v>
      </c>
      <c r="E17" s="33"/>
      <c r="F17" s="33"/>
      <c r="G17" s="33"/>
      <c r="H17" s="33"/>
      <c r="I17" s="33"/>
      <c r="J17" s="33"/>
      <c r="K17" s="33"/>
      <c r="L17" s="33"/>
      <c r="M17" s="33"/>
      <c r="N17" s="33"/>
      <c r="O17" s="33"/>
      <c r="P17" s="33"/>
      <c r="Q17" s="33"/>
      <c r="R17" s="33"/>
      <c r="S17" s="33"/>
      <c r="T17" s="33"/>
    </row>
    <row r="18" spans="4:20" ht="18.75" x14ac:dyDescent="0.4">
      <c r="D18" s="59" t="s">
        <v>2419</v>
      </c>
      <c r="E18" s="33"/>
      <c r="F18" s="33"/>
      <c r="G18" s="33"/>
      <c r="H18" s="33"/>
      <c r="I18" s="33"/>
      <c r="J18" s="33"/>
      <c r="K18" s="33"/>
      <c r="L18" s="33"/>
      <c r="M18" s="33"/>
      <c r="N18" s="33"/>
      <c r="O18" s="33"/>
      <c r="P18" s="33"/>
      <c r="Q18" s="33"/>
      <c r="R18" s="33"/>
      <c r="S18" s="33"/>
      <c r="T18" s="33"/>
    </row>
    <row r="19" spans="4:20" x14ac:dyDescent="0.25">
      <c r="D19" s="57" t="s">
        <v>2420</v>
      </c>
      <c r="E19" s="33"/>
      <c r="F19" s="33"/>
      <c r="G19" s="16"/>
      <c r="H19" s="33"/>
      <c r="I19" s="33"/>
      <c r="J19" s="33"/>
      <c r="K19" s="33"/>
      <c r="L19" s="33"/>
      <c r="M19" s="33"/>
      <c r="N19" s="33"/>
      <c r="O19" s="33"/>
      <c r="P19" s="33"/>
      <c r="Q19" s="33"/>
      <c r="R19" s="33"/>
      <c r="S19" s="33"/>
      <c r="T19" s="33"/>
    </row>
    <row r="20" spans="4:20" ht="18.75" x14ac:dyDescent="0.4">
      <c r="D20" s="59" t="s">
        <v>2421</v>
      </c>
      <c r="E20" s="33"/>
      <c r="F20" s="33"/>
      <c r="G20" s="16"/>
      <c r="H20" s="33"/>
      <c r="I20" s="33"/>
      <c r="J20" s="33"/>
      <c r="K20" s="33"/>
      <c r="L20" s="33"/>
      <c r="M20" s="33"/>
      <c r="N20" s="33"/>
      <c r="O20" s="33"/>
      <c r="P20" s="33"/>
      <c r="Q20" s="33"/>
      <c r="R20" s="33"/>
      <c r="S20" s="33"/>
      <c r="T20" s="33"/>
    </row>
    <row r="21" spans="4:20" x14ac:dyDescent="0.25">
      <c r="D21" s="57" t="s">
        <v>2424</v>
      </c>
      <c r="E21" s="33"/>
      <c r="F21" s="33"/>
      <c r="G21" s="16"/>
      <c r="H21" s="33"/>
      <c r="I21" s="33"/>
      <c r="J21" s="33"/>
      <c r="K21" s="33"/>
      <c r="L21" s="33"/>
      <c r="M21" s="33"/>
      <c r="N21" s="33"/>
      <c r="O21" s="33"/>
      <c r="P21" s="33"/>
      <c r="Q21" s="33"/>
      <c r="R21" s="33"/>
      <c r="S21" s="33"/>
      <c r="T21" s="33"/>
    </row>
    <row r="22" spans="4:20" ht="18.75" x14ac:dyDescent="0.4">
      <c r="D22" s="59" t="s">
        <v>2425</v>
      </c>
      <c r="E22" s="33"/>
      <c r="F22" s="33"/>
      <c r="G22" s="16"/>
      <c r="H22" s="33"/>
      <c r="I22" s="33"/>
      <c r="J22" s="33"/>
      <c r="K22" s="33"/>
      <c r="L22" s="33"/>
      <c r="M22" s="33"/>
      <c r="N22" s="33"/>
      <c r="O22" s="33"/>
      <c r="P22" s="33"/>
      <c r="Q22" s="33"/>
      <c r="R22" s="33"/>
      <c r="S22" s="33"/>
      <c r="T22" s="33"/>
    </row>
    <row r="23" spans="4:20" x14ac:dyDescent="0.25">
      <c r="D23" s="57" t="s">
        <v>2426</v>
      </c>
      <c r="E23" s="33"/>
      <c r="F23" s="33"/>
      <c r="G23" s="16"/>
      <c r="H23" s="33"/>
      <c r="I23" s="33"/>
      <c r="J23" s="16"/>
      <c r="K23" s="33"/>
      <c r="L23" s="33"/>
      <c r="M23" s="33"/>
      <c r="N23" s="33"/>
      <c r="O23" s="33"/>
      <c r="P23" s="33"/>
      <c r="Q23" s="33"/>
      <c r="R23" s="33"/>
      <c r="S23" s="33"/>
      <c r="T23" s="33"/>
    </row>
    <row r="24" spans="4:20" ht="18.75" x14ac:dyDescent="0.4">
      <c r="D24" s="59" t="s">
        <v>2427</v>
      </c>
      <c r="E24" s="33"/>
      <c r="F24" s="33"/>
      <c r="G24" s="33"/>
      <c r="H24" s="33"/>
      <c r="I24" s="33"/>
      <c r="J24" s="16"/>
      <c r="K24" s="33"/>
      <c r="L24" s="33"/>
      <c r="M24" s="33"/>
      <c r="N24" s="33"/>
      <c r="O24" s="33"/>
      <c r="P24" s="33"/>
      <c r="Q24" s="33"/>
      <c r="R24" s="33"/>
      <c r="S24" s="33"/>
      <c r="T24" s="33"/>
    </row>
    <row r="25" spans="4:20" x14ac:dyDescent="0.25">
      <c r="D25" s="57" t="s">
        <v>2428</v>
      </c>
      <c r="E25" s="33"/>
      <c r="F25" s="33"/>
      <c r="G25" s="33"/>
      <c r="H25" s="33"/>
      <c r="I25" s="33"/>
      <c r="J25" s="16"/>
      <c r="K25" s="33"/>
      <c r="L25" s="33"/>
      <c r="M25" s="33"/>
      <c r="N25" s="33"/>
      <c r="O25" s="33"/>
      <c r="P25" s="33"/>
      <c r="Q25" s="33"/>
      <c r="R25" s="33"/>
      <c r="S25" s="33"/>
      <c r="T25" s="33"/>
    </row>
    <row r="26" spans="4:20" x14ac:dyDescent="0.25">
      <c r="D26" s="33"/>
      <c r="E26" s="33"/>
      <c r="F26" s="33"/>
      <c r="G26" s="33"/>
      <c r="H26" s="33"/>
      <c r="I26" s="33"/>
      <c r="J26" s="16"/>
      <c r="K26" s="33"/>
      <c r="L26" s="33"/>
      <c r="M26" s="33"/>
      <c r="N26" s="33"/>
      <c r="O26" s="33"/>
      <c r="P26" s="33"/>
      <c r="Q26" s="33"/>
      <c r="R26" s="33"/>
      <c r="S26" s="33"/>
      <c r="T26" s="33"/>
    </row>
    <row r="27" spans="4:20" x14ac:dyDescent="0.25">
      <c r="J27" s="62"/>
    </row>
    <row r="31" spans="4:20" x14ac:dyDescent="0.25">
      <c r="E31" s="62"/>
    </row>
    <row r="32" spans="4:20" x14ac:dyDescent="0.25">
      <c r="E32" s="62"/>
    </row>
    <row r="33" spans="5:5" x14ac:dyDescent="0.25">
      <c r="E33" s="62"/>
    </row>
    <row r="34" spans="5:5" x14ac:dyDescent="0.25">
      <c r="E34" s="62"/>
    </row>
    <row r="35" spans="5:5" x14ac:dyDescent="0.25">
      <c r="E35" s="62"/>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L2004"/>
  <sheetViews>
    <sheetView showGridLines="0" topLeftCell="A85" zoomScale="85" zoomScaleNormal="85" workbookViewId="0">
      <selection activeCell="C132" sqref="C132"/>
    </sheetView>
  </sheetViews>
  <sheetFormatPr defaultColWidth="14.42578125" defaultRowHeight="15" customHeight="1" x14ac:dyDescent="0.25"/>
  <cols>
    <col min="1" max="1" width="26.28515625" customWidth="1"/>
    <col min="2" max="2" width="14.140625" customWidth="1"/>
    <col min="3" max="4" width="27.140625" customWidth="1"/>
    <col min="5" max="5" width="23.42578125" customWidth="1"/>
    <col min="6" max="6" width="13.85546875" customWidth="1"/>
    <col min="7" max="7" width="29.7109375" customWidth="1"/>
    <col min="8" max="8" width="18.140625" style="3" customWidth="1"/>
    <col min="9" max="9" width="11.28515625" customWidth="1"/>
    <col min="10" max="10" width="15.140625" customWidth="1"/>
    <col min="11" max="15" width="23.85546875" style="3" customWidth="1"/>
    <col min="16" max="16" width="17.85546875" customWidth="1"/>
    <col min="17" max="17" width="15" customWidth="1"/>
    <col min="18" max="18" width="14.85546875" customWidth="1"/>
    <col min="19" max="19" width="19.140625" style="9" customWidth="1"/>
    <col min="20" max="22" width="16" customWidth="1"/>
    <col min="23" max="23" width="24.7109375" customWidth="1"/>
    <col min="24" max="24" width="27.85546875" customWidth="1"/>
    <col min="25" max="25" width="32.140625" customWidth="1"/>
    <col min="26" max="26" width="25.7109375" customWidth="1"/>
    <col min="27" max="27" width="18.85546875" bestFit="1" customWidth="1"/>
    <col min="28" max="28" width="28.85546875" customWidth="1"/>
    <col min="29" max="29" width="87" customWidth="1"/>
  </cols>
  <sheetData>
    <row r="1" spans="1:30" ht="47.25" customHeight="1" x14ac:dyDescent="0.25">
      <c r="A1" s="44"/>
      <c r="B1" s="45" t="s">
        <v>2376</v>
      </c>
      <c r="C1" s="45"/>
      <c r="D1" s="45"/>
      <c r="E1" s="45"/>
      <c r="F1" s="45"/>
      <c r="G1" s="45"/>
      <c r="H1" s="45"/>
      <c r="I1" s="45"/>
      <c r="J1" s="45"/>
      <c r="K1" s="45"/>
      <c r="L1" s="45"/>
      <c r="M1" s="45"/>
      <c r="N1" s="45"/>
      <c r="O1" s="45"/>
      <c r="P1" s="45"/>
      <c r="Q1" s="45"/>
      <c r="R1" s="45"/>
      <c r="S1" s="45"/>
      <c r="T1" s="45"/>
      <c r="U1" s="45"/>
      <c r="V1" s="33"/>
      <c r="W1" s="33"/>
      <c r="X1" s="33"/>
      <c r="Y1" s="33"/>
      <c r="Z1" s="33"/>
      <c r="AA1" s="33"/>
      <c r="AB1" s="33"/>
      <c r="AC1" s="33"/>
      <c r="AD1" s="33"/>
    </row>
    <row r="2" spans="1:30" x14ac:dyDescent="0.25">
      <c r="A2" s="26"/>
      <c r="B2" s="27" t="s">
        <v>0</v>
      </c>
      <c r="C2" s="27" t="s">
        <v>1</v>
      </c>
      <c r="D2" s="27" t="s">
        <v>2385</v>
      </c>
      <c r="E2" s="27" t="s">
        <v>2</v>
      </c>
      <c r="F2" s="27" t="s">
        <v>3</v>
      </c>
      <c r="G2" s="27" t="s">
        <v>4</v>
      </c>
      <c r="H2" s="28" t="s">
        <v>5</v>
      </c>
      <c r="I2" s="27" t="s">
        <v>6</v>
      </c>
      <c r="J2" s="27" t="s">
        <v>7</v>
      </c>
      <c r="K2" s="28" t="s">
        <v>8</v>
      </c>
      <c r="L2" s="28" t="s">
        <v>9</v>
      </c>
      <c r="M2" s="28" t="s">
        <v>10</v>
      </c>
      <c r="N2" s="28" t="s">
        <v>11</v>
      </c>
      <c r="O2" s="28" t="s">
        <v>12</v>
      </c>
      <c r="P2" s="27" t="s">
        <v>13</v>
      </c>
      <c r="Q2" s="27" t="s">
        <v>14</v>
      </c>
      <c r="R2" s="27" t="s">
        <v>15</v>
      </c>
      <c r="S2" s="29" t="s">
        <v>16</v>
      </c>
      <c r="T2" s="27" t="s">
        <v>17</v>
      </c>
      <c r="U2" s="30" t="s">
        <v>2369</v>
      </c>
      <c r="V2" s="34"/>
      <c r="W2" s="65" t="s">
        <v>2363</v>
      </c>
      <c r="X2" s="65"/>
      <c r="Y2" s="35" t="s">
        <v>2361</v>
      </c>
      <c r="Z2" s="35" t="s">
        <v>2362</v>
      </c>
      <c r="AA2" s="36" t="s">
        <v>2371</v>
      </c>
      <c r="AB2" s="36" t="s">
        <v>2372</v>
      </c>
      <c r="AC2" s="35" t="s">
        <v>2373</v>
      </c>
      <c r="AD2" s="33"/>
    </row>
    <row r="3" spans="1:30" x14ac:dyDescent="0.25">
      <c r="A3" s="26"/>
      <c r="B3" s="2" t="s">
        <v>18</v>
      </c>
      <c r="C3" s="32">
        <v>45551.015844907408</v>
      </c>
      <c r="D3" s="53">
        <f>YEAR(Table1[[#This Row],[Order Date]])</f>
        <v>2024</v>
      </c>
      <c r="E3" s="2" t="s">
        <v>19</v>
      </c>
      <c r="F3" s="2" t="s">
        <v>20</v>
      </c>
      <c r="G3" s="2" t="s">
        <v>21</v>
      </c>
      <c r="H3" s="23">
        <v>45000</v>
      </c>
      <c r="I3" s="2">
        <v>4</v>
      </c>
      <c r="J3" s="31">
        <v>0</v>
      </c>
      <c r="K3" s="7">
        <f>H3*I3</f>
        <v>180000</v>
      </c>
      <c r="L3" s="7">
        <f>K3*(J3/100)</f>
        <v>0</v>
      </c>
      <c r="M3" s="7">
        <f>K3-L3</f>
        <v>180000</v>
      </c>
      <c r="N3" s="23">
        <v>15000</v>
      </c>
      <c r="O3" s="7">
        <f>SUM(M3:N3)</f>
        <v>195000</v>
      </c>
      <c r="P3" s="2" t="s">
        <v>22</v>
      </c>
      <c r="Q3" t="str">
        <f>_xlfn.XLOOKUP(B3,Status!$A$2:$A$1867,Status!$B$2:$B$1867)</f>
        <v>Completed</v>
      </c>
      <c r="R3" s="2" t="s">
        <v>23</v>
      </c>
      <c r="S3" s="8">
        <v>3</v>
      </c>
      <c r="T3" s="2" t="s">
        <v>24</v>
      </c>
      <c r="U3" s="31" t="str" cm="1">
        <f t="array" ref="U3">_xlfn.IFS(L3&lt;=5000,$Z$3,AND(L3&gt;5000,L3&lt;=15000),$Z$4,AND(L3&gt;15000,L3&lt;=30000),$Z$5,AND(L3&gt;30000,L3&lt;=50000),$Z$6,L3&gt;50000,$Z$7)</f>
        <v>Sangat Rendah</v>
      </c>
      <c r="V3" s="37"/>
      <c r="W3" s="38">
        <v>0</v>
      </c>
      <c r="X3" s="38">
        <v>5000</v>
      </c>
      <c r="Y3" s="39" t="str">
        <f>W3&amp;" - "&amp;X3</f>
        <v>0 - 5000</v>
      </c>
      <c r="Z3" s="40" t="s">
        <v>2365</v>
      </c>
      <c r="AA3" s="33">
        <f>COUNTIF($U$3:$U$2002,Z3)</f>
        <v>1139</v>
      </c>
      <c r="AB3" s="41">
        <f>SUMIF($U$3:$U$2002,Z3,$O$3:$O$2002)</f>
        <v>108161000</v>
      </c>
      <c r="AC3" s="33" t="str" cm="1">
        <f t="array" ref="AC3">[1]!TERBILANG(AB3)</f>
        <v>Seratus Delapan Juta Seratus Enam Puluh Satu Ribu Rupiah</v>
      </c>
      <c r="AD3" s="33"/>
    </row>
    <row r="4" spans="1:30" x14ac:dyDescent="0.25">
      <c r="A4" s="26"/>
      <c r="B4" s="2" t="s">
        <v>25</v>
      </c>
      <c r="C4" s="32">
        <v>45551.028368055559</v>
      </c>
      <c r="D4" s="53">
        <f>YEAR(Table1[[#This Row],[Order Date]])</f>
        <v>2024</v>
      </c>
      <c r="E4" s="2" t="s">
        <v>26</v>
      </c>
      <c r="F4" s="2" t="s">
        <v>27</v>
      </c>
      <c r="G4" s="2" t="s">
        <v>28</v>
      </c>
      <c r="H4" s="23">
        <v>5000</v>
      </c>
      <c r="I4" s="2">
        <v>4</v>
      </c>
      <c r="J4" s="31">
        <v>20</v>
      </c>
      <c r="K4" s="7">
        <f>H4*I4</f>
        <v>20000</v>
      </c>
      <c r="L4" s="7">
        <f t="shared" ref="L4:L67" si="0">K4*(J4/100)</f>
        <v>4000</v>
      </c>
      <c r="M4" s="7">
        <f t="shared" ref="M4:M67" si="1">K4-L4</f>
        <v>16000</v>
      </c>
      <c r="N4" s="23">
        <v>17000</v>
      </c>
      <c r="O4" s="7">
        <f t="shared" ref="O4:O67" si="2">SUM(M4:N4)</f>
        <v>33000</v>
      </c>
      <c r="P4" s="2" t="s">
        <v>29</v>
      </c>
      <c r="Q4" t="str">
        <f>_xlfn.XLOOKUP(B4,Status!$A$2:$A$1867,Status!$B$2:$B$1867)</f>
        <v>Completed</v>
      </c>
      <c r="R4" s="2" t="s">
        <v>30</v>
      </c>
      <c r="S4" s="8">
        <v>5</v>
      </c>
      <c r="T4" s="2" t="s">
        <v>24</v>
      </c>
      <c r="U4" s="31" t="str" cm="1">
        <f t="array" ref="U4">_xlfn.IFS(L4&lt;=5000,$Z$3,AND(L4&gt;5000,L4&lt;=15000),$Z$4,AND(L4&gt;15000,L4&lt;=30000),$Z$5,AND(L4&gt;30000,L4&lt;=50000),$Z$6,L4&gt;50000,$Z$7)</f>
        <v>Sangat Rendah</v>
      </c>
      <c r="V4" s="37"/>
      <c r="W4" s="38">
        <v>5001</v>
      </c>
      <c r="X4" s="38">
        <v>15000</v>
      </c>
      <c r="Y4" s="39" t="str">
        <f>W4&amp;" - "&amp;X4</f>
        <v>5001 - 15000</v>
      </c>
      <c r="Z4" s="40" t="s">
        <v>2366</v>
      </c>
      <c r="AA4" s="33">
        <f>COUNTIF($U$3:$U$2002,Z4)</f>
        <v>593</v>
      </c>
      <c r="AB4" s="41">
        <f>SUMIF($U$3:$U$2002,Z4,$O$3:$O$2002)</f>
        <v>73665150</v>
      </c>
      <c r="AC4" s="33" t="str" cm="1">
        <f t="array" ref="AC4">[1]!TERBILANG(AB4)</f>
        <v>Tujuh Puluh Tiga Juta Enam Ratus Enam Puluh Lima Ribu Seratus Lima Puluh Rupiah</v>
      </c>
      <c r="AD4" s="33"/>
    </row>
    <row r="5" spans="1:30" x14ac:dyDescent="0.25">
      <c r="A5" s="26"/>
      <c r="B5" s="2" t="s">
        <v>31</v>
      </c>
      <c r="C5" s="32">
        <v>45551.531631944446</v>
      </c>
      <c r="D5" s="53">
        <f>YEAR(Table1[[#This Row],[Order Date]])</f>
        <v>2024</v>
      </c>
      <c r="E5" s="2" t="s">
        <v>32</v>
      </c>
      <c r="F5" s="2" t="s">
        <v>33</v>
      </c>
      <c r="G5" s="2" t="s">
        <v>34</v>
      </c>
      <c r="H5" s="23">
        <v>16000</v>
      </c>
      <c r="I5" s="2">
        <v>5</v>
      </c>
      <c r="J5" s="31">
        <v>5</v>
      </c>
      <c r="K5" s="7">
        <f t="shared" ref="K5:K67" si="3">H5*I5</f>
        <v>80000</v>
      </c>
      <c r="L5" s="7">
        <f t="shared" si="0"/>
        <v>4000</v>
      </c>
      <c r="M5" s="7">
        <f t="shared" si="1"/>
        <v>76000</v>
      </c>
      <c r="N5" s="23">
        <v>76000</v>
      </c>
      <c r="O5" s="7">
        <f t="shared" si="2"/>
        <v>152000</v>
      </c>
      <c r="P5" s="2" t="s">
        <v>35</v>
      </c>
      <c r="Q5" t="str">
        <f>_xlfn.XLOOKUP(B5,Status!$A$2:$A$1867,Status!$B$2:$B$1867)</f>
        <v>Completed</v>
      </c>
      <c r="R5" s="2" t="s">
        <v>36</v>
      </c>
      <c r="S5" s="8">
        <v>1</v>
      </c>
      <c r="T5" s="2" t="s">
        <v>37</v>
      </c>
      <c r="U5" s="31" t="str" cm="1">
        <f t="array" ref="U5">_xlfn.IFS(L5&lt;=5000,$Z$3,AND(L5&gt;5000,L5&lt;=15000),$Z$4,AND(L5&gt;15000,L5&lt;=30000),$Z$5,AND(L5&gt;30000,L5&lt;=50000),$Z$6,L5&gt;50000,$Z$7)</f>
        <v>Sangat Rendah</v>
      </c>
      <c r="V5" s="37"/>
      <c r="W5" s="38">
        <v>15001</v>
      </c>
      <c r="X5" s="38">
        <v>30000</v>
      </c>
      <c r="Y5" s="39" t="str">
        <f>W5&amp;" - "&amp;X5</f>
        <v>15001 - 30000</v>
      </c>
      <c r="Z5" s="40" t="s">
        <v>2370</v>
      </c>
      <c r="AA5" s="33">
        <f>COUNTIF($U$3:$U$2002,Z5)</f>
        <v>220</v>
      </c>
      <c r="AB5" s="41">
        <f>SUMIF($U$3:$U$2002,Z5,$O$3:$O$2002)</f>
        <v>38416650</v>
      </c>
      <c r="AC5" s="33" t="str" cm="1">
        <f t="array" ref="AC5">[1]!TERBILANG(AB5)</f>
        <v>Tiga Puluh Delapan Juta Empat Ratus Enam Belas Ribu Enam Ratus Lima Puluh Rupiah</v>
      </c>
      <c r="AD5" s="33"/>
    </row>
    <row r="6" spans="1:30" x14ac:dyDescent="0.25">
      <c r="A6" s="26"/>
      <c r="B6" s="2" t="s">
        <v>31</v>
      </c>
      <c r="C6" s="32">
        <v>45551.531631944446</v>
      </c>
      <c r="D6" s="53">
        <f>YEAR(Table1[[#This Row],[Order Date]])</f>
        <v>2024</v>
      </c>
      <c r="E6" s="2" t="s">
        <v>32</v>
      </c>
      <c r="F6" s="2" t="s">
        <v>33</v>
      </c>
      <c r="G6" s="2" t="s">
        <v>38</v>
      </c>
      <c r="H6" s="23">
        <v>28000</v>
      </c>
      <c r="I6" s="2">
        <v>1</v>
      </c>
      <c r="J6" s="31">
        <v>10</v>
      </c>
      <c r="K6" s="7">
        <f t="shared" si="3"/>
        <v>28000</v>
      </c>
      <c r="L6" s="7">
        <f t="shared" si="0"/>
        <v>2800</v>
      </c>
      <c r="M6" s="7">
        <f t="shared" si="1"/>
        <v>25200</v>
      </c>
      <c r="N6" s="23">
        <v>0</v>
      </c>
      <c r="O6" s="7">
        <f t="shared" si="2"/>
        <v>25200</v>
      </c>
      <c r="P6" s="2" t="s">
        <v>35</v>
      </c>
      <c r="Q6" t="str">
        <f>_xlfn.XLOOKUP(B6,Status!$A$2:$A$1867,Status!$B$2:$B$1867)</f>
        <v>Completed</v>
      </c>
      <c r="R6" s="2" t="s">
        <v>36</v>
      </c>
      <c r="S6" s="8">
        <v>1</v>
      </c>
      <c r="T6" s="2" t="s">
        <v>37</v>
      </c>
      <c r="U6" s="31" t="str" cm="1">
        <f t="array" ref="U6">_xlfn.IFS(L6&lt;=5000,$Z$3,AND(L6&gt;5000,L6&lt;=15000),$Z$4,AND(L6&gt;15000,L6&lt;=30000),$Z$5,AND(L6&gt;30000,L6&lt;=50000),$Z$6,L6&gt;50000,$Z$7)</f>
        <v>Sangat Rendah</v>
      </c>
      <c r="V6" s="37"/>
      <c r="W6" s="42">
        <v>30001</v>
      </c>
      <c r="X6" s="42">
        <v>50000</v>
      </c>
      <c r="Y6" s="39" t="str">
        <f>W6&amp;" - "&amp;X6</f>
        <v>30001 - 50000</v>
      </c>
      <c r="Z6" s="40" t="s">
        <v>2367</v>
      </c>
      <c r="AA6" s="33">
        <f>COUNTIF($U$3:$U$2002,Z6)</f>
        <v>46</v>
      </c>
      <c r="AB6" s="41">
        <f>SUMIF($U$3:$U$2002,Z6,$O$3:$O$2002)</f>
        <v>10703250</v>
      </c>
      <c r="AC6" s="33" t="str" cm="1">
        <f t="array" ref="AC6">[1]!TERBILANG(AB6)</f>
        <v>Sepuluh Juta Tujuh Ratus Tiga Ribu Dua Ratus Lima Puluh Rupiah</v>
      </c>
      <c r="AD6" s="33"/>
    </row>
    <row r="7" spans="1:30" x14ac:dyDescent="0.25">
      <c r="A7" s="26"/>
      <c r="B7" s="2" t="s">
        <v>39</v>
      </c>
      <c r="C7" s="32">
        <v>45551.573483796303</v>
      </c>
      <c r="D7" s="53">
        <f>YEAR(Table1[[#This Row],[Order Date]])</f>
        <v>2024</v>
      </c>
      <c r="E7" s="2" t="s">
        <v>40</v>
      </c>
      <c r="F7" s="2" t="s">
        <v>27</v>
      </c>
      <c r="G7" s="2" t="s">
        <v>41</v>
      </c>
      <c r="H7" s="23">
        <v>4000</v>
      </c>
      <c r="I7" s="2">
        <v>3</v>
      </c>
      <c r="J7" s="31">
        <v>0</v>
      </c>
      <c r="K7" s="7">
        <f t="shared" si="3"/>
        <v>12000</v>
      </c>
      <c r="L7" s="7">
        <f t="shared" si="0"/>
        <v>0</v>
      </c>
      <c r="M7" s="7">
        <f t="shared" si="1"/>
        <v>12000</v>
      </c>
      <c r="N7" s="23">
        <v>17000</v>
      </c>
      <c r="O7" s="7">
        <f t="shared" si="2"/>
        <v>29000</v>
      </c>
      <c r="P7" s="2" t="s">
        <v>29</v>
      </c>
      <c r="Q7" t="str">
        <f>_xlfn.XLOOKUP(B7,Status!$A$2:$A$1867,Status!$B$2:$B$1867)</f>
        <v>Completed</v>
      </c>
      <c r="R7" s="2" t="s">
        <v>30</v>
      </c>
      <c r="S7" s="8">
        <v>2</v>
      </c>
      <c r="T7" s="2" t="s">
        <v>24</v>
      </c>
      <c r="U7" s="31" t="str" cm="1">
        <f t="array" ref="U7">_xlfn.IFS(L7&lt;=5000,$Z$3,AND(L7&gt;5000,L7&lt;=15000),$Z$4,AND(L7&gt;15000,L7&lt;=30000),$Z$5,AND(L7&gt;30000,L7&lt;=50000),$Z$6,L7&gt;50000,$Z$7)</f>
        <v>Sangat Rendah</v>
      </c>
      <c r="V7" s="37"/>
      <c r="W7" s="42">
        <v>5001</v>
      </c>
      <c r="X7" s="42" t="s">
        <v>2364</v>
      </c>
      <c r="Y7" s="39" t="str">
        <f>"&gt;"&amp;W7</f>
        <v>&gt;5001</v>
      </c>
      <c r="Z7" s="40" t="s">
        <v>2368</v>
      </c>
      <c r="AA7" s="33">
        <f>COUNTIF($U$3:$U$2002,Z7)</f>
        <v>2</v>
      </c>
      <c r="AB7" s="41">
        <f>SUMIF($U$3:$U$2002,Z7,$O$3:$O$2002)</f>
        <v>592000</v>
      </c>
      <c r="AC7" s="33" t="str" cm="1">
        <f t="array" ref="AC7">[1]!TERBILANG(AB7)</f>
        <v>Lima Ratus Sembilan Puluh Dua Ribu Rupiah</v>
      </c>
      <c r="AD7" s="33"/>
    </row>
    <row r="8" spans="1:30" x14ac:dyDescent="0.25">
      <c r="A8" s="26"/>
      <c r="B8" s="2" t="s">
        <v>42</v>
      </c>
      <c r="C8" s="32">
        <v>45551.633425925917</v>
      </c>
      <c r="D8" s="53">
        <f>YEAR(Table1[[#This Row],[Order Date]])</f>
        <v>2024</v>
      </c>
      <c r="E8" s="2" t="s">
        <v>43</v>
      </c>
      <c r="F8" s="2" t="s">
        <v>44</v>
      </c>
      <c r="G8" s="2" t="s">
        <v>45</v>
      </c>
      <c r="H8" s="23">
        <v>40000</v>
      </c>
      <c r="I8" s="2">
        <v>1</v>
      </c>
      <c r="J8" s="31">
        <v>0</v>
      </c>
      <c r="K8" s="7">
        <f t="shared" si="3"/>
        <v>40000</v>
      </c>
      <c r="L8" s="7">
        <f t="shared" si="0"/>
        <v>0</v>
      </c>
      <c r="M8" s="7">
        <f t="shared" si="1"/>
        <v>40000</v>
      </c>
      <c r="N8" s="23">
        <v>93000</v>
      </c>
      <c r="O8" s="7">
        <f t="shared" si="2"/>
        <v>133000</v>
      </c>
      <c r="P8" s="2" t="s">
        <v>35</v>
      </c>
      <c r="Q8" t="str">
        <f>_xlfn.XLOOKUP(B8,Status!$A$2:$A$1867,Status!$B$2:$B$1867)</f>
        <v>Completed</v>
      </c>
      <c r="R8" s="2" t="s">
        <v>46</v>
      </c>
      <c r="S8" s="8">
        <v>2</v>
      </c>
      <c r="T8" s="2" t="s">
        <v>24</v>
      </c>
      <c r="U8" s="31" t="str" cm="1">
        <f t="array" ref="U8">_xlfn.IFS(L8&lt;=5000,$Z$3,AND(L8&gt;5000,L8&lt;=15000),$Z$4,AND(L8&gt;15000,L8&lt;=30000),$Z$5,AND(L8&gt;30000,L8&lt;=50000),$Z$6,L8&gt;50000,$Z$7)</f>
        <v>Sangat Rendah</v>
      </c>
      <c r="V8" s="37"/>
      <c r="W8" s="33"/>
      <c r="X8" s="33"/>
      <c r="Y8" s="33"/>
      <c r="Z8" s="33"/>
      <c r="AA8" s="33"/>
      <c r="AB8" s="33"/>
      <c r="AC8" s="33"/>
      <c r="AD8" s="33"/>
    </row>
    <row r="9" spans="1:30" x14ac:dyDescent="0.25">
      <c r="A9" s="26"/>
      <c r="B9" s="2" t="s">
        <v>47</v>
      </c>
      <c r="C9" s="32">
        <v>45552.008842592593</v>
      </c>
      <c r="D9" s="53">
        <f>YEAR(Table1[[#This Row],[Order Date]])</f>
        <v>2024</v>
      </c>
      <c r="E9" s="2" t="s">
        <v>48</v>
      </c>
      <c r="F9" s="2" t="s">
        <v>49</v>
      </c>
      <c r="G9" s="2" t="s">
        <v>50</v>
      </c>
      <c r="H9" s="23">
        <v>14000</v>
      </c>
      <c r="I9" s="2">
        <v>4</v>
      </c>
      <c r="J9" s="31">
        <v>0</v>
      </c>
      <c r="K9" s="7">
        <f t="shared" si="3"/>
        <v>56000</v>
      </c>
      <c r="L9" s="7">
        <f t="shared" si="0"/>
        <v>0</v>
      </c>
      <c r="M9" s="7">
        <f t="shared" si="1"/>
        <v>56000</v>
      </c>
      <c r="N9" s="23">
        <v>43000</v>
      </c>
      <c r="O9" s="7">
        <f t="shared" si="2"/>
        <v>99000</v>
      </c>
      <c r="P9" s="2" t="s">
        <v>22</v>
      </c>
      <c r="Q9" t="str">
        <f>_xlfn.XLOOKUP(B9,Status!$A$2:$A$1867,Status!$B$2:$B$1867)</f>
        <v>Completed</v>
      </c>
      <c r="R9" s="2" t="s">
        <v>30</v>
      </c>
      <c r="S9" s="8">
        <v>4</v>
      </c>
      <c r="T9" s="2" t="s">
        <v>24</v>
      </c>
      <c r="U9" s="31" t="str" cm="1">
        <f t="array" ref="U9">_xlfn.IFS(L9&lt;=5000,$Z$3,AND(L9&gt;5000,L9&lt;=15000),$Z$4,AND(L9&gt;15000,L9&lt;=30000),$Z$5,AND(L9&gt;30000,L9&lt;=50000),$Z$6,L9&gt;50000,$Z$7)</f>
        <v>Sangat Rendah</v>
      </c>
      <c r="V9" s="33"/>
      <c r="W9" s="43"/>
      <c r="X9" s="33"/>
      <c r="Y9" s="33"/>
      <c r="Z9" s="33"/>
      <c r="AA9" s="33"/>
      <c r="AB9" s="33"/>
      <c r="AC9" s="33"/>
      <c r="AD9" s="33"/>
    </row>
    <row r="10" spans="1:30" x14ac:dyDescent="0.25">
      <c r="A10" s="26"/>
      <c r="B10" s="2" t="s">
        <v>51</v>
      </c>
      <c r="C10" s="32">
        <v>45552.077418981477</v>
      </c>
      <c r="D10" s="53">
        <f>YEAR(Table1[[#This Row],[Order Date]])</f>
        <v>2024</v>
      </c>
      <c r="E10" s="2" t="s">
        <v>52</v>
      </c>
      <c r="F10" s="2" t="s">
        <v>53</v>
      </c>
      <c r="G10" s="2" t="s">
        <v>54</v>
      </c>
      <c r="H10" s="23">
        <v>16000</v>
      </c>
      <c r="I10" s="2">
        <v>2</v>
      </c>
      <c r="J10" s="31">
        <v>0</v>
      </c>
      <c r="K10" s="7">
        <f t="shared" si="3"/>
        <v>32000</v>
      </c>
      <c r="L10" s="7">
        <f t="shared" si="0"/>
        <v>0</v>
      </c>
      <c r="M10" s="7">
        <f t="shared" si="1"/>
        <v>32000</v>
      </c>
      <c r="N10" s="23">
        <v>18000</v>
      </c>
      <c r="O10" s="7">
        <f t="shared" si="2"/>
        <v>50000</v>
      </c>
      <c r="P10" s="2" t="s">
        <v>29</v>
      </c>
      <c r="Q10" t="str">
        <f>_xlfn.XLOOKUP(B10,Status!$A$2:$A$1867,Status!$B$2:$B$1867)</f>
        <v>Completed</v>
      </c>
      <c r="R10" s="2" t="s">
        <v>30</v>
      </c>
      <c r="S10" s="8">
        <v>5</v>
      </c>
      <c r="T10" s="2" t="s">
        <v>24</v>
      </c>
      <c r="U10" s="31" t="str" cm="1">
        <f t="array" ref="U10">_xlfn.IFS(L10&lt;=5000,$Z$3,AND(L10&gt;5000,L10&lt;=15000),$Z$4,AND(L10&gt;15000,L10&lt;=30000),$Z$5,AND(L10&gt;30000,L10&lt;=50000),$Z$6,L10&gt;50000,$Z$7)</f>
        <v>Sangat Rendah</v>
      </c>
      <c r="V10" s="33"/>
      <c r="W10" s="33"/>
      <c r="X10" s="33"/>
      <c r="Y10" s="33"/>
      <c r="Z10" s="33"/>
      <c r="AA10" s="33"/>
      <c r="AB10" s="33"/>
      <c r="AC10" s="33"/>
      <c r="AD10" s="33"/>
    </row>
    <row r="11" spans="1:30" x14ac:dyDescent="0.25">
      <c r="A11" s="26"/>
      <c r="B11" s="2" t="s">
        <v>55</v>
      </c>
      <c r="C11" s="32">
        <v>45552.108449074083</v>
      </c>
      <c r="D11" s="53">
        <f>YEAR(Table1[[#This Row],[Order Date]])</f>
        <v>2024</v>
      </c>
      <c r="E11" s="2" t="s">
        <v>56</v>
      </c>
      <c r="F11" s="2" t="s">
        <v>57</v>
      </c>
      <c r="G11" s="2" t="s">
        <v>58</v>
      </c>
      <c r="H11" s="23">
        <v>16000</v>
      </c>
      <c r="I11" s="2">
        <v>1</v>
      </c>
      <c r="J11" s="31">
        <v>0</v>
      </c>
      <c r="K11" s="7">
        <f t="shared" si="3"/>
        <v>16000</v>
      </c>
      <c r="L11" s="7">
        <f t="shared" si="0"/>
        <v>0</v>
      </c>
      <c r="M11" s="7">
        <f t="shared" si="1"/>
        <v>16000</v>
      </c>
      <c r="N11" s="23">
        <v>80000</v>
      </c>
      <c r="O11" s="7">
        <f t="shared" si="2"/>
        <v>96000</v>
      </c>
      <c r="P11" s="2" t="s">
        <v>35</v>
      </c>
      <c r="Q11" t="str">
        <f>_xlfn.XLOOKUP(B11,Status!$A$2:$A$1867,Status!$B$2:$B$1867)</f>
        <v>Completed</v>
      </c>
      <c r="R11" s="2" t="s">
        <v>36</v>
      </c>
      <c r="S11" s="8">
        <v>5</v>
      </c>
      <c r="T11" s="2" t="s">
        <v>24</v>
      </c>
      <c r="U11" s="31" t="str" cm="1">
        <f t="array" ref="U11">_xlfn.IFS(L11&lt;=5000,$Z$3,AND(L11&gt;5000,L11&lt;=15000),$Z$4,AND(L11&gt;15000,L11&lt;=30000),$Z$5,AND(L11&gt;30000,L11&lt;=50000),$Z$6,L11&gt;50000,$Z$7)</f>
        <v>Sangat Rendah</v>
      </c>
      <c r="V11" s="33"/>
      <c r="W11" s="33"/>
      <c r="X11" s="33"/>
      <c r="Y11" s="33"/>
      <c r="Z11" s="33"/>
      <c r="AA11" s="33"/>
      <c r="AB11" s="33"/>
      <c r="AC11" s="33"/>
      <c r="AD11" s="33"/>
    </row>
    <row r="12" spans="1:30" x14ac:dyDescent="0.25">
      <c r="A12" s="26"/>
      <c r="B12" s="2" t="s">
        <v>59</v>
      </c>
      <c r="C12" s="32">
        <v>45552.464247685188</v>
      </c>
      <c r="D12" s="53">
        <f>YEAR(Table1[[#This Row],[Order Date]])</f>
        <v>2024</v>
      </c>
      <c r="E12" s="2" t="s">
        <v>60</v>
      </c>
      <c r="F12" s="2" t="s">
        <v>61</v>
      </c>
      <c r="G12" s="2" t="s">
        <v>62</v>
      </c>
      <c r="H12" s="23">
        <v>50000</v>
      </c>
      <c r="I12" s="2">
        <v>2</v>
      </c>
      <c r="J12" s="31">
        <v>10</v>
      </c>
      <c r="K12" s="7">
        <f t="shared" si="3"/>
        <v>100000</v>
      </c>
      <c r="L12" s="7">
        <f t="shared" si="0"/>
        <v>10000</v>
      </c>
      <c r="M12" s="7">
        <f t="shared" si="1"/>
        <v>90000</v>
      </c>
      <c r="N12" s="23">
        <v>26000</v>
      </c>
      <c r="O12" s="7">
        <f t="shared" si="2"/>
        <v>116000</v>
      </c>
      <c r="P12" s="2" t="s">
        <v>63</v>
      </c>
      <c r="Q12" t="str">
        <f>_xlfn.XLOOKUP(B12,Status!$A$2:$A$1867,Status!$B$2:$B$1867)</f>
        <v>Completed</v>
      </c>
      <c r="R12" s="2" t="s">
        <v>36</v>
      </c>
      <c r="S12" s="8">
        <v>2</v>
      </c>
      <c r="T12" s="2" t="s">
        <v>24</v>
      </c>
      <c r="U12" s="31" t="str" cm="1">
        <f t="array" ref="U12">_xlfn.IFS(L12&lt;=5000,$Z$3,AND(L12&gt;5000,L12&lt;=15000),$Z$4,AND(L12&gt;15000,L12&lt;=30000),$Z$5,AND(L12&gt;30000,L12&lt;=50000),$Z$6,L12&gt;50000,$Z$7)</f>
        <v>Rendah</v>
      </c>
      <c r="V12" s="33"/>
      <c r="W12" s="33"/>
      <c r="X12" s="33"/>
      <c r="Y12" s="33"/>
      <c r="Z12" s="33"/>
      <c r="AA12" s="33"/>
      <c r="AB12" s="33"/>
      <c r="AC12" s="33"/>
      <c r="AD12" s="33"/>
    </row>
    <row r="13" spans="1:30" x14ac:dyDescent="0.25">
      <c r="A13" s="26"/>
      <c r="B13" s="2" t="s">
        <v>64</v>
      </c>
      <c r="C13" s="32">
        <v>45552.563796296286</v>
      </c>
      <c r="D13" s="53">
        <f>YEAR(Table1[[#This Row],[Order Date]])</f>
        <v>2024</v>
      </c>
      <c r="E13" s="2" t="s">
        <v>65</v>
      </c>
      <c r="F13" s="2" t="s">
        <v>66</v>
      </c>
      <c r="G13" s="2" t="s">
        <v>67</v>
      </c>
      <c r="H13" s="23">
        <v>15000</v>
      </c>
      <c r="I13" s="2">
        <v>1</v>
      </c>
      <c r="J13" s="31">
        <v>20</v>
      </c>
      <c r="K13" s="7">
        <f t="shared" si="3"/>
        <v>15000</v>
      </c>
      <c r="L13" s="7">
        <f t="shared" si="0"/>
        <v>3000</v>
      </c>
      <c r="M13" s="7">
        <f t="shared" si="1"/>
        <v>12000</v>
      </c>
      <c r="N13" s="23">
        <v>59000</v>
      </c>
      <c r="O13" s="7">
        <f t="shared" si="2"/>
        <v>71000</v>
      </c>
      <c r="P13" s="2" t="s">
        <v>63</v>
      </c>
      <c r="Q13" t="str">
        <f>_xlfn.XLOOKUP(B13,Status!$A$2:$A$1867,Status!$B$2:$B$1867)</f>
        <v>Completed</v>
      </c>
      <c r="R13" s="2" t="s">
        <v>36</v>
      </c>
      <c r="S13" s="8">
        <v>1</v>
      </c>
      <c r="T13" s="2" t="s">
        <v>37</v>
      </c>
      <c r="U13" s="31" t="str" cm="1">
        <f t="array" ref="U13">_xlfn.IFS(L13&lt;=5000,$Z$3,AND(L13&gt;5000,L13&lt;=15000),$Z$4,AND(L13&gt;15000,L13&lt;=30000),$Z$5,AND(L13&gt;30000,L13&lt;=50000),$Z$6,L13&gt;50000,$Z$7)</f>
        <v>Sangat Rendah</v>
      </c>
      <c r="V13" s="33"/>
      <c r="W13" s="33"/>
      <c r="X13" s="33"/>
      <c r="Y13" s="33"/>
      <c r="Z13" s="33"/>
      <c r="AA13" s="33"/>
      <c r="AB13" s="33"/>
      <c r="AC13" s="33"/>
      <c r="AD13" s="33"/>
    </row>
    <row r="14" spans="1:30" x14ac:dyDescent="0.25">
      <c r="A14" s="26"/>
      <c r="B14" s="2" t="s">
        <v>68</v>
      </c>
      <c r="C14" s="32">
        <v>45552.791898148149</v>
      </c>
      <c r="D14" s="53">
        <f>YEAR(Table1[[#This Row],[Order Date]])</f>
        <v>2024</v>
      </c>
      <c r="E14" s="2" t="s">
        <v>69</v>
      </c>
      <c r="F14" s="2" t="s">
        <v>70</v>
      </c>
      <c r="G14" s="2" t="s">
        <v>71</v>
      </c>
      <c r="H14" s="23">
        <v>40000</v>
      </c>
      <c r="I14" s="2">
        <v>4</v>
      </c>
      <c r="J14" s="31">
        <v>5</v>
      </c>
      <c r="K14" s="7">
        <f t="shared" si="3"/>
        <v>160000</v>
      </c>
      <c r="L14" s="7">
        <f t="shared" si="0"/>
        <v>8000</v>
      </c>
      <c r="M14" s="7">
        <f t="shared" si="1"/>
        <v>152000</v>
      </c>
      <c r="N14" s="23">
        <v>89000</v>
      </c>
      <c r="O14" s="7">
        <f t="shared" si="2"/>
        <v>241000</v>
      </c>
      <c r="P14" s="2" t="s">
        <v>35</v>
      </c>
      <c r="Q14" t="str">
        <f>_xlfn.XLOOKUP(B14,Status!$A$2:$A$1867,Status!$B$2:$B$1867)</f>
        <v>Completed</v>
      </c>
      <c r="R14" s="2" t="s">
        <v>46</v>
      </c>
      <c r="S14" s="8">
        <v>1</v>
      </c>
      <c r="T14" s="2" t="s">
        <v>37</v>
      </c>
      <c r="U14" s="31" t="str" cm="1">
        <f t="array" ref="U14">_xlfn.IFS(L14&lt;=5000,$Z$3,AND(L14&gt;5000,L14&lt;=15000),$Z$4,AND(L14&gt;15000,L14&lt;=30000),$Z$5,AND(L14&gt;30000,L14&lt;=50000),$Z$6,L14&gt;50000,$Z$7)</f>
        <v>Rendah</v>
      </c>
    </row>
    <row r="15" spans="1:30" x14ac:dyDescent="0.25">
      <c r="A15" s="26"/>
      <c r="B15" s="2" t="s">
        <v>72</v>
      </c>
      <c r="C15" s="32">
        <v>45552.937326388892</v>
      </c>
      <c r="D15" s="53">
        <f>YEAR(Table1[[#This Row],[Order Date]])</f>
        <v>2024</v>
      </c>
      <c r="E15" s="2" t="s">
        <v>73</v>
      </c>
      <c r="F15" s="2" t="s">
        <v>74</v>
      </c>
      <c r="G15" s="2" t="s">
        <v>75</v>
      </c>
      <c r="H15" s="23">
        <v>55000</v>
      </c>
      <c r="I15" s="2">
        <v>3</v>
      </c>
      <c r="J15" s="31">
        <v>15</v>
      </c>
      <c r="K15" s="7">
        <f t="shared" si="3"/>
        <v>165000</v>
      </c>
      <c r="L15" s="7">
        <f t="shared" si="0"/>
        <v>24750</v>
      </c>
      <c r="M15" s="7">
        <f t="shared" si="1"/>
        <v>140250</v>
      </c>
      <c r="N15" s="23">
        <v>87000</v>
      </c>
      <c r="O15" s="7">
        <f t="shared" si="2"/>
        <v>227250</v>
      </c>
      <c r="P15" s="2" t="s">
        <v>35</v>
      </c>
      <c r="Q15" t="str">
        <f>_xlfn.XLOOKUP(B15,Status!$A$2:$A$1867,Status!$B$2:$B$1867)</f>
        <v>Returned</v>
      </c>
      <c r="R15" s="2" t="s">
        <v>30</v>
      </c>
      <c r="S15" s="8">
        <v>4</v>
      </c>
      <c r="T15" s="2" t="s">
        <v>24</v>
      </c>
      <c r="U15" s="31" t="str" cm="1">
        <f t="array" ref="U15">_xlfn.IFS(L15&lt;=5000,$Z$3,AND(L15&gt;5000,L15&lt;=15000),$Z$4,AND(L15&gt;15000,L15&lt;=30000),$Z$5,AND(L15&gt;30000,L15&lt;=50000),$Z$6,L15&gt;50000,$Z$7)</f>
        <v>Normal</v>
      </c>
    </row>
    <row r="16" spans="1:30" x14ac:dyDescent="0.25">
      <c r="A16" s="26"/>
      <c r="B16" s="2" t="s">
        <v>76</v>
      </c>
      <c r="C16" s="32">
        <v>45552.939884259264</v>
      </c>
      <c r="D16" s="53">
        <f>YEAR(Table1[[#This Row],[Order Date]])</f>
        <v>2024</v>
      </c>
      <c r="E16" s="2" t="s">
        <v>77</v>
      </c>
      <c r="F16" s="2" t="s">
        <v>61</v>
      </c>
      <c r="G16" s="2" t="s">
        <v>54</v>
      </c>
      <c r="H16" s="23">
        <v>16000</v>
      </c>
      <c r="I16" s="2">
        <v>3</v>
      </c>
      <c r="J16" s="31">
        <v>0</v>
      </c>
      <c r="K16" s="7">
        <f t="shared" si="3"/>
        <v>48000</v>
      </c>
      <c r="L16" s="7">
        <f t="shared" si="0"/>
        <v>0</v>
      </c>
      <c r="M16" s="7">
        <f t="shared" si="1"/>
        <v>48000</v>
      </c>
      <c r="N16" s="23">
        <v>26000</v>
      </c>
      <c r="O16" s="7">
        <f t="shared" si="2"/>
        <v>74000</v>
      </c>
      <c r="P16" s="2" t="s">
        <v>35</v>
      </c>
      <c r="Q16" t="str">
        <f>_xlfn.XLOOKUP(B16,Status!$A$2:$A$1867,Status!$B$2:$B$1867)</f>
        <v>Completed</v>
      </c>
      <c r="R16" s="2" t="s">
        <v>46</v>
      </c>
      <c r="S16" s="8">
        <v>4</v>
      </c>
      <c r="T16" s="2" t="s">
        <v>24</v>
      </c>
      <c r="U16" s="31" t="str" cm="1">
        <f t="array" ref="U16">_xlfn.IFS(L16&lt;=5000,$Z$3,AND(L16&gt;5000,L16&lt;=15000),$Z$4,AND(L16&gt;15000,L16&lt;=30000),$Z$5,AND(L16&gt;30000,L16&lt;=50000),$Z$6,L16&gt;50000,$Z$7)</f>
        <v>Sangat Rendah</v>
      </c>
      <c r="V16" s="2"/>
      <c r="W16" s="5"/>
    </row>
    <row r="17" spans="1:38" x14ac:dyDescent="0.25">
      <c r="A17" s="26"/>
      <c r="B17" s="2" t="s">
        <v>78</v>
      </c>
      <c r="C17" s="32">
        <v>45552.946944444448</v>
      </c>
      <c r="D17" s="53">
        <f>YEAR(Table1[[#This Row],[Order Date]])</f>
        <v>2024</v>
      </c>
      <c r="E17" s="2" t="s">
        <v>79</v>
      </c>
      <c r="F17" s="2" t="s">
        <v>80</v>
      </c>
      <c r="G17" s="2" t="s">
        <v>81</v>
      </c>
      <c r="H17" s="23">
        <v>17000</v>
      </c>
      <c r="I17" s="2">
        <v>5</v>
      </c>
      <c r="J17" s="31">
        <v>20</v>
      </c>
      <c r="K17" s="7">
        <f t="shared" si="3"/>
        <v>85000</v>
      </c>
      <c r="L17" s="7">
        <f t="shared" si="0"/>
        <v>17000</v>
      </c>
      <c r="M17" s="7">
        <f t="shared" si="1"/>
        <v>68000</v>
      </c>
      <c r="N17" s="23">
        <v>74000</v>
      </c>
      <c r="O17" s="7">
        <f t="shared" si="2"/>
        <v>142000</v>
      </c>
      <c r="P17" s="2" t="s">
        <v>29</v>
      </c>
      <c r="Q17" t="str">
        <f>_xlfn.XLOOKUP(B17,Status!$A$2:$A$1867,Status!$B$2:$B$1867)</f>
        <v>Completed</v>
      </c>
      <c r="R17" s="2" t="s">
        <v>82</v>
      </c>
      <c r="S17" s="8">
        <v>2</v>
      </c>
      <c r="T17" s="2" t="s">
        <v>24</v>
      </c>
      <c r="U17" s="31" t="str" cm="1">
        <f t="array" ref="U17">_xlfn.IFS(L17&lt;=5000,$Z$3,AND(L17&gt;5000,L17&lt;=15000),$Z$4,AND(L17&gt;15000,L17&lt;=30000),$Z$5,AND(L17&gt;30000,L17&lt;=50000),$Z$6,L17&gt;50000,$Z$7)</f>
        <v>Normal</v>
      </c>
      <c r="V17" s="2"/>
      <c r="W17" s="18"/>
      <c r="Z17" s="19"/>
      <c r="AB17" s="7"/>
    </row>
    <row r="18" spans="1:38" x14ac:dyDescent="0.25">
      <c r="A18" s="26"/>
      <c r="B18" s="2" t="s">
        <v>83</v>
      </c>
      <c r="C18" s="32">
        <v>45553.174039351848</v>
      </c>
      <c r="D18" s="53">
        <f>YEAR(Table1[[#This Row],[Order Date]])</f>
        <v>2024</v>
      </c>
      <c r="E18" s="2" t="s">
        <v>84</v>
      </c>
      <c r="F18" s="2" t="s">
        <v>57</v>
      </c>
      <c r="G18" s="2" t="s">
        <v>85</v>
      </c>
      <c r="H18" s="23">
        <v>35000</v>
      </c>
      <c r="I18" s="2">
        <v>4</v>
      </c>
      <c r="J18" s="31">
        <v>20</v>
      </c>
      <c r="K18" s="7">
        <f t="shared" si="3"/>
        <v>140000</v>
      </c>
      <c r="L18" s="7">
        <f t="shared" si="0"/>
        <v>28000</v>
      </c>
      <c r="M18" s="7">
        <f t="shared" si="1"/>
        <v>112000</v>
      </c>
      <c r="N18" s="23">
        <v>80000</v>
      </c>
      <c r="O18" s="7">
        <f t="shared" si="2"/>
        <v>192000</v>
      </c>
      <c r="P18" s="2" t="s">
        <v>22</v>
      </c>
      <c r="Q18" t="str">
        <f>_xlfn.XLOOKUP(B18,Status!$A$2:$A$1867,Status!$B$2:$B$1867)</f>
        <v>Completed</v>
      </c>
      <c r="R18" s="2" t="s">
        <v>30</v>
      </c>
      <c r="S18" s="8">
        <v>2</v>
      </c>
      <c r="T18" s="2" t="s">
        <v>37</v>
      </c>
      <c r="U18" s="31" t="str" cm="1">
        <f t="array" ref="U18">_xlfn.IFS(L18&lt;=5000,$Z$3,AND(L18&gt;5000,L18&lt;=15000),$Z$4,AND(L18&gt;15000,L18&lt;=30000),$Z$5,AND(L18&gt;30000,L18&lt;=50000),$Z$6,L18&gt;50000,$Z$7)</f>
        <v>Normal</v>
      </c>
      <c r="V18" s="2"/>
      <c r="X18" s="20"/>
    </row>
    <row r="19" spans="1:38" x14ac:dyDescent="0.25">
      <c r="A19" s="26"/>
      <c r="B19" s="2" t="s">
        <v>86</v>
      </c>
      <c r="C19" s="32">
        <v>45553.610069444447</v>
      </c>
      <c r="D19" s="53">
        <f>YEAR(Table1[[#This Row],[Order Date]])</f>
        <v>2024</v>
      </c>
      <c r="E19" s="2" t="s">
        <v>87</v>
      </c>
      <c r="F19" s="2" t="s">
        <v>80</v>
      </c>
      <c r="G19" s="2" t="s">
        <v>88</v>
      </c>
      <c r="H19" s="23">
        <v>14000</v>
      </c>
      <c r="I19" s="2">
        <v>3</v>
      </c>
      <c r="J19" s="31">
        <v>0</v>
      </c>
      <c r="K19" s="7">
        <f t="shared" si="3"/>
        <v>42000</v>
      </c>
      <c r="L19" s="7">
        <f t="shared" si="0"/>
        <v>0</v>
      </c>
      <c r="M19" s="7">
        <f t="shared" si="1"/>
        <v>42000</v>
      </c>
      <c r="N19" s="23">
        <v>74000</v>
      </c>
      <c r="O19" s="7">
        <f t="shared" si="2"/>
        <v>116000</v>
      </c>
      <c r="P19" s="2" t="s">
        <v>35</v>
      </c>
      <c r="Q19" t="str">
        <f>_xlfn.XLOOKUP(B19,Status!$A$2:$A$1867,Status!$B$2:$B$1867)</f>
        <v>Completed</v>
      </c>
      <c r="R19" s="2" t="s">
        <v>82</v>
      </c>
      <c r="S19" s="8">
        <v>4</v>
      </c>
      <c r="T19" s="2" t="s">
        <v>24</v>
      </c>
      <c r="U19" s="31" t="str" cm="1">
        <f t="array" ref="U19">_xlfn.IFS(L19&lt;=5000,$Z$3,AND(L19&gt;5000,L19&lt;=15000),$Z$4,AND(L19&gt;15000,L19&lt;=30000),$Z$5,AND(L19&gt;30000,L19&lt;=50000),$Z$6,L19&gt;50000,$Z$7)</f>
        <v>Sangat Rendah</v>
      </c>
      <c r="V19" s="2"/>
      <c r="W19" s="21"/>
      <c r="X19" s="4"/>
      <c r="Y19" s="4"/>
      <c r="Z19" s="22"/>
      <c r="AA19" s="4"/>
      <c r="AB19" s="4"/>
      <c r="AC19" s="10"/>
      <c r="AD19" s="10"/>
      <c r="AE19" s="10"/>
      <c r="AF19" s="10"/>
      <c r="AG19" s="10"/>
      <c r="AH19" s="4"/>
      <c r="AI19" s="4"/>
      <c r="AJ19" s="4"/>
      <c r="AK19" s="11"/>
      <c r="AL19" s="4"/>
    </row>
    <row r="20" spans="1:38" x14ac:dyDescent="0.25">
      <c r="A20" s="26"/>
      <c r="B20" s="2" t="s">
        <v>89</v>
      </c>
      <c r="C20" s="32">
        <v>45553.80846064815</v>
      </c>
      <c r="D20" s="53">
        <f>YEAR(Table1[[#This Row],[Order Date]])</f>
        <v>2024</v>
      </c>
      <c r="E20" s="2" t="s">
        <v>77</v>
      </c>
      <c r="F20" s="2" t="s">
        <v>61</v>
      </c>
      <c r="G20" s="2" t="s">
        <v>41</v>
      </c>
      <c r="H20" s="23">
        <v>4000</v>
      </c>
      <c r="I20" s="2">
        <v>4</v>
      </c>
      <c r="J20" s="31">
        <v>20</v>
      </c>
      <c r="K20" s="7">
        <f t="shared" si="3"/>
        <v>16000</v>
      </c>
      <c r="L20" s="7">
        <f t="shared" si="0"/>
        <v>3200</v>
      </c>
      <c r="M20" s="7">
        <f t="shared" si="1"/>
        <v>12800</v>
      </c>
      <c r="N20" s="23">
        <v>26000</v>
      </c>
      <c r="O20" s="7">
        <f t="shared" si="2"/>
        <v>38800</v>
      </c>
      <c r="P20" s="2" t="s">
        <v>29</v>
      </c>
      <c r="Q20" t="str">
        <f>_xlfn.XLOOKUP(B20,Status!$A$2:$A$1867,Status!$B$2:$B$1867)</f>
        <v>Completed</v>
      </c>
      <c r="R20" s="2" t="s">
        <v>36</v>
      </c>
      <c r="S20" s="8">
        <v>4</v>
      </c>
      <c r="T20" s="2" t="s">
        <v>24</v>
      </c>
      <c r="U20" s="31" t="str" cm="1">
        <f t="array" ref="U20">_xlfn.IFS(L20&lt;=5000,$Z$3,AND(L20&gt;5000,L20&lt;=15000),$Z$4,AND(L20&gt;15000,L20&lt;=30000),$Z$5,AND(L20&gt;30000,L20&lt;=50000),$Z$6,L20&gt;50000,$Z$7)</f>
        <v>Sangat Rendah</v>
      </c>
      <c r="V20" s="2"/>
      <c r="W20" s="5"/>
      <c r="X20" s="23"/>
      <c r="Y20" s="2"/>
      <c r="Z20" s="24"/>
      <c r="AA20" s="2"/>
      <c r="AB20" s="2"/>
      <c r="AC20" s="13"/>
      <c r="AD20" s="13"/>
      <c r="AE20" s="13"/>
      <c r="AF20" s="12"/>
      <c r="AG20" s="13"/>
      <c r="AH20" s="2"/>
      <c r="AJ20" s="2"/>
      <c r="AK20" s="8"/>
      <c r="AL20" s="2"/>
    </row>
    <row r="21" spans="1:38" x14ac:dyDescent="0.25">
      <c r="A21" s="26"/>
      <c r="B21" s="2" t="s">
        <v>90</v>
      </c>
      <c r="C21" s="32">
        <v>45553.897916666669</v>
      </c>
      <c r="D21" s="53">
        <f>YEAR(Table1[[#This Row],[Order Date]])</f>
        <v>2024</v>
      </c>
      <c r="E21" s="2" t="s">
        <v>91</v>
      </c>
      <c r="F21" s="2" t="s">
        <v>92</v>
      </c>
      <c r="G21" s="2" t="s">
        <v>93</v>
      </c>
      <c r="H21" s="23">
        <v>25000</v>
      </c>
      <c r="I21" s="2">
        <v>5</v>
      </c>
      <c r="J21" s="31">
        <v>10</v>
      </c>
      <c r="K21" s="7">
        <f t="shared" si="3"/>
        <v>125000</v>
      </c>
      <c r="L21" s="7">
        <f t="shared" si="0"/>
        <v>12500</v>
      </c>
      <c r="M21" s="7">
        <f t="shared" si="1"/>
        <v>112500</v>
      </c>
      <c r="N21" s="23">
        <v>30000</v>
      </c>
      <c r="O21" s="7">
        <f t="shared" si="2"/>
        <v>142500</v>
      </c>
      <c r="P21" s="2" t="s">
        <v>63</v>
      </c>
      <c r="Q21" t="str">
        <f>_xlfn.XLOOKUP(B21,Status!$A$2:$A$1867,Status!$B$2:$B$1867)</f>
        <v>Completed</v>
      </c>
      <c r="R21" s="2" t="s">
        <v>82</v>
      </c>
      <c r="S21" s="8">
        <v>2</v>
      </c>
      <c r="T21" s="2" t="s">
        <v>24</v>
      </c>
      <c r="U21" s="31" t="str" cm="1">
        <f t="array" ref="U21">_xlfn.IFS(L21&lt;=5000,$Z$3,AND(L21&gt;5000,L21&lt;=15000),$Z$4,AND(L21&gt;15000,L21&lt;=30000),$Z$5,AND(L21&gt;30000,L21&lt;=50000),$Z$6,L21&gt;50000,$Z$7)</f>
        <v>Rendah</v>
      </c>
      <c r="V21" s="2"/>
      <c r="W21" s="25"/>
      <c r="X21" s="23"/>
      <c r="Y21" s="2"/>
      <c r="Z21" s="24"/>
      <c r="AA21" s="2"/>
      <c r="AB21" s="2"/>
      <c r="AC21" s="13"/>
      <c r="AD21" s="13"/>
      <c r="AE21" s="13"/>
      <c r="AF21" s="12"/>
      <c r="AG21" s="13"/>
      <c r="AH21" s="2"/>
      <c r="AJ21" s="2"/>
      <c r="AK21" s="8"/>
      <c r="AL21" s="2"/>
    </row>
    <row r="22" spans="1:38" ht="15.75" customHeight="1" x14ac:dyDescent="0.25">
      <c r="A22" s="26"/>
      <c r="B22" s="2" t="s">
        <v>94</v>
      </c>
      <c r="C22" s="32">
        <v>45554.347511574073</v>
      </c>
      <c r="D22" s="53">
        <f>YEAR(Table1[[#This Row],[Order Date]])</f>
        <v>2024</v>
      </c>
      <c r="E22" s="2" t="s">
        <v>95</v>
      </c>
      <c r="F22" s="2" t="s">
        <v>96</v>
      </c>
      <c r="G22" s="2" t="s">
        <v>58</v>
      </c>
      <c r="H22" s="23">
        <v>16000</v>
      </c>
      <c r="I22" s="2">
        <v>2</v>
      </c>
      <c r="J22" s="31">
        <v>20</v>
      </c>
      <c r="K22" s="7">
        <f t="shared" si="3"/>
        <v>32000</v>
      </c>
      <c r="L22" s="7">
        <f t="shared" si="0"/>
        <v>6400</v>
      </c>
      <c r="M22" s="7">
        <f t="shared" si="1"/>
        <v>25600</v>
      </c>
      <c r="N22" s="23">
        <v>49000</v>
      </c>
      <c r="O22" s="7">
        <f t="shared" si="2"/>
        <v>74600</v>
      </c>
      <c r="P22" s="2" t="s">
        <v>22</v>
      </c>
      <c r="Q22" t="str">
        <f>_xlfn.XLOOKUP(B22,Status!$A$2:$A$1867,Status!$B$2:$B$1867)</f>
        <v>Completed</v>
      </c>
      <c r="R22" s="2" t="s">
        <v>30</v>
      </c>
      <c r="S22" s="8">
        <v>1</v>
      </c>
      <c r="T22" s="2" t="s">
        <v>24</v>
      </c>
      <c r="U22" s="31" t="str" cm="1">
        <f t="array" ref="U22">_xlfn.IFS(L22&lt;=5000,$Z$3,AND(L22&gt;5000,L22&lt;=15000),$Z$4,AND(L22&gt;15000,L22&lt;=30000),$Z$5,AND(L22&gt;30000,L22&lt;=50000),$Z$6,L22&gt;50000,$Z$7)</f>
        <v>Rendah</v>
      </c>
      <c r="V22" s="2"/>
      <c r="W22" s="2"/>
      <c r="X22" s="23"/>
      <c r="Y22" s="2"/>
      <c r="Z22" s="24"/>
      <c r="AA22" s="2"/>
      <c r="AB22" s="2"/>
      <c r="AC22" s="13"/>
      <c r="AD22" s="13"/>
      <c r="AE22" s="13"/>
      <c r="AF22" s="12"/>
      <c r="AG22" s="13"/>
      <c r="AH22" s="2"/>
      <c r="AJ22" s="2"/>
      <c r="AK22" s="8"/>
      <c r="AL22" s="2"/>
    </row>
    <row r="23" spans="1:38" ht="15.75" customHeight="1" x14ac:dyDescent="0.25">
      <c r="A23" s="26"/>
      <c r="B23" s="2" t="s">
        <v>97</v>
      </c>
      <c r="C23" s="32">
        <v>45554.548981481479</v>
      </c>
      <c r="D23" s="53">
        <f>YEAR(Table1[[#This Row],[Order Date]])</f>
        <v>2024</v>
      </c>
      <c r="E23" s="2" t="s">
        <v>98</v>
      </c>
      <c r="F23" s="2" t="s">
        <v>92</v>
      </c>
      <c r="G23" s="2" t="s">
        <v>45</v>
      </c>
      <c r="H23" s="23">
        <v>40000</v>
      </c>
      <c r="I23" s="2">
        <v>4</v>
      </c>
      <c r="J23" s="31">
        <v>10</v>
      </c>
      <c r="K23" s="7">
        <f t="shared" si="3"/>
        <v>160000</v>
      </c>
      <c r="L23" s="7">
        <f t="shared" si="0"/>
        <v>16000</v>
      </c>
      <c r="M23" s="7">
        <f t="shared" si="1"/>
        <v>144000</v>
      </c>
      <c r="N23" s="23">
        <v>30000</v>
      </c>
      <c r="O23" s="7">
        <f t="shared" si="2"/>
        <v>174000</v>
      </c>
      <c r="P23" s="2" t="s">
        <v>29</v>
      </c>
      <c r="Q23" t="str">
        <f>_xlfn.XLOOKUP(B23,Status!$A$2:$A$1867,Status!$B$2:$B$1867)</f>
        <v>Completed</v>
      </c>
      <c r="R23" s="2" t="s">
        <v>30</v>
      </c>
      <c r="S23" s="8">
        <v>5</v>
      </c>
      <c r="T23" s="2" t="s">
        <v>24</v>
      </c>
      <c r="U23" s="31" t="str" cm="1">
        <f t="array" ref="U23">_xlfn.IFS(L23&lt;=5000,$Z$3,AND(L23&gt;5000,L23&lt;=15000),$Z$4,AND(L23&gt;15000,L23&lt;=30000),$Z$5,AND(L23&gt;30000,L23&lt;=50000),$Z$6,L23&gt;50000,$Z$7)</f>
        <v>Normal</v>
      </c>
      <c r="V23" s="2"/>
      <c r="W23" s="2"/>
      <c r="X23" s="23"/>
      <c r="Y23" s="2"/>
      <c r="Z23" s="24"/>
      <c r="AA23" s="2"/>
      <c r="AB23" s="2"/>
      <c r="AC23" s="13"/>
      <c r="AD23" s="13"/>
      <c r="AE23" s="13"/>
      <c r="AF23" s="12"/>
      <c r="AG23" s="13"/>
      <c r="AH23" s="2"/>
      <c r="AJ23" s="2"/>
      <c r="AK23" s="8"/>
      <c r="AL23" s="2"/>
    </row>
    <row r="24" spans="1:38" ht="15.75" customHeight="1" x14ac:dyDescent="0.25">
      <c r="A24" s="26"/>
      <c r="B24" s="2" t="s">
        <v>99</v>
      </c>
      <c r="C24" s="32">
        <v>45554.584305555552</v>
      </c>
      <c r="D24" s="53">
        <f>YEAR(Table1[[#This Row],[Order Date]])</f>
        <v>2024</v>
      </c>
      <c r="E24" s="2" t="s">
        <v>100</v>
      </c>
      <c r="F24" s="2" t="s">
        <v>66</v>
      </c>
      <c r="G24" s="2" t="s">
        <v>71</v>
      </c>
      <c r="H24" s="23">
        <v>40000</v>
      </c>
      <c r="I24" s="2">
        <v>3</v>
      </c>
      <c r="J24" s="31">
        <v>15</v>
      </c>
      <c r="K24" s="7">
        <f t="shared" si="3"/>
        <v>120000</v>
      </c>
      <c r="L24" s="7">
        <f t="shared" si="0"/>
        <v>18000</v>
      </c>
      <c r="M24" s="7">
        <f t="shared" si="1"/>
        <v>102000</v>
      </c>
      <c r="N24" s="23">
        <v>59000</v>
      </c>
      <c r="O24" s="7">
        <f t="shared" si="2"/>
        <v>161000</v>
      </c>
      <c r="P24" s="2" t="s">
        <v>29</v>
      </c>
      <c r="Q24" t="str">
        <f>_xlfn.XLOOKUP(B24,Status!$A$2:$A$1867,Status!$B$2:$B$1867)</f>
        <v>Returned</v>
      </c>
      <c r="R24" s="2" t="s">
        <v>46</v>
      </c>
      <c r="S24" s="8">
        <v>3</v>
      </c>
      <c r="T24" s="2" t="s">
        <v>24</v>
      </c>
      <c r="U24" s="31" t="str" cm="1">
        <f t="array" ref="U24">_xlfn.IFS(L24&lt;=5000,$Z$3,AND(L24&gt;5000,L24&lt;=15000),$Z$4,AND(L24&gt;15000,L24&lt;=30000),$Z$5,AND(L24&gt;30000,L24&lt;=50000),$Z$6,L24&gt;50000,$Z$7)</f>
        <v>Normal</v>
      </c>
      <c r="V24" s="2"/>
      <c r="W24" s="2"/>
      <c r="X24" s="2"/>
      <c r="Y24" s="2"/>
      <c r="Z24" s="24"/>
      <c r="AA24" s="2"/>
      <c r="AB24" s="2"/>
      <c r="AC24" s="13"/>
      <c r="AD24" s="13"/>
      <c r="AE24" s="13"/>
      <c r="AF24" s="12"/>
      <c r="AG24" s="13"/>
      <c r="AH24" s="2"/>
      <c r="AJ24" s="2"/>
      <c r="AK24" s="8"/>
      <c r="AL24" s="2"/>
    </row>
    <row r="25" spans="1:38" ht="15.75" customHeight="1" x14ac:dyDescent="0.25">
      <c r="A25" s="26"/>
      <c r="B25" s="2" t="s">
        <v>101</v>
      </c>
      <c r="C25" s="32">
        <v>45554.589224537027</v>
      </c>
      <c r="D25" s="53">
        <f>YEAR(Table1[[#This Row],[Order Date]])</f>
        <v>2024</v>
      </c>
      <c r="E25" s="2" t="s">
        <v>102</v>
      </c>
      <c r="F25" s="2" t="s">
        <v>103</v>
      </c>
      <c r="G25" s="2" t="s">
        <v>104</v>
      </c>
      <c r="H25" s="23">
        <v>30000</v>
      </c>
      <c r="I25" s="2">
        <v>1</v>
      </c>
      <c r="J25" s="31">
        <v>10</v>
      </c>
      <c r="K25" s="7">
        <f t="shared" si="3"/>
        <v>30000</v>
      </c>
      <c r="L25" s="7">
        <f t="shared" si="0"/>
        <v>3000</v>
      </c>
      <c r="M25" s="7">
        <f t="shared" si="1"/>
        <v>27000</v>
      </c>
      <c r="N25" s="23">
        <v>85000</v>
      </c>
      <c r="O25" s="7">
        <f t="shared" si="2"/>
        <v>112000</v>
      </c>
      <c r="P25" s="2" t="s">
        <v>22</v>
      </c>
      <c r="Q25" t="str">
        <f>_xlfn.XLOOKUP(B25,Status!$A$2:$A$1867,Status!$B$2:$B$1867)</f>
        <v>Completed</v>
      </c>
      <c r="R25" s="2" t="s">
        <v>23</v>
      </c>
      <c r="S25" s="8">
        <v>5</v>
      </c>
      <c r="T25" s="2" t="s">
        <v>24</v>
      </c>
      <c r="U25" s="31" t="str" cm="1">
        <f t="array" ref="U25">_xlfn.IFS(L25&lt;=5000,$Z$3,AND(L25&gt;5000,L25&lt;=15000),$Z$4,AND(L25&gt;15000,L25&lt;=30000),$Z$5,AND(L25&gt;30000,L25&lt;=50000),$Z$6,L25&gt;50000,$Z$7)</f>
        <v>Sangat Rendah</v>
      </c>
      <c r="V25" s="2"/>
      <c r="W25" s="2"/>
      <c r="X25" s="2"/>
      <c r="Y25" s="2"/>
      <c r="Z25" s="24"/>
      <c r="AA25" s="2"/>
      <c r="AB25" s="2"/>
      <c r="AC25" s="13"/>
      <c r="AD25" s="13"/>
      <c r="AE25" s="13"/>
      <c r="AF25" s="12"/>
      <c r="AG25" s="13"/>
      <c r="AH25" s="2"/>
      <c r="AJ25" s="2"/>
      <c r="AK25" s="8"/>
      <c r="AL25" s="2"/>
    </row>
    <row r="26" spans="1:38" ht="15.75" customHeight="1" x14ac:dyDescent="0.25">
      <c r="A26" s="26"/>
      <c r="B26" s="2" t="s">
        <v>105</v>
      </c>
      <c r="C26" s="32">
        <v>45554.928298611107</v>
      </c>
      <c r="D26" s="53">
        <f>YEAR(Table1[[#This Row],[Order Date]])</f>
        <v>2024</v>
      </c>
      <c r="E26" s="2" t="s">
        <v>106</v>
      </c>
      <c r="F26" s="2" t="s">
        <v>107</v>
      </c>
      <c r="G26" s="2" t="s">
        <v>58</v>
      </c>
      <c r="H26" s="23">
        <v>16000</v>
      </c>
      <c r="I26" s="2">
        <v>4</v>
      </c>
      <c r="J26" s="31">
        <v>5</v>
      </c>
      <c r="K26" s="7">
        <f t="shared" si="3"/>
        <v>64000</v>
      </c>
      <c r="L26" s="7">
        <f t="shared" si="0"/>
        <v>3200</v>
      </c>
      <c r="M26" s="7">
        <f t="shared" si="1"/>
        <v>60800</v>
      </c>
      <c r="N26" s="23">
        <v>97000</v>
      </c>
      <c r="O26" s="7">
        <f t="shared" si="2"/>
        <v>157800</v>
      </c>
      <c r="P26" s="2" t="s">
        <v>63</v>
      </c>
      <c r="Q26" t="str">
        <f>_xlfn.XLOOKUP(B26,Status!$A$2:$A$1867,Status!$B$2:$B$1867)</f>
        <v>Completed</v>
      </c>
      <c r="R26" s="2" t="s">
        <v>36</v>
      </c>
      <c r="S26" s="8">
        <v>1</v>
      </c>
      <c r="T26" s="2" t="s">
        <v>24</v>
      </c>
      <c r="U26" s="31" t="str" cm="1">
        <f t="array" ref="U26">_xlfn.IFS(L26&lt;=5000,$Z$3,AND(L26&gt;5000,L26&lt;=15000),$Z$4,AND(L26&gt;15000,L26&lt;=30000),$Z$5,AND(L26&gt;30000,L26&lt;=50000),$Z$6,L26&gt;50000,$Z$7)</f>
        <v>Sangat Rendah</v>
      </c>
      <c r="V26" s="2"/>
      <c r="W26" s="14"/>
      <c r="X26" s="2"/>
      <c r="Y26" s="2"/>
      <c r="Z26" s="24"/>
      <c r="AA26" s="2"/>
      <c r="AB26" s="2"/>
      <c r="AC26" s="13"/>
      <c r="AD26" s="13"/>
      <c r="AE26" s="13"/>
      <c r="AF26" s="12"/>
      <c r="AG26" s="13"/>
      <c r="AH26" s="2"/>
      <c r="AJ26" s="2"/>
      <c r="AK26" s="8"/>
      <c r="AL26" s="2"/>
    </row>
    <row r="27" spans="1:38" ht="15.75" customHeight="1" x14ac:dyDescent="0.25">
      <c r="A27" s="26"/>
      <c r="B27" s="2" t="s">
        <v>108</v>
      </c>
      <c r="C27" s="32">
        <v>45555.373101851852</v>
      </c>
      <c r="D27" s="53">
        <f>YEAR(Table1[[#This Row],[Order Date]])</f>
        <v>2024</v>
      </c>
      <c r="E27" s="2" t="s">
        <v>109</v>
      </c>
      <c r="F27" s="2" t="s">
        <v>49</v>
      </c>
      <c r="G27" s="2" t="s">
        <v>110</v>
      </c>
      <c r="H27" s="23">
        <v>6000</v>
      </c>
      <c r="I27" s="2">
        <v>4</v>
      </c>
      <c r="J27" s="31">
        <v>5</v>
      </c>
      <c r="K27" s="7">
        <f t="shared" si="3"/>
        <v>24000</v>
      </c>
      <c r="L27" s="7">
        <f t="shared" si="0"/>
        <v>1200</v>
      </c>
      <c r="M27" s="7">
        <f t="shared" si="1"/>
        <v>22800</v>
      </c>
      <c r="N27" s="23">
        <v>43000</v>
      </c>
      <c r="O27" s="7">
        <f t="shared" si="2"/>
        <v>65800</v>
      </c>
      <c r="P27" s="2" t="s">
        <v>22</v>
      </c>
      <c r="Q27" t="str">
        <f>_xlfn.XLOOKUP(B27,Status!$A$2:$A$1867,Status!$B$2:$B$1867)</f>
        <v>Completed</v>
      </c>
      <c r="R27" s="2" t="s">
        <v>82</v>
      </c>
      <c r="S27" s="8">
        <v>4</v>
      </c>
      <c r="T27" s="2" t="s">
        <v>24</v>
      </c>
      <c r="U27" s="31" t="str" cm="1">
        <f t="array" ref="U27">_xlfn.IFS(L27&lt;=5000,$Z$3,AND(L27&gt;5000,L27&lt;=15000),$Z$4,AND(L27&gt;15000,L27&lt;=30000),$Z$5,AND(L27&gt;30000,L27&lt;=50000),$Z$6,L27&gt;50000,$Z$7)</f>
        <v>Sangat Rendah</v>
      </c>
      <c r="V27" s="2"/>
      <c r="W27" s="2"/>
      <c r="X27" s="2"/>
      <c r="Y27" s="2"/>
      <c r="Z27" s="24"/>
      <c r="AA27" s="2"/>
      <c r="AB27" s="2"/>
      <c r="AC27" s="13"/>
      <c r="AD27" s="13"/>
      <c r="AE27" s="13"/>
      <c r="AF27" s="12"/>
      <c r="AG27" s="13"/>
      <c r="AH27" s="2"/>
      <c r="AJ27" s="2"/>
      <c r="AK27" s="8"/>
      <c r="AL27" s="2"/>
    </row>
    <row r="28" spans="1:38" ht="15.75" customHeight="1" x14ac:dyDescent="0.25">
      <c r="A28" s="26"/>
      <c r="B28" s="2" t="s">
        <v>111</v>
      </c>
      <c r="C28" s="32">
        <v>45555.482685185183</v>
      </c>
      <c r="D28" s="53">
        <f>YEAR(Table1[[#This Row],[Order Date]])</f>
        <v>2024</v>
      </c>
      <c r="E28" s="2" t="s">
        <v>112</v>
      </c>
      <c r="F28" s="2" t="s">
        <v>113</v>
      </c>
      <c r="G28" s="2" t="s">
        <v>21</v>
      </c>
      <c r="H28" s="23">
        <v>45000</v>
      </c>
      <c r="I28" s="2">
        <v>3</v>
      </c>
      <c r="J28" s="31">
        <v>0</v>
      </c>
      <c r="K28" s="7">
        <f t="shared" si="3"/>
        <v>135000</v>
      </c>
      <c r="L28" s="7">
        <f t="shared" si="0"/>
        <v>0</v>
      </c>
      <c r="M28" s="7">
        <f t="shared" si="1"/>
        <v>135000</v>
      </c>
      <c r="N28" s="23">
        <v>18000</v>
      </c>
      <c r="O28" s="7">
        <f t="shared" si="2"/>
        <v>153000</v>
      </c>
      <c r="P28" s="2" t="s">
        <v>29</v>
      </c>
      <c r="Q28" t="str">
        <f>_xlfn.XLOOKUP(B28,Status!$A$2:$A$1867,Status!$B$2:$B$1867)</f>
        <v>Completed</v>
      </c>
      <c r="R28" s="2" t="s">
        <v>46</v>
      </c>
      <c r="S28" s="8">
        <v>1</v>
      </c>
      <c r="T28" s="2" t="s">
        <v>24</v>
      </c>
      <c r="U28" s="31" t="str" cm="1">
        <f t="array" ref="U28">_xlfn.IFS(L28&lt;=5000,$Z$3,AND(L28&gt;5000,L28&lt;=15000),$Z$4,AND(L28&gt;15000,L28&lt;=30000),$Z$5,AND(L28&gt;30000,L28&lt;=50000),$Z$6,L28&gt;50000,$Z$7)</f>
        <v>Sangat Rendah</v>
      </c>
      <c r="V28" s="2"/>
      <c r="W28" s="21"/>
      <c r="X28" s="21"/>
      <c r="Y28" s="2"/>
      <c r="Z28" s="24"/>
      <c r="AA28" s="2"/>
      <c r="AB28" s="2"/>
      <c r="AC28" s="13"/>
      <c r="AD28" s="13"/>
      <c r="AE28" s="13"/>
      <c r="AF28" s="12"/>
      <c r="AG28" s="13"/>
      <c r="AH28" s="2"/>
      <c r="AJ28" s="2"/>
      <c r="AK28" s="8"/>
      <c r="AL28" s="2"/>
    </row>
    <row r="29" spans="1:38" ht="15.75" customHeight="1" x14ac:dyDescent="0.25">
      <c r="A29" s="26"/>
      <c r="B29" s="2" t="s">
        <v>114</v>
      </c>
      <c r="C29" s="32">
        <v>45555.563715277778</v>
      </c>
      <c r="D29" s="53">
        <f>YEAR(Table1[[#This Row],[Order Date]])</f>
        <v>2024</v>
      </c>
      <c r="E29" s="2" t="s">
        <v>115</v>
      </c>
      <c r="F29" s="2" t="s">
        <v>116</v>
      </c>
      <c r="G29" s="2" t="s">
        <v>50</v>
      </c>
      <c r="H29" s="23">
        <v>14000</v>
      </c>
      <c r="I29" s="2">
        <v>3</v>
      </c>
      <c r="J29" s="31">
        <v>15</v>
      </c>
      <c r="K29" s="7">
        <f t="shared" si="3"/>
        <v>42000</v>
      </c>
      <c r="L29" s="7">
        <f t="shared" si="0"/>
        <v>6300</v>
      </c>
      <c r="M29" s="7">
        <f t="shared" si="1"/>
        <v>35700</v>
      </c>
      <c r="N29" s="23">
        <v>72000</v>
      </c>
      <c r="O29" s="7">
        <f t="shared" si="2"/>
        <v>107700</v>
      </c>
      <c r="P29" s="2" t="s">
        <v>63</v>
      </c>
      <c r="Q29" t="str">
        <f>_xlfn.XLOOKUP(B29,Status!$A$2:$A$1867,Status!$B$2:$B$1867)</f>
        <v>Completed</v>
      </c>
      <c r="R29" s="2" t="s">
        <v>23</v>
      </c>
      <c r="S29" s="8">
        <v>4</v>
      </c>
      <c r="T29" s="2" t="s">
        <v>24</v>
      </c>
      <c r="U29" s="31" t="str" cm="1">
        <f t="array" ref="U29">_xlfn.IFS(L29&lt;=5000,$Z$3,AND(L29&gt;5000,L29&lt;=15000),$Z$4,AND(L29&gt;15000,L29&lt;=30000),$Z$5,AND(L29&gt;30000,L29&lt;=50000),$Z$6,L29&gt;50000,$Z$7)</f>
        <v>Rendah</v>
      </c>
      <c r="V29" s="2"/>
      <c r="W29" s="2"/>
      <c r="X29" s="23"/>
      <c r="Y29" s="2"/>
      <c r="Z29" s="24"/>
      <c r="AA29" s="2"/>
      <c r="AB29" s="2"/>
      <c r="AC29" s="13"/>
      <c r="AD29" s="13"/>
      <c r="AE29" s="13"/>
      <c r="AF29" s="12"/>
      <c r="AG29" s="13"/>
      <c r="AH29" s="2"/>
      <c r="AJ29" s="2"/>
      <c r="AK29" s="8"/>
      <c r="AL29" s="2"/>
    </row>
    <row r="30" spans="1:38" ht="15.75" customHeight="1" x14ac:dyDescent="0.25">
      <c r="A30" s="26"/>
      <c r="B30" s="2" t="s">
        <v>117</v>
      </c>
      <c r="C30" s="32">
        <v>45555.596180555563</v>
      </c>
      <c r="D30" s="53">
        <f>YEAR(Table1[[#This Row],[Order Date]])</f>
        <v>2024</v>
      </c>
      <c r="E30" s="2" t="s">
        <v>118</v>
      </c>
      <c r="F30" s="2" t="s">
        <v>119</v>
      </c>
      <c r="G30" s="2" t="s">
        <v>75</v>
      </c>
      <c r="H30" s="23">
        <v>55000</v>
      </c>
      <c r="I30" s="2">
        <v>2</v>
      </c>
      <c r="J30" s="31">
        <v>0</v>
      </c>
      <c r="K30" s="7">
        <f t="shared" si="3"/>
        <v>110000</v>
      </c>
      <c r="L30" s="7">
        <f t="shared" si="0"/>
        <v>0</v>
      </c>
      <c r="M30" s="7">
        <f t="shared" si="1"/>
        <v>110000</v>
      </c>
      <c r="N30" s="23">
        <v>0</v>
      </c>
      <c r="O30" s="7">
        <f t="shared" si="2"/>
        <v>110000</v>
      </c>
      <c r="P30" s="2" t="s">
        <v>22</v>
      </c>
      <c r="Q30" t="str">
        <f>_xlfn.XLOOKUP(B30,Status!$A$2:$A$1867,Status!$B$2:$B$1867)</f>
        <v>Completed</v>
      </c>
      <c r="R30" s="2" t="s">
        <v>46</v>
      </c>
      <c r="S30" s="8">
        <v>2</v>
      </c>
      <c r="T30" s="2" t="s">
        <v>24</v>
      </c>
      <c r="U30" s="31" t="str" cm="1">
        <f t="array" ref="U30">_xlfn.IFS(L30&lt;=5000,$Z$3,AND(L30&gt;5000,L30&lt;=15000),$Z$4,AND(L30&gt;15000,L30&lt;=30000),$Z$5,AND(L30&gt;30000,L30&lt;=50000),$Z$6,L30&gt;50000,$Z$7)</f>
        <v>Sangat Rendah</v>
      </c>
      <c r="V30" s="2"/>
      <c r="W30" s="2"/>
      <c r="X30" s="23"/>
      <c r="Y30" s="2"/>
      <c r="Z30" s="24"/>
      <c r="AA30" s="2"/>
      <c r="AB30" s="2"/>
      <c r="AC30" s="13"/>
      <c r="AD30" s="13"/>
      <c r="AE30" s="13"/>
      <c r="AF30" s="12"/>
      <c r="AG30" s="13"/>
      <c r="AH30" s="2"/>
      <c r="AJ30" s="2"/>
      <c r="AK30" s="8"/>
      <c r="AL30" s="2"/>
    </row>
    <row r="31" spans="1:38" ht="15.75" customHeight="1" x14ac:dyDescent="0.25">
      <c r="A31" s="26"/>
      <c r="B31" s="2" t="s">
        <v>120</v>
      </c>
      <c r="C31" s="32">
        <v>45555.805532407408</v>
      </c>
      <c r="D31" s="53">
        <f>YEAR(Table1[[#This Row],[Order Date]])</f>
        <v>2024</v>
      </c>
      <c r="E31" s="2" t="s">
        <v>121</v>
      </c>
      <c r="F31" s="2" t="s">
        <v>122</v>
      </c>
      <c r="G31" s="2" t="s">
        <v>123</v>
      </c>
      <c r="H31" s="23">
        <v>22000</v>
      </c>
      <c r="I31" s="2">
        <v>4</v>
      </c>
      <c r="J31" s="31">
        <v>10</v>
      </c>
      <c r="K31" s="7">
        <f t="shared" si="3"/>
        <v>88000</v>
      </c>
      <c r="L31" s="7">
        <f t="shared" si="0"/>
        <v>8800</v>
      </c>
      <c r="M31" s="7">
        <f t="shared" si="1"/>
        <v>79200</v>
      </c>
      <c r="N31" s="23">
        <v>78000</v>
      </c>
      <c r="O31" s="7">
        <f t="shared" si="2"/>
        <v>157200</v>
      </c>
      <c r="P31" s="2" t="s">
        <v>29</v>
      </c>
      <c r="Q31" t="str">
        <f>_xlfn.XLOOKUP(B31,Status!$A$2:$A$1867,Status!$B$2:$B$1867)</f>
        <v>Cancelled</v>
      </c>
      <c r="R31" s="2" t="s">
        <v>23</v>
      </c>
      <c r="S31" s="8">
        <v>3</v>
      </c>
      <c r="T31" s="2" t="s">
        <v>24</v>
      </c>
      <c r="U31" s="31" t="str" cm="1">
        <f t="array" ref="U31">_xlfn.IFS(L31&lt;=5000,$Z$3,AND(L31&gt;5000,L31&lt;=15000),$Z$4,AND(L31&gt;15000,L31&lt;=30000),$Z$5,AND(L31&gt;30000,L31&lt;=50000),$Z$6,L31&gt;50000,$Z$7)</f>
        <v>Rendah</v>
      </c>
      <c r="V31" s="2"/>
      <c r="W31" s="2"/>
      <c r="X31" s="23"/>
      <c r="Y31" s="2"/>
      <c r="Z31" s="24"/>
      <c r="AA31" s="2"/>
      <c r="AB31" s="2"/>
      <c r="AC31" s="13"/>
      <c r="AD31" s="13"/>
      <c r="AE31" s="13"/>
      <c r="AF31" s="12"/>
      <c r="AG31" s="13"/>
      <c r="AH31" s="2"/>
      <c r="AJ31" s="2"/>
      <c r="AK31" s="8"/>
      <c r="AL31" s="2"/>
    </row>
    <row r="32" spans="1:38" ht="15.75" customHeight="1" x14ac:dyDescent="0.25">
      <c r="A32" s="26"/>
      <c r="B32" s="2" t="s">
        <v>124</v>
      </c>
      <c r="C32" s="32">
        <v>45555.886944444443</v>
      </c>
      <c r="D32" s="53">
        <f>YEAR(Table1[[#This Row],[Order Date]])</f>
        <v>2024</v>
      </c>
      <c r="E32" s="2" t="s">
        <v>125</v>
      </c>
      <c r="F32" s="2" t="s">
        <v>126</v>
      </c>
      <c r="G32" s="2" t="s">
        <v>50</v>
      </c>
      <c r="H32" s="23">
        <v>14000</v>
      </c>
      <c r="I32" s="2">
        <v>1</v>
      </c>
      <c r="J32" s="31">
        <v>0</v>
      </c>
      <c r="K32" s="7">
        <f t="shared" si="3"/>
        <v>14000</v>
      </c>
      <c r="L32" s="7">
        <f t="shared" si="0"/>
        <v>0</v>
      </c>
      <c r="M32" s="7">
        <f t="shared" si="1"/>
        <v>14000</v>
      </c>
      <c r="N32" s="23">
        <v>84000</v>
      </c>
      <c r="O32" s="7">
        <f t="shared" si="2"/>
        <v>98000</v>
      </c>
      <c r="P32" s="2" t="s">
        <v>29</v>
      </c>
      <c r="Q32" t="str">
        <f>_xlfn.XLOOKUP(B32,Status!$A$2:$A$1867,Status!$B$2:$B$1867)</f>
        <v>Completed</v>
      </c>
      <c r="R32" s="2" t="s">
        <v>46</v>
      </c>
      <c r="S32" s="8">
        <v>1</v>
      </c>
      <c r="T32" s="2" t="s">
        <v>24</v>
      </c>
      <c r="U32" s="31" t="str" cm="1">
        <f t="array" ref="U32">_xlfn.IFS(L32&lt;=5000,$Z$3,AND(L32&gt;5000,L32&lt;=15000),$Z$4,AND(L32&gt;15000,L32&lt;=30000),$Z$5,AND(L32&gt;30000,L32&lt;=50000),$Z$6,L32&gt;50000,$Z$7)</f>
        <v>Sangat Rendah</v>
      </c>
      <c r="V32" s="2"/>
      <c r="W32" s="2"/>
      <c r="X32" s="23"/>
      <c r="Y32" s="2"/>
      <c r="Z32" s="24"/>
      <c r="AA32" s="2"/>
      <c r="AB32" s="2"/>
      <c r="AC32" s="13"/>
      <c r="AD32" s="13"/>
      <c r="AE32" s="13"/>
      <c r="AF32" s="12"/>
      <c r="AG32" s="13"/>
      <c r="AH32" s="2"/>
      <c r="AJ32" s="2"/>
      <c r="AK32" s="8"/>
      <c r="AL32" s="2"/>
    </row>
    <row r="33" spans="1:24" ht="15.75" customHeight="1" x14ac:dyDescent="0.25">
      <c r="A33" s="26"/>
      <c r="B33" s="2" t="s">
        <v>127</v>
      </c>
      <c r="C33" s="32">
        <v>45555.912546296298</v>
      </c>
      <c r="D33" s="53">
        <f>YEAR(Table1[[#This Row],[Order Date]])</f>
        <v>2024</v>
      </c>
      <c r="E33" s="2" t="s">
        <v>128</v>
      </c>
      <c r="F33" s="2" t="s">
        <v>103</v>
      </c>
      <c r="G33" s="2" t="s">
        <v>21</v>
      </c>
      <c r="H33" s="23">
        <v>45000</v>
      </c>
      <c r="I33" s="2">
        <v>5</v>
      </c>
      <c r="J33" s="31">
        <v>10</v>
      </c>
      <c r="K33" s="7">
        <f t="shared" si="3"/>
        <v>225000</v>
      </c>
      <c r="L33" s="7">
        <f t="shared" si="0"/>
        <v>22500</v>
      </c>
      <c r="M33" s="7">
        <f t="shared" si="1"/>
        <v>202500</v>
      </c>
      <c r="N33" s="23">
        <v>85000</v>
      </c>
      <c r="O33" s="7">
        <f t="shared" si="2"/>
        <v>287500</v>
      </c>
      <c r="P33" s="2" t="s">
        <v>35</v>
      </c>
      <c r="Q33" t="str">
        <f>_xlfn.XLOOKUP(B33,Status!$A$2:$A$1867,Status!$B$2:$B$1867)</f>
        <v>Completed</v>
      </c>
      <c r="R33" s="2" t="s">
        <v>23</v>
      </c>
      <c r="S33" s="8">
        <v>4</v>
      </c>
      <c r="T33" s="2" t="s">
        <v>37</v>
      </c>
      <c r="U33" s="31" t="str" cm="1">
        <f t="array" ref="U33">_xlfn.IFS(L33&lt;=5000,$Z$3,AND(L33&gt;5000,L33&lt;=15000),$Z$4,AND(L33&gt;15000,L33&lt;=30000),$Z$5,AND(L33&gt;30000,L33&lt;=50000),$Z$6,L33&gt;50000,$Z$7)</f>
        <v>Normal</v>
      </c>
      <c r="V33" s="2"/>
      <c r="X33" s="23"/>
    </row>
    <row r="34" spans="1:24" ht="15.75" customHeight="1" x14ac:dyDescent="0.25">
      <c r="A34" s="26"/>
      <c r="B34" s="2" t="s">
        <v>129</v>
      </c>
      <c r="C34" s="32">
        <v>45555.930231481478</v>
      </c>
      <c r="D34" s="53">
        <f>YEAR(Table1[[#This Row],[Order Date]])</f>
        <v>2024</v>
      </c>
      <c r="E34" s="2" t="s">
        <v>130</v>
      </c>
      <c r="F34" s="2" t="s">
        <v>131</v>
      </c>
      <c r="G34" s="2" t="s">
        <v>41</v>
      </c>
      <c r="H34" s="23">
        <v>4000</v>
      </c>
      <c r="I34" s="2">
        <v>3</v>
      </c>
      <c r="J34" s="31">
        <v>10</v>
      </c>
      <c r="K34" s="7">
        <f t="shared" si="3"/>
        <v>12000</v>
      </c>
      <c r="L34" s="7">
        <f t="shared" si="0"/>
        <v>1200</v>
      </c>
      <c r="M34" s="7">
        <f t="shared" si="1"/>
        <v>10800</v>
      </c>
      <c r="N34" s="23">
        <v>59000</v>
      </c>
      <c r="O34" s="7">
        <f t="shared" si="2"/>
        <v>69800</v>
      </c>
      <c r="P34" s="2" t="s">
        <v>29</v>
      </c>
      <c r="Q34" t="str">
        <f>_xlfn.XLOOKUP(B34,Status!$A$2:$A$1867,Status!$B$2:$B$1867)</f>
        <v>Completed</v>
      </c>
      <c r="R34" s="2" t="s">
        <v>23</v>
      </c>
      <c r="S34" s="8">
        <v>2</v>
      </c>
      <c r="T34" s="2" t="s">
        <v>24</v>
      </c>
      <c r="U34" s="31" t="str" cm="1">
        <f t="array" ref="U34">_xlfn.IFS(L34&lt;=5000,$Z$3,AND(L34&gt;5000,L34&lt;=15000),$Z$4,AND(L34&gt;15000,L34&lt;=30000),$Z$5,AND(L34&gt;30000,L34&lt;=50000),$Z$6,L34&gt;50000,$Z$7)</f>
        <v>Sangat Rendah</v>
      </c>
      <c r="V34" s="2"/>
      <c r="W34" s="5"/>
      <c r="X34" s="23"/>
    </row>
    <row r="35" spans="1:24" ht="15.75" customHeight="1" x14ac:dyDescent="0.25">
      <c r="A35" s="26"/>
      <c r="B35" s="2" t="s">
        <v>132</v>
      </c>
      <c r="C35" s="32">
        <v>45556.104629629634</v>
      </c>
      <c r="D35" s="53">
        <f>YEAR(Table1[[#This Row],[Order Date]])</f>
        <v>2024</v>
      </c>
      <c r="E35" s="2" t="s">
        <v>133</v>
      </c>
      <c r="F35" s="2" t="s">
        <v>33</v>
      </c>
      <c r="G35" s="2" t="s">
        <v>104</v>
      </c>
      <c r="H35" s="23">
        <v>30000</v>
      </c>
      <c r="I35" s="2">
        <v>2</v>
      </c>
      <c r="J35" s="31">
        <v>10</v>
      </c>
      <c r="K35" s="7">
        <f t="shared" si="3"/>
        <v>60000</v>
      </c>
      <c r="L35" s="7">
        <f t="shared" si="0"/>
        <v>6000</v>
      </c>
      <c r="M35" s="7">
        <f t="shared" si="1"/>
        <v>54000</v>
      </c>
      <c r="N35" s="23">
        <v>76000</v>
      </c>
      <c r="O35" s="7">
        <f t="shared" si="2"/>
        <v>130000</v>
      </c>
      <c r="P35" s="2" t="s">
        <v>22</v>
      </c>
      <c r="Q35" t="str">
        <f>_xlfn.XLOOKUP(B35,Status!$A$2:$A$1867,Status!$B$2:$B$1867)</f>
        <v>Completed</v>
      </c>
      <c r="R35" s="2" t="s">
        <v>36</v>
      </c>
      <c r="S35" s="8">
        <v>5</v>
      </c>
      <c r="T35" s="2" t="s">
        <v>24</v>
      </c>
      <c r="U35" s="31" t="str" cm="1">
        <f t="array" ref="U35">_xlfn.IFS(L35&lt;=5000,$Z$3,AND(L35&gt;5000,L35&lt;=15000),$Z$4,AND(L35&gt;15000,L35&lt;=30000),$Z$5,AND(L35&gt;30000,L35&lt;=50000),$Z$6,L35&gt;50000,$Z$7)</f>
        <v>Rendah</v>
      </c>
      <c r="V35" s="2"/>
      <c r="W35" s="5"/>
      <c r="X35" s="23"/>
    </row>
    <row r="36" spans="1:24" ht="15.75" customHeight="1" x14ac:dyDescent="0.25">
      <c r="A36" s="26"/>
      <c r="B36" s="2" t="s">
        <v>132</v>
      </c>
      <c r="C36" s="32">
        <v>45556.104629629634</v>
      </c>
      <c r="D36" s="53">
        <f>YEAR(Table1[[#This Row],[Order Date]])</f>
        <v>2024</v>
      </c>
      <c r="E36" s="2" t="s">
        <v>133</v>
      </c>
      <c r="F36" s="2" t="s">
        <v>33</v>
      </c>
      <c r="G36" s="2" t="s">
        <v>104</v>
      </c>
      <c r="H36" s="23">
        <v>30000</v>
      </c>
      <c r="I36" s="2">
        <v>5</v>
      </c>
      <c r="J36" s="31">
        <v>10</v>
      </c>
      <c r="K36" s="7">
        <f t="shared" si="3"/>
        <v>150000</v>
      </c>
      <c r="L36" s="7">
        <f t="shared" si="0"/>
        <v>15000</v>
      </c>
      <c r="M36" s="7">
        <f t="shared" si="1"/>
        <v>135000</v>
      </c>
      <c r="N36" s="23">
        <v>0</v>
      </c>
      <c r="O36" s="7">
        <f t="shared" si="2"/>
        <v>135000</v>
      </c>
      <c r="P36" s="2" t="s">
        <v>22</v>
      </c>
      <c r="Q36" t="str">
        <f>_xlfn.XLOOKUP(B36,Status!$A$2:$A$1867,Status!$B$2:$B$1867)</f>
        <v>Completed</v>
      </c>
      <c r="R36" s="2" t="s">
        <v>36</v>
      </c>
      <c r="S36" s="8">
        <v>5</v>
      </c>
      <c r="T36" s="2" t="s">
        <v>24</v>
      </c>
      <c r="U36" s="31" t="str" cm="1">
        <f t="array" ref="U36">_xlfn.IFS(L36&lt;=5000,$Z$3,AND(L36&gt;5000,L36&lt;=15000),$Z$4,AND(L36&gt;15000,L36&lt;=30000),$Z$5,AND(L36&gt;30000,L36&lt;=50000),$Z$6,L36&gt;50000,$Z$7)</f>
        <v>Rendah</v>
      </c>
      <c r="V36" s="2"/>
      <c r="W36" s="5"/>
      <c r="X36" s="23"/>
    </row>
    <row r="37" spans="1:24" ht="15.75" customHeight="1" x14ac:dyDescent="0.25">
      <c r="A37" s="26"/>
      <c r="B37" s="2" t="s">
        <v>134</v>
      </c>
      <c r="C37" s="32">
        <v>45556.107581018521</v>
      </c>
      <c r="D37" s="53">
        <f>YEAR(Table1[[#This Row],[Order Date]])</f>
        <v>2024</v>
      </c>
      <c r="E37" s="2" t="s">
        <v>135</v>
      </c>
      <c r="F37" s="2" t="s">
        <v>27</v>
      </c>
      <c r="G37" s="2" t="s">
        <v>136</v>
      </c>
      <c r="H37" s="23">
        <v>12000</v>
      </c>
      <c r="I37" s="2">
        <v>5</v>
      </c>
      <c r="J37" s="31">
        <v>15</v>
      </c>
      <c r="K37" s="7">
        <f t="shared" si="3"/>
        <v>60000</v>
      </c>
      <c r="L37" s="7">
        <f t="shared" si="0"/>
        <v>9000</v>
      </c>
      <c r="M37" s="7">
        <f t="shared" si="1"/>
        <v>51000</v>
      </c>
      <c r="N37" s="23">
        <v>17000</v>
      </c>
      <c r="O37" s="7">
        <f t="shared" si="2"/>
        <v>68000</v>
      </c>
      <c r="P37" s="2" t="s">
        <v>22</v>
      </c>
      <c r="Q37" t="str">
        <f>_xlfn.XLOOKUP(B37,Status!$A$2:$A$1867,Status!$B$2:$B$1867)</f>
        <v>Completed</v>
      </c>
      <c r="R37" s="2" t="s">
        <v>30</v>
      </c>
      <c r="S37" s="8">
        <v>1</v>
      </c>
      <c r="T37" s="2" t="s">
        <v>24</v>
      </c>
      <c r="U37" s="31" t="str" cm="1">
        <f t="array" ref="U37">_xlfn.IFS(L37&lt;=5000,$Z$3,AND(L37&gt;5000,L37&lt;=15000),$Z$4,AND(L37&gt;15000,L37&lt;=30000),$Z$5,AND(L37&gt;30000,L37&lt;=50000),$Z$6,L37&gt;50000,$Z$7)</f>
        <v>Rendah</v>
      </c>
      <c r="V37" s="2"/>
      <c r="W37" s="6"/>
      <c r="X37" s="23"/>
    </row>
    <row r="38" spans="1:24" ht="15.75" customHeight="1" x14ac:dyDescent="0.25">
      <c r="A38" s="26"/>
      <c r="B38" s="2" t="s">
        <v>137</v>
      </c>
      <c r="C38" s="32">
        <v>45556.2421875</v>
      </c>
      <c r="D38" s="53">
        <f>YEAR(Table1[[#This Row],[Order Date]])</f>
        <v>2024</v>
      </c>
      <c r="E38" s="2" t="s">
        <v>133</v>
      </c>
      <c r="F38" s="2" t="s">
        <v>33</v>
      </c>
      <c r="G38" s="2" t="s">
        <v>93</v>
      </c>
      <c r="H38" s="23">
        <v>25000</v>
      </c>
      <c r="I38" s="2">
        <v>5</v>
      </c>
      <c r="J38" s="31">
        <v>20</v>
      </c>
      <c r="K38" s="7">
        <f t="shared" si="3"/>
        <v>125000</v>
      </c>
      <c r="L38" s="7">
        <f t="shared" si="0"/>
        <v>25000</v>
      </c>
      <c r="M38" s="7">
        <f t="shared" si="1"/>
        <v>100000</v>
      </c>
      <c r="N38" s="23">
        <v>76000</v>
      </c>
      <c r="O38" s="7">
        <f t="shared" si="2"/>
        <v>176000</v>
      </c>
      <c r="P38" s="2" t="s">
        <v>35</v>
      </c>
      <c r="Q38" t="str">
        <f>_xlfn.XLOOKUP(B38,Status!$A$2:$A$1867,Status!$B$2:$B$1867)</f>
        <v>Returned</v>
      </c>
      <c r="R38" s="2" t="s">
        <v>46</v>
      </c>
      <c r="S38" s="8">
        <v>4</v>
      </c>
      <c r="T38" s="2" t="s">
        <v>24</v>
      </c>
      <c r="U38" s="31" t="str" cm="1">
        <f t="array" ref="U38">_xlfn.IFS(L38&lt;=5000,$Z$3,AND(L38&gt;5000,L38&lt;=15000),$Z$4,AND(L38&gt;15000,L38&lt;=30000),$Z$5,AND(L38&gt;30000,L38&lt;=50000),$Z$6,L38&gt;50000,$Z$7)</f>
        <v>Normal</v>
      </c>
      <c r="V38" s="2"/>
      <c r="X38" s="23"/>
    </row>
    <row r="39" spans="1:24" ht="15.75" customHeight="1" x14ac:dyDescent="0.25">
      <c r="A39" s="26"/>
      <c r="B39" s="2" t="s">
        <v>137</v>
      </c>
      <c r="C39" s="32">
        <v>45556.2421875</v>
      </c>
      <c r="D39" s="53">
        <f>YEAR(Table1[[#This Row],[Order Date]])</f>
        <v>2024</v>
      </c>
      <c r="E39" s="2" t="s">
        <v>133</v>
      </c>
      <c r="F39" s="2" t="s">
        <v>33</v>
      </c>
      <c r="G39" s="2" t="s">
        <v>138</v>
      </c>
      <c r="H39" s="23">
        <v>17000</v>
      </c>
      <c r="I39" s="2">
        <v>2</v>
      </c>
      <c r="J39" s="31">
        <v>5</v>
      </c>
      <c r="K39" s="7">
        <f t="shared" si="3"/>
        <v>34000</v>
      </c>
      <c r="L39" s="7">
        <f t="shared" si="0"/>
        <v>1700</v>
      </c>
      <c r="M39" s="7">
        <f t="shared" si="1"/>
        <v>32300</v>
      </c>
      <c r="N39" s="23">
        <v>0</v>
      </c>
      <c r="O39" s="7">
        <f t="shared" si="2"/>
        <v>32300</v>
      </c>
      <c r="P39" s="2" t="s">
        <v>35</v>
      </c>
      <c r="Q39" t="str">
        <f>_xlfn.XLOOKUP(B39,Status!$A$2:$A$1867,Status!$B$2:$B$1867)</f>
        <v>Returned</v>
      </c>
      <c r="R39" s="2" t="s">
        <v>46</v>
      </c>
      <c r="S39" s="8">
        <v>4</v>
      </c>
      <c r="T39" s="2" t="s">
        <v>24</v>
      </c>
      <c r="U39" s="31" t="str" cm="1">
        <f t="array" ref="U39">_xlfn.IFS(L39&lt;=5000,$Z$3,AND(L39&gt;5000,L39&lt;=15000),$Z$4,AND(L39&gt;15000,L39&lt;=30000),$Z$5,AND(L39&gt;30000,L39&lt;=50000),$Z$6,L39&gt;50000,$Z$7)</f>
        <v>Sangat Rendah</v>
      </c>
      <c r="V39" s="2"/>
      <c r="X39" s="23"/>
    </row>
    <row r="40" spans="1:24" ht="15.75" customHeight="1" x14ac:dyDescent="0.25">
      <c r="A40" s="26"/>
      <c r="B40" s="2" t="s">
        <v>139</v>
      </c>
      <c r="C40" s="32">
        <v>45556.450289351851</v>
      </c>
      <c r="D40" s="53">
        <f>YEAR(Table1[[#This Row],[Order Date]])</f>
        <v>2024</v>
      </c>
      <c r="E40" s="2" t="s">
        <v>140</v>
      </c>
      <c r="F40" s="2" t="s">
        <v>92</v>
      </c>
      <c r="G40" s="2" t="s">
        <v>110</v>
      </c>
      <c r="H40" s="23">
        <v>6000</v>
      </c>
      <c r="I40" s="2">
        <v>5</v>
      </c>
      <c r="J40" s="31">
        <v>15</v>
      </c>
      <c r="K40" s="7">
        <f t="shared" si="3"/>
        <v>30000</v>
      </c>
      <c r="L40" s="7">
        <f t="shared" si="0"/>
        <v>4500</v>
      </c>
      <c r="M40" s="7">
        <f t="shared" si="1"/>
        <v>25500</v>
      </c>
      <c r="N40" s="23">
        <v>30000</v>
      </c>
      <c r="O40" s="7">
        <f t="shared" si="2"/>
        <v>55500</v>
      </c>
      <c r="P40" s="2" t="s">
        <v>63</v>
      </c>
      <c r="Q40" t="str">
        <f>_xlfn.XLOOKUP(B40,Status!$A$2:$A$1867,Status!$B$2:$B$1867)</f>
        <v>Returned</v>
      </c>
      <c r="R40" s="2" t="s">
        <v>23</v>
      </c>
      <c r="S40" s="8">
        <v>2</v>
      </c>
      <c r="T40" s="2" t="s">
        <v>24</v>
      </c>
      <c r="U40" s="31" t="str" cm="1">
        <f t="array" ref="U40">_xlfn.IFS(L40&lt;=5000,$Z$3,AND(L40&gt;5000,L40&lt;=15000),$Z$4,AND(L40&gt;15000,L40&lt;=30000),$Z$5,AND(L40&gt;30000,L40&lt;=50000),$Z$6,L40&gt;50000,$Z$7)</f>
        <v>Sangat Rendah</v>
      </c>
      <c r="V40" s="2"/>
      <c r="X40" s="23"/>
    </row>
    <row r="41" spans="1:24" ht="15.75" customHeight="1" x14ac:dyDescent="0.25">
      <c r="A41" s="26"/>
      <c r="B41" s="2" t="s">
        <v>141</v>
      </c>
      <c r="C41" s="32">
        <v>45556.505023148151</v>
      </c>
      <c r="D41" s="53">
        <f>YEAR(Table1[[#This Row],[Order Date]])</f>
        <v>2024</v>
      </c>
      <c r="E41" s="2" t="s">
        <v>142</v>
      </c>
      <c r="F41" s="2" t="s">
        <v>143</v>
      </c>
      <c r="G41" s="2" t="s">
        <v>144</v>
      </c>
      <c r="H41" s="23">
        <v>18000</v>
      </c>
      <c r="I41" s="2">
        <v>1</v>
      </c>
      <c r="J41" s="31">
        <v>5</v>
      </c>
      <c r="K41" s="7">
        <f t="shared" si="3"/>
        <v>18000</v>
      </c>
      <c r="L41" s="7">
        <f t="shared" si="0"/>
        <v>900</v>
      </c>
      <c r="M41" s="7">
        <f t="shared" si="1"/>
        <v>17100</v>
      </c>
      <c r="N41" s="23">
        <v>50000</v>
      </c>
      <c r="O41" s="7">
        <f t="shared" si="2"/>
        <v>67100</v>
      </c>
      <c r="P41" s="2" t="s">
        <v>22</v>
      </c>
      <c r="Q41" t="str">
        <f>_xlfn.XLOOKUP(B41,Status!$A$2:$A$1867,Status!$B$2:$B$1867)</f>
        <v>Returned</v>
      </c>
      <c r="R41" s="2" t="s">
        <v>30</v>
      </c>
      <c r="S41" s="8">
        <v>4</v>
      </c>
      <c r="T41" s="2" t="s">
        <v>24</v>
      </c>
      <c r="U41" s="31" t="str" cm="1">
        <f t="array" ref="U41">_xlfn.IFS(L41&lt;=5000,$Z$3,AND(L41&gt;5000,L41&lt;=15000),$Z$4,AND(L41&gt;15000,L41&lt;=30000),$Z$5,AND(L41&gt;30000,L41&lt;=50000),$Z$6,L41&gt;50000,$Z$7)</f>
        <v>Sangat Rendah</v>
      </c>
      <c r="V41" s="2"/>
      <c r="X41" s="23"/>
    </row>
    <row r="42" spans="1:24" ht="15.75" customHeight="1" x14ac:dyDescent="0.25">
      <c r="A42" s="26"/>
      <c r="B42" s="2" t="s">
        <v>145</v>
      </c>
      <c r="C42" s="32">
        <v>45556.59302083333</v>
      </c>
      <c r="D42" s="53">
        <f>YEAR(Table1[[#This Row],[Order Date]])</f>
        <v>2024</v>
      </c>
      <c r="E42" s="2" t="s">
        <v>146</v>
      </c>
      <c r="F42" s="2" t="s">
        <v>92</v>
      </c>
      <c r="G42" s="2" t="s">
        <v>75</v>
      </c>
      <c r="H42" s="23">
        <v>55000</v>
      </c>
      <c r="I42" s="2">
        <v>4</v>
      </c>
      <c r="J42" s="31">
        <v>5</v>
      </c>
      <c r="K42" s="7">
        <f t="shared" si="3"/>
        <v>220000</v>
      </c>
      <c r="L42" s="7">
        <f t="shared" si="0"/>
        <v>11000</v>
      </c>
      <c r="M42" s="7">
        <f t="shared" si="1"/>
        <v>209000</v>
      </c>
      <c r="N42" s="23">
        <v>30000</v>
      </c>
      <c r="O42" s="7">
        <f t="shared" si="2"/>
        <v>239000</v>
      </c>
      <c r="P42" s="2" t="s">
        <v>35</v>
      </c>
      <c r="Q42" t="str">
        <f>_xlfn.XLOOKUP(B42,Status!$A$2:$A$1867,Status!$B$2:$B$1867)</f>
        <v>Completed</v>
      </c>
      <c r="R42" s="2" t="s">
        <v>30</v>
      </c>
      <c r="S42" s="8">
        <v>5</v>
      </c>
      <c r="T42" s="2" t="s">
        <v>37</v>
      </c>
      <c r="U42" s="31" t="str" cm="1">
        <f t="array" ref="U42">_xlfn.IFS(L42&lt;=5000,$Z$3,AND(L42&gt;5000,L42&lt;=15000),$Z$4,AND(L42&gt;15000,L42&lt;=30000),$Z$5,AND(L42&gt;30000,L42&lt;=50000),$Z$6,L42&gt;50000,$Z$7)</f>
        <v>Rendah</v>
      </c>
      <c r="V42" s="2"/>
      <c r="X42" s="23"/>
    </row>
    <row r="43" spans="1:24" ht="15.75" customHeight="1" x14ac:dyDescent="0.25">
      <c r="A43" s="26"/>
      <c r="B43" s="2" t="s">
        <v>147</v>
      </c>
      <c r="C43" s="32">
        <v>45556.667488425926</v>
      </c>
      <c r="D43" s="53">
        <f>YEAR(Table1[[#This Row],[Order Date]])</f>
        <v>2024</v>
      </c>
      <c r="E43" s="2" t="s">
        <v>148</v>
      </c>
      <c r="F43" s="2" t="s">
        <v>74</v>
      </c>
      <c r="G43" s="2" t="s">
        <v>62</v>
      </c>
      <c r="H43" s="23">
        <v>50000</v>
      </c>
      <c r="I43" s="2">
        <v>5</v>
      </c>
      <c r="J43" s="31">
        <v>15</v>
      </c>
      <c r="K43" s="7">
        <f t="shared" si="3"/>
        <v>250000</v>
      </c>
      <c r="L43" s="7">
        <f t="shared" si="0"/>
        <v>37500</v>
      </c>
      <c r="M43" s="7">
        <f t="shared" si="1"/>
        <v>212500</v>
      </c>
      <c r="N43" s="23">
        <v>87000</v>
      </c>
      <c r="O43" s="7">
        <f t="shared" si="2"/>
        <v>299500</v>
      </c>
      <c r="P43" s="2" t="s">
        <v>63</v>
      </c>
      <c r="Q43" t="str">
        <f>_xlfn.XLOOKUP(B43,Status!$A$2:$A$1867,Status!$B$2:$B$1867)</f>
        <v>Returned</v>
      </c>
      <c r="R43" s="2" t="s">
        <v>82</v>
      </c>
      <c r="S43" s="8">
        <v>2</v>
      </c>
      <c r="T43" s="2" t="s">
        <v>24</v>
      </c>
      <c r="U43" s="31" t="str" cm="1">
        <f t="array" ref="U43">_xlfn.IFS(L43&lt;=5000,$Z$3,AND(L43&gt;5000,L43&lt;=15000),$Z$4,AND(L43&gt;15000,L43&lt;=30000),$Z$5,AND(L43&gt;30000,L43&lt;=50000),$Z$6,L43&gt;50000,$Z$7)</f>
        <v>Tinggi</v>
      </c>
      <c r="V43" s="2"/>
      <c r="X43" s="23"/>
    </row>
    <row r="44" spans="1:24" ht="15.75" customHeight="1" x14ac:dyDescent="0.25">
      <c r="A44" s="26"/>
      <c r="B44" s="2" t="s">
        <v>149</v>
      </c>
      <c r="C44" s="32">
        <v>45557.366747685177</v>
      </c>
      <c r="D44" s="53">
        <f>YEAR(Table1[[#This Row],[Order Date]])</f>
        <v>2024</v>
      </c>
      <c r="E44" s="2" t="s">
        <v>150</v>
      </c>
      <c r="F44" s="2" t="s">
        <v>151</v>
      </c>
      <c r="G44" s="2" t="s">
        <v>93</v>
      </c>
      <c r="H44" s="23">
        <v>25000</v>
      </c>
      <c r="I44" s="2">
        <v>5</v>
      </c>
      <c r="J44" s="31">
        <v>0</v>
      </c>
      <c r="K44" s="7">
        <f t="shared" si="3"/>
        <v>125000</v>
      </c>
      <c r="L44" s="7">
        <f t="shared" si="0"/>
        <v>0</v>
      </c>
      <c r="M44" s="7">
        <f t="shared" si="1"/>
        <v>125000</v>
      </c>
      <c r="N44" s="23">
        <v>55000</v>
      </c>
      <c r="O44" s="7">
        <f t="shared" si="2"/>
        <v>180000</v>
      </c>
      <c r="P44" s="2" t="s">
        <v>29</v>
      </c>
      <c r="Q44" t="str">
        <f>_xlfn.XLOOKUP(B44,Status!$A$2:$A$1867,Status!$B$2:$B$1867)</f>
        <v>Returned</v>
      </c>
      <c r="R44" s="2" t="s">
        <v>36</v>
      </c>
      <c r="S44" s="8">
        <v>3</v>
      </c>
      <c r="T44" s="2" t="s">
        <v>37</v>
      </c>
      <c r="U44" s="31" t="str" cm="1">
        <f t="array" ref="U44">_xlfn.IFS(L44&lt;=5000,$Z$3,AND(L44&gt;5000,L44&lt;=15000),$Z$4,AND(L44&gt;15000,L44&lt;=30000),$Z$5,AND(L44&gt;30000,L44&lt;=50000),$Z$6,L44&gt;50000,$Z$7)</f>
        <v>Sangat Rendah</v>
      </c>
      <c r="V44" s="2"/>
      <c r="X44" s="23"/>
    </row>
    <row r="45" spans="1:24" ht="15.75" customHeight="1" x14ac:dyDescent="0.25">
      <c r="A45" s="26"/>
      <c r="B45" s="2" t="s">
        <v>152</v>
      </c>
      <c r="C45" s="32">
        <v>45557.435624999998</v>
      </c>
      <c r="D45" s="53">
        <f>YEAR(Table1[[#This Row],[Order Date]])</f>
        <v>2024</v>
      </c>
      <c r="E45" s="2" t="s">
        <v>153</v>
      </c>
      <c r="F45" s="2" t="s">
        <v>103</v>
      </c>
      <c r="G45" s="2" t="s">
        <v>62</v>
      </c>
      <c r="H45" s="23">
        <v>50000</v>
      </c>
      <c r="I45" s="2">
        <v>1</v>
      </c>
      <c r="J45" s="31">
        <v>10</v>
      </c>
      <c r="K45" s="7">
        <f t="shared" si="3"/>
        <v>50000</v>
      </c>
      <c r="L45" s="7">
        <f t="shared" si="0"/>
        <v>5000</v>
      </c>
      <c r="M45" s="7">
        <f t="shared" si="1"/>
        <v>45000</v>
      </c>
      <c r="N45" s="23">
        <v>85000</v>
      </c>
      <c r="O45" s="7">
        <f t="shared" si="2"/>
        <v>130000</v>
      </c>
      <c r="P45" s="2" t="s">
        <v>29</v>
      </c>
      <c r="Q45" t="str">
        <f>_xlfn.XLOOKUP(B45,Status!$A$2:$A$1867,Status!$B$2:$B$1867)</f>
        <v>Completed</v>
      </c>
      <c r="R45" s="2" t="s">
        <v>36</v>
      </c>
      <c r="S45" s="8">
        <v>2</v>
      </c>
      <c r="T45" s="2" t="s">
        <v>37</v>
      </c>
      <c r="U45" s="31" t="str" cm="1">
        <f t="array" ref="U45">_xlfn.IFS(L45&lt;=5000,$Z$3,AND(L45&gt;5000,L45&lt;=15000),$Z$4,AND(L45&gt;15000,L45&lt;=30000),$Z$5,AND(L45&gt;30000,L45&lt;=50000),$Z$6,L45&gt;50000,$Z$7)</f>
        <v>Sangat Rendah</v>
      </c>
      <c r="V45" s="2"/>
      <c r="X45" s="23"/>
    </row>
    <row r="46" spans="1:24" ht="15.75" customHeight="1" x14ac:dyDescent="0.25">
      <c r="A46" s="26"/>
      <c r="B46" s="2" t="s">
        <v>154</v>
      </c>
      <c r="C46" s="32">
        <v>45557.904618055552</v>
      </c>
      <c r="D46" s="53">
        <f>YEAR(Table1[[#This Row],[Order Date]])</f>
        <v>2024</v>
      </c>
      <c r="E46" s="2" t="s">
        <v>155</v>
      </c>
      <c r="F46" s="2" t="s">
        <v>92</v>
      </c>
      <c r="G46" s="2" t="s">
        <v>54</v>
      </c>
      <c r="H46" s="23">
        <v>16000</v>
      </c>
      <c r="I46" s="2">
        <v>5</v>
      </c>
      <c r="J46" s="31">
        <v>10</v>
      </c>
      <c r="K46" s="7">
        <f t="shared" si="3"/>
        <v>80000</v>
      </c>
      <c r="L46" s="7">
        <f t="shared" si="0"/>
        <v>8000</v>
      </c>
      <c r="M46" s="7">
        <f t="shared" si="1"/>
        <v>72000</v>
      </c>
      <c r="N46" s="23">
        <v>30000</v>
      </c>
      <c r="O46" s="7">
        <f t="shared" si="2"/>
        <v>102000</v>
      </c>
      <c r="P46" s="2" t="s">
        <v>22</v>
      </c>
      <c r="Q46" t="str">
        <f>_xlfn.XLOOKUP(B46,Status!$A$2:$A$1867,Status!$B$2:$B$1867)</f>
        <v>Completed</v>
      </c>
      <c r="R46" s="2" t="s">
        <v>82</v>
      </c>
      <c r="S46" s="8">
        <v>3</v>
      </c>
      <c r="T46" s="2" t="s">
        <v>24</v>
      </c>
      <c r="U46" s="31" t="str" cm="1">
        <f t="array" ref="U46">_xlfn.IFS(L46&lt;=5000,$Z$3,AND(L46&gt;5000,L46&lt;=15000),$Z$4,AND(L46&gt;15000,L46&lt;=30000),$Z$5,AND(L46&gt;30000,L46&lt;=50000),$Z$6,L46&gt;50000,$Z$7)</f>
        <v>Rendah</v>
      </c>
      <c r="V46" s="2"/>
      <c r="X46" s="23"/>
    </row>
    <row r="47" spans="1:24" ht="15.75" customHeight="1" x14ac:dyDescent="0.25">
      <c r="A47" s="26"/>
      <c r="B47" s="2" t="s">
        <v>156</v>
      </c>
      <c r="C47" s="32">
        <v>45557.948622685188</v>
      </c>
      <c r="D47" s="53">
        <f>YEAR(Table1[[#This Row],[Order Date]])</f>
        <v>2024</v>
      </c>
      <c r="E47" s="2" t="s">
        <v>157</v>
      </c>
      <c r="F47" s="2" t="s">
        <v>20</v>
      </c>
      <c r="G47" s="2" t="s">
        <v>54</v>
      </c>
      <c r="H47" s="23">
        <v>16000</v>
      </c>
      <c r="I47" s="2">
        <v>3</v>
      </c>
      <c r="J47" s="31">
        <v>0</v>
      </c>
      <c r="K47" s="7">
        <f t="shared" si="3"/>
        <v>48000</v>
      </c>
      <c r="L47" s="7">
        <f t="shared" si="0"/>
        <v>0</v>
      </c>
      <c r="M47" s="7">
        <f t="shared" si="1"/>
        <v>48000</v>
      </c>
      <c r="N47" s="23">
        <v>15000</v>
      </c>
      <c r="O47" s="7">
        <f t="shared" si="2"/>
        <v>63000</v>
      </c>
      <c r="P47" s="2" t="s">
        <v>35</v>
      </c>
      <c r="Q47" t="str">
        <f>_xlfn.XLOOKUP(B47,Status!$A$2:$A$1867,Status!$B$2:$B$1867)</f>
        <v>Completed</v>
      </c>
      <c r="R47" s="2" t="s">
        <v>36</v>
      </c>
      <c r="S47" s="8">
        <v>4</v>
      </c>
      <c r="T47" s="2" t="s">
        <v>24</v>
      </c>
      <c r="U47" s="31" t="str" cm="1">
        <f t="array" ref="U47">_xlfn.IFS(L47&lt;=5000,$Z$3,AND(L47&gt;5000,L47&lt;=15000),$Z$4,AND(L47&gt;15000,L47&lt;=30000),$Z$5,AND(L47&gt;30000,L47&lt;=50000),$Z$6,L47&gt;50000,$Z$7)</f>
        <v>Sangat Rendah</v>
      </c>
      <c r="V47" s="2"/>
      <c r="X47" s="23"/>
    </row>
    <row r="48" spans="1:24" ht="15.75" customHeight="1" x14ac:dyDescent="0.25">
      <c r="A48" s="26"/>
      <c r="B48" s="2" t="s">
        <v>158</v>
      </c>
      <c r="C48" s="32">
        <v>45558.191782407397</v>
      </c>
      <c r="D48" s="53">
        <f>YEAR(Table1[[#This Row],[Order Date]])</f>
        <v>2024</v>
      </c>
      <c r="E48" s="2" t="s">
        <v>159</v>
      </c>
      <c r="F48" s="2" t="s">
        <v>160</v>
      </c>
      <c r="G48" s="2" t="s">
        <v>41</v>
      </c>
      <c r="H48" s="23">
        <v>4000</v>
      </c>
      <c r="I48" s="2">
        <v>1</v>
      </c>
      <c r="J48" s="31">
        <v>5</v>
      </c>
      <c r="K48" s="7">
        <f t="shared" si="3"/>
        <v>4000</v>
      </c>
      <c r="L48" s="7">
        <f t="shared" si="0"/>
        <v>200</v>
      </c>
      <c r="M48" s="7">
        <f t="shared" si="1"/>
        <v>3800</v>
      </c>
      <c r="N48" s="23">
        <v>68000</v>
      </c>
      <c r="O48" s="7">
        <f t="shared" si="2"/>
        <v>71800</v>
      </c>
      <c r="P48" s="2" t="s">
        <v>63</v>
      </c>
      <c r="Q48" t="str">
        <f>_xlfn.XLOOKUP(B48,Status!$A$2:$A$1867,Status!$B$2:$B$1867)</f>
        <v>Completed</v>
      </c>
      <c r="R48" s="2" t="s">
        <v>82</v>
      </c>
      <c r="S48" s="8">
        <v>1</v>
      </c>
      <c r="T48" s="2" t="s">
        <v>24</v>
      </c>
      <c r="U48" s="31" t="str" cm="1">
        <f t="array" ref="U48">_xlfn.IFS(L48&lt;=5000,$Z$3,AND(L48&gt;5000,L48&lt;=15000),$Z$4,AND(L48&gt;15000,L48&lt;=30000),$Z$5,AND(L48&gt;30000,L48&lt;=50000),$Z$6,L48&gt;50000,$Z$7)</f>
        <v>Sangat Rendah</v>
      </c>
      <c r="V48" s="2"/>
      <c r="X48" s="23"/>
    </row>
    <row r="49" spans="1:24" ht="15.75" customHeight="1" x14ac:dyDescent="0.25">
      <c r="A49" s="26"/>
      <c r="B49" s="2" t="s">
        <v>161</v>
      </c>
      <c r="C49" s="32">
        <v>45558.467662037037</v>
      </c>
      <c r="D49" s="53">
        <f>YEAR(Table1[[#This Row],[Order Date]])</f>
        <v>2024</v>
      </c>
      <c r="E49" s="2" t="s">
        <v>162</v>
      </c>
      <c r="F49" s="2" t="s">
        <v>163</v>
      </c>
      <c r="G49" s="2" t="s">
        <v>54</v>
      </c>
      <c r="H49" s="23">
        <v>16000</v>
      </c>
      <c r="I49" s="2">
        <v>3</v>
      </c>
      <c r="J49" s="31">
        <v>5</v>
      </c>
      <c r="K49" s="7">
        <f t="shared" si="3"/>
        <v>48000</v>
      </c>
      <c r="L49" s="7">
        <f t="shared" si="0"/>
        <v>2400</v>
      </c>
      <c r="M49" s="7">
        <f t="shared" si="1"/>
        <v>45600</v>
      </c>
      <c r="N49" s="23">
        <v>50000</v>
      </c>
      <c r="O49" s="7">
        <f t="shared" si="2"/>
        <v>95600</v>
      </c>
      <c r="P49" s="2" t="s">
        <v>63</v>
      </c>
      <c r="Q49" t="str">
        <f>_xlfn.XLOOKUP(B49,Status!$A$2:$A$1867,Status!$B$2:$B$1867)</f>
        <v>Completed</v>
      </c>
      <c r="R49" s="2" t="s">
        <v>23</v>
      </c>
      <c r="S49" s="8">
        <v>4</v>
      </c>
      <c r="T49" s="2" t="s">
        <v>24</v>
      </c>
      <c r="U49" s="31" t="str" cm="1">
        <f t="array" ref="U49">_xlfn.IFS(L49&lt;=5000,$Z$3,AND(L49&gt;5000,L49&lt;=15000),$Z$4,AND(L49&gt;15000,L49&lt;=30000),$Z$5,AND(L49&gt;30000,L49&lt;=50000),$Z$6,L49&gt;50000,$Z$7)</f>
        <v>Sangat Rendah</v>
      </c>
      <c r="V49" s="2"/>
      <c r="X49" s="23"/>
    </row>
    <row r="50" spans="1:24" ht="15.75" customHeight="1" x14ac:dyDescent="0.25">
      <c r="A50" s="26"/>
      <c r="B50" s="2" t="s">
        <v>164</v>
      </c>
      <c r="C50" s="32">
        <v>45558.671018518522</v>
      </c>
      <c r="D50" s="53">
        <f>YEAR(Table1[[#This Row],[Order Date]])</f>
        <v>2024</v>
      </c>
      <c r="E50" s="2" t="s">
        <v>165</v>
      </c>
      <c r="F50" s="2" t="s">
        <v>143</v>
      </c>
      <c r="G50" s="2" t="s">
        <v>45</v>
      </c>
      <c r="H50" s="23">
        <v>40000</v>
      </c>
      <c r="I50" s="2">
        <v>3</v>
      </c>
      <c r="J50" s="31">
        <v>0</v>
      </c>
      <c r="K50" s="7">
        <f t="shared" si="3"/>
        <v>120000</v>
      </c>
      <c r="L50" s="7">
        <f t="shared" si="0"/>
        <v>0</v>
      </c>
      <c r="M50" s="7">
        <f t="shared" si="1"/>
        <v>120000</v>
      </c>
      <c r="N50" s="23">
        <v>50000</v>
      </c>
      <c r="O50" s="7">
        <f t="shared" si="2"/>
        <v>170000</v>
      </c>
      <c r="P50" s="2" t="s">
        <v>22</v>
      </c>
      <c r="Q50" t="str">
        <f>_xlfn.XLOOKUP(B50,Status!$A$2:$A$1867,Status!$B$2:$B$1867)</f>
        <v>Completed</v>
      </c>
      <c r="R50" s="2" t="s">
        <v>46</v>
      </c>
      <c r="S50" s="8">
        <v>5</v>
      </c>
      <c r="T50" s="2" t="s">
        <v>24</v>
      </c>
      <c r="U50" s="31" t="str" cm="1">
        <f t="array" ref="U50">_xlfn.IFS(L50&lt;=5000,$Z$3,AND(L50&gt;5000,L50&lt;=15000),$Z$4,AND(L50&gt;15000,L50&lt;=30000),$Z$5,AND(L50&gt;30000,L50&lt;=50000),$Z$6,L50&gt;50000,$Z$7)</f>
        <v>Sangat Rendah</v>
      </c>
      <c r="V50" s="2"/>
      <c r="X50" s="23"/>
    </row>
    <row r="51" spans="1:24" ht="15.75" customHeight="1" x14ac:dyDescent="0.25">
      <c r="A51" s="26"/>
      <c r="B51" s="2" t="s">
        <v>166</v>
      </c>
      <c r="C51" s="32">
        <v>45558.775856481479</v>
      </c>
      <c r="D51" s="53">
        <f>YEAR(Table1[[#This Row],[Order Date]])</f>
        <v>2024</v>
      </c>
      <c r="E51" s="2" t="s">
        <v>167</v>
      </c>
      <c r="F51" s="2" t="s">
        <v>44</v>
      </c>
      <c r="G51" s="2" t="s">
        <v>34</v>
      </c>
      <c r="H51" s="23">
        <v>16000</v>
      </c>
      <c r="I51" s="2">
        <v>5</v>
      </c>
      <c r="J51" s="31">
        <v>5</v>
      </c>
      <c r="K51" s="7">
        <f t="shared" si="3"/>
        <v>80000</v>
      </c>
      <c r="L51" s="7">
        <f t="shared" si="0"/>
        <v>4000</v>
      </c>
      <c r="M51" s="7">
        <f t="shared" si="1"/>
        <v>76000</v>
      </c>
      <c r="N51" s="23">
        <v>93000</v>
      </c>
      <c r="O51" s="7">
        <f t="shared" si="2"/>
        <v>169000</v>
      </c>
      <c r="P51" s="2" t="s">
        <v>63</v>
      </c>
      <c r="Q51" t="str">
        <f>_xlfn.XLOOKUP(B51,Status!$A$2:$A$1867,Status!$B$2:$B$1867)</f>
        <v>Cancelled</v>
      </c>
      <c r="R51" s="2" t="s">
        <v>82</v>
      </c>
      <c r="S51" s="8">
        <v>4</v>
      </c>
      <c r="T51" s="2" t="s">
        <v>24</v>
      </c>
      <c r="U51" s="31" t="str" cm="1">
        <f t="array" ref="U51">_xlfn.IFS(L51&lt;=5000,$Z$3,AND(L51&gt;5000,L51&lt;=15000),$Z$4,AND(L51&gt;15000,L51&lt;=30000),$Z$5,AND(L51&gt;30000,L51&lt;=50000),$Z$6,L51&gt;50000,$Z$7)</f>
        <v>Sangat Rendah</v>
      </c>
      <c r="V51" s="2"/>
      <c r="X51" s="23"/>
    </row>
    <row r="52" spans="1:24" ht="15.75" customHeight="1" x14ac:dyDescent="0.25">
      <c r="A52" s="26"/>
      <c r="B52" s="2" t="s">
        <v>168</v>
      </c>
      <c r="C52" s="32">
        <v>45559.000520833331</v>
      </c>
      <c r="D52" s="53">
        <f>YEAR(Table1[[#This Row],[Order Date]])</f>
        <v>2024</v>
      </c>
      <c r="E52" s="2" t="s">
        <v>169</v>
      </c>
      <c r="F52" s="2" t="s">
        <v>170</v>
      </c>
      <c r="G52" s="2" t="s">
        <v>71</v>
      </c>
      <c r="H52" s="23">
        <v>40000</v>
      </c>
      <c r="I52" s="2">
        <v>4</v>
      </c>
      <c r="J52" s="31">
        <v>10</v>
      </c>
      <c r="K52" s="7">
        <f t="shared" si="3"/>
        <v>160000</v>
      </c>
      <c r="L52" s="7">
        <f t="shared" si="0"/>
        <v>16000</v>
      </c>
      <c r="M52" s="7">
        <f t="shared" si="1"/>
        <v>144000</v>
      </c>
      <c r="N52" s="23">
        <v>46000</v>
      </c>
      <c r="O52" s="7">
        <f t="shared" si="2"/>
        <v>190000</v>
      </c>
      <c r="P52" s="2" t="s">
        <v>63</v>
      </c>
      <c r="Q52" t="str">
        <f>_xlfn.XLOOKUP(B52,Status!$A$2:$A$1867,Status!$B$2:$B$1867)</f>
        <v>Completed</v>
      </c>
      <c r="R52" s="2" t="s">
        <v>82</v>
      </c>
      <c r="S52" s="8">
        <v>4</v>
      </c>
      <c r="T52" s="2" t="s">
        <v>24</v>
      </c>
      <c r="U52" s="31" t="str" cm="1">
        <f t="array" ref="U52">_xlfn.IFS(L52&lt;=5000,$Z$3,AND(L52&gt;5000,L52&lt;=15000),$Z$4,AND(L52&gt;15000,L52&lt;=30000),$Z$5,AND(L52&gt;30000,L52&lt;=50000),$Z$6,L52&gt;50000,$Z$7)</f>
        <v>Normal</v>
      </c>
      <c r="V52" s="2"/>
      <c r="X52" s="23"/>
    </row>
    <row r="53" spans="1:24" ht="15.75" customHeight="1" x14ac:dyDescent="0.25">
      <c r="A53" s="26"/>
      <c r="B53" s="2" t="s">
        <v>171</v>
      </c>
      <c r="C53" s="32">
        <v>45559.017048611109</v>
      </c>
      <c r="D53" s="53">
        <f>YEAR(Table1[[#This Row],[Order Date]])</f>
        <v>2024</v>
      </c>
      <c r="E53" s="2" t="s">
        <v>172</v>
      </c>
      <c r="F53" s="2" t="s">
        <v>173</v>
      </c>
      <c r="G53" s="2" t="s">
        <v>41</v>
      </c>
      <c r="H53" s="23">
        <v>4000</v>
      </c>
      <c r="I53" s="2">
        <v>3</v>
      </c>
      <c r="J53" s="31">
        <v>10</v>
      </c>
      <c r="K53" s="7">
        <f t="shared" si="3"/>
        <v>12000</v>
      </c>
      <c r="L53" s="7">
        <f t="shared" si="0"/>
        <v>1200</v>
      </c>
      <c r="M53" s="7">
        <f t="shared" si="1"/>
        <v>10800</v>
      </c>
      <c r="N53" s="23">
        <v>49000</v>
      </c>
      <c r="O53" s="7">
        <f t="shared" si="2"/>
        <v>59800</v>
      </c>
      <c r="P53" s="2" t="s">
        <v>22</v>
      </c>
      <c r="Q53" t="str">
        <f>_xlfn.XLOOKUP(B53,Status!$A$2:$A$1867,Status!$B$2:$B$1867)</f>
        <v>Completed</v>
      </c>
      <c r="R53" s="2" t="s">
        <v>82</v>
      </c>
      <c r="S53" s="8">
        <v>1</v>
      </c>
      <c r="T53" s="2" t="s">
        <v>24</v>
      </c>
      <c r="U53" s="31" t="str" cm="1">
        <f t="array" ref="U53">_xlfn.IFS(L53&lt;=5000,$Z$3,AND(L53&gt;5000,L53&lt;=15000),$Z$4,AND(L53&gt;15000,L53&lt;=30000),$Z$5,AND(L53&gt;30000,L53&lt;=50000),$Z$6,L53&gt;50000,$Z$7)</f>
        <v>Sangat Rendah</v>
      </c>
      <c r="V53" s="2"/>
      <c r="X53" s="23"/>
    </row>
    <row r="54" spans="1:24" ht="15.75" customHeight="1" x14ac:dyDescent="0.25">
      <c r="A54" s="26"/>
      <c r="B54" s="2" t="s">
        <v>171</v>
      </c>
      <c r="C54" s="32">
        <v>45559.017048611109</v>
      </c>
      <c r="D54" s="53">
        <f>YEAR(Table1[[#This Row],[Order Date]])</f>
        <v>2024</v>
      </c>
      <c r="E54" s="2" t="s">
        <v>172</v>
      </c>
      <c r="F54" s="2" t="s">
        <v>173</v>
      </c>
      <c r="G54" s="2" t="s">
        <v>174</v>
      </c>
      <c r="H54" s="23">
        <v>10000</v>
      </c>
      <c r="I54" s="2">
        <v>4</v>
      </c>
      <c r="J54" s="31">
        <v>5</v>
      </c>
      <c r="K54" s="7">
        <f t="shared" si="3"/>
        <v>40000</v>
      </c>
      <c r="L54" s="7">
        <f t="shared" si="0"/>
        <v>2000</v>
      </c>
      <c r="M54" s="7">
        <f t="shared" si="1"/>
        <v>38000</v>
      </c>
      <c r="N54" s="23">
        <v>0</v>
      </c>
      <c r="O54" s="7">
        <f t="shared" si="2"/>
        <v>38000</v>
      </c>
      <c r="P54" s="2" t="s">
        <v>22</v>
      </c>
      <c r="Q54" t="str">
        <f>_xlfn.XLOOKUP(B54,Status!$A$2:$A$1867,Status!$B$2:$B$1867)</f>
        <v>Completed</v>
      </c>
      <c r="R54" s="2" t="s">
        <v>82</v>
      </c>
      <c r="S54" s="8">
        <v>1</v>
      </c>
      <c r="T54" s="2" t="s">
        <v>24</v>
      </c>
      <c r="U54" s="31" t="str" cm="1">
        <f t="array" ref="U54">_xlfn.IFS(L54&lt;=5000,$Z$3,AND(L54&gt;5000,L54&lt;=15000),$Z$4,AND(L54&gt;15000,L54&lt;=30000),$Z$5,AND(L54&gt;30000,L54&lt;=50000),$Z$6,L54&gt;50000,$Z$7)</f>
        <v>Sangat Rendah</v>
      </c>
      <c r="V54" s="2"/>
      <c r="X54" s="23"/>
    </row>
    <row r="55" spans="1:24" ht="15.75" customHeight="1" x14ac:dyDescent="0.25">
      <c r="A55" s="26"/>
      <c r="B55" s="2" t="s">
        <v>175</v>
      </c>
      <c r="C55" s="32">
        <v>45559.020509259259</v>
      </c>
      <c r="D55" s="53">
        <f>YEAR(Table1[[#This Row],[Order Date]])</f>
        <v>2024</v>
      </c>
      <c r="E55" s="2" t="s">
        <v>176</v>
      </c>
      <c r="F55" s="2" t="s">
        <v>177</v>
      </c>
      <c r="G55" s="2" t="s">
        <v>58</v>
      </c>
      <c r="H55" s="23">
        <v>16000</v>
      </c>
      <c r="I55" s="2">
        <v>5</v>
      </c>
      <c r="J55" s="31">
        <v>15</v>
      </c>
      <c r="K55" s="7">
        <f t="shared" si="3"/>
        <v>80000</v>
      </c>
      <c r="L55" s="7">
        <f t="shared" si="0"/>
        <v>12000</v>
      </c>
      <c r="M55" s="7">
        <f t="shared" si="1"/>
        <v>68000</v>
      </c>
      <c r="N55" s="23">
        <v>56000</v>
      </c>
      <c r="O55" s="7">
        <f t="shared" si="2"/>
        <v>124000</v>
      </c>
      <c r="P55" s="2" t="s">
        <v>22</v>
      </c>
      <c r="Q55" t="str">
        <f>_xlfn.XLOOKUP(B55,Status!$A$2:$A$1867,Status!$B$2:$B$1867)</f>
        <v>Completed</v>
      </c>
      <c r="R55" s="2" t="s">
        <v>82</v>
      </c>
      <c r="S55" s="8">
        <v>2</v>
      </c>
      <c r="T55" s="2" t="s">
        <v>24</v>
      </c>
      <c r="U55" s="31" t="str" cm="1">
        <f t="array" ref="U55">_xlfn.IFS(L55&lt;=5000,$Z$3,AND(L55&gt;5000,L55&lt;=15000),$Z$4,AND(L55&gt;15000,L55&lt;=30000),$Z$5,AND(L55&gt;30000,L55&lt;=50000),$Z$6,L55&gt;50000,$Z$7)</f>
        <v>Rendah</v>
      </c>
      <c r="V55" s="2"/>
      <c r="X55" s="23"/>
    </row>
    <row r="56" spans="1:24" ht="15.75" customHeight="1" x14ac:dyDescent="0.25">
      <c r="A56" s="26"/>
      <c r="B56" s="2" t="s">
        <v>178</v>
      </c>
      <c r="C56" s="32">
        <v>45559.04047453704</v>
      </c>
      <c r="D56" s="53">
        <f>YEAR(Table1[[#This Row],[Order Date]])</f>
        <v>2024</v>
      </c>
      <c r="E56" s="2" t="s">
        <v>179</v>
      </c>
      <c r="F56" s="2" t="s">
        <v>66</v>
      </c>
      <c r="G56" s="2" t="s">
        <v>75</v>
      </c>
      <c r="H56" s="23">
        <v>55000</v>
      </c>
      <c r="I56" s="2">
        <v>5</v>
      </c>
      <c r="J56" s="31">
        <v>10</v>
      </c>
      <c r="K56" s="7">
        <f t="shared" si="3"/>
        <v>275000</v>
      </c>
      <c r="L56" s="7">
        <f t="shared" si="0"/>
        <v>27500</v>
      </c>
      <c r="M56" s="7">
        <f t="shared" si="1"/>
        <v>247500</v>
      </c>
      <c r="N56" s="23">
        <v>59000</v>
      </c>
      <c r="O56" s="7">
        <f t="shared" si="2"/>
        <v>306500</v>
      </c>
      <c r="P56" s="2" t="s">
        <v>35</v>
      </c>
      <c r="Q56" t="str">
        <f>_xlfn.XLOOKUP(B56,Status!$A$2:$A$1867,Status!$B$2:$B$1867)</f>
        <v>Completed</v>
      </c>
      <c r="R56" s="2" t="s">
        <v>82</v>
      </c>
      <c r="S56" s="8">
        <v>4</v>
      </c>
      <c r="T56" s="2" t="s">
        <v>24</v>
      </c>
      <c r="U56" s="31" t="str" cm="1">
        <f t="array" ref="U56">_xlfn.IFS(L56&lt;=5000,$Z$3,AND(L56&gt;5000,L56&lt;=15000),$Z$4,AND(L56&gt;15000,L56&lt;=30000),$Z$5,AND(L56&gt;30000,L56&lt;=50000),$Z$6,L56&gt;50000,$Z$7)</f>
        <v>Normal</v>
      </c>
      <c r="V56" s="2"/>
      <c r="X56" s="23"/>
    </row>
    <row r="57" spans="1:24" ht="15.75" customHeight="1" x14ac:dyDescent="0.25">
      <c r="A57" s="26"/>
      <c r="B57" s="2" t="s">
        <v>180</v>
      </c>
      <c r="C57" s="32">
        <v>45559.32298611111</v>
      </c>
      <c r="D57" s="53">
        <f>YEAR(Table1[[#This Row],[Order Date]])</f>
        <v>2024</v>
      </c>
      <c r="E57" s="2" t="s">
        <v>181</v>
      </c>
      <c r="F57" s="2" t="s">
        <v>182</v>
      </c>
      <c r="G57" s="2" t="s">
        <v>71</v>
      </c>
      <c r="H57" s="23">
        <v>40000</v>
      </c>
      <c r="I57" s="2">
        <v>1</v>
      </c>
      <c r="J57" s="31">
        <v>10</v>
      </c>
      <c r="K57" s="7">
        <f t="shared" si="3"/>
        <v>40000</v>
      </c>
      <c r="L57" s="7">
        <f t="shared" si="0"/>
        <v>4000</v>
      </c>
      <c r="M57" s="7">
        <f t="shared" si="1"/>
        <v>36000</v>
      </c>
      <c r="N57" s="23">
        <v>48000</v>
      </c>
      <c r="O57" s="7">
        <f t="shared" si="2"/>
        <v>84000</v>
      </c>
      <c r="P57" s="2" t="s">
        <v>29</v>
      </c>
      <c r="Q57" t="str">
        <f>_xlfn.XLOOKUP(B57,Status!$A$2:$A$1867,Status!$B$2:$B$1867)</f>
        <v>Completed</v>
      </c>
      <c r="R57" s="2" t="s">
        <v>82</v>
      </c>
      <c r="S57" s="8">
        <v>2</v>
      </c>
      <c r="T57" s="2" t="s">
        <v>24</v>
      </c>
      <c r="U57" s="31" t="str" cm="1">
        <f t="array" ref="U57">_xlfn.IFS(L57&lt;=5000,$Z$3,AND(L57&gt;5000,L57&lt;=15000),$Z$4,AND(L57&gt;15000,L57&lt;=30000),$Z$5,AND(L57&gt;30000,L57&lt;=50000),$Z$6,L57&gt;50000,$Z$7)</f>
        <v>Sangat Rendah</v>
      </c>
      <c r="V57" s="2"/>
      <c r="X57" s="23"/>
    </row>
    <row r="58" spans="1:24" ht="15.75" customHeight="1" x14ac:dyDescent="0.25">
      <c r="A58" s="26"/>
      <c r="B58" s="2" t="s">
        <v>183</v>
      </c>
      <c r="C58" s="32">
        <v>45559.340555555558</v>
      </c>
      <c r="D58" s="53">
        <f>YEAR(Table1[[#This Row],[Order Date]])</f>
        <v>2024</v>
      </c>
      <c r="E58" s="2" t="s">
        <v>184</v>
      </c>
      <c r="F58" s="2" t="s">
        <v>103</v>
      </c>
      <c r="G58" s="2" t="s">
        <v>75</v>
      </c>
      <c r="H58" s="23">
        <v>55000</v>
      </c>
      <c r="I58" s="2">
        <v>1</v>
      </c>
      <c r="J58" s="31">
        <v>15</v>
      </c>
      <c r="K58" s="7">
        <f t="shared" si="3"/>
        <v>55000</v>
      </c>
      <c r="L58" s="7">
        <f t="shared" si="0"/>
        <v>8250</v>
      </c>
      <c r="M58" s="7">
        <f t="shared" si="1"/>
        <v>46750</v>
      </c>
      <c r="N58" s="23">
        <v>85000</v>
      </c>
      <c r="O58" s="7">
        <f t="shared" si="2"/>
        <v>131750</v>
      </c>
      <c r="P58" s="2" t="s">
        <v>22</v>
      </c>
      <c r="Q58" t="str">
        <f>_xlfn.XLOOKUP(B58,Status!$A$2:$A$1867,Status!$B$2:$B$1867)</f>
        <v>Completed</v>
      </c>
      <c r="R58" s="2" t="s">
        <v>46</v>
      </c>
      <c r="S58" s="8">
        <v>2</v>
      </c>
      <c r="T58" s="2" t="s">
        <v>24</v>
      </c>
      <c r="U58" s="31" t="str" cm="1">
        <f t="array" ref="U58">_xlfn.IFS(L58&lt;=5000,$Z$3,AND(L58&gt;5000,L58&lt;=15000),$Z$4,AND(L58&gt;15000,L58&lt;=30000),$Z$5,AND(L58&gt;30000,L58&lt;=50000),$Z$6,L58&gt;50000,$Z$7)</f>
        <v>Rendah</v>
      </c>
      <c r="V58" s="2"/>
      <c r="X58" s="23"/>
    </row>
    <row r="59" spans="1:24" ht="15.75" customHeight="1" x14ac:dyDescent="0.25">
      <c r="A59" s="26"/>
      <c r="B59" s="2" t="s">
        <v>185</v>
      </c>
      <c r="C59" s="32">
        <v>45559.478229166663</v>
      </c>
      <c r="D59" s="53">
        <f>YEAR(Table1[[#This Row],[Order Date]])</f>
        <v>2024</v>
      </c>
      <c r="E59" s="2" t="s">
        <v>95</v>
      </c>
      <c r="F59" s="2" t="s">
        <v>96</v>
      </c>
      <c r="G59" s="2" t="s">
        <v>186</v>
      </c>
      <c r="H59" s="23">
        <v>45000</v>
      </c>
      <c r="I59" s="2">
        <v>1</v>
      </c>
      <c r="J59" s="31">
        <v>15</v>
      </c>
      <c r="K59" s="7">
        <f t="shared" si="3"/>
        <v>45000</v>
      </c>
      <c r="L59" s="7">
        <f t="shared" si="0"/>
        <v>6750</v>
      </c>
      <c r="M59" s="7">
        <f t="shared" si="1"/>
        <v>38250</v>
      </c>
      <c r="N59" s="23">
        <v>49000</v>
      </c>
      <c r="O59" s="7">
        <f t="shared" si="2"/>
        <v>87250</v>
      </c>
      <c r="P59" s="2" t="s">
        <v>63</v>
      </c>
      <c r="Q59" t="str">
        <f>_xlfn.XLOOKUP(B59,Status!$A$2:$A$1867,Status!$B$2:$B$1867)</f>
        <v>Returned</v>
      </c>
      <c r="R59" s="2" t="s">
        <v>82</v>
      </c>
      <c r="S59" s="8">
        <v>5</v>
      </c>
      <c r="T59" s="2" t="s">
        <v>24</v>
      </c>
      <c r="U59" s="31" t="str" cm="1">
        <f t="array" ref="U59">_xlfn.IFS(L59&lt;=5000,$Z$3,AND(L59&gt;5000,L59&lt;=15000),$Z$4,AND(L59&gt;15000,L59&lt;=30000),$Z$5,AND(L59&gt;30000,L59&lt;=50000),$Z$6,L59&gt;50000,$Z$7)</f>
        <v>Rendah</v>
      </c>
      <c r="V59" s="2"/>
      <c r="X59" s="23"/>
    </row>
    <row r="60" spans="1:24" ht="15.75" customHeight="1" x14ac:dyDescent="0.25">
      <c r="A60" s="26"/>
      <c r="B60" s="2" t="s">
        <v>187</v>
      </c>
      <c r="C60" s="32">
        <v>45559.683819444443</v>
      </c>
      <c r="D60" s="53">
        <f>YEAR(Table1[[#This Row],[Order Date]])</f>
        <v>2024</v>
      </c>
      <c r="E60" s="2" t="s">
        <v>188</v>
      </c>
      <c r="F60" s="2" t="s">
        <v>189</v>
      </c>
      <c r="G60" s="2" t="s">
        <v>190</v>
      </c>
      <c r="H60" s="23">
        <v>35000</v>
      </c>
      <c r="I60" s="2">
        <v>5</v>
      </c>
      <c r="J60" s="31">
        <v>5</v>
      </c>
      <c r="K60" s="7">
        <f t="shared" si="3"/>
        <v>175000</v>
      </c>
      <c r="L60" s="7">
        <f t="shared" si="0"/>
        <v>8750</v>
      </c>
      <c r="M60" s="7">
        <f t="shared" si="1"/>
        <v>166250</v>
      </c>
      <c r="N60" s="23">
        <v>57000</v>
      </c>
      <c r="O60" s="7">
        <f t="shared" si="2"/>
        <v>223250</v>
      </c>
      <c r="P60" s="2" t="s">
        <v>29</v>
      </c>
      <c r="Q60" t="str">
        <f>_xlfn.XLOOKUP(B60,Status!$A$2:$A$1867,Status!$B$2:$B$1867)</f>
        <v>Returned</v>
      </c>
      <c r="R60" s="2" t="s">
        <v>23</v>
      </c>
      <c r="S60" s="8">
        <v>2</v>
      </c>
      <c r="T60" s="2" t="s">
        <v>24</v>
      </c>
      <c r="U60" s="31" t="str" cm="1">
        <f t="array" ref="U60">_xlfn.IFS(L60&lt;=5000,$Z$3,AND(L60&gt;5000,L60&lt;=15000),$Z$4,AND(L60&gt;15000,L60&lt;=30000),$Z$5,AND(L60&gt;30000,L60&lt;=50000),$Z$6,L60&gt;50000,$Z$7)</f>
        <v>Rendah</v>
      </c>
      <c r="V60" s="2"/>
      <c r="X60" s="23"/>
    </row>
    <row r="61" spans="1:24" ht="15.75" customHeight="1" x14ac:dyDescent="0.25">
      <c r="A61" s="26"/>
      <c r="B61" s="2" t="s">
        <v>191</v>
      </c>
      <c r="C61" s="32">
        <v>45559.714965277781</v>
      </c>
      <c r="D61" s="53">
        <f>YEAR(Table1[[#This Row],[Order Date]])</f>
        <v>2024</v>
      </c>
      <c r="E61" s="2" t="s">
        <v>192</v>
      </c>
      <c r="F61" s="2" t="s">
        <v>107</v>
      </c>
      <c r="G61" s="2" t="s">
        <v>28</v>
      </c>
      <c r="H61" s="23">
        <v>5000</v>
      </c>
      <c r="I61" s="2">
        <v>2</v>
      </c>
      <c r="J61" s="31">
        <v>20</v>
      </c>
      <c r="K61" s="7">
        <f t="shared" si="3"/>
        <v>10000</v>
      </c>
      <c r="L61" s="7">
        <f t="shared" si="0"/>
        <v>2000</v>
      </c>
      <c r="M61" s="7">
        <f t="shared" si="1"/>
        <v>8000</v>
      </c>
      <c r="N61" s="23">
        <v>97000</v>
      </c>
      <c r="O61" s="7">
        <f t="shared" si="2"/>
        <v>105000</v>
      </c>
      <c r="P61" s="2" t="s">
        <v>63</v>
      </c>
      <c r="Q61" t="str">
        <f>_xlfn.XLOOKUP(B61,Status!$A$2:$A$1867,Status!$B$2:$B$1867)</f>
        <v>Completed</v>
      </c>
      <c r="R61" s="2" t="s">
        <v>46</v>
      </c>
      <c r="S61" s="8">
        <v>2</v>
      </c>
      <c r="T61" s="2" t="s">
        <v>24</v>
      </c>
      <c r="U61" s="31" t="str" cm="1">
        <f t="array" ref="U61">_xlfn.IFS(L61&lt;=5000,$Z$3,AND(L61&gt;5000,L61&lt;=15000),$Z$4,AND(L61&gt;15000,L61&lt;=30000),$Z$5,AND(L61&gt;30000,L61&lt;=50000),$Z$6,L61&gt;50000,$Z$7)</f>
        <v>Sangat Rendah</v>
      </c>
      <c r="V61" s="2"/>
      <c r="X61" s="23"/>
    </row>
    <row r="62" spans="1:24" ht="15.75" customHeight="1" x14ac:dyDescent="0.25">
      <c r="A62" s="26"/>
      <c r="B62" s="2" t="s">
        <v>193</v>
      </c>
      <c r="C62" s="32">
        <v>45559.922812500001</v>
      </c>
      <c r="D62" s="53">
        <f>YEAR(Table1[[#This Row],[Order Date]])</f>
        <v>2024</v>
      </c>
      <c r="E62" s="2" t="s">
        <v>194</v>
      </c>
      <c r="F62" s="2" t="s">
        <v>195</v>
      </c>
      <c r="G62" s="2" t="s">
        <v>58</v>
      </c>
      <c r="H62" s="23">
        <v>16000</v>
      </c>
      <c r="I62" s="2">
        <v>4</v>
      </c>
      <c r="J62" s="31">
        <v>20</v>
      </c>
      <c r="K62" s="7">
        <f t="shared" si="3"/>
        <v>64000</v>
      </c>
      <c r="L62" s="7">
        <f t="shared" si="0"/>
        <v>12800</v>
      </c>
      <c r="M62" s="7">
        <f t="shared" si="1"/>
        <v>51200</v>
      </c>
      <c r="N62" s="23">
        <v>87000</v>
      </c>
      <c r="O62" s="7">
        <f t="shared" si="2"/>
        <v>138200</v>
      </c>
      <c r="P62" s="2" t="s">
        <v>22</v>
      </c>
      <c r="Q62" t="str">
        <f>_xlfn.XLOOKUP(B62,Status!$A$2:$A$1867,Status!$B$2:$B$1867)</f>
        <v>Returned</v>
      </c>
      <c r="R62" s="2" t="s">
        <v>23</v>
      </c>
      <c r="S62" s="8">
        <v>1</v>
      </c>
      <c r="T62" s="2" t="s">
        <v>24</v>
      </c>
      <c r="U62" s="31" t="str" cm="1">
        <f t="array" ref="U62">_xlfn.IFS(L62&lt;=5000,$Z$3,AND(L62&gt;5000,L62&lt;=15000),$Z$4,AND(L62&gt;15000,L62&lt;=30000),$Z$5,AND(L62&gt;30000,L62&lt;=50000),$Z$6,L62&gt;50000,$Z$7)</f>
        <v>Rendah</v>
      </c>
      <c r="V62" s="2"/>
      <c r="X62" s="23"/>
    </row>
    <row r="63" spans="1:24" ht="15.75" customHeight="1" x14ac:dyDescent="0.25">
      <c r="A63" s="26"/>
      <c r="B63" s="2" t="s">
        <v>196</v>
      </c>
      <c r="C63" s="32">
        <v>45559.960763888892</v>
      </c>
      <c r="D63" s="53">
        <f>YEAR(Table1[[#This Row],[Order Date]])</f>
        <v>2024</v>
      </c>
      <c r="E63" s="2" t="s">
        <v>197</v>
      </c>
      <c r="F63" s="2" t="s">
        <v>119</v>
      </c>
      <c r="G63" s="2" t="s">
        <v>104</v>
      </c>
      <c r="H63" s="23">
        <v>30000</v>
      </c>
      <c r="I63" s="2">
        <v>1</v>
      </c>
      <c r="J63" s="31">
        <v>5</v>
      </c>
      <c r="K63" s="7">
        <f t="shared" si="3"/>
        <v>30000</v>
      </c>
      <c r="L63" s="7">
        <f t="shared" si="0"/>
        <v>1500</v>
      </c>
      <c r="M63" s="7">
        <f t="shared" si="1"/>
        <v>28500</v>
      </c>
      <c r="N63" s="23">
        <v>0</v>
      </c>
      <c r="O63" s="7">
        <f t="shared" si="2"/>
        <v>28500</v>
      </c>
      <c r="P63" s="2" t="s">
        <v>63</v>
      </c>
      <c r="Q63" t="str">
        <f>_xlfn.XLOOKUP(B63,Status!$A$2:$A$1867,Status!$B$2:$B$1867)</f>
        <v>Cancelled</v>
      </c>
      <c r="R63" s="2" t="s">
        <v>46</v>
      </c>
      <c r="S63" s="8">
        <v>3</v>
      </c>
      <c r="T63" s="2" t="s">
        <v>37</v>
      </c>
      <c r="U63" s="31" t="str" cm="1">
        <f t="array" ref="U63">_xlfn.IFS(L63&lt;=5000,$Z$3,AND(L63&gt;5000,L63&lt;=15000),$Z$4,AND(L63&gt;15000,L63&lt;=30000),$Z$5,AND(L63&gt;30000,L63&lt;=50000),$Z$6,L63&gt;50000,$Z$7)</f>
        <v>Sangat Rendah</v>
      </c>
      <c r="V63" s="2"/>
      <c r="X63" s="23"/>
    </row>
    <row r="64" spans="1:24" ht="15.75" customHeight="1" x14ac:dyDescent="0.25">
      <c r="A64" s="26"/>
      <c r="B64" s="2" t="s">
        <v>198</v>
      </c>
      <c r="C64" s="32">
        <v>45560.015497685177</v>
      </c>
      <c r="D64" s="53">
        <f>YEAR(Table1[[#This Row],[Order Date]])</f>
        <v>2024</v>
      </c>
      <c r="E64" s="2" t="s">
        <v>199</v>
      </c>
      <c r="F64" s="2" t="s">
        <v>143</v>
      </c>
      <c r="G64" s="2" t="s">
        <v>71</v>
      </c>
      <c r="H64" s="23">
        <v>40000</v>
      </c>
      <c r="I64" s="2">
        <v>2</v>
      </c>
      <c r="J64" s="31">
        <v>20</v>
      </c>
      <c r="K64" s="7">
        <f t="shared" si="3"/>
        <v>80000</v>
      </c>
      <c r="L64" s="7">
        <f t="shared" si="0"/>
        <v>16000</v>
      </c>
      <c r="M64" s="7">
        <f t="shared" si="1"/>
        <v>64000</v>
      </c>
      <c r="N64" s="23">
        <v>50000</v>
      </c>
      <c r="O64" s="7">
        <f t="shared" si="2"/>
        <v>114000</v>
      </c>
      <c r="P64" s="2" t="s">
        <v>29</v>
      </c>
      <c r="Q64" t="str">
        <f>_xlfn.XLOOKUP(B64,Status!$A$2:$A$1867,Status!$B$2:$B$1867)</f>
        <v>Completed</v>
      </c>
      <c r="R64" s="2" t="s">
        <v>82</v>
      </c>
      <c r="S64" s="8">
        <v>3</v>
      </c>
      <c r="T64" s="2" t="s">
        <v>24</v>
      </c>
      <c r="U64" s="31" t="str" cm="1">
        <f t="array" ref="U64">_xlfn.IFS(L64&lt;=5000,$Z$3,AND(L64&gt;5000,L64&lt;=15000),$Z$4,AND(L64&gt;15000,L64&lt;=30000),$Z$5,AND(L64&gt;30000,L64&lt;=50000),$Z$6,L64&gt;50000,$Z$7)</f>
        <v>Normal</v>
      </c>
      <c r="V64" s="2"/>
      <c r="X64" s="23"/>
    </row>
    <row r="65" spans="1:24" ht="15.75" customHeight="1" x14ac:dyDescent="0.25">
      <c r="A65" s="26"/>
      <c r="B65" s="2" t="s">
        <v>200</v>
      </c>
      <c r="C65" s="32">
        <v>45560.139421296299</v>
      </c>
      <c r="D65" s="53">
        <f>YEAR(Table1[[#This Row],[Order Date]])</f>
        <v>2024</v>
      </c>
      <c r="E65" s="2" t="s">
        <v>201</v>
      </c>
      <c r="F65" s="2" t="s">
        <v>107</v>
      </c>
      <c r="G65" s="2" t="s">
        <v>45</v>
      </c>
      <c r="H65" s="23">
        <v>40000</v>
      </c>
      <c r="I65" s="2">
        <v>1</v>
      </c>
      <c r="J65" s="31">
        <v>15</v>
      </c>
      <c r="K65" s="7">
        <f t="shared" si="3"/>
        <v>40000</v>
      </c>
      <c r="L65" s="7">
        <f t="shared" si="0"/>
        <v>6000</v>
      </c>
      <c r="M65" s="7">
        <f t="shared" si="1"/>
        <v>34000</v>
      </c>
      <c r="N65" s="23">
        <v>97000</v>
      </c>
      <c r="O65" s="7">
        <f t="shared" si="2"/>
        <v>131000</v>
      </c>
      <c r="P65" s="2" t="s">
        <v>29</v>
      </c>
      <c r="Q65" t="str">
        <f>_xlfn.XLOOKUP(B65,Status!$A$2:$A$1867,Status!$B$2:$B$1867)</f>
        <v>Completed</v>
      </c>
      <c r="R65" s="2" t="s">
        <v>82</v>
      </c>
      <c r="S65" s="8">
        <v>3</v>
      </c>
      <c r="T65" s="2" t="s">
        <v>24</v>
      </c>
      <c r="U65" s="31" t="str" cm="1">
        <f t="array" ref="U65">_xlfn.IFS(L65&lt;=5000,$Z$3,AND(L65&gt;5000,L65&lt;=15000),$Z$4,AND(L65&gt;15000,L65&lt;=30000),$Z$5,AND(L65&gt;30000,L65&lt;=50000),$Z$6,L65&gt;50000,$Z$7)</f>
        <v>Rendah</v>
      </c>
      <c r="V65" s="2"/>
      <c r="X65" s="23"/>
    </row>
    <row r="66" spans="1:24" ht="15.75" customHeight="1" x14ac:dyDescent="0.25">
      <c r="A66" s="26"/>
      <c r="B66" s="2" t="s">
        <v>202</v>
      </c>
      <c r="C66" s="32">
        <v>45560.274340277778</v>
      </c>
      <c r="D66" s="53">
        <f>YEAR(Table1[[#This Row],[Order Date]])</f>
        <v>2024</v>
      </c>
      <c r="E66" s="2" t="s">
        <v>203</v>
      </c>
      <c r="F66" s="2" t="s">
        <v>20</v>
      </c>
      <c r="G66" s="2" t="s">
        <v>38</v>
      </c>
      <c r="H66" s="23">
        <v>28000</v>
      </c>
      <c r="I66" s="2">
        <v>3</v>
      </c>
      <c r="J66" s="31">
        <v>15</v>
      </c>
      <c r="K66" s="7">
        <f t="shared" si="3"/>
        <v>84000</v>
      </c>
      <c r="L66" s="7">
        <f t="shared" si="0"/>
        <v>12600</v>
      </c>
      <c r="M66" s="7">
        <f t="shared" si="1"/>
        <v>71400</v>
      </c>
      <c r="N66" s="23">
        <v>15000</v>
      </c>
      <c r="O66" s="7">
        <f t="shared" si="2"/>
        <v>86400</v>
      </c>
      <c r="P66" s="2" t="s">
        <v>29</v>
      </c>
      <c r="Q66" t="str">
        <f>_xlfn.XLOOKUP(B66,Status!$A$2:$A$1867,Status!$B$2:$B$1867)</f>
        <v>Completed</v>
      </c>
      <c r="R66" s="2" t="s">
        <v>23</v>
      </c>
      <c r="S66" s="8">
        <v>3</v>
      </c>
      <c r="T66" s="2" t="s">
        <v>24</v>
      </c>
      <c r="U66" s="31" t="str" cm="1">
        <f t="array" ref="U66">_xlfn.IFS(L66&lt;=5000,$Z$3,AND(L66&gt;5000,L66&lt;=15000),$Z$4,AND(L66&gt;15000,L66&lt;=30000),$Z$5,AND(L66&gt;30000,L66&lt;=50000),$Z$6,L66&gt;50000,$Z$7)</f>
        <v>Rendah</v>
      </c>
      <c r="V66" s="2"/>
      <c r="X66" s="23"/>
    </row>
    <row r="67" spans="1:24" ht="15.75" customHeight="1" x14ac:dyDescent="0.25">
      <c r="A67" s="26"/>
      <c r="B67" s="2" t="s">
        <v>204</v>
      </c>
      <c r="C67" s="32">
        <v>45560.374374999999</v>
      </c>
      <c r="D67" s="53">
        <f>YEAR(Table1[[#This Row],[Order Date]])</f>
        <v>2024</v>
      </c>
      <c r="E67" s="2" t="s">
        <v>205</v>
      </c>
      <c r="F67" s="2" t="s">
        <v>96</v>
      </c>
      <c r="G67" s="2" t="s">
        <v>62</v>
      </c>
      <c r="H67" s="23">
        <v>50000</v>
      </c>
      <c r="I67" s="2">
        <v>5</v>
      </c>
      <c r="J67" s="31">
        <v>10</v>
      </c>
      <c r="K67" s="7">
        <f t="shared" si="3"/>
        <v>250000</v>
      </c>
      <c r="L67" s="7">
        <f t="shared" si="0"/>
        <v>25000</v>
      </c>
      <c r="M67" s="7">
        <f t="shared" si="1"/>
        <v>225000</v>
      </c>
      <c r="N67" s="23">
        <v>49000</v>
      </c>
      <c r="O67" s="7">
        <f t="shared" si="2"/>
        <v>274000</v>
      </c>
      <c r="P67" s="2" t="s">
        <v>63</v>
      </c>
      <c r="Q67" t="str">
        <f>_xlfn.XLOOKUP(B67,Status!$A$2:$A$1867,Status!$B$2:$B$1867)</f>
        <v>Completed</v>
      </c>
      <c r="R67" s="2" t="s">
        <v>82</v>
      </c>
      <c r="S67" s="8">
        <v>4</v>
      </c>
      <c r="T67" s="2" t="s">
        <v>24</v>
      </c>
      <c r="U67" s="31" t="str" cm="1">
        <f t="array" ref="U67">_xlfn.IFS(L67&lt;=5000,$Z$3,AND(L67&gt;5000,L67&lt;=15000),$Z$4,AND(L67&gt;15000,L67&lt;=30000),$Z$5,AND(L67&gt;30000,L67&lt;=50000),$Z$6,L67&gt;50000,$Z$7)</f>
        <v>Normal</v>
      </c>
      <c r="V67" s="2"/>
    </row>
    <row r="68" spans="1:24" ht="15.75" customHeight="1" x14ac:dyDescent="0.25">
      <c r="A68" s="26"/>
      <c r="B68" s="2" t="s">
        <v>206</v>
      </c>
      <c r="C68" s="32">
        <v>45560.518657407411</v>
      </c>
      <c r="D68" s="53">
        <f>YEAR(Table1[[#This Row],[Order Date]])</f>
        <v>2024</v>
      </c>
      <c r="E68" s="2" t="s">
        <v>207</v>
      </c>
      <c r="F68" s="2" t="s">
        <v>96</v>
      </c>
      <c r="G68" s="2" t="s">
        <v>34</v>
      </c>
      <c r="H68" s="23">
        <v>16000</v>
      </c>
      <c r="I68" s="2">
        <v>3</v>
      </c>
      <c r="J68" s="31">
        <v>10</v>
      </c>
      <c r="K68" s="7">
        <f t="shared" ref="K68:K131" si="4">H68*I68</f>
        <v>48000</v>
      </c>
      <c r="L68" s="7">
        <f t="shared" ref="L68:L131" si="5">K68*(J68/100)</f>
        <v>4800</v>
      </c>
      <c r="M68" s="7">
        <f t="shared" ref="M68:M131" si="6">K68-L68</f>
        <v>43200</v>
      </c>
      <c r="N68" s="23">
        <v>49000</v>
      </c>
      <c r="O68" s="7">
        <f t="shared" ref="O68:O131" si="7">SUM(M68:N68)</f>
        <v>92200</v>
      </c>
      <c r="P68" s="2" t="s">
        <v>29</v>
      </c>
      <c r="Q68" t="str">
        <f>_xlfn.XLOOKUP(B68,Status!$A$2:$A$1867,Status!$B$2:$B$1867)</f>
        <v>Completed</v>
      </c>
      <c r="R68" s="2" t="s">
        <v>30</v>
      </c>
      <c r="S68" s="8">
        <v>2</v>
      </c>
      <c r="T68" s="2" t="s">
        <v>24</v>
      </c>
      <c r="U68" s="31" t="str" cm="1">
        <f t="array" ref="U68">_xlfn.IFS(L68&lt;=5000,$Z$3,AND(L68&gt;5000,L68&lt;=15000),$Z$4,AND(L68&gt;15000,L68&lt;=30000),$Z$5,AND(L68&gt;30000,L68&lt;=50000),$Z$6,L68&gt;50000,$Z$7)</f>
        <v>Sangat Rendah</v>
      </c>
      <c r="V68" s="2"/>
    </row>
    <row r="69" spans="1:24" ht="15.75" customHeight="1" x14ac:dyDescent="0.25">
      <c r="A69" s="26"/>
      <c r="B69" s="2" t="s">
        <v>208</v>
      </c>
      <c r="C69" s="32">
        <v>45560.683599537027</v>
      </c>
      <c r="D69" s="53">
        <f>YEAR(Table1[[#This Row],[Order Date]])</f>
        <v>2024</v>
      </c>
      <c r="E69" s="2" t="s">
        <v>209</v>
      </c>
      <c r="F69" s="2" t="s">
        <v>143</v>
      </c>
      <c r="G69" s="2" t="s">
        <v>28</v>
      </c>
      <c r="H69" s="23">
        <v>5000</v>
      </c>
      <c r="I69" s="2">
        <v>3</v>
      </c>
      <c r="J69" s="31">
        <v>15</v>
      </c>
      <c r="K69" s="7">
        <f t="shared" si="4"/>
        <v>15000</v>
      </c>
      <c r="L69" s="7">
        <f t="shared" si="5"/>
        <v>2250</v>
      </c>
      <c r="M69" s="7">
        <f t="shared" si="6"/>
        <v>12750</v>
      </c>
      <c r="N69" s="23">
        <v>50000</v>
      </c>
      <c r="O69" s="7">
        <f t="shared" si="7"/>
        <v>62750</v>
      </c>
      <c r="P69" s="2" t="s">
        <v>29</v>
      </c>
      <c r="Q69" t="str">
        <f>_xlfn.XLOOKUP(B69,Status!$A$2:$A$1867,Status!$B$2:$B$1867)</f>
        <v>Completed</v>
      </c>
      <c r="R69" s="2" t="s">
        <v>30</v>
      </c>
      <c r="S69" s="8">
        <v>4</v>
      </c>
      <c r="T69" s="2" t="s">
        <v>37</v>
      </c>
      <c r="U69" s="31" t="str" cm="1">
        <f t="array" ref="U69">_xlfn.IFS(L69&lt;=5000,$Z$3,AND(L69&gt;5000,L69&lt;=15000),$Z$4,AND(L69&gt;15000,L69&lt;=30000),$Z$5,AND(L69&gt;30000,L69&lt;=50000),$Z$6,L69&gt;50000,$Z$7)</f>
        <v>Sangat Rendah</v>
      </c>
      <c r="V69" s="2"/>
    </row>
    <row r="70" spans="1:24" ht="15.75" customHeight="1" x14ac:dyDescent="0.25">
      <c r="A70" s="26"/>
      <c r="B70" s="2" t="s">
        <v>210</v>
      </c>
      <c r="C70" s="32">
        <v>45560.827361111107</v>
      </c>
      <c r="D70" s="53">
        <f>YEAR(Table1[[#This Row],[Order Date]])</f>
        <v>2024</v>
      </c>
      <c r="E70" s="2" t="s">
        <v>211</v>
      </c>
      <c r="F70" s="2" t="s">
        <v>49</v>
      </c>
      <c r="G70" s="2" t="s">
        <v>67</v>
      </c>
      <c r="H70" s="23">
        <v>15000</v>
      </c>
      <c r="I70" s="2">
        <v>1</v>
      </c>
      <c r="J70" s="31">
        <v>20</v>
      </c>
      <c r="K70" s="7">
        <f t="shared" si="4"/>
        <v>15000</v>
      </c>
      <c r="L70" s="7">
        <f t="shared" si="5"/>
        <v>3000</v>
      </c>
      <c r="M70" s="7">
        <f t="shared" si="6"/>
        <v>12000</v>
      </c>
      <c r="N70" s="23">
        <v>43000</v>
      </c>
      <c r="O70" s="7">
        <f t="shared" si="7"/>
        <v>55000</v>
      </c>
      <c r="P70" s="2" t="s">
        <v>29</v>
      </c>
      <c r="Q70" t="str">
        <f>_xlfn.XLOOKUP(B70,Status!$A$2:$A$1867,Status!$B$2:$B$1867)</f>
        <v>Completed</v>
      </c>
      <c r="R70" s="2" t="s">
        <v>82</v>
      </c>
      <c r="S70" s="8">
        <v>3</v>
      </c>
      <c r="T70" s="2" t="s">
        <v>24</v>
      </c>
      <c r="U70" s="31" t="str" cm="1">
        <f t="array" ref="U70">_xlfn.IFS(L70&lt;=5000,$Z$3,AND(L70&gt;5000,L70&lt;=15000),$Z$4,AND(L70&gt;15000,L70&lt;=30000),$Z$5,AND(L70&gt;30000,L70&lt;=50000),$Z$6,L70&gt;50000,$Z$7)</f>
        <v>Sangat Rendah</v>
      </c>
      <c r="V70" s="2"/>
    </row>
    <row r="71" spans="1:24" ht="15.75" customHeight="1" x14ac:dyDescent="0.25">
      <c r="A71" s="26"/>
      <c r="B71" s="2" t="s">
        <v>212</v>
      </c>
      <c r="C71" s="32">
        <v>45561.91914351852</v>
      </c>
      <c r="D71" s="53">
        <f>YEAR(Table1[[#This Row],[Order Date]])</f>
        <v>2024</v>
      </c>
      <c r="E71" s="2" t="s">
        <v>102</v>
      </c>
      <c r="F71" s="2" t="s">
        <v>103</v>
      </c>
      <c r="G71" s="2" t="s">
        <v>71</v>
      </c>
      <c r="H71" s="23">
        <v>40000</v>
      </c>
      <c r="I71" s="2">
        <v>4</v>
      </c>
      <c r="J71" s="31">
        <v>10</v>
      </c>
      <c r="K71" s="7">
        <f t="shared" si="4"/>
        <v>160000</v>
      </c>
      <c r="L71" s="7">
        <f t="shared" si="5"/>
        <v>16000</v>
      </c>
      <c r="M71" s="7">
        <f t="shared" si="6"/>
        <v>144000</v>
      </c>
      <c r="N71" s="23">
        <v>85000</v>
      </c>
      <c r="O71" s="7">
        <f t="shared" si="7"/>
        <v>229000</v>
      </c>
      <c r="P71" s="2" t="s">
        <v>22</v>
      </c>
      <c r="Q71" t="str">
        <f>_xlfn.XLOOKUP(B71,Status!$A$2:$A$1867,Status!$B$2:$B$1867)</f>
        <v>Completed</v>
      </c>
      <c r="R71" s="2" t="s">
        <v>30</v>
      </c>
      <c r="S71" s="8">
        <v>3</v>
      </c>
      <c r="T71" s="2" t="s">
        <v>24</v>
      </c>
      <c r="U71" s="31" t="str" cm="1">
        <f t="array" ref="U71">_xlfn.IFS(L71&lt;=5000,$Z$3,AND(L71&gt;5000,L71&lt;=15000),$Z$4,AND(L71&gt;15000,L71&lt;=30000),$Z$5,AND(L71&gt;30000,L71&lt;=50000),$Z$6,L71&gt;50000,$Z$7)</f>
        <v>Normal</v>
      </c>
      <c r="V71" s="2"/>
    </row>
    <row r="72" spans="1:24" ht="15.75" customHeight="1" x14ac:dyDescent="0.25">
      <c r="A72" s="26"/>
      <c r="B72" s="2" t="s">
        <v>213</v>
      </c>
      <c r="C72" s="32">
        <v>45562.322916666657</v>
      </c>
      <c r="D72" s="53">
        <f>YEAR(Table1[[#This Row],[Order Date]])</f>
        <v>2024</v>
      </c>
      <c r="E72" s="2" t="s">
        <v>214</v>
      </c>
      <c r="F72" s="2" t="s">
        <v>131</v>
      </c>
      <c r="G72" s="2" t="s">
        <v>50</v>
      </c>
      <c r="H72" s="23">
        <v>14000</v>
      </c>
      <c r="I72" s="2">
        <v>4</v>
      </c>
      <c r="J72" s="31">
        <v>20</v>
      </c>
      <c r="K72" s="7">
        <f t="shared" si="4"/>
        <v>56000</v>
      </c>
      <c r="L72" s="7">
        <f t="shared" si="5"/>
        <v>11200</v>
      </c>
      <c r="M72" s="7">
        <f t="shared" si="6"/>
        <v>44800</v>
      </c>
      <c r="N72" s="23">
        <v>59000</v>
      </c>
      <c r="O72" s="7">
        <f t="shared" si="7"/>
        <v>103800</v>
      </c>
      <c r="P72" s="2" t="s">
        <v>35</v>
      </c>
      <c r="Q72" t="str">
        <f>_xlfn.XLOOKUP(B72,Status!$A$2:$A$1867,Status!$B$2:$B$1867)</f>
        <v>Completed</v>
      </c>
      <c r="R72" s="2" t="s">
        <v>23</v>
      </c>
      <c r="S72" s="8">
        <v>4</v>
      </c>
      <c r="T72" s="2" t="s">
        <v>24</v>
      </c>
      <c r="U72" s="31" t="str" cm="1">
        <f t="array" ref="U72">_xlfn.IFS(L72&lt;=5000,$Z$3,AND(L72&gt;5000,L72&lt;=15000),$Z$4,AND(L72&gt;15000,L72&lt;=30000),$Z$5,AND(L72&gt;30000,L72&lt;=50000),$Z$6,L72&gt;50000,$Z$7)</f>
        <v>Rendah</v>
      </c>
      <c r="V72" s="2"/>
    </row>
    <row r="73" spans="1:24" ht="15.75" customHeight="1" x14ac:dyDescent="0.25">
      <c r="A73" s="26"/>
      <c r="B73" s="2" t="s">
        <v>215</v>
      </c>
      <c r="C73" s="32">
        <v>45562.441701388889</v>
      </c>
      <c r="D73" s="53">
        <f>YEAR(Table1[[#This Row],[Order Date]])</f>
        <v>2024</v>
      </c>
      <c r="E73" s="2" t="s">
        <v>216</v>
      </c>
      <c r="F73" s="2" t="s">
        <v>143</v>
      </c>
      <c r="G73" s="2" t="s">
        <v>34</v>
      </c>
      <c r="H73" s="23">
        <v>16000</v>
      </c>
      <c r="I73" s="2">
        <v>2</v>
      </c>
      <c r="J73" s="31">
        <v>20</v>
      </c>
      <c r="K73" s="7">
        <f t="shared" si="4"/>
        <v>32000</v>
      </c>
      <c r="L73" s="7">
        <f t="shared" si="5"/>
        <v>6400</v>
      </c>
      <c r="M73" s="7">
        <f t="shared" si="6"/>
        <v>25600</v>
      </c>
      <c r="N73" s="23">
        <v>50000</v>
      </c>
      <c r="O73" s="7">
        <f t="shared" si="7"/>
        <v>75600</v>
      </c>
      <c r="P73" s="2" t="s">
        <v>29</v>
      </c>
      <c r="Q73" t="str">
        <f>_xlfn.XLOOKUP(B73,Status!$A$2:$A$1867,Status!$B$2:$B$1867)</f>
        <v>Completed</v>
      </c>
      <c r="R73" s="2" t="s">
        <v>30</v>
      </c>
      <c r="S73" s="8">
        <v>4</v>
      </c>
      <c r="T73" s="2" t="s">
        <v>24</v>
      </c>
      <c r="U73" s="31" t="str" cm="1">
        <f t="array" ref="U73">_xlfn.IFS(L73&lt;=5000,$Z$3,AND(L73&gt;5000,L73&lt;=15000),$Z$4,AND(L73&gt;15000,L73&lt;=30000),$Z$5,AND(L73&gt;30000,L73&lt;=50000),$Z$6,L73&gt;50000,$Z$7)</f>
        <v>Rendah</v>
      </c>
      <c r="V73" s="2"/>
    </row>
    <row r="74" spans="1:24" ht="15.75" customHeight="1" x14ac:dyDescent="0.25">
      <c r="A74" s="26"/>
      <c r="B74" s="2" t="s">
        <v>217</v>
      </c>
      <c r="C74" s="32">
        <v>45562.555601851847</v>
      </c>
      <c r="D74" s="53">
        <f>YEAR(Table1[[#This Row],[Order Date]])</f>
        <v>2024</v>
      </c>
      <c r="E74" s="2" t="s">
        <v>218</v>
      </c>
      <c r="F74" s="2" t="s">
        <v>170</v>
      </c>
      <c r="G74" s="2" t="s">
        <v>186</v>
      </c>
      <c r="H74" s="23">
        <v>45000</v>
      </c>
      <c r="I74" s="2">
        <v>1</v>
      </c>
      <c r="J74" s="31">
        <v>15</v>
      </c>
      <c r="K74" s="7">
        <f t="shared" si="4"/>
        <v>45000</v>
      </c>
      <c r="L74" s="7">
        <f t="shared" si="5"/>
        <v>6750</v>
      </c>
      <c r="M74" s="7">
        <f t="shared" si="6"/>
        <v>38250</v>
      </c>
      <c r="N74" s="23">
        <v>46000</v>
      </c>
      <c r="O74" s="7">
        <f t="shared" si="7"/>
        <v>84250</v>
      </c>
      <c r="P74" s="2" t="s">
        <v>63</v>
      </c>
      <c r="Q74" t="str">
        <f>_xlfn.XLOOKUP(B74,Status!$A$2:$A$1867,Status!$B$2:$B$1867)</f>
        <v>Completed</v>
      </c>
      <c r="R74" s="2" t="s">
        <v>23</v>
      </c>
      <c r="S74" s="8">
        <v>4</v>
      </c>
      <c r="T74" s="2" t="s">
        <v>24</v>
      </c>
      <c r="U74" s="31" t="str" cm="1">
        <f t="array" ref="U74">_xlfn.IFS(L74&lt;=5000,$Z$3,AND(L74&gt;5000,L74&lt;=15000),$Z$4,AND(L74&gt;15000,L74&lt;=30000),$Z$5,AND(L74&gt;30000,L74&lt;=50000),$Z$6,L74&gt;50000,$Z$7)</f>
        <v>Rendah</v>
      </c>
      <c r="V74" s="2"/>
    </row>
    <row r="75" spans="1:24" ht="15.75" customHeight="1" x14ac:dyDescent="0.25">
      <c r="A75" s="26"/>
      <c r="B75" s="2" t="s">
        <v>219</v>
      </c>
      <c r="C75" s="32">
        <v>45562.663055555553</v>
      </c>
      <c r="D75" s="53">
        <f>YEAR(Table1[[#This Row],[Order Date]])</f>
        <v>2024</v>
      </c>
      <c r="E75" s="2" t="s">
        <v>220</v>
      </c>
      <c r="F75" s="2" t="s">
        <v>53</v>
      </c>
      <c r="G75" s="2" t="s">
        <v>85</v>
      </c>
      <c r="H75" s="23">
        <v>35000</v>
      </c>
      <c r="I75" s="2">
        <v>5</v>
      </c>
      <c r="J75" s="31">
        <v>10</v>
      </c>
      <c r="K75" s="7">
        <f t="shared" si="4"/>
        <v>175000</v>
      </c>
      <c r="L75" s="7">
        <f t="shared" si="5"/>
        <v>17500</v>
      </c>
      <c r="M75" s="7">
        <f t="shared" si="6"/>
        <v>157500</v>
      </c>
      <c r="N75" s="23">
        <v>18000</v>
      </c>
      <c r="O75" s="7">
        <f t="shared" si="7"/>
        <v>175500</v>
      </c>
      <c r="P75" s="2" t="s">
        <v>35</v>
      </c>
      <c r="Q75" t="str">
        <f>_xlfn.XLOOKUP(B75,Status!$A$2:$A$1867,Status!$B$2:$B$1867)</f>
        <v>Completed</v>
      </c>
      <c r="R75" s="2" t="s">
        <v>30</v>
      </c>
      <c r="S75" s="8">
        <v>2</v>
      </c>
      <c r="T75" s="2" t="s">
        <v>24</v>
      </c>
      <c r="U75" s="31" t="str" cm="1">
        <f t="array" ref="U75">_xlfn.IFS(L75&lt;=5000,$Z$3,AND(L75&gt;5000,L75&lt;=15000),$Z$4,AND(L75&gt;15000,L75&lt;=30000),$Z$5,AND(L75&gt;30000,L75&lt;=50000),$Z$6,L75&gt;50000,$Z$7)</f>
        <v>Normal</v>
      </c>
      <c r="V75" s="2"/>
    </row>
    <row r="76" spans="1:24" ht="15.75" customHeight="1" x14ac:dyDescent="0.25">
      <c r="A76" s="26"/>
      <c r="B76" s="2" t="s">
        <v>221</v>
      </c>
      <c r="C76" s="32">
        <v>45562.669733796298</v>
      </c>
      <c r="D76" s="53">
        <f>YEAR(Table1[[#This Row],[Order Date]])</f>
        <v>2024</v>
      </c>
      <c r="E76" s="2" t="s">
        <v>222</v>
      </c>
      <c r="F76" s="2" t="s">
        <v>49</v>
      </c>
      <c r="G76" s="2" t="s">
        <v>190</v>
      </c>
      <c r="H76" s="23">
        <v>35000</v>
      </c>
      <c r="I76" s="2">
        <v>5</v>
      </c>
      <c r="J76" s="31">
        <v>10</v>
      </c>
      <c r="K76" s="7">
        <f t="shared" si="4"/>
        <v>175000</v>
      </c>
      <c r="L76" s="7">
        <f t="shared" si="5"/>
        <v>17500</v>
      </c>
      <c r="M76" s="7">
        <f t="shared" si="6"/>
        <v>157500</v>
      </c>
      <c r="N76" s="23">
        <v>43000</v>
      </c>
      <c r="O76" s="7">
        <f t="shared" si="7"/>
        <v>200500</v>
      </c>
      <c r="P76" s="2" t="s">
        <v>35</v>
      </c>
      <c r="Q76" t="str">
        <f>_xlfn.XLOOKUP(B76,Status!$A$2:$A$1867,Status!$B$2:$B$1867)</f>
        <v>Completed</v>
      </c>
      <c r="R76" s="2" t="s">
        <v>46</v>
      </c>
      <c r="S76" s="8">
        <v>2</v>
      </c>
      <c r="T76" s="2" t="s">
        <v>24</v>
      </c>
      <c r="U76" s="31" t="str" cm="1">
        <f t="array" ref="U76">_xlfn.IFS(L76&lt;=5000,$Z$3,AND(L76&gt;5000,L76&lt;=15000),$Z$4,AND(L76&gt;15000,L76&lt;=30000),$Z$5,AND(L76&gt;30000,L76&lt;=50000),$Z$6,L76&gt;50000,$Z$7)</f>
        <v>Normal</v>
      </c>
      <c r="V76" s="2"/>
    </row>
    <row r="77" spans="1:24" ht="15.75" customHeight="1" x14ac:dyDescent="0.25">
      <c r="A77" s="26"/>
      <c r="B77" s="2" t="s">
        <v>223</v>
      </c>
      <c r="C77" s="32">
        <v>45563.093090277784</v>
      </c>
      <c r="D77" s="53">
        <f>YEAR(Table1[[#This Row],[Order Date]])</f>
        <v>2024</v>
      </c>
      <c r="E77" s="2" t="s">
        <v>79</v>
      </c>
      <c r="F77" s="2" t="s">
        <v>80</v>
      </c>
      <c r="G77" s="2" t="s">
        <v>88</v>
      </c>
      <c r="H77" s="23">
        <v>14000</v>
      </c>
      <c r="I77" s="2">
        <v>4</v>
      </c>
      <c r="J77" s="31">
        <v>20</v>
      </c>
      <c r="K77" s="7">
        <f t="shared" si="4"/>
        <v>56000</v>
      </c>
      <c r="L77" s="7">
        <f t="shared" si="5"/>
        <v>11200</v>
      </c>
      <c r="M77" s="7">
        <f t="shared" si="6"/>
        <v>44800</v>
      </c>
      <c r="N77" s="23">
        <v>74000</v>
      </c>
      <c r="O77" s="7">
        <f t="shared" si="7"/>
        <v>118800</v>
      </c>
      <c r="P77" s="2" t="s">
        <v>22</v>
      </c>
      <c r="Q77" t="str">
        <f>_xlfn.XLOOKUP(B77,Status!$A$2:$A$1867,Status!$B$2:$B$1867)</f>
        <v>Completed</v>
      </c>
      <c r="R77" s="2" t="s">
        <v>30</v>
      </c>
      <c r="S77" s="8">
        <v>1</v>
      </c>
      <c r="T77" s="2" t="s">
        <v>24</v>
      </c>
      <c r="U77" s="31" t="str" cm="1">
        <f t="array" ref="U77">_xlfn.IFS(L77&lt;=5000,$Z$3,AND(L77&gt;5000,L77&lt;=15000),$Z$4,AND(L77&gt;15000,L77&lt;=30000),$Z$5,AND(L77&gt;30000,L77&lt;=50000),$Z$6,L77&gt;50000,$Z$7)</f>
        <v>Rendah</v>
      </c>
      <c r="V77" s="2"/>
    </row>
    <row r="78" spans="1:24" ht="15.75" customHeight="1" x14ac:dyDescent="0.25">
      <c r="A78" s="26"/>
      <c r="B78" s="2" t="s">
        <v>223</v>
      </c>
      <c r="C78" s="32">
        <v>45563.093090277784</v>
      </c>
      <c r="D78" s="53">
        <f>YEAR(Table1[[#This Row],[Order Date]])</f>
        <v>2024</v>
      </c>
      <c r="E78" s="2" t="s">
        <v>79</v>
      </c>
      <c r="F78" s="2" t="s">
        <v>80</v>
      </c>
      <c r="G78" s="2" t="s">
        <v>58</v>
      </c>
      <c r="H78" s="23">
        <v>16000</v>
      </c>
      <c r="I78" s="2">
        <v>4</v>
      </c>
      <c r="J78" s="31">
        <v>15</v>
      </c>
      <c r="K78" s="7">
        <f t="shared" si="4"/>
        <v>64000</v>
      </c>
      <c r="L78" s="7">
        <f t="shared" si="5"/>
        <v>9600</v>
      </c>
      <c r="M78" s="7">
        <f t="shared" si="6"/>
        <v>54400</v>
      </c>
      <c r="N78" s="23">
        <v>0</v>
      </c>
      <c r="O78" s="7">
        <f t="shared" si="7"/>
        <v>54400</v>
      </c>
      <c r="P78" s="2" t="s">
        <v>22</v>
      </c>
      <c r="Q78" t="str">
        <f>_xlfn.XLOOKUP(B78,Status!$A$2:$A$1867,Status!$B$2:$B$1867)</f>
        <v>Completed</v>
      </c>
      <c r="R78" s="2" t="s">
        <v>30</v>
      </c>
      <c r="S78" s="8">
        <v>1</v>
      </c>
      <c r="T78" s="2" t="s">
        <v>24</v>
      </c>
      <c r="U78" s="31" t="str" cm="1">
        <f t="array" ref="U78">_xlfn.IFS(L78&lt;=5000,$Z$3,AND(L78&gt;5000,L78&lt;=15000),$Z$4,AND(L78&gt;15000,L78&lt;=30000),$Z$5,AND(L78&gt;30000,L78&lt;=50000),$Z$6,L78&gt;50000,$Z$7)</f>
        <v>Rendah</v>
      </c>
      <c r="V78" s="2"/>
    </row>
    <row r="79" spans="1:24" ht="15.75" customHeight="1" x14ac:dyDescent="0.25">
      <c r="A79" s="26"/>
      <c r="B79" s="2" t="s">
        <v>224</v>
      </c>
      <c r="C79" s="32">
        <v>45563.223182870373</v>
      </c>
      <c r="D79" s="53">
        <f>YEAR(Table1[[#This Row],[Order Date]])</f>
        <v>2024</v>
      </c>
      <c r="E79" s="2" t="s">
        <v>225</v>
      </c>
      <c r="F79" s="2" t="s">
        <v>189</v>
      </c>
      <c r="G79" s="2" t="s">
        <v>88</v>
      </c>
      <c r="H79" s="23">
        <v>14000</v>
      </c>
      <c r="I79" s="2">
        <v>4</v>
      </c>
      <c r="J79" s="31">
        <v>10</v>
      </c>
      <c r="K79" s="7">
        <f t="shared" si="4"/>
        <v>56000</v>
      </c>
      <c r="L79" s="7">
        <f t="shared" si="5"/>
        <v>5600</v>
      </c>
      <c r="M79" s="7">
        <f t="shared" si="6"/>
        <v>50400</v>
      </c>
      <c r="N79" s="23">
        <v>57000</v>
      </c>
      <c r="O79" s="7">
        <f t="shared" si="7"/>
        <v>107400</v>
      </c>
      <c r="P79" s="2" t="s">
        <v>22</v>
      </c>
      <c r="Q79" t="str">
        <f>_xlfn.XLOOKUP(B79,Status!$A$2:$A$1867,Status!$B$2:$B$1867)</f>
        <v>Completed</v>
      </c>
      <c r="R79" s="2" t="s">
        <v>46</v>
      </c>
      <c r="S79" s="8">
        <v>4</v>
      </c>
      <c r="T79" s="2" t="s">
        <v>37</v>
      </c>
      <c r="U79" s="31" t="str" cm="1">
        <f t="array" ref="U79">_xlfn.IFS(L79&lt;=5000,$Z$3,AND(L79&gt;5000,L79&lt;=15000),$Z$4,AND(L79&gt;15000,L79&lt;=30000),$Z$5,AND(L79&gt;30000,L79&lt;=50000),$Z$6,L79&gt;50000,$Z$7)</f>
        <v>Rendah</v>
      </c>
      <c r="V79" s="2"/>
    </row>
    <row r="80" spans="1:24" ht="15.75" customHeight="1" x14ac:dyDescent="0.25">
      <c r="A80" s="26"/>
      <c r="B80" s="2" t="s">
        <v>226</v>
      </c>
      <c r="C80" s="32">
        <v>45563.252222222232</v>
      </c>
      <c r="D80" s="53">
        <f>YEAR(Table1[[#This Row],[Order Date]])</f>
        <v>2024</v>
      </c>
      <c r="E80" s="2" t="s">
        <v>227</v>
      </c>
      <c r="F80" s="2" t="s">
        <v>70</v>
      </c>
      <c r="G80" s="2" t="s">
        <v>41</v>
      </c>
      <c r="H80" s="23">
        <v>4000</v>
      </c>
      <c r="I80" s="2">
        <v>3</v>
      </c>
      <c r="J80" s="31">
        <v>10</v>
      </c>
      <c r="K80" s="7">
        <f t="shared" si="4"/>
        <v>12000</v>
      </c>
      <c r="L80" s="7">
        <f t="shared" si="5"/>
        <v>1200</v>
      </c>
      <c r="M80" s="7">
        <f t="shared" si="6"/>
        <v>10800</v>
      </c>
      <c r="N80" s="23">
        <v>89000</v>
      </c>
      <c r="O80" s="7">
        <f t="shared" si="7"/>
        <v>99800</v>
      </c>
      <c r="P80" s="2" t="s">
        <v>35</v>
      </c>
      <c r="Q80" t="str">
        <f>_xlfn.XLOOKUP(B80,Status!$A$2:$A$1867,Status!$B$2:$B$1867)</f>
        <v>Returned</v>
      </c>
      <c r="R80" s="2" t="s">
        <v>30</v>
      </c>
      <c r="S80" s="8">
        <v>4</v>
      </c>
      <c r="T80" s="2" t="s">
        <v>24</v>
      </c>
      <c r="U80" s="31" t="str" cm="1">
        <f t="array" ref="U80">_xlfn.IFS(L80&lt;=5000,$Z$3,AND(L80&gt;5000,L80&lt;=15000),$Z$4,AND(L80&gt;15000,L80&lt;=30000),$Z$5,AND(L80&gt;30000,L80&lt;=50000),$Z$6,L80&gt;50000,$Z$7)</f>
        <v>Sangat Rendah</v>
      </c>
      <c r="V80" s="2"/>
    </row>
    <row r="81" spans="1:22" ht="15.75" customHeight="1" x14ac:dyDescent="0.25">
      <c r="A81" s="26"/>
      <c r="B81" s="2" t="s">
        <v>228</v>
      </c>
      <c r="C81" s="32">
        <v>45563.307650462957</v>
      </c>
      <c r="D81" s="53">
        <f>YEAR(Table1[[#This Row],[Order Date]])</f>
        <v>2024</v>
      </c>
      <c r="E81" s="2" t="s">
        <v>229</v>
      </c>
      <c r="F81" s="2" t="s">
        <v>195</v>
      </c>
      <c r="G81" s="2" t="s">
        <v>174</v>
      </c>
      <c r="H81" s="23">
        <v>10000</v>
      </c>
      <c r="I81" s="2">
        <v>3</v>
      </c>
      <c r="J81" s="31">
        <v>5</v>
      </c>
      <c r="K81" s="7">
        <f t="shared" si="4"/>
        <v>30000</v>
      </c>
      <c r="L81" s="7">
        <f t="shared" si="5"/>
        <v>1500</v>
      </c>
      <c r="M81" s="7">
        <f t="shared" si="6"/>
        <v>28500</v>
      </c>
      <c r="N81" s="23">
        <v>87000</v>
      </c>
      <c r="O81" s="7">
        <f t="shared" si="7"/>
        <v>115500</v>
      </c>
      <c r="P81" s="2" t="s">
        <v>35</v>
      </c>
      <c r="Q81" t="str">
        <f>_xlfn.XLOOKUP(B81,Status!$A$2:$A$1867,Status!$B$2:$B$1867)</f>
        <v>Cancelled</v>
      </c>
      <c r="R81" s="2" t="s">
        <v>30</v>
      </c>
      <c r="S81" s="8">
        <v>2</v>
      </c>
      <c r="T81" s="2" t="s">
        <v>24</v>
      </c>
      <c r="U81" s="31" t="str" cm="1">
        <f t="array" ref="U81">_xlfn.IFS(L81&lt;=5000,$Z$3,AND(L81&gt;5000,L81&lt;=15000),$Z$4,AND(L81&gt;15000,L81&lt;=30000),$Z$5,AND(L81&gt;30000,L81&lt;=50000),$Z$6,L81&gt;50000,$Z$7)</f>
        <v>Sangat Rendah</v>
      </c>
      <c r="V81" s="2"/>
    </row>
    <row r="82" spans="1:22" ht="15.75" customHeight="1" x14ac:dyDescent="0.25">
      <c r="A82" s="26"/>
      <c r="B82" s="2" t="s">
        <v>230</v>
      </c>
      <c r="C82" s="32">
        <v>45563.360196759262</v>
      </c>
      <c r="D82" s="53">
        <f>YEAR(Table1[[#This Row],[Order Date]])</f>
        <v>2024</v>
      </c>
      <c r="E82" s="2" t="s">
        <v>231</v>
      </c>
      <c r="F82" s="2" t="s">
        <v>66</v>
      </c>
      <c r="G82" s="2" t="s">
        <v>138</v>
      </c>
      <c r="H82" s="23">
        <v>17000</v>
      </c>
      <c r="I82" s="2">
        <v>4</v>
      </c>
      <c r="J82" s="31">
        <v>5</v>
      </c>
      <c r="K82" s="7">
        <f t="shared" si="4"/>
        <v>68000</v>
      </c>
      <c r="L82" s="7">
        <f t="shared" si="5"/>
        <v>3400</v>
      </c>
      <c r="M82" s="7">
        <f t="shared" si="6"/>
        <v>64600</v>
      </c>
      <c r="N82" s="23">
        <v>59000</v>
      </c>
      <c r="O82" s="7">
        <f t="shared" si="7"/>
        <v>123600</v>
      </c>
      <c r="P82" s="2" t="s">
        <v>29</v>
      </c>
      <c r="Q82" t="str">
        <f>_xlfn.XLOOKUP(B82,Status!$A$2:$A$1867,Status!$B$2:$B$1867)</f>
        <v>Completed</v>
      </c>
      <c r="R82" s="2" t="s">
        <v>36</v>
      </c>
      <c r="S82" s="8">
        <v>1</v>
      </c>
      <c r="T82" s="2" t="s">
        <v>24</v>
      </c>
      <c r="U82" s="31" t="str" cm="1">
        <f t="array" ref="U82">_xlfn.IFS(L82&lt;=5000,$Z$3,AND(L82&gt;5000,L82&lt;=15000),$Z$4,AND(L82&gt;15000,L82&lt;=30000),$Z$5,AND(L82&gt;30000,L82&lt;=50000),$Z$6,L82&gt;50000,$Z$7)</f>
        <v>Sangat Rendah</v>
      </c>
      <c r="V82" s="2"/>
    </row>
    <row r="83" spans="1:22" ht="15.75" customHeight="1" x14ac:dyDescent="0.25">
      <c r="A83" s="26"/>
      <c r="B83" s="2" t="s">
        <v>232</v>
      </c>
      <c r="C83" s="32">
        <v>45563.714907407397</v>
      </c>
      <c r="D83" s="53">
        <f>YEAR(Table1[[#This Row],[Order Date]])</f>
        <v>2024</v>
      </c>
      <c r="E83" s="2" t="s">
        <v>233</v>
      </c>
      <c r="F83" s="2" t="s">
        <v>113</v>
      </c>
      <c r="G83" s="2" t="s">
        <v>41</v>
      </c>
      <c r="H83" s="23">
        <v>4000</v>
      </c>
      <c r="I83" s="2">
        <v>4</v>
      </c>
      <c r="J83" s="31">
        <v>15</v>
      </c>
      <c r="K83" s="7">
        <f t="shared" si="4"/>
        <v>16000</v>
      </c>
      <c r="L83" s="7">
        <f t="shared" si="5"/>
        <v>2400</v>
      </c>
      <c r="M83" s="7">
        <f t="shared" si="6"/>
        <v>13600</v>
      </c>
      <c r="N83" s="23">
        <v>18000</v>
      </c>
      <c r="O83" s="7">
        <f t="shared" si="7"/>
        <v>31600</v>
      </c>
      <c r="P83" s="2" t="s">
        <v>29</v>
      </c>
      <c r="Q83" t="str">
        <f>_xlfn.XLOOKUP(B83,Status!$A$2:$A$1867,Status!$B$2:$B$1867)</f>
        <v>Completed</v>
      </c>
      <c r="R83" s="2" t="s">
        <v>36</v>
      </c>
      <c r="S83" s="8">
        <v>1</v>
      </c>
      <c r="T83" s="2" t="s">
        <v>37</v>
      </c>
      <c r="U83" s="31" t="str" cm="1">
        <f t="array" ref="U83">_xlfn.IFS(L83&lt;=5000,$Z$3,AND(L83&gt;5000,L83&lt;=15000),$Z$4,AND(L83&gt;15000,L83&lt;=30000),$Z$5,AND(L83&gt;30000,L83&lt;=50000),$Z$6,L83&gt;50000,$Z$7)</f>
        <v>Sangat Rendah</v>
      </c>
      <c r="V83" s="2"/>
    </row>
    <row r="84" spans="1:22" ht="15.75" customHeight="1" x14ac:dyDescent="0.25">
      <c r="A84" s="26"/>
      <c r="B84" s="2" t="s">
        <v>234</v>
      </c>
      <c r="C84" s="32">
        <v>45564.279097222221</v>
      </c>
      <c r="D84" s="53">
        <f>YEAR(Table1[[#This Row],[Order Date]])</f>
        <v>2024</v>
      </c>
      <c r="E84" s="2" t="s">
        <v>235</v>
      </c>
      <c r="F84" s="2" t="s">
        <v>189</v>
      </c>
      <c r="G84" s="2" t="s">
        <v>75</v>
      </c>
      <c r="H84" s="23">
        <v>55000</v>
      </c>
      <c r="I84" s="2">
        <v>4</v>
      </c>
      <c r="J84" s="31">
        <v>0</v>
      </c>
      <c r="K84" s="7">
        <f t="shared" si="4"/>
        <v>220000</v>
      </c>
      <c r="L84" s="7">
        <f t="shared" si="5"/>
        <v>0</v>
      </c>
      <c r="M84" s="7">
        <f t="shared" si="6"/>
        <v>220000</v>
      </c>
      <c r="N84" s="23">
        <v>57000</v>
      </c>
      <c r="O84" s="7">
        <f t="shared" si="7"/>
        <v>277000</v>
      </c>
      <c r="P84" s="2" t="s">
        <v>35</v>
      </c>
      <c r="Q84" t="str">
        <f>_xlfn.XLOOKUP(B84,Status!$A$2:$A$1867,Status!$B$2:$B$1867)</f>
        <v>Completed</v>
      </c>
      <c r="R84" s="2" t="s">
        <v>36</v>
      </c>
      <c r="S84" s="8">
        <v>4</v>
      </c>
      <c r="T84" s="2" t="s">
        <v>37</v>
      </c>
      <c r="U84" s="31" t="str" cm="1">
        <f t="array" ref="U84">_xlfn.IFS(L84&lt;=5000,$Z$3,AND(L84&gt;5000,L84&lt;=15000),$Z$4,AND(L84&gt;15000,L84&lt;=30000),$Z$5,AND(L84&gt;30000,L84&lt;=50000),$Z$6,L84&gt;50000,$Z$7)</f>
        <v>Sangat Rendah</v>
      </c>
      <c r="V84" s="2"/>
    </row>
    <row r="85" spans="1:22" ht="15.75" customHeight="1" x14ac:dyDescent="0.25">
      <c r="A85" s="26"/>
      <c r="B85" s="2" t="s">
        <v>236</v>
      </c>
      <c r="C85" s="32">
        <v>45564.352638888893</v>
      </c>
      <c r="D85" s="53">
        <f>YEAR(Table1[[#This Row],[Order Date]])</f>
        <v>2024</v>
      </c>
      <c r="E85" s="2" t="s">
        <v>237</v>
      </c>
      <c r="F85" s="2" t="s">
        <v>238</v>
      </c>
      <c r="G85" s="2" t="s">
        <v>93</v>
      </c>
      <c r="H85" s="23">
        <v>25000</v>
      </c>
      <c r="I85" s="2">
        <v>2</v>
      </c>
      <c r="J85" s="31">
        <v>15</v>
      </c>
      <c r="K85" s="7">
        <f t="shared" si="4"/>
        <v>50000</v>
      </c>
      <c r="L85" s="7">
        <f t="shared" si="5"/>
        <v>7500</v>
      </c>
      <c r="M85" s="7">
        <f t="shared" si="6"/>
        <v>42500</v>
      </c>
      <c r="N85" s="23">
        <v>28000</v>
      </c>
      <c r="O85" s="7">
        <f t="shared" si="7"/>
        <v>70500</v>
      </c>
      <c r="P85" s="2" t="s">
        <v>29</v>
      </c>
      <c r="Q85" t="str">
        <f>_xlfn.XLOOKUP(B85,Status!$A$2:$A$1867,Status!$B$2:$B$1867)</f>
        <v>Completed</v>
      </c>
      <c r="R85" s="2" t="s">
        <v>82</v>
      </c>
      <c r="S85" s="8">
        <v>3</v>
      </c>
      <c r="T85" s="2" t="s">
        <v>24</v>
      </c>
      <c r="U85" s="31" t="str" cm="1">
        <f t="array" ref="U85">_xlfn.IFS(L85&lt;=5000,$Z$3,AND(L85&gt;5000,L85&lt;=15000),$Z$4,AND(L85&gt;15000,L85&lt;=30000),$Z$5,AND(L85&gt;30000,L85&lt;=50000),$Z$6,L85&gt;50000,$Z$7)</f>
        <v>Rendah</v>
      </c>
      <c r="V85" s="2"/>
    </row>
    <row r="86" spans="1:22" ht="15.75" customHeight="1" x14ac:dyDescent="0.25">
      <c r="A86" s="26"/>
      <c r="B86" s="2" t="s">
        <v>239</v>
      </c>
      <c r="C86" s="32">
        <v>45564.403865740736</v>
      </c>
      <c r="D86" s="53">
        <f>YEAR(Table1[[#This Row],[Order Date]])</f>
        <v>2024</v>
      </c>
      <c r="E86" s="2" t="s">
        <v>240</v>
      </c>
      <c r="F86" s="2" t="s">
        <v>189</v>
      </c>
      <c r="G86" s="2" t="s">
        <v>110</v>
      </c>
      <c r="H86" s="23">
        <v>6000</v>
      </c>
      <c r="I86" s="2">
        <v>5</v>
      </c>
      <c r="J86" s="31">
        <v>20</v>
      </c>
      <c r="K86" s="7">
        <f t="shared" si="4"/>
        <v>30000</v>
      </c>
      <c r="L86" s="7">
        <f t="shared" si="5"/>
        <v>6000</v>
      </c>
      <c r="M86" s="7">
        <f t="shared" si="6"/>
        <v>24000</v>
      </c>
      <c r="N86" s="23">
        <v>57000</v>
      </c>
      <c r="O86" s="7">
        <f t="shared" si="7"/>
        <v>81000</v>
      </c>
      <c r="P86" s="2" t="s">
        <v>35</v>
      </c>
      <c r="Q86" t="str">
        <f>_xlfn.XLOOKUP(B86,Status!$A$2:$A$1867,Status!$B$2:$B$1867)</f>
        <v>Completed</v>
      </c>
      <c r="R86" s="2" t="s">
        <v>23</v>
      </c>
      <c r="S86" s="8">
        <v>5</v>
      </c>
      <c r="T86" s="2" t="s">
        <v>37</v>
      </c>
      <c r="U86" s="31" t="str" cm="1">
        <f t="array" ref="U86">_xlfn.IFS(L86&lt;=5000,$Z$3,AND(L86&gt;5000,L86&lt;=15000),$Z$4,AND(L86&gt;15000,L86&lt;=30000),$Z$5,AND(L86&gt;30000,L86&lt;=50000),$Z$6,L86&gt;50000,$Z$7)</f>
        <v>Rendah</v>
      </c>
      <c r="V86" s="2"/>
    </row>
    <row r="87" spans="1:22" ht="15.75" customHeight="1" x14ac:dyDescent="0.25">
      <c r="A87" s="26"/>
      <c r="B87" s="2" t="s">
        <v>241</v>
      </c>
      <c r="C87" s="32">
        <v>45564.440324074072</v>
      </c>
      <c r="D87" s="53">
        <f>YEAR(Table1[[#This Row],[Order Date]])</f>
        <v>2024</v>
      </c>
      <c r="E87" s="2" t="s">
        <v>146</v>
      </c>
      <c r="F87" s="2" t="s">
        <v>92</v>
      </c>
      <c r="G87" s="2" t="s">
        <v>21</v>
      </c>
      <c r="H87" s="23">
        <v>45000</v>
      </c>
      <c r="I87" s="2">
        <v>2</v>
      </c>
      <c r="J87" s="31">
        <v>15</v>
      </c>
      <c r="K87" s="7">
        <f t="shared" si="4"/>
        <v>90000</v>
      </c>
      <c r="L87" s="7">
        <f t="shared" si="5"/>
        <v>13500</v>
      </c>
      <c r="M87" s="7">
        <f t="shared" si="6"/>
        <v>76500</v>
      </c>
      <c r="N87" s="23">
        <v>30000</v>
      </c>
      <c r="O87" s="7">
        <f t="shared" si="7"/>
        <v>106500</v>
      </c>
      <c r="P87" s="2" t="s">
        <v>22</v>
      </c>
      <c r="Q87" t="str">
        <f>_xlfn.XLOOKUP(B87,Status!$A$2:$A$1867,Status!$B$2:$B$1867)</f>
        <v>Cancelled</v>
      </c>
      <c r="R87" s="2" t="s">
        <v>36</v>
      </c>
      <c r="S87" s="8">
        <v>5</v>
      </c>
      <c r="T87" s="2" t="s">
        <v>37</v>
      </c>
      <c r="U87" s="31" t="str" cm="1">
        <f t="array" ref="U87">_xlfn.IFS(L87&lt;=5000,$Z$3,AND(L87&gt;5000,L87&lt;=15000),$Z$4,AND(L87&gt;15000,L87&lt;=30000),$Z$5,AND(L87&gt;30000,L87&lt;=50000),$Z$6,L87&gt;50000,$Z$7)</f>
        <v>Rendah</v>
      </c>
      <c r="V87" s="2"/>
    </row>
    <row r="88" spans="1:22" ht="15.75" customHeight="1" x14ac:dyDescent="0.25">
      <c r="A88" s="26"/>
      <c r="B88" s="2" t="s">
        <v>242</v>
      </c>
      <c r="C88" s="32">
        <v>45564.51357638889</v>
      </c>
      <c r="D88" s="53">
        <f>YEAR(Table1[[#This Row],[Order Date]])</f>
        <v>2024</v>
      </c>
      <c r="E88" s="2" t="s">
        <v>243</v>
      </c>
      <c r="F88" s="2" t="s">
        <v>244</v>
      </c>
      <c r="G88" s="2" t="s">
        <v>190</v>
      </c>
      <c r="H88" s="23">
        <v>35000</v>
      </c>
      <c r="I88" s="2">
        <v>1</v>
      </c>
      <c r="J88" s="31">
        <v>15</v>
      </c>
      <c r="K88" s="7">
        <f t="shared" si="4"/>
        <v>35000</v>
      </c>
      <c r="L88" s="7">
        <f t="shared" si="5"/>
        <v>5250</v>
      </c>
      <c r="M88" s="7">
        <f t="shared" si="6"/>
        <v>29750</v>
      </c>
      <c r="N88" s="23">
        <v>80000</v>
      </c>
      <c r="O88" s="7">
        <f t="shared" si="7"/>
        <v>109750</v>
      </c>
      <c r="P88" s="2" t="s">
        <v>63</v>
      </c>
      <c r="Q88" t="str">
        <f>_xlfn.XLOOKUP(B88,Status!$A$2:$A$1867,Status!$B$2:$B$1867)</f>
        <v>Completed</v>
      </c>
      <c r="R88" s="2" t="s">
        <v>36</v>
      </c>
      <c r="S88" s="8">
        <v>5</v>
      </c>
      <c r="T88" s="2" t="s">
        <v>37</v>
      </c>
      <c r="U88" s="31" t="str" cm="1">
        <f t="array" ref="U88">_xlfn.IFS(L88&lt;=5000,$Z$3,AND(L88&gt;5000,L88&lt;=15000),$Z$4,AND(L88&gt;15000,L88&lt;=30000),$Z$5,AND(L88&gt;30000,L88&lt;=50000),$Z$6,L88&gt;50000,$Z$7)</f>
        <v>Rendah</v>
      </c>
      <c r="V88" s="2"/>
    </row>
    <row r="89" spans="1:22" ht="15.75" customHeight="1" x14ac:dyDescent="0.25">
      <c r="A89" s="26"/>
      <c r="B89" s="2" t="s">
        <v>245</v>
      </c>
      <c r="C89" s="32">
        <v>45564.906493055547</v>
      </c>
      <c r="D89" s="53">
        <f>YEAR(Table1[[#This Row],[Order Date]])</f>
        <v>2024</v>
      </c>
      <c r="E89" s="2" t="s">
        <v>246</v>
      </c>
      <c r="F89" s="2" t="s">
        <v>238</v>
      </c>
      <c r="G89" s="2" t="s">
        <v>88</v>
      </c>
      <c r="H89" s="23">
        <v>14000</v>
      </c>
      <c r="I89" s="2">
        <v>5</v>
      </c>
      <c r="J89" s="31">
        <v>5</v>
      </c>
      <c r="K89" s="7">
        <f t="shared" si="4"/>
        <v>70000</v>
      </c>
      <c r="L89" s="7">
        <f t="shared" si="5"/>
        <v>3500</v>
      </c>
      <c r="M89" s="7">
        <f t="shared" si="6"/>
        <v>66500</v>
      </c>
      <c r="N89" s="23">
        <v>28000</v>
      </c>
      <c r="O89" s="7">
        <f t="shared" si="7"/>
        <v>94500</v>
      </c>
      <c r="P89" s="2" t="s">
        <v>63</v>
      </c>
      <c r="Q89" t="str">
        <f>_xlfn.XLOOKUP(B89,Status!$A$2:$A$1867,Status!$B$2:$B$1867)</f>
        <v>Completed</v>
      </c>
      <c r="R89" s="2" t="s">
        <v>46</v>
      </c>
      <c r="S89" s="8">
        <v>3</v>
      </c>
      <c r="T89" s="2" t="s">
        <v>24</v>
      </c>
      <c r="U89" s="31" t="str" cm="1">
        <f t="array" ref="U89">_xlfn.IFS(L89&lt;=5000,$Z$3,AND(L89&gt;5000,L89&lt;=15000),$Z$4,AND(L89&gt;15000,L89&lt;=30000),$Z$5,AND(L89&gt;30000,L89&lt;=50000),$Z$6,L89&gt;50000,$Z$7)</f>
        <v>Sangat Rendah</v>
      </c>
      <c r="V89" s="2"/>
    </row>
    <row r="90" spans="1:22" ht="15.75" customHeight="1" x14ac:dyDescent="0.25">
      <c r="A90" s="26"/>
      <c r="B90" s="2" t="s">
        <v>247</v>
      </c>
      <c r="C90" s="32">
        <v>45565.106886574067</v>
      </c>
      <c r="D90" s="53">
        <f>YEAR(Table1[[#This Row],[Order Date]])</f>
        <v>2024</v>
      </c>
      <c r="E90" s="2" t="s">
        <v>240</v>
      </c>
      <c r="F90" s="2" t="s">
        <v>189</v>
      </c>
      <c r="G90" s="2" t="s">
        <v>88</v>
      </c>
      <c r="H90" s="23">
        <v>14000</v>
      </c>
      <c r="I90" s="2">
        <v>5</v>
      </c>
      <c r="J90" s="31">
        <v>20</v>
      </c>
      <c r="K90" s="7">
        <f t="shared" si="4"/>
        <v>70000</v>
      </c>
      <c r="L90" s="7">
        <f t="shared" si="5"/>
        <v>14000</v>
      </c>
      <c r="M90" s="7">
        <f t="shared" si="6"/>
        <v>56000</v>
      </c>
      <c r="N90" s="23">
        <v>57000</v>
      </c>
      <c r="O90" s="7">
        <f t="shared" si="7"/>
        <v>113000</v>
      </c>
      <c r="P90" s="2" t="s">
        <v>35</v>
      </c>
      <c r="Q90" t="str">
        <f>_xlfn.XLOOKUP(B90,Status!$A$2:$A$1867,Status!$B$2:$B$1867)</f>
        <v>Completed</v>
      </c>
      <c r="R90" s="2" t="s">
        <v>30</v>
      </c>
      <c r="S90" s="8">
        <v>1</v>
      </c>
      <c r="T90" s="2" t="s">
        <v>37</v>
      </c>
      <c r="U90" s="31" t="str" cm="1">
        <f t="array" ref="U90">_xlfn.IFS(L90&lt;=5000,$Z$3,AND(L90&gt;5000,L90&lt;=15000),$Z$4,AND(L90&gt;15000,L90&lt;=30000),$Z$5,AND(L90&gt;30000,L90&lt;=50000),$Z$6,L90&gt;50000,$Z$7)</f>
        <v>Rendah</v>
      </c>
      <c r="V90" s="2"/>
    </row>
    <row r="91" spans="1:22" ht="15.75" customHeight="1" x14ac:dyDescent="0.25">
      <c r="A91" s="26"/>
      <c r="B91" s="2" t="s">
        <v>248</v>
      </c>
      <c r="C91" s="32">
        <v>45565.178935185177</v>
      </c>
      <c r="D91" s="53">
        <f>YEAR(Table1[[#This Row],[Order Date]])</f>
        <v>2024</v>
      </c>
      <c r="E91" s="2" t="s">
        <v>249</v>
      </c>
      <c r="F91" s="2" t="s">
        <v>49</v>
      </c>
      <c r="G91" s="2" t="s">
        <v>250</v>
      </c>
      <c r="H91" s="23">
        <v>18000</v>
      </c>
      <c r="I91" s="2">
        <v>1</v>
      </c>
      <c r="J91" s="31">
        <v>5</v>
      </c>
      <c r="K91" s="7">
        <f t="shared" si="4"/>
        <v>18000</v>
      </c>
      <c r="L91" s="7">
        <f t="shared" si="5"/>
        <v>900</v>
      </c>
      <c r="M91" s="7">
        <f t="shared" si="6"/>
        <v>17100</v>
      </c>
      <c r="N91" s="23">
        <v>43000</v>
      </c>
      <c r="O91" s="7">
        <f t="shared" si="7"/>
        <v>60100</v>
      </c>
      <c r="P91" s="2" t="s">
        <v>63</v>
      </c>
      <c r="Q91" t="str">
        <f>_xlfn.XLOOKUP(B91,Status!$A$2:$A$1867,Status!$B$2:$B$1867)</f>
        <v>Completed</v>
      </c>
      <c r="R91" s="2" t="s">
        <v>30</v>
      </c>
      <c r="S91" s="8">
        <v>4</v>
      </c>
      <c r="T91" s="2" t="s">
        <v>24</v>
      </c>
      <c r="U91" s="31" t="str" cm="1">
        <f t="array" ref="U91">_xlfn.IFS(L91&lt;=5000,$Z$3,AND(L91&gt;5000,L91&lt;=15000),$Z$4,AND(L91&gt;15000,L91&lt;=30000),$Z$5,AND(L91&gt;30000,L91&lt;=50000),$Z$6,L91&gt;50000,$Z$7)</f>
        <v>Sangat Rendah</v>
      </c>
      <c r="V91" s="2"/>
    </row>
    <row r="92" spans="1:22" ht="15.75" customHeight="1" x14ac:dyDescent="0.25">
      <c r="A92" s="26"/>
      <c r="B92" s="2" t="s">
        <v>251</v>
      </c>
      <c r="C92" s="32">
        <v>45565.258020833331</v>
      </c>
      <c r="D92" s="53">
        <f>YEAR(Table1[[#This Row],[Order Date]])</f>
        <v>2024</v>
      </c>
      <c r="E92" s="2" t="s">
        <v>252</v>
      </c>
      <c r="F92" s="2" t="s">
        <v>131</v>
      </c>
      <c r="G92" s="2" t="s">
        <v>88</v>
      </c>
      <c r="H92" s="23">
        <v>14000</v>
      </c>
      <c r="I92" s="2">
        <v>3</v>
      </c>
      <c r="J92" s="31">
        <v>15</v>
      </c>
      <c r="K92" s="7">
        <f t="shared" si="4"/>
        <v>42000</v>
      </c>
      <c r="L92" s="7">
        <f t="shared" si="5"/>
        <v>6300</v>
      </c>
      <c r="M92" s="7">
        <f t="shared" si="6"/>
        <v>35700</v>
      </c>
      <c r="N92" s="23">
        <v>59000</v>
      </c>
      <c r="O92" s="7">
        <f t="shared" si="7"/>
        <v>94700</v>
      </c>
      <c r="P92" s="2" t="s">
        <v>29</v>
      </c>
      <c r="Q92" t="str">
        <f>_xlfn.XLOOKUP(B92,Status!$A$2:$A$1867,Status!$B$2:$B$1867)</f>
        <v>Returned</v>
      </c>
      <c r="R92" s="2" t="s">
        <v>36</v>
      </c>
      <c r="S92" s="8">
        <v>2</v>
      </c>
      <c r="T92" s="2" t="s">
        <v>24</v>
      </c>
      <c r="U92" s="31" t="str" cm="1">
        <f t="array" ref="U92">_xlfn.IFS(L92&lt;=5000,$Z$3,AND(L92&gt;5000,L92&lt;=15000),$Z$4,AND(L92&gt;15000,L92&lt;=30000),$Z$5,AND(L92&gt;30000,L92&lt;=50000),$Z$6,L92&gt;50000,$Z$7)</f>
        <v>Rendah</v>
      </c>
      <c r="V92" s="2"/>
    </row>
    <row r="93" spans="1:22" ht="15.75" customHeight="1" x14ac:dyDescent="0.25">
      <c r="A93" s="26"/>
      <c r="B93" s="2" t="s">
        <v>251</v>
      </c>
      <c r="C93" s="32">
        <v>45565.258020833331</v>
      </c>
      <c r="D93" s="53">
        <f>YEAR(Table1[[#This Row],[Order Date]])</f>
        <v>2024</v>
      </c>
      <c r="E93" s="2" t="s">
        <v>252</v>
      </c>
      <c r="F93" s="2" t="s">
        <v>131</v>
      </c>
      <c r="G93" s="2" t="s">
        <v>41</v>
      </c>
      <c r="H93" s="23">
        <v>4000</v>
      </c>
      <c r="I93" s="2">
        <v>2</v>
      </c>
      <c r="J93" s="31">
        <v>15</v>
      </c>
      <c r="K93" s="7">
        <f t="shared" si="4"/>
        <v>8000</v>
      </c>
      <c r="L93" s="7">
        <f t="shared" si="5"/>
        <v>1200</v>
      </c>
      <c r="M93" s="7">
        <f t="shared" si="6"/>
        <v>6800</v>
      </c>
      <c r="N93" s="23">
        <v>0</v>
      </c>
      <c r="O93" s="7">
        <f t="shared" si="7"/>
        <v>6800</v>
      </c>
      <c r="P93" s="2" t="s">
        <v>29</v>
      </c>
      <c r="Q93" t="str">
        <f>_xlfn.XLOOKUP(B93,Status!$A$2:$A$1867,Status!$B$2:$B$1867)</f>
        <v>Returned</v>
      </c>
      <c r="R93" s="2" t="s">
        <v>36</v>
      </c>
      <c r="S93" s="8">
        <v>2</v>
      </c>
      <c r="T93" s="2" t="s">
        <v>24</v>
      </c>
      <c r="U93" s="31" t="str" cm="1">
        <f t="array" ref="U93">_xlfn.IFS(L93&lt;=5000,$Z$3,AND(L93&gt;5000,L93&lt;=15000),$Z$4,AND(L93&gt;15000,L93&lt;=30000),$Z$5,AND(L93&gt;30000,L93&lt;=50000),$Z$6,L93&gt;50000,$Z$7)</f>
        <v>Sangat Rendah</v>
      </c>
      <c r="V93" s="2"/>
    </row>
    <row r="94" spans="1:22" ht="15.75" customHeight="1" x14ac:dyDescent="0.25">
      <c r="A94" s="26"/>
      <c r="B94" s="2" t="s">
        <v>253</v>
      </c>
      <c r="C94" s="32">
        <v>45565.288680555554</v>
      </c>
      <c r="D94" s="53">
        <f>YEAR(Table1[[#This Row],[Order Date]])</f>
        <v>2024</v>
      </c>
      <c r="E94" s="2" t="s">
        <v>254</v>
      </c>
      <c r="F94" s="2" t="s">
        <v>61</v>
      </c>
      <c r="G94" s="2" t="s">
        <v>38</v>
      </c>
      <c r="H94" s="23">
        <v>28000</v>
      </c>
      <c r="I94" s="2">
        <v>3</v>
      </c>
      <c r="J94" s="31">
        <v>20</v>
      </c>
      <c r="K94" s="7">
        <f t="shared" si="4"/>
        <v>84000</v>
      </c>
      <c r="L94" s="7">
        <f t="shared" si="5"/>
        <v>16800</v>
      </c>
      <c r="M94" s="7">
        <f t="shared" si="6"/>
        <v>67200</v>
      </c>
      <c r="N94" s="23">
        <v>26000</v>
      </c>
      <c r="O94" s="7">
        <f t="shared" si="7"/>
        <v>93200</v>
      </c>
      <c r="P94" s="2" t="s">
        <v>35</v>
      </c>
      <c r="Q94" t="str">
        <f>_xlfn.XLOOKUP(B94,Status!$A$2:$A$1867,Status!$B$2:$B$1867)</f>
        <v>Completed</v>
      </c>
      <c r="R94" s="2" t="s">
        <v>46</v>
      </c>
      <c r="S94" s="8">
        <v>1</v>
      </c>
      <c r="T94" s="2" t="s">
        <v>24</v>
      </c>
      <c r="U94" s="31" t="str" cm="1">
        <f t="array" ref="U94">_xlfn.IFS(L94&lt;=5000,$Z$3,AND(L94&gt;5000,L94&lt;=15000),$Z$4,AND(L94&gt;15000,L94&lt;=30000),$Z$5,AND(L94&gt;30000,L94&lt;=50000),$Z$6,L94&gt;50000,$Z$7)</f>
        <v>Normal</v>
      </c>
      <c r="V94" s="2"/>
    </row>
    <row r="95" spans="1:22" ht="15.75" customHeight="1" x14ac:dyDescent="0.25">
      <c r="A95" s="26"/>
      <c r="B95" s="2" t="s">
        <v>255</v>
      </c>
      <c r="C95" s="32">
        <v>45565.642199074071</v>
      </c>
      <c r="D95" s="53">
        <f>YEAR(Table1[[#This Row],[Order Date]])</f>
        <v>2024</v>
      </c>
      <c r="E95" s="2" t="s">
        <v>256</v>
      </c>
      <c r="F95" s="2" t="s">
        <v>107</v>
      </c>
      <c r="G95" s="2" t="s">
        <v>54</v>
      </c>
      <c r="H95" s="23">
        <v>16000</v>
      </c>
      <c r="I95" s="2">
        <v>4</v>
      </c>
      <c r="J95" s="31">
        <v>20</v>
      </c>
      <c r="K95" s="7">
        <f t="shared" si="4"/>
        <v>64000</v>
      </c>
      <c r="L95" s="7">
        <f t="shared" si="5"/>
        <v>12800</v>
      </c>
      <c r="M95" s="7">
        <f t="shared" si="6"/>
        <v>51200</v>
      </c>
      <c r="N95" s="23">
        <v>97000</v>
      </c>
      <c r="O95" s="7">
        <f t="shared" si="7"/>
        <v>148200</v>
      </c>
      <c r="P95" s="2" t="s">
        <v>29</v>
      </c>
      <c r="Q95" t="str">
        <f>_xlfn.XLOOKUP(B95,Status!$A$2:$A$1867,Status!$B$2:$B$1867)</f>
        <v>Completed</v>
      </c>
      <c r="R95" s="2" t="s">
        <v>30</v>
      </c>
      <c r="S95" s="8">
        <v>2</v>
      </c>
      <c r="T95" s="2" t="s">
        <v>24</v>
      </c>
      <c r="U95" s="31" t="str" cm="1">
        <f t="array" ref="U95">_xlfn.IFS(L95&lt;=5000,$Z$3,AND(L95&gt;5000,L95&lt;=15000),$Z$4,AND(L95&gt;15000,L95&lt;=30000),$Z$5,AND(L95&gt;30000,L95&lt;=50000),$Z$6,L95&gt;50000,$Z$7)</f>
        <v>Rendah</v>
      </c>
      <c r="V95" s="2"/>
    </row>
    <row r="96" spans="1:22" ht="15.75" customHeight="1" x14ac:dyDescent="0.25">
      <c r="A96" s="26"/>
      <c r="B96" s="2" t="s">
        <v>257</v>
      </c>
      <c r="C96" s="32">
        <v>45565.775868055563</v>
      </c>
      <c r="D96" s="53">
        <f>YEAR(Table1[[#This Row],[Order Date]])</f>
        <v>2024</v>
      </c>
      <c r="E96" s="2" t="s">
        <v>258</v>
      </c>
      <c r="F96" s="2" t="s">
        <v>44</v>
      </c>
      <c r="G96" s="2" t="s">
        <v>93</v>
      </c>
      <c r="H96" s="23">
        <v>25000</v>
      </c>
      <c r="I96" s="2">
        <v>2</v>
      </c>
      <c r="J96" s="31">
        <v>5</v>
      </c>
      <c r="K96" s="7">
        <f t="shared" si="4"/>
        <v>50000</v>
      </c>
      <c r="L96" s="7">
        <f t="shared" si="5"/>
        <v>2500</v>
      </c>
      <c r="M96" s="7">
        <f t="shared" si="6"/>
        <v>47500</v>
      </c>
      <c r="N96" s="23">
        <v>93000</v>
      </c>
      <c r="O96" s="7">
        <f t="shared" si="7"/>
        <v>140500</v>
      </c>
      <c r="P96" s="2" t="s">
        <v>29</v>
      </c>
      <c r="Q96" t="str">
        <f>_xlfn.XLOOKUP(B96,Status!$A$2:$A$1867,Status!$B$2:$B$1867)</f>
        <v>Completed</v>
      </c>
      <c r="R96" s="2" t="s">
        <v>36</v>
      </c>
      <c r="S96" s="8">
        <v>3</v>
      </c>
      <c r="T96" s="2" t="s">
        <v>24</v>
      </c>
      <c r="U96" s="31" t="str" cm="1">
        <f t="array" ref="U96">_xlfn.IFS(L96&lt;=5000,$Z$3,AND(L96&gt;5000,L96&lt;=15000),$Z$4,AND(L96&gt;15000,L96&lt;=30000),$Z$5,AND(L96&gt;30000,L96&lt;=50000),$Z$6,L96&gt;50000,$Z$7)</f>
        <v>Sangat Rendah</v>
      </c>
      <c r="V96" s="2"/>
    </row>
    <row r="97" spans="1:22" ht="15.75" customHeight="1" x14ac:dyDescent="0.25">
      <c r="A97" s="26"/>
      <c r="B97" s="2" t="s">
        <v>259</v>
      </c>
      <c r="C97" s="32">
        <v>45565.845833333333</v>
      </c>
      <c r="D97" s="53">
        <f>YEAR(Table1[[#This Row],[Order Date]])</f>
        <v>2024</v>
      </c>
      <c r="E97" s="2" t="s">
        <v>240</v>
      </c>
      <c r="F97" s="2" t="s">
        <v>189</v>
      </c>
      <c r="G97" s="2" t="s">
        <v>45</v>
      </c>
      <c r="H97" s="23">
        <v>40000</v>
      </c>
      <c r="I97" s="2">
        <v>4</v>
      </c>
      <c r="J97" s="31">
        <v>10</v>
      </c>
      <c r="K97" s="7">
        <f t="shared" si="4"/>
        <v>160000</v>
      </c>
      <c r="L97" s="7">
        <f t="shared" si="5"/>
        <v>16000</v>
      </c>
      <c r="M97" s="7">
        <f t="shared" si="6"/>
        <v>144000</v>
      </c>
      <c r="N97" s="23">
        <v>57000</v>
      </c>
      <c r="O97" s="7">
        <f t="shared" si="7"/>
        <v>201000</v>
      </c>
      <c r="P97" s="2" t="s">
        <v>22</v>
      </c>
      <c r="Q97" t="str">
        <f>_xlfn.XLOOKUP(B97,Status!$A$2:$A$1867,Status!$B$2:$B$1867)</f>
        <v>Completed</v>
      </c>
      <c r="R97" s="2" t="s">
        <v>46</v>
      </c>
      <c r="S97" s="8">
        <v>1</v>
      </c>
      <c r="T97" s="2" t="s">
        <v>37</v>
      </c>
      <c r="U97" s="31" t="str" cm="1">
        <f t="array" ref="U97">_xlfn.IFS(L97&lt;=5000,$Z$3,AND(L97&gt;5000,L97&lt;=15000),$Z$4,AND(L97&gt;15000,L97&lt;=30000),$Z$5,AND(L97&gt;30000,L97&lt;=50000),$Z$6,L97&gt;50000,$Z$7)</f>
        <v>Normal</v>
      </c>
      <c r="V97" s="2"/>
    </row>
    <row r="98" spans="1:22" ht="15.75" customHeight="1" x14ac:dyDescent="0.25">
      <c r="A98" s="26"/>
      <c r="B98" s="2" t="s">
        <v>260</v>
      </c>
      <c r="C98" s="32">
        <v>45565.901932870373</v>
      </c>
      <c r="D98" s="53">
        <f>YEAR(Table1[[#This Row],[Order Date]])</f>
        <v>2024</v>
      </c>
      <c r="E98" s="2" t="s">
        <v>261</v>
      </c>
      <c r="F98" s="2" t="s">
        <v>262</v>
      </c>
      <c r="G98" s="2" t="s">
        <v>93</v>
      </c>
      <c r="H98" s="23">
        <v>25000</v>
      </c>
      <c r="I98" s="2">
        <v>5</v>
      </c>
      <c r="J98" s="31">
        <v>5</v>
      </c>
      <c r="K98" s="7">
        <f t="shared" si="4"/>
        <v>125000</v>
      </c>
      <c r="L98" s="7">
        <f t="shared" si="5"/>
        <v>6250</v>
      </c>
      <c r="M98" s="7">
        <f t="shared" si="6"/>
        <v>118750</v>
      </c>
      <c r="N98" s="23">
        <v>18000</v>
      </c>
      <c r="O98" s="7">
        <f t="shared" si="7"/>
        <v>136750</v>
      </c>
      <c r="P98" s="2" t="s">
        <v>35</v>
      </c>
      <c r="Q98" t="str">
        <f>_xlfn.XLOOKUP(B98,Status!$A$2:$A$1867,Status!$B$2:$B$1867)</f>
        <v>Completed</v>
      </c>
      <c r="R98" s="2" t="s">
        <v>30</v>
      </c>
      <c r="S98" s="8">
        <v>3</v>
      </c>
      <c r="T98" s="2" t="s">
        <v>24</v>
      </c>
      <c r="U98" s="31" t="str" cm="1">
        <f t="array" ref="U98">_xlfn.IFS(L98&lt;=5000,$Z$3,AND(L98&gt;5000,L98&lt;=15000),$Z$4,AND(L98&gt;15000,L98&lt;=30000),$Z$5,AND(L98&gt;30000,L98&lt;=50000),$Z$6,L98&gt;50000,$Z$7)</f>
        <v>Rendah</v>
      </c>
      <c r="V98" s="2"/>
    </row>
    <row r="99" spans="1:22" ht="15.75" customHeight="1" x14ac:dyDescent="0.25">
      <c r="A99" s="26"/>
      <c r="B99" s="2" t="s">
        <v>263</v>
      </c>
      <c r="C99" s="32">
        <v>45565.920231481483</v>
      </c>
      <c r="D99" s="53">
        <f>YEAR(Table1[[#This Row],[Order Date]])</f>
        <v>2024</v>
      </c>
      <c r="E99" s="2" t="s">
        <v>181</v>
      </c>
      <c r="F99" s="2" t="s">
        <v>182</v>
      </c>
      <c r="G99" s="2" t="s">
        <v>71</v>
      </c>
      <c r="H99" s="23">
        <v>40000</v>
      </c>
      <c r="I99" s="2">
        <v>5</v>
      </c>
      <c r="J99" s="31">
        <v>5</v>
      </c>
      <c r="K99" s="7">
        <f t="shared" si="4"/>
        <v>200000</v>
      </c>
      <c r="L99" s="7">
        <f t="shared" si="5"/>
        <v>10000</v>
      </c>
      <c r="M99" s="7">
        <f t="shared" si="6"/>
        <v>190000</v>
      </c>
      <c r="N99" s="23">
        <v>48000</v>
      </c>
      <c r="O99" s="7">
        <f t="shared" si="7"/>
        <v>238000</v>
      </c>
      <c r="P99" s="2" t="s">
        <v>22</v>
      </c>
      <c r="Q99" t="str">
        <f>_xlfn.XLOOKUP(B99,Status!$A$2:$A$1867,Status!$B$2:$B$1867)</f>
        <v>Completed</v>
      </c>
      <c r="R99" s="2" t="s">
        <v>46</v>
      </c>
      <c r="S99" s="8">
        <v>4</v>
      </c>
      <c r="T99" s="2" t="s">
        <v>24</v>
      </c>
      <c r="U99" s="31" t="str" cm="1">
        <f t="array" ref="U99">_xlfn.IFS(L99&lt;=5000,$Z$3,AND(L99&gt;5000,L99&lt;=15000),$Z$4,AND(L99&gt;15000,L99&lt;=30000),$Z$5,AND(L99&gt;30000,L99&lt;=50000),$Z$6,L99&gt;50000,$Z$7)</f>
        <v>Rendah</v>
      </c>
      <c r="V99" s="2"/>
    </row>
    <row r="100" spans="1:22" ht="15.75" customHeight="1" x14ac:dyDescent="0.25">
      <c r="A100" s="26"/>
      <c r="B100" s="2" t="s">
        <v>264</v>
      </c>
      <c r="C100" s="32">
        <v>45566.031354166669</v>
      </c>
      <c r="D100" s="53">
        <f>YEAR(Table1[[#This Row],[Order Date]])</f>
        <v>2024</v>
      </c>
      <c r="E100" s="2" t="s">
        <v>265</v>
      </c>
      <c r="F100" s="2" t="s">
        <v>119</v>
      </c>
      <c r="G100" s="2" t="s">
        <v>190</v>
      </c>
      <c r="H100" s="23">
        <v>35000</v>
      </c>
      <c r="I100" s="2">
        <v>5</v>
      </c>
      <c r="J100" s="31">
        <v>0</v>
      </c>
      <c r="K100" s="7">
        <f t="shared" si="4"/>
        <v>175000</v>
      </c>
      <c r="L100" s="7">
        <f t="shared" si="5"/>
        <v>0</v>
      </c>
      <c r="M100" s="7">
        <f t="shared" si="6"/>
        <v>175000</v>
      </c>
      <c r="N100" s="23">
        <v>0</v>
      </c>
      <c r="O100" s="7">
        <f t="shared" si="7"/>
        <v>175000</v>
      </c>
      <c r="P100" s="2" t="s">
        <v>35</v>
      </c>
      <c r="Q100" t="str">
        <f>_xlfn.XLOOKUP(B100,Status!$A$2:$A$1867,Status!$B$2:$B$1867)</f>
        <v>Completed</v>
      </c>
      <c r="R100" s="2" t="s">
        <v>82</v>
      </c>
      <c r="S100" s="8">
        <v>1</v>
      </c>
      <c r="T100" s="2" t="s">
        <v>24</v>
      </c>
      <c r="U100" s="31" t="str" cm="1">
        <f t="array" ref="U100">_xlfn.IFS(L100&lt;=5000,$Z$3,AND(L100&gt;5000,L100&lt;=15000),$Z$4,AND(L100&gt;15000,L100&lt;=30000),$Z$5,AND(L100&gt;30000,L100&lt;=50000),$Z$6,L100&gt;50000,$Z$7)</f>
        <v>Sangat Rendah</v>
      </c>
      <c r="V100" s="2"/>
    </row>
    <row r="101" spans="1:22" ht="15.75" customHeight="1" x14ac:dyDescent="0.25">
      <c r="A101" s="26"/>
      <c r="B101" s="2" t="s">
        <v>266</v>
      </c>
      <c r="C101" s="32">
        <v>45566.726631944453</v>
      </c>
      <c r="D101" s="53">
        <f>YEAR(Table1[[#This Row],[Order Date]])</f>
        <v>2024</v>
      </c>
      <c r="E101" s="2" t="s">
        <v>267</v>
      </c>
      <c r="F101" s="2" t="s">
        <v>131</v>
      </c>
      <c r="G101" s="2" t="s">
        <v>28</v>
      </c>
      <c r="H101" s="23">
        <v>5000</v>
      </c>
      <c r="I101" s="2">
        <v>3</v>
      </c>
      <c r="J101" s="31">
        <v>10</v>
      </c>
      <c r="K101" s="7">
        <f t="shared" si="4"/>
        <v>15000</v>
      </c>
      <c r="L101" s="7">
        <f t="shared" si="5"/>
        <v>1500</v>
      </c>
      <c r="M101" s="7">
        <f t="shared" si="6"/>
        <v>13500</v>
      </c>
      <c r="N101" s="23">
        <v>59000</v>
      </c>
      <c r="O101" s="7">
        <f t="shared" si="7"/>
        <v>72500</v>
      </c>
      <c r="P101" s="2" t="s">
        <v>22</v>
      </c>
      <c r="Q101" t="str">
        <f>_xlfn.XLOOKUP(B101,Status!$A$2:$A$1867,Status!$B$2:$B$1867)</f>
        <v>Returned</v>
      </c>
      <c r="R101" s="2" t="s">
        <v>30</v>
      </c>
      <c r="S101" s="8">
        <v>3</v>
      </c>
      <c r="T101" s="2" t="s">
        <v>24</v>
      </c>
      <c r="U101" s="31" t="str" cm="1">
        <f t="array" ref="U101">_xlfn.IFS(L101&lt;=5000,$Z$3,AND(L101&gt;5000,L101&lt;=15000),$Z$4,AND(L101&gt;15000,L101&lt;=30000),$Z$5,AND(L101&gt;30000,L101&lt;=50000),$Z$6,L101&gt;50000,$Z$7)</f>
        <v>Sangat Rendah</v>
      </c>
      <c r="V101" s="2"/>
    </row>
    <row r="102" spans="1:22" ht="15.75" customHeight="1" x14ac:dyDescent="0.25">
      <c r="A102" s="26"/>
      <c r="B102" s="2" t="s">
        <v>268</v>
      </c>
      <c r="C102" s="32">
        <v>45566.999780092592</v>
      </c>
      <c r="D102" s="53">
        <f>YEAR(Table1[[#This Row],[Order Date]])</f>
        <v>2024</v>
      </c>
      <c r="E102" s="2" t="s">
        <v>269</v>
      </c>
      <c r="F102" s="2" t="s">
        <v>173</v>
      </c>
      <c r="G102" s="2" t="s">
        <v>250</v>
      </c>
      <c r="H102" s="23">
        <v>18000</v>
      </c>
      <c r="I102" s="2">
        <v>5</v>
      </c>
      <c r="J102" s="31">
        <v>20</v>
      </c>
      <c r="K102" s="7">
        <f t="shared" si="4"/>
        <v>90000</v>
      </c>
      <c r="L102" s="7">
        <f t="shared" si="5"/>
        <v>18000</v>
      </c>
      <c r="M102" s="7">
        <f t="shared" si="6"/>
        <v>72000</v>
      </c>
      <c r="N102" s="23">
        <v>49000</v>
      </c>
      <c r="O102" s="7">
        <f t="shared" si="7"/>
        <v>121000</v>
      </c>
      <c r="P102" s="2" t="s">
        <v>22</v>
      </c>
      <c r="Q102" t="str">
        <f>_xlfn.XLOOKUP(B102,Status!$A$2:$A$1867,Status!$B$2:$B$1867)</f>
        <v>Completed</v>
      </c>
      <c r="R102" s="2" t="s">
        <v>23</v>
      </c>
      <c r="S102" s="8">
        <v>4</v>
      </c>
      <c r="T102" s="2" t="s">
        <v>37</v>
      </c>
      <c r="U102" s="31" t="str" cm="1">
        <f t="array" ref="U102">_xlfn.IFS(L102&lt;=5000,$Z$3,AND(L102&gt;5000,L102&lt;=15000),$Z$4,AND(L102&gt;15000,L102&lt;=30000),$Z$5,AND(L102&gt;30000,L102&lt;=50000),$Z$6,L102&gt;50000,$Z$7)</f>
        <v>Normal</v>
      </c>
      <c r="V102" s="2"/>
    </row>
    <row r="103" spans="1:22" ht="15.75" customHeight="1" x14ac:dyDescent="0.25">
      <c r="A103" s="26"/>
      <c r="B103" s="2" t="s">
        <v>270</v>
      </c>
      <c r="C103" s="32">
        <v>45567.289039351846</v>
      </c>
      <c r="D103" s="53">
        <f>YEAR(Table1[[#This Row],[Order Date]])</f>
        <v>2024</v>
      </c>
      <c r="E103" s="2" t="s">
        <v>271</v>
      </c>
      <c r="F103" s="2" t="s">
        <v>49</v>
      </c>
      <c r="G103" s="2" t="s">
        <v>28</v>
      </c>
      <c r="H103" s="23">
        <v>5000</v>
      </c>
      <c r="I103" s="2">
        <v>5</v>
      </c>
      <c r="J103" s="31">
        <v>15</v>
      </c>
      <c r="K103" s="7">
        <f t="shared" si="4"/>
        <v>25000</v>
      </c>
      <c r="L103" s="7">
        <f t="shared" si="5"/>
        <v>3750</v>
      </c>
      <c r="M103" s="7">
        <f t="shared" si="6"/>
        <v>21250</v>
      </c>
      <c r="N103" s="23">
        <v>43000</v>
      </c>
      <c r="O103" s="7">
        <f t="shared" si="7"/>
        <v>64250</v>
      </c>
      <c r="P103" s="2" t="s">
        <v>29</v>
      </c>
      <c r="Q103" t="str">
        <f>_xlfn.XLOOKUP(B103,Status!$A$2:$A$1867,Status!$B$2:$B$1867)</f>
        <v>Completed</v>
      </c>
      <c r="R103" s="2" t="s">
        <v>46</v>
      </c>
      <c r="S103" s="8">
        <v>2</v>
      </c>
      <c r="T103" s="2" t="s">
        <v>24</v>
      </c>
      <c r="U103" s="31" t="str" cm="1">
        <f t="array" ref="U103">_xlfn.IFS(L103&lt;=5000,$Z$3,AND(L103&gt;5000,L103&lt;=15000),$Z$4,AND(L103&gt;15000,L103&lt;=30000),$Z$5,AND(L103&gt;30000,L103&lt;=50000),$Z$6,L103&gt;50000,$Z$7)</f>
        <v>Sangat Rendah</v>
      </c>
      <c r="V103" s="2"/>
    </row>
    <row r="104" spans="1:22" ht="15.75" customHeight="1" x14ac:dyDescent="0.25">
      <c r="A104" s="26"/>
      <c r="B104" s="2" t="s">
        <v>272</v>
      </c>
      <c r="C104" s="32">
        <v>45567.723541666674</v>
      </c>
      <c r="D104" s="53">
        <f>YEAR(Table1[[#This Row],[Order Date]])</f>
        <v>2024</v>
      </c>
      <c r="E104" s="2" t="s">
        <v>273</v>
      </c>
      <c r="F104" s="2" t="s">
        <v>195</v>
      </c>
      <c r="G104" s="2" t="s">
        <v>67</v>
      </c>
      <c r="H104" s="23">
        <v>15000</v>
      </c>
      <c r="I104" s="2">
        <v>2</v>
      </c>
      <c r="J104" s="31">
        <v>20</v>
      </c>
      <c r="K104" s="7">
        <f t="shared" si="4"/>
        <v>30000</v>
      </c>
      <c r="L104" s="7">
        <f t="shared" si="5"/>
        <v>6000</v>
      </c>
      <c r="M104" s="7">
        <f t="shared" si="6"/>
        <v>24000</v>
      </c>
      <c r="N104" s="23">
        <v>87000</v>
      </c>
      <c r="O104" s="7">
        <f t="shared" si="7"/>
        <v>111000</v>
      </c>
      <c r="P104" s="2" t="s">
        <v>29</v>
      </c>
      <c r="Q104" t="str">
        <f>_xlfn.XLOOKUP(B104,Status!$A$2:$A$1867,Status!$B$2:$B$1867)</f>
        <v>Completed</v>
      </c>
      <c r="R104" s="2" t="s">
        <v>46</v>
      </c>
      <c r="S104" s="8">
        <v>5</v>
      </c>
      <c r="T104" s="2" t="s">
        <v>24</v>
      </c>
      <c r="U104" s="31" t="str" cm="1">
        <f t="array" ref="U104">_xlfn.IFS(L104&lt;=5000,$Z$3,AND(L104&gt;5000,L104&lt;=15000),$Z$4,AND(L104&gt;15000,L104&lt;=30000),$Z$5,AND(L104&gt;30000,L104&lt;=50000),$Z$6,L104&gt;50000,$Z$7)</f>
        <v>Rendah</v>
      </c>
      <c r="V104" s="2"/>
    </row>
    <row r="105" spans="1:22" ht="15.75" customHeight="1" x14ac:dyDescent="0.25">
      <c r="A105" s="26"/>
      <c r="B105" s="2" t="s">
        <v>274</v>
      </c>
      <c r="C105" s="32">
        <v>45567.82440972222</v>
      </c>
      <c r="D105" s="53">
        <f>YEAR(Table1[[#This Row],[Order Date]])</f>
        <v>2024</v>
      </c>
      <c r="E105" s="2" t="s">
        <v>275</v>
      </c>
      <c r="F105" s="2" t="s">
        <v>96</v>
      </c>
      <c r="G105" s="2" t="s">
        <v>93</v>
      </c>
      <c r="H105" s="23">
        <v>25000</v>
      </c>
      <c r="I105" s="2">
        <v>5</v>
      </c>
      <c r="J105" s="31">
        <v>15</v>
      </c>
      <c r="K105" s="7">
        <f t="shared" si="4"/>
        <v>125000</v>
      </c>
      <c r="L105" s="7">
        <f t="shared" si="5"/>
        <v>18750</v>
      </c>
      <c r="M105" s="7">
        <f t="shared" si="6"/>
        <v>106250</v>
      </c>
      <c r="N105" s="23">
        <v>49000</v>
      </c>
      <c r="O105" s="7">
        <f t="shared" si="7"/>
        <v>155250</v>
      </c>
      <c r="P105" s="2" t="s">
        <v>35</v>
      </c>
      <c r="Q105" t="str">
        <f>_xlfn.XLOOKUP(B105,Status!$A$2:$A$1867,Status!$B$2:$B$1867)</f>
        <v>Returned</v>
      </c>
      <c r="R105" s="2" t="s">
        <v>23</v>
      </c>
      <c r="S105" s="8">
        <v>2</v>
      </c>
      <c r="T105" s="2" t="s">
        <v>24</v>
      </c>
      <c r="U105" s="31" t="str" cm="1">
        <f t="array" ref="U105">_xlfn.IFS(L105&lt;=5000,$Z$3,AND(L105&gt;5000,L105&lt;=15000),$Z$4,AND(L105&gt;15000,L105&lt;=30000),$Z$5,AND(L105&gt;30000,L105&lt;=50000),$Z$6,L105&gt;50000,$Z$7)</f>
        <v>Normal</v>
      </c>
      <c r="V105" s="2"/>
    </row>
    <row r="106" spans="1:22" ht="15.75" customHeight="1" x14ac:dyDescent="0.25">
      <c r="A106" s="26"/>
      <c r="B106" s="2" t="s">
        <v>276</v>
      </c>
      <c r="C106" s="32">
        <v>45568.027962962973</v>
      </c>
      <c r="D106" s="53">
        <f>YEAR(Table1[[#This Row],[Order Date]])</f>
        <v>2024</v>
      </c>
      <c r="E106" s="2" t="s">
        <v>277</v>
      </c>
      <c r="F106" s="2" t="s">
        <v>119</v>
      </c>
      <c r="G106" s="2" t="s">
        <v>58</v>
      </c>
      <c r="H106" s="23">
        <v>16000</v>
      </c>
      <c r="I106" s="2">
        <v>4</v>
      </c>
      <c r="J106" s="31">
        <v>0</v>
      </c>
      <c r="K106" s="7">
        <f t="shared" si="4"/>
        <v>64000</v>
      </c>
      <c r="L106" s="7">
        <f t="shared" si="5"/>
        <v>0</v>
      </c>
      <c r="M106" s="7">
        <f t="shared" si="6"/>
        <v>64000</v>
      </c>
      <c r="N106" s="23">
        <v>0</v>
      </c>
      <c r="O106" s="7">
        <f t="shared" si="7"/>
        <v>64000</v>
      </c>
      <c r="P106" s="2" t="s">
        <v>29</v>
      </c>
      <c r="Q106" t="str">
        <f>_xlfn.XLOOKUP(B106,Status!$A$2:$A$1867,Status!$B$2:$B$1867)</f>
        <v>Completed</v>
      </c>
      <c r="R106" s="2" t="s">
        <v>46</v>
      </c>
      <c r="S106" s="8">
        <v>4</v>
      </c>
      <c r="T106" s="2" t="s">
        <v>24</v>
      </c>
      <c r="U106" s="31" t="str" cm="1">
        <f t="array" ref="U106">_xlfn.IFS(L106&lt;=5000,$Z$3,AND(L106&gt;5000,L106&lt;=15000),$Z$4,AND(L106&gt;15000,L106&lt;=30000),$Z$5,AND(L106&gt;30000,L106&lt;=50000),$Z$6,L106&gt;50000,$Z$7)</f>
        <v>Sangat Rendah</v>
      </c>
      <c r="V106" s="2"/>
    </row>
    <row r="107" spans="1:22" ht="15.75" customHeight="1" x14ac:dyDescent="0.25">
      <c r="A107" s="26"/>
      <c r="B107" s="2" t="s">
        <v>278</v>
      </c>
      <c r="C107" s="32">
        <v>45568.078692129631</v>
      </c>
      <c r="D107" s="53">
        <f>YEAR(Table1[[#This Row],[Order Date]])</f>
        <v>2024</v>
      </c>
      <c r="E107" s="2" t="s">
        <v>254</v>
      </c>
      <c r="F107" s="2" t="s">
        <v>61</v>
      </c>
      <c r="G107" s="2" t="s">
        <v>41</v>
      </c>
      <c r="H107" s="23">
        <v>4000</v>
      </c>
      <c r="I107" s="2">
        <v>1</v>
      </c>
      <c r="J107" s="31">
        <v>20</v>
      </c>
      <c r="K107" s="7">
        <f t="shared" si="4"/>
        <v>4000</v>
      </c>
      <c r="L107" s="7">
        <f t="shared" si="5"/>
        <v>800</v>
      </c>
      <c r="M107" s="7">
        <f t="shared" si="6"/>
        <v>3200</v>
      </c>
      <c r="N107" s="23">
        <v>26000</v>
      </c>
      <c r="O107" s="7">
        <f t="shared" si="7"/>
        <v>29200</v>
      </c>
      <c r="P107" s="2" t="s">
        <v>35</v>
      </c>
      <c r="Q107" t="str">
        <f>_xlfn.XLOOKUP(B107,Status!$A$2:$A$1867,Status!$B$2:$B$1867)</f>
        <v>Completed</v>
      </c>
      <c r="R107" s="2" t="s">
        <v>82</v>
      </c>
      <c r="S107" s="8">
        <v>1</v>
      </c>
      <c r="T107" s="2" t="s">
        <v>24</v>
      </c>
      <c r="U107" s="31" t="str" cm="1">
        <f t="array" ref="U107">_xlfn.IFS(L107&lt;=5000,$Z$3,AND(L107&gt;5000,L107&lt;=15000),$Z$4,AND(L107&gt;15000,L107&lt;=30000),$Z$5,AND(L107&gt;30000,L107&lt;=50000),$Z$6,L107&gt;50000,$Z$7)</f>
        <v>Sangat Rendah</v>
      </c>
      <c r="V107" s="2"/>
    </row>
    <row r="108" spans="1:22" ht="15.75" customHeight="1" x14ac:dyDescent="0.25">
      <c r="A108" s="26"/>
      <c r="B108" s="2" t="s">
        <v>279</v>
      </c>
      <c r="C108" s="32">
        <v>45568.349606481483</v>
      </c>
      <c r="D108" s="53">
        <f>YEAR(Table1[[#This Row],[Order Date]])</f>
        <v>2024</v>
      </c>
      <c r="E108" s="2" t="s">
        <v>95</v>
      </c>
      <c r="F108" s="2" t="s">
        <v>96</v>
      </c>
      <c r="G108" s="2" t="s">
        <v>174</v>
      </c>
      <c r="H108" s="23">
        <v>10000</v>
      </c>
      <c r="I108" s="2">
        <v>4</v>
      </c>
      <c r="J108" s="31">
        <v>0</v>
      </c>
      <c r="K108" s="7">
        <f t="shared" si="4"/>
        <v>40000</v>
      </c>
      <c r="L108" s="7">
        <f t="shared" si="5"/>
        <v>0</v>
      </c>
      <c r="M108" s="7">
        <f t="shared" si="6"/>
        <v>40000</v>
      </c>
      <c r="N108" s="23">
        <v>49000</v>
      </c>
      <c r="O108" s="7">
        <f t="shared" si="7"/>
        <v>89000</v>
      </c>
      <c r="P108" s="2" t="s">
        <v>22</v>
      </c>
      <c r="Q108" t="str">
        <f>_xlfn.XLOOKUP(B108,Status!$A$2:$A$1867,Status!$B$2:$B$1867)</f>
        <v>Completed</v>
      </c>
      <c r="R108" s="2" t="s">
        <v>23</v>
      </c>
      <c r="S108" s="8">
        <v>2</v>
      </c>
      <c r="T108" s="2" t="s">
        <v>24</v>
      </c>
      <c r="U108" s="31" t="str" cm="1">
        <f t="array" ref="U108">_xlfn.IFS(L108&lt;=5000,$Z$3,AND(L108&gt;5000,L108&lt;=15000),$Z$4,AND(L108&gt;15000,L108&lt;=30000),$Z$5,AND(L108&gt;30000,L108&lt;=50000),$Z$6,L108&gt;50000,$Z$7)</f>
        <v>Sangat Rendah</v>
      </c>
      <c r="V108" s="2"/>
    </row>
    <row r="109" spans="1:22" ht="15.75" customHeight="1" x14ac:dyDescent="0.25">
      <c r="A109" s="26"/>
      <c r="B109" s="2" t="s">
        <v>280</v>
      </c>
      <c r="C109" s="32">
        <v>45568.446655092594</v>
      </c>
      <c r="D109" s="53">
        <f>YEAR(Table1[[#This Row],[Order Date]])</f>
        <v>2024</v>
      </c>
      <c r="E109" s="2" t="s">
        <v>281</v>
      </c>
      <c r="F109" s="2" t="s">
        <v>151</v>
      </c>
      <c r="G109" s="2" t="s">
        <v>110</v>
      </c>
      <c r="H109" s="23">
        <v>6000</v>
      </c>
      <c r="I109" s="2">
        <v>1</v>
      </c>
      <c r="J109" s="31">
        <v>5</v>
      </c>
      <c r="K109" s="7">
        <f t="shared" si="4"/>
        <v>6000</v>
      </c>
      <c r="L109" s="7">
        <f t="shared" si="5"/>
        <v>300</v>
      </c>
      <c r="M109" s="7">
        <f t="shared" si="6"/>
        <v>5700</v>
      </c>
      <c r="N109" s="23">
        <v>55000</v>
      </c>
      <c r="O109" s="7">
        <f t="shared" si="7"/>
        <v>60700</v>
      </c>
      <c r="P109" s="2" t="s">
        <v>29</v>
      </c>
      <c r="Q109" t="str">
        <f>_xlfn.XLOOKUP(B109,Status!$A$2:$A$1867,Status!$B$2:$B$1867)</f>
        <v>Completed</v>
      </c>
      <c r="R109" s="2" t="s">
        <v>30</v>
      </c>
      <c r="S109" s="8">
        <v>4</v>
      </c>
      <c r="T109" s="2" t="s">
        <v>24</v>
      </c>
      <c r="U109" s="31" t="str" cm="1">
        <f t="array" ref="U109">_xlfn.IFS(L109&lt;=5000,$Z$3,AND(L109&gt;5000,L109&lt;=15000),$Z$4,AND(L109&gt;15000,L109&lt;=30000),$Z$5,AND(L109&gt;30000,L109&lt;=50000),$Z$6,L109&gt;50000,$Z$7)</f>
        <v>Sangat Rendah</v>
      </c>
      <c r="V109" s="2"/>
    </row>
    <row r="110" spans="1:22" ht="15.75" customHeight="1" x14ac:dyDescent="0.25">
      <c r="A110" s="26"/>
      <c r="B110" s="2" t="s">
        <v>282</v>
      </c>
      <c r="C110" s="32">
        <v>45568.770300925928</v>
      </c>
      <c r="D110" s="53">
        <f>YEAR(Table1[[#This Row],[Order Date]])</f>
        <v>2024</v>
      </c>
      <c r="E110" s="2" t="s">
        <v>283</v>
      </c>
      <c r="F110" s="2" t="s">
        <v>92</v>
      </c>
      <c r="G110" s="2" t="s">
        <v>93</v>
      </c>
      <c r="H110" s="23">
        <v>25000</v>
      </c>
      <c r="I110" s="2">
        <v>2</v>
      </c>
      <c r="J110" s="31">
        <v>0</v>
      </c>
      <c r="K110" s="7">
        <f t="shared" si="4"/>
        <v>50000</v>
      </c>
      <c r="L110" s="7">
        <f t="shared" si="5"/>
        <v>0</v>
      </c>
      <c r="M110" s="7">
        <f t="shared" si="6"/>
        <v>50000</v>
      </c>
      <c r="N110" s="23">
        <v>30000</v>
      </c>
      <c r="O110" s="7">
        <f t="shared" si="7"/>
        <v>80000</v>
      </c>
      <c r="P110" s="2" t="s">
        <v>63</v>
      </c>
      <c r="Q110" t="str">
        <f>_xlfn.XLOOKUP(B110,Status!$A$2:$A$1867,Status!$B$2:$B$1867)</f>
        <v>Completed</v>
      </c>
      <c r="R110" s="2" t="s">
        <v>36</v>
      </c>
      <c r="S110" s="8">
        <v>5</v>
      </c>
      <c r="T110" s="2" t="s">
        <v>24</v>
      </c>
      <c r="U110" s="31" t="str" cm="1">
        <f t="array" ref="U110">_xlfn.IFS(L110&lt;=5000,$Z$3,AND(L110&gt;5000,L110&lt;=15000),$Z$4,AND(L110&gt;15000,L110&lt;=30000),$Z$5,AND(L110&gt;30000,L110&lt;=50000),$Z$6,L110&gt;50000,$Z$7)</f>
        <v>Sangat Rendah</v>
      </c>
      <c r="V110" s="2"/>
    </row>
    <row r="111" spans="1:22" ht="15.75" customHeight="1" x14ac:dyDescent="0.25">
      <c r="A111" s="26"/>
      <c r="B111" s="2" t="s">
        <v>284</v>
      </c>
      <c r="C111" s="32">
        <v>45568.892858796287</v>
      </c>
      <c r="D111" s="53">
        <f>YEAR(Table1[[#This Row],[Order Date]])</f>
        <v>2024</v>
      </c>
      <c r="E111" s="2" t="s">
        <v>285</v>
      </c>
      <c r="F111" s="2" t="s">
        <v>20</v>
      </c>
      <c r="G111" s="2" t="s">
        <v>186</v>
      </c>
      <c r="H111" s="23">
        <v>45000</v>
      </c>
      <c r="I111" s="2">
        <v>2</v>
      </c>
      <c r="J111" s="31">
        <v>15</v>
      </c>
      <c r="K111" s="7">
        <f t="shared" si="4"/>
        <v>90000</v>
      </c>
      <c r="L111" s="7">
        <f t="shared" si="5"/>
        <v>13500</v>
      </c>
      <c r="M111" s="7">
        <f t="shared" si="6"/>
        <v>76500</v>
      </c>
      <c r="N111" s="23">
        <v>15000</v>
      </c>
      <c r="O111" s="7">
        <f t="shared" si="7"/>
        <v>91500</v>
      </c>
      <c r="P111" s="2" t="s">
        <v>29</v>
      </c>
      <c r="Q111" t="str">
        <f>_xlfn.XLOOKUP(B111,Status!$A$2:$A$1867,Status!$B$2:$B$1867)</f>
        <v>Completed</v>
      </c>
      <c r="R111" s="2" t="s">
        <v>30</v>
      </c>
      <c r="S111" s="8">
        <v>2</v>
      </c>
      <c r="T111" s="2" t="s">
        <v>37</v>
      </c>
      <c r="U111" s="31" t="str" cm="1">
        <f t="array" ref="U111">_xlfn.IFS(L111&lt;=5000,$Z$3,AND(L111&gt;5000,L111&lt;=15000),$Z$4,AND(L111&gt;15000,L111&lt;=30000),$Z$5,AND(L111&gt;30000,L111&lt;=50000),$Z$6,L111&gt;50000,$Z$7)</f>
        <v>Rendah</v>
      </c>
      <c r="V111" s="2"/>
    </row>
    <row r="112" spans="1:22" ht="15.75" customHeight="1" x14ac:dyDescent="0.25">
      <c r="A112" s="26"/>
      <c r="B112" s="2" t="s">
        <v>286</v>
      </c>
      <c r="C112" s="32">
        <v>45568.966736111113</v>
      </c>
      <c r="D112" s="53">
        <f>YEAR(Table1[[#This Row],[Order Date]])</f>
        <v>2024</v>
      </c>
      <c r="E112" s="2" t="s">
        <v>287</v>
      </c>
      <c r="F112" s="2" t="s">
        <v>262</v>
      </c>
      <c r="G112" s="2" t="s">
        <v>28</v>
      </c>
      <c r="H112" s="23">
        <v>5000</v>
      </c>
      <c r="I112" s="2">
        <v>5</v>
      </c>
      <c r="J112" s="31">
        <v>5</v>
      </c>
      <c r="K112" s="7">
        <f t="shared" si="4"/>
        <v>25000</v>
      </c>
      <c r="L112" s="7">
        <f t="shared" si="5"/>
        <v>1250</v>
      </c>
      <c r="M112" s="7">
        <f t="shared" si="6"/>
        <v>23750</v>
      </c>
      <c r="N112" s="23">
        <v>18000</v>
      </c>
      <c r="O112" s="7">
        <f t="shared" si="7"/>
        <v>41750</v>
      </c>
      <c r="P112" s="2" t="s">
        <v>35</v>
      </c>
      <c r="Q112" t="str">
        <f>_xlfn.XLOOKUP(B112,Status!$A$2:$A$1867,Status!$B$2:$B$1867)</f>
        <v>Completed</v>
      </c>
      <c r="R112" s="2" t="s">
        <v>30</v>
      </c>
      <c r="S112" s="8">
        <v>1</v>
      </c>
      <c r="T112" s="2" t="s">
        <v>24</v>
      </c>
      <c r="U112" s="31" t="str" cm="1">
        <f t="array" ref="U112">_xlfn.IFS(L112&lt;=5000,$Z$3,AND(L112&gt;5000,L112&lt;=15000),$Z$4,AND(L112&gt;15000,L112&lt;=30000),$Z$5,AND(L112&gt;30000,L112&lt;=50000),$Z$6,L112&gt;50000,$Z$7)</f>
        <v>Sangat Rendah</v>
      </c>
      <c r="V112" s="2"/>
    </row>
    <row r="113" spans="1:22" ht="15.75" customHeight="1" x14ac:dyDescent="0.25">
      <c r="A113" s="26"/>
      <c r="B113" s="2" t="s">
        <v>288</v>
      </c>
      <c r="C113" s="32">
        <v>45569.413773148153</v>
      </c>
      <c r="D113" s="53">
        <f>YEAR(Table1[[#This Row],[Order Date]])</f>
        <v>2024</v>
      </c>
      <c r="E113" s="2" t="s">
        <v>289</v>
      </c>
      <c r="F113" s="2" t="s">
        <v>20</v>
      </c>
      <c r="G113" s="2" t="s">
        <v>123</v>
      </c>
      <c r="H113" s="23">
        <v>22000</v>
      </c>
      <c r="I113" s="2">
        <v>4</v>
      </c>
      <c r="J113" s="31">
        <v>5</v>
      </c>
      <c r="K113" s="7">
        <f t="shared" si="4"/>
        <v>88000</v>
      </c>
      <c r="L113" s="7">
        <f t="shared" si="5"/>
        <v>4400</v>
      </c>
      <c r="M113" s="7">
        <f t="shared" si="6"/>
        <v>83600</v>
      </c>
      <c r="N113" s="23">
        <v>15000</v>
      </c>
      <c r="O113" s="7">
        <f t="shared" si="7"/>
        <v>98600</v>
      </c>
      <c r="P113" s="2" t="s">
        <v>63</v>
      </c>
      <c r="Q113" t="str">
        <f>_xlfn.XLOOKUP(B113,Status!$A$2:$A$1867,Status!$B$2:$B$1867)</f>
        <v>Completed</v>
      </c>
      <c r="R113" s="2" t="s">
        <v>23</v>
      </c>
      <c r="S113" s="8">
        <v>3</v>
      </c>
      <c r="T113" s="2" t="s">
        <v>24</v>
      </c>
      <c r="U113" s="31" t="str" cm="1">
        <f t="array" ref="U113">_xlfn.IFS(L113&lt;=5000,$Z$3,AND(L113&gt;5000,L113&lt;=15000),$Z$4,AND(L113&gt;15000,L113&lt;=30000),$Z$5,AND(L113&gt;30000,L113&lt;=50000),$Z$6,L113&gt;50000,$Z$7)</f>
        <v>Sangat Rendah</v>
      </c>
      <c r="V113" s="2"/>
    </row>
    <row r="114" spans="1:22" ht="15.75" customHeight="1" x14ac:dyDescent="0.25">
      <c r="A114" s="26"/>
      <c r="B114" s="2" t="s">
        <v>290</v>
      </c>
      <c r="C114" s="32">
        <v>45569.503067129634</v>
      </c>
      <c r="D114" s="53">
        <f>YEAR(Table1[[#This Row],[Order Date]])</f>
        <v>2024</v>
      </c>
      <c r="E114" s="2" t="s">
        <v>291</v>
      </c>
      <c r="F114" s="2" t="s">
        <v>49</v>
      </c>
      <c r="G114" s="2" t="s">
        <v>144</v>
      </c>
      <c r="H114" s="23">
        <v>18000</v>
      </c>
      <c r="I114" s="2">
        <v>4</v>
      </c>
      <c r="J114" s="31">
        <v>5</v>
      </c>
      <c r="K114" s="7">
        <f t="shared" si="4"/>
        <v>72000</v>
      </c>
      <c r="L114" s="7">
        <f t="shared" si="5"/>
        <v>3600</v>
      </c>
      <c r="M114" s="7">
        <f t="shared" si="6"/>
        <v>68400</v>
      </c>
      <c r="N114" s="23">
        <v>43000</v>
      </c>
      <c r="O114" s="7">
        <f t="shared" si="7"/>
        <v>111400</v>
      </c>
      <c r="P114" s="2" t="s">
        <v>22</v>
      </c>
      <c r="Q114" t="str">
        <f>_xlfn.XLOOKUP(B114,Status!$A$2:$A$1867,Status!$B$2:$B$1867)</f>
        <v>Returned</v>
      </c>
      <c r="R114" s="2" t="s">
        <v>46</v>
      </c>
      <c r="S114" s="8">
        <v>3</v>
      </c>
      <c r="T114" s="2" t="s">
        <v>37</v>
      </c>
      <c r="U114" s="31" t="str" cm="1">
        <f t="array" ref="U114">_xlfn.IFS(L114&lt;=5000,$Z$3,AND(L114&gt;5000,L114&lt;=15000),$Z$4,AND(L114&gt;15000,L114&lt;=30000),$Z$5,AND(L114&gt;30000,L114&lt;=50000),$Z$6,L114&gt;50000,$Z$7)</f>
        <v>Sangat Rendah</v>
      </c>
      <c r="V114" s="2"/>
    </row>
    <row r="115" spans="1:22" ht="15.75" customHeight="1" x14ac:dyDescent="0.25">
      <c r="A115" s="26"/>
      <c r="B115" s="2" t="s">
        <v>292</v>
      </c>
      <c r="C115" s="32">
        <v>45569.778032407397</v>
      </c>
      <c r="D115" s="53">
        <f>YEAR(Table1[[#This Row],[Order Date]])</f>
        <v>2024</v>
      </c>
      <c r="E115" s="2" t="s">
        <v>192</v>
      </c>
      <c r="F115" s="2" t="s">
        <v>107</v>
      </c>
      <c r="G115" s="2" t="s">
        <v>104</v>
      </c>
      <c r="H115" s="23">
        <v>30000</v>
      </c>
      <c r="I115" s="2">
        <v>5</v>
      </c>
      <c r="J115" s="31">
        <v>0</v>
      </c>
      <c r="K115" s="7">
        <f t="shared" si="4"/>
        <v>150000</v>
      </c>
      <c r="L115" s="7">
        <f t="shared" si="5"/>
        <v>0</v>
      </c>
      <c r="M115" s="7">
        <f t="shared" si="6"/>
        <v>150000</v>
      </c>
      <c r="N115" s="23">
        <v>97000</v>
      </c>
      <c r="O115" s="7">
        <f t="shared" si="7"/>
        <v>247000</v>
      </c>
      <c r="P115" s="2" t="s">
        <v>22</v>
      </c>
      <c r="Q115" t="str">
        <f>_xlfn.XLOOKUP(B115,Status!$A$2:$A$1867,Status!$B$2:$B$1867)</f>
        <v>Cancelled</v>
      </c>
      <c r="R115" s="2" t="s">
        <v>30</v>
      </c>
      <c r="S115" s="8">
        <v>3</v>
      </c>
      <c r="T115" s="2" t="s">
        <v>24</v>
      </c>
      <c r="U115" s="31" t="str" cm="1">
        <f t="array" ref="U115">_xlfn.IFS(L115&lt;=5000,$Z$3,AND(L115&gt;5000,L115&lt;=15000),$Z$4,AND(L115&gt;15000,L115&lt;=30000),$Z$5,AND(L115&gt;30000,L115&lt;=50000),$Z$6,L115&gt;50000,$Z$7)</f>
        <v>Sangat Rendah</v>
      </c>
      <c r="V115" s="2"/>
    </row>
    <row r="116" spans="1:22" ht="15.75" customHeight="1" x14ac:dyDescent="0.25">
      <c r="A116" s="26"/>
      <c r="B116" s="2" t="s">
        <v>293</v>
      </c>
      <c r="C116" s="32">
        <v>45570.166203703702</v>
      </c>
      <c r="D116" s="53">
        <f>YEAR(Table1[[#This Row],[Order Date]])</f>
        <v>2024</v>
      </c>
      <c r="E116" s="2" t="s">
        <v>235</v>
      </c>
      <c r="F116" s="2" t="s">
        <v>189</v>
      </c>
      <c r="G116" s="2" t="s">
        <v>174</v>
      </c>
      <c r="H116" s="23">
        <v>10000</v>
      </c>
      <c r="I116" s="2">
        <v>1</v>
      </c>
      <c r="J116" s="31">
        <v>10</v>
      </c>
      <c r="K116" s="7">
        <f t="shared" si="4"/>
        <v>10000</v>
      </c>
      <c r="L116" s="7">
        <f t="shared" si="5"/>
        <v>1000</v>
      </c>
      <c r="M116" s="7">
        <f t="shared" si="6"/>
        <v>9000</v>
      </c>
      <c r="N116" s="23">
        <v>57000</v>
      </c>
      <c r="O116" s="7">
        <f t="shared" si="7"/>
        <v>66000</v>
      </c>
      <c r="P116" s="2" t="s">
        <v>29</v>
      </c>
      <c r="Q116" t="str">
        <f>_xlfn.XLOOKUP(B116,Status!$A$2:$A$1867,Status!$B$2:$B$1867)</f>
        <v>Completed</v>
      </c>
      <c r="R116" s="2" t="s">
        <v>82</v>
      </c>
      <c r="S116" s="8">
        <v>4</v>
      </c>
      <c r="T116" s="2" t="s">
        <v>37</v>
      </c>
      <c r="U116" s="31" t="str" cm="1">
        <f t="array" ref="U116">_xlfn.IFS(L116&lt;=5000,$Z$3,AND(L116&gt;5000,L116&lt;=15000),$Z$4,AND(L116&gt;15000,L116&lt;=30000),$Z$5,AND(L116&gt;30000,L116&lt;=50000),$Z$6,L116&gt;50000,$Z$7)</f>
        <v>Sangat Rendah</v>
      </c>
      <c r="V116" s="2"/>
    </row>
    <row r="117" spans="1:22" ht="15.75" customHeight="1" x14ac:dyDescent="0.25">
      <c r="A117" s="26"/>
      <c r="B117" s="2" t="s">
        <v>294</v>
      </c>
      <c r="C117" s="32">
        <v>45570.395057870373</v>
      </c>
      <c r="D117" s="53">
        <f>YEAR(Table1[[#This Row],[Order Date]])</f>
        <v>2024</v>
      </c>
      <c r="E117" s="2" t="s">
        <v>295</v>
      </c>
      <c r="F117" s="2" t="s">
        <v>296</v>
      </c>
      <c r="G117" s="2" t="s">
        <v>190</v>
      </c>
      <c r="H117" s="23">
        <v>35000</v>
      </c>
      <c r="I117" s="2">
        <v>4</v>
      </c>
      <c r="J117" s="31">
        <v>15</v>
      </c>
      <c r="K117" s="7">
        <f t="shared" si="4"/>
        <v>140000</v>
      </c>
      <c r="L117" s="7">
        <f t="shared" si="5"/>
        <v>21000</v>
      </c>
      <c r="M117" s="7">
        <f t="shared" si="6"/>
        <v>119000</v>
      </c>
      <c r="N117" s="23">
        <v>79000</v>
      </c>
      <c r="O117" s="7">
        <f t="shared" si="7"/>
        <v>198000</v>
      </c>
      <c r="P117" s="2" t="s">
        <v>22</v>
      </c>
      <c r="Q117" t="str">
        <f>_xlfn.XLOOKUP(B117,Status!$A$2:$A$1867,Status!$B$2:$B$1867)</f>
        <v>Returned</v>
      </c>
      <c r="R117" s="2" t="s">
        <v>36</v>
      </c>
      <c r="S117" s="8">
        <v>1</v>
      </c>
      <c r="T117" s="2" t="s">
        <v>24</v>
      </c>
      <c r="U117" s="31" t="str" cm="1">
        <f t="array" ref="U117">_xlfn.IFS(L117&lt;=5000,$Z$3,AND(L117&gt;5000,L117&lt;=15000),$Z$4,AND(L117&gt;15000,L117&lt;=30000),$Z$5,AND(L117&gt;30000,L117&lt;=50000),$Z$6,L117&gt;50000,$Z$7)</f>
        <v>Normal</v>
      </c>
      <c r="V117" s="2"/>
    </row>
    <row r="118" spans="1:22" ht="15.75" customHeight="1" x14ac:dyDescent="0.25">
      <c r="A118" s="26"/>
      <c r="B118" s="2" t="s">
        <v>297</v>
      </c>
      <c r="C118" s="32">
        <v>45570.514328703714</v>
      </c>
      <c r="D118" s="53">
        <f>YEAR(Table1[[#This Row],[Order Date]])</f>
        <v>2024</v>
      </c>
      <c r="E118" s="2" t="s">
        <v>209</v>
      </c>
      <c r="F118" s="2" t="s">
        <v>143</v>
      </c>
      <c r="G118" s="2" t="s">
        <v>67</v>
      </c>
      <c r="H118" s="23">
        <v>15000</v>
      </c>
      <c r="I118" s="2">
        <v>1</v>
      </c>
      <c r="J118" s="31">
        <v>15</v>
      </c>
      <c r="K118" s="7">
        <f t="shared" si="4"/>
        <v>15000</v>
      </c>
      <c r="L118" s="7">
        <f t="shared" si="5"/>
        <v>2250</v>
      </c>
      <c r="M118" s="7">
        <f t="shared" si="6"/>
        <v>12750</v>
      </c>
      <c r="N118" s="23">
        <v>50000</v>
      </c>
      <c r="O118" s="7">
        <f t="shared" si="7"/>
        <v>62750</v>
      </c>
      <c r="P118" s="2" t="s">
        <v>63</v>
      </c>
      <c r="Q118" t="str">
        <f>_xlfn.XLOOKUP(B118,Status!$A$2:$A$1867,Status!$B$2:$B$1867)</f>
        <v>Completed</v>
      </c>
      <c r="R118" s="2" t="s">
        <v>23</v>
      </c>
      <c r="S118" s="8">
        <v>4</v>
      </c>
      <c r="T118" s="2" t="s">
        <v>37</v>
      </c>
      <c r="U118" s="31" t="str" cm="1">
        <f t="array" ref="U118">_xlfn.IFS(L118&lt;=5000,$Z$3,AND(L118&gt;5000,L118&lt;=15000),$Z$4,AND(L118&gt;15000,L118&lt;=30000),$Z$5,AND(L118&gt;30000,L118&lt;=50000),$Z$6,L118&gt;50000,$Z$7)</f>
        <v>Sangat Rendah</v>
      </c>
      <c r="V118" s="2"/>
    </row>
    <row r="119" spans="1:22" ht="15.75" customHeight="1" x14ac:dyDescent="0.25">
      <c r="A119" s="26"/>
      <c r="B119" s="2" t="s">
        <v>298</v>
      </c>
      <c r="C119" s="32">
        <v>45570.857453703713</v>
      </c>
      <c r="D119" s="53">
        <f>YEAR(Table1[[#This Row],[Order Date]])</f>
        <v>2024</v>
      </c>
      <c r="E119" s="2" t="s">
        <v>299</v>
      </c>
      <c r="F119" s="2" t="s">
        <v>163</v>
      </c>
      <c r="G119" s="2" t="s">
        <v>28</v>
      </c>
      <c r="H119" s="23">
        <v>5000</v>
      </c>
      <c r="I119" s="2">
        <v>3</v>
      </c>
      <c r="J119" s="31">
        <v>15</v>
      </c>
      <c r="K119" s="7">
        <f t="shared" si="4"/>
        <v>15000</v>
      </c>
      <c r="L119" s="7">
        <f t="shared" si="5"/>
        <v>2250</v>
      </c>
      <c r="M119" s="7">
        <f t="shared" si="6"/>
        <v>12750</v>
      </c>
      <c r="N119" s="23">
        <v>50000</v>
      </c>
      <c r="O119" s="7">
        <f t="shared" si="7"/>
        <v>62750</v>
      </c>
      <c r="P119" s="2" t="s">
        <v>35</v>
      </c>
      <c r="Q119" t="str">
        <f>_xlfn.XLOOKUP(B119,Status!$A$2:$A$1867,Status!$B$2:$B$1867)</f>
        <v>Returned</v>
      </c>
      <c r="R119" s="2" t="s">
        <v>23</v>
      </c>
      <c r="S119" s="8">
        <v>1</v>
      </c>
      <c r="T119" s="2" t="s">
        <v>24</v>
      </c>
      <c r="U119" s="31" t="str" cm="1">
        <f t="array" ref="U119">_xlfn.IFS(L119&lt;=5000,$Z$3,AND(L119&gt;5000,L119&lt;=15000),$Z$4,AND(L119&gt;15000,L119&lt;=30000),$Z$5,AND(L119&gt;30000,L119&lt;=50000),$Z$6,L119&gt;50000,$Z$7)</f>
        <v>Sangat Rendah</v>
      </c>
      <c r="V119" s="2"/>
    </row>
    <row r="120" spans="1:22" ht="15.75" customHeight="1" x14ac:dyDescent="0.25">
      <c r="A120" s="26"/>
      <c r="B120" s="2" t="s">
        <v>300</v>
      </c>
      <c r="C120" s="32">
        <v>45570.984722222223</v>
      </c>
      <c r="D120" s="53">
        <f>YEAR(Table1[[#This Row],[Order Date]])</f>
        <v>2024</v>
      </c>
      <c r="E120" s="2" t="s">
        <v>261</v>
      </c>
      <c r="F120" s="2" t="s">
        <v>262</v>
      </c>
      <c r="G120" s="2" t="s">
        <v>21</v>
      </c>
      <c r="H120" s="23">
        <v>45000</v>
      </c>
      <c r="I120" s="2">
        <v>1</v>
      </c>
      <c r="J120" s="31">
        <v>5</v>
      </c>
      <c r="K120" s="7">
        <f t="shared" si="4"/>
        <v>45000</v>
      </c>
      <c r="L120" s="7">
        <f t="shared" si="5"/>
        <v>2250</v>
      </c>
      <c r="M120" s="7">
        <f t="shared" si="6"/>
        <v>42750</v>
      </c>
      <c r="N120" s="23">
        <v>18000</v>
      </c>
      <c r="O120" s="7">
        <f t="shared" si="7"/>
        <v>60750</v>
      </c>
      <c r="P120" s="2" t="s">
        <v>29</v>
      </c>
      <c r="Q120" t="str">
        <f>_xlfn.XLOOKUP(B120,Status!$A$2:$A$1867,Status!$B$2:$B$1867)</f>
        <v>Returned</v>
      </c>
      <c r="R120" s="2" t="s">
        <v>30</v>
      </c>
      <c r="S120" s="8">
        <v>4</v>
      </c>
      <c r="T120" s="2" t="s">
        <v>24</v>
      </c>
      <c r="U120" s="31" t="str" cm="1">
        <f t="array" ref="U120">_xlfn.IFS(L120&lt;=5000,$Z$3,AND(L120&gt;5000,L120&lt;=15000),$Z$4,AND(L120&gt;15000,L120&lt;=30000),$Z$5,AND(L120&gt;30000,L120&lt;=50000),$Z$6,L120&gt;50000,$Z$7)</f>
        <v>Sangat Rendah</v>
      </c>
      <c r="V120" s="2"/>
    </row>
    <row r="121" spans="1:22" ht="15.75" customHeight="1" x14ac:dyDescent="0.25">
      <c r="A121" s="26"/>
      <c r="B121" s="2" t="s">
        <v>301</v>
      </c>
      <c r="C121" s="32">
        <v>45571.2656712963</v>
      </c>
      <c r="D121" s="53">
        <f>YEAR(Table1[[#This Row],[Order Date]])</f>
        <v>2024</v>
      </c>
      <c r="E121" s="2" t="s">
        <v>302</v>
      </c>
      <c r="F121" s="2" t="s">
        <v>74</v>
      </c>
      <c r="G121" s="2" t="s">
        <v>85</v>
      </c>
      <c r="H121" s="23">
        <v>35000</v>
      </c>
      <c r="I121" s="2">
        <v>1</v>
      </c>
      <c r="J121" s="31">
        <v>10</v>
      </c>
      <c r="K121" s="7">
        <f t="shared" si="4"/>
        <v>35000</v>
      </c>
      <c r="L121" s="7">
        <f t="shared" si="5"/>
        <v>3500</v>
      </c>
      <c r="M121" s="7">
        <f t="shared" si="6"/>
        <v>31500</v>
      </c>
      <c r="N121" s="23">
        <v>87000</v>
      </c>
      <c r="O121" s="7">
        <f t="shared" si="7"/>
        <v>118500</v>
      </c>
      <c r="P121" s="2" t="s">
        <v>29</v>
      </c>
      <c r="Q121" t="str">
        <f>_xlfn.XLOOKUP(B121,Status!$A$2:$A$1867,Status!$B$2:$B$1867)</f>
        <v>Completed</v>
      </c>
      <c r="R121" s="2" t="s">
        <v>82</v>
      </c>
      <c r="S121" s="8">
        <v>1</v>
      </c>
      <c r="T121" s="2" t="s">
        <v>24</v>
      </c>
      <c r="U121" s="31" t="str" cm="1">
        <f t="array" ref="U121">_xlfn.IFS(L121&lt;=5000,$Z$3,AND(L121&gt;5000,L121&lt;=15000),$Z$4,AND(L121&gt;15000,L121&lt;=30000),$Z$5,AND(L121&gt;30000,L121&lt;=50000),$Z$6,L121&gt;50000,$Z$7)</f>
        <v>Sangat Rendah</v>
      </c>
      <c r="V121" s="2"/>
    </row>
    <row r="122" spans="1:22" ht="15.75" customHeight="1" x14ac:dyDescent="0.25">
      <c r="A122" s="26"/>
      <c r="B122" s="2" t="s">
        <v>303</v>
      </c>
      <c r="C122" s="32">
        <v>45571.307962962957</v>
      </c>
      <c r="D122" s="53">
        <f>YEAR(Table1[[#This Row],[Order Date]])</f>
        <v>2024</v>
      </c>
      <c r="E122" s="2" t="s">
        <v>192</v>
      </c>
      <c r="F122" s="2" t="s">
        <v>107</v>
      </c>
      <c r="G122" s="2" t="s">
        <v>38</v>
      </c>
      <c r="H122" s="23">
        <v>28000</v>
      </c>
      <c r="I122" s="2">
        <v>4</v>
      </c>
      <c r="J122" s="31">
        <v>0</v>
      </c>
      <c r="K122" s="7">
        <f t="shared" si="4"/>
        <v>112000</v>
      </c>
      <c r="L122" s="7">
        <f t="shared" si="5"/>
        <v>0</v>
      </c>
      <c r="M122" s="7">
        <f t="shared" si="6"/>
        <v>112000</v>
      </c>
      <c r="N122" s="23">
        <v>97000</v>
      </c>
      <c r="O122" s="7">
        <f t="shared" si="7"/>
        <v>209000</v>
      </c>
      <c r="P122" s="2" t="s">
        <v>35</v>
      </c>
      <c r="Q122" t="str">
        <f>_xlfn.XLOOKUP(B122,Status!$A$2:$A$1867,Status!$B$2:$B$1867)</f>
        <v>Completed</v>
      </c>
      <c r="R122" s="2" t="s">
        <v>36</v>
      </c>
      <c r="S122" s="8">
        <v>2</v>
      </c>
      <c r="T122" s="2" t="s">
        <v>24</v>
      </c>
      <c r="U122" s="31" t="str" cm="1">
        <f t="array" ref="U122">_xlfn.IFS(L122&lt;=5000,$Z$3,AND(L122&gt;5000,L122&lt;=15000),$Z$4,AND(L122&gt;15000,L122&lt;=30000),$Z$5,AND(L122&gt;30000,L122&lt;=50000),$Z$6,L122&gt;50000,$Z$7)</f>
        <v>Sangat Rendah</v>
      </c>
      <c r="V122" s="2"/>
    </row>
    <row r="123" spans="1:22" ht="15.75" customHeight="1" x14ac:dyDescent="0.25">
      <c r="A123" s="26"/>
      <c r="B123" s="2" t="s">
        <v>304</v>
      </c>
      <c r="C123" s="32">
        <v>45571.434687499997</v>
      </c>
      <c r="D123" s="53">
        <f>YEAR(Table1[[#This Row],[Order Date]])</f>
        <v>2024</v>
      </c>
      <c r="E123" s="2" t="s">
        <v>305</v>
      </c>
      <c r="F123" s="2" t="s">
        <v>143</v>
      </c>
      <c r="G123" s="2" t="s">
        <v>250</v>
      </c>
      <c r="H123" s="23">
        <v>18000</v>
      </c>
      <c r="I123" s="2">
        <v>1</v>
      </c>
      <c r="J123" s="31">
        <v>20</v>
      </c>
      <c r="K123" s="7">
        <f t="shared" si="4"/>
        <v>18000</v>
      </c>
      <c r="L123" s="7">
        <f t="shared" si="5"/>
        <v>3600</v>
      </c>
      <c r="M123" s="7">
        <f t="shared" si="6"/>
        <v>14400</v>
      </c>
      <c r="N123" s="23">
        <v>50000</v>
      </c>
      <c r="O123" s="7">
        <f t="shared" si="7"/>
        <v>64400</v>
      </c>
      <c r="P123" s="2" t="s">
        <v>22</v>
      </c>
      <c r="Q123" t="str">
        <f>_xlfn.XLOOKUP(B123,Status!$A$2:$A$1867,Status!$B$2:$B$1867)</f>
        <v>Completed</v>
      </c>
      <c r="R123" s="2" t="s">
        <v>46</v>
      </c>
      <c r="S123" s="8">
        <v>3</v>
      </c>
      <c r="T123" s="2" t="s">
        <v>24</v>
      </c>
      <c r="U123" s="31" t="str" cm="1">
        <f t="array" ref="U123">_xlfn.IFS(L123&lt;=5000,$Z$3,AND(L123&gt;5000,L123&lt;=15000),$Z$4,AND(L123&gt;15000,L123&lt;=30000),$Z$5,AND(L123&gt;30000,L123&lt;=50000),$Z$6,L123&gt;50000,$Z$7)</f>
        <v>Sangat Rendah</v>
      </c>
      <c r="V123" s="2"/>
    </row>
    <row r="124" spans="1:22" ht="15.75" customHeight="1" x14ac:dyDescent="0.25">
      <c r="A124" s="26"/>
      <c r="B124" s="2" t="s">
        <v>304</v>
      </c>
      <c r="C124" s="32">
        <v>45571.434687499997</v>
      </c>
      <c r="D124" s="53">
        <f>YEAR(Table1[[#This Row],[Order Date]])</f>
        <v>2024</v>
      </c>
      <c r="E124" s="2" t="s">
        <v>305</v>
      </c>
      <c r="F124" s="2" t="s">
        <v>143</v>
      </c>
      <c r="G124" s="2" t="s">
        <v>41</v>
      </c>
      <c r="H124" s="23">
        <v>4000</v>
      </c>
      <c r="I124" s="2">
        <v>3</v>
      </c>
      <c r="J124" s="31">
        <v>10</v>
      </c>
      <c r="K124" s="7">
        <f t="shared" si="4"/>
        <v>12000</v>
      </c>
      <c r="L124" s="7">
        <f t="shared" si="5"/>
        <v>1200</v>
      </c>
      <c r="M124" s="7">
        <f t="shared" si="6"/>
        <v>10800</v>
      </c>
      <c r="N124" s="23">
        <v>0</v>
      </c>
      <c r="O124" s="7">
        <f t="shared" si="7"/>
        <v>10800</v>
      </c>
      <c r="P124" s="2" t="s">
        <v>22</v>
      </c>
      <c r="Q124" t="str">
        <f>_xlfn.XLOOKUP(B124,Status!$A$2:$A$1867,Status!$B$2:$B$1867)</f>
        <v>Completed</v>
      </c>
      <c r="R124" s="2" t="s">
        <v>46</v>
      </c>
      <c r="S124" s="8">
        <v>3</v>
      </c>
      <c r="T124" s="2" t="s">
        <v>24</v>
      </c>
      <c r="U124" s="31" t="str" cm="1">
        <f t="array" ref="U124">_xlfn.IFS(L124&lt;=5000,$Z$3,AND(L124&gt;5000,L124&lt;=15000),$Z$4,AND(L124&gt;15000,L124&lt;=30000),$Z$5,AND(L124&gt;30000,L124&lt;=50000),$Z$6,L124&gt;50000,$Z$7)</f>
        <v>Sangat Rendah</v>
      </c>
      <c r="V124" s="2"/>
    </row>
    <row r="125" spans="1:22" ht="15.75" customHeight="1" x14ac:dyDescent="0.25">
      <c r="A125" s="26"/>
      <c r="B125" s="2" t="s">
        <v>306</v>
      </c>
      <c r="C125" s="32">
        <v>45571.541539351849</v>
      </c>
      <c r="D125" s="53">
        <f>YEAR(Table1[[#This Row],[Order Date]])</f>
        <v>2024</v>
      </c>
      <c r="E125" s="2" t="s">
        <v>307</v>
      </c>
      <c r="F125" s="2" t="s">
        <v>70</v>
      </c>
      <c r="G125" s="2" t="s">
        <v>81</v>
      </c>
      <c r="H125" s="23">
        <v>17000</v>
      </c>
      <c r="I125" s="2">
        <v>5</v>
      </c>
      <c r="J125" s="31">
        <v>5</v>
      </c>
      <c r="K125" s="7">
        <f t="shared" si="4"/>
        <v>85000</v>
      </c>
      <c r="L125" s="7">
        <f t="shared" si="5"/>
        <v>4250</v>
      </c>
      <c r="M125" s="7">
        <f t="shared" si="6"/>
        <v>80750</v>
      </c>
      <c r="N125" s="23">
        <v>89000</v>
      </c>
      <c r="O125" s="7">
        <f t="shared" si="7"/>
        <v>169750</v>
      </c>
      <c r="P125" s="2" t="s">
        <v>35</v>
      </c>
      <c r="Q125" t="str">
        <f>_xlfn.XLOOKUP(B125,Status!$A$2:$A$1867,Status!$B$2:$B$1867)</f>
        <v>Completed</v>
      </c>
      <c r="R125" s="2" t="s">
        <v>23</v>
      </c>
      <c r="S125" s="8">
        <v>4</v>
      </c>
      <c r="T125" s="2" t="s">
        <v>24</v>
      </c>
      <c r="U125" s="31" t="str" cm="1">
        <f t="array" ref="U125">_xlfn.IFS(L125&lt;=5000,$Z$3,AND(L125&gt;5000,L125&lt;=15000),$Z$4,AND(L125&gt;15000,L125&lt;=30000),$Z$5,AND(L125&gt;30000,L125&lt;=50000),$Z$6,L125&gt;50000,$Z$7)</f>
        <v>Sangat Rendah</v>
      </c>
      <c r="V125" s="2"/>
    </row>
    <row r="126" spans="1:22" ht="15.75" customHeight="1" x14ac:dyDescent="0.25">
      <c r="A126" s="26"/>
      <c r="B126" s="2" t="s">
        <v>308</v>
      </c>
      <c r="C126" s="32">
        <v>45571.581678240742</v>
      </c>
      <c r="D126" s="53">
        <f>YEAR(Table1[[#This Row],[Order Date]])</f>
        <v>2024</v>
      </c>
      <c r="E126" s="2" t="s">
        <v>309</v>
      </c>
      <c r="F126" s="2" t="s">
        <v>107</v>
      </c>
      <c r="G126" s="2" t="s">
        <v>85</v>
      </c>
      <c r="H126" s="23">
        <v>35000</v>
      </c>
      <c r="I126" s="2">
        <v>4</v>
      </c>
      <c r="J126" s="31">
        <v>0</v>
      </c>
      <c r="K126" s="7">
        <f t="shared" si="4"/>
        <v>140000</v>
      </c>
      <c r="L126" s="7">
        <f t="shared" si="5"/>
        <v>0</v>
      </c>
      <c r="M126" s="7">
        <f t="shared" si="6"/>
        <v>140000</v>
      </c>
      <c r="N126" s="23">
        <v>97000</v>
      </c>
      <c r="O126" s="7">
        <f t="shared" si="7"/>
        <v>237000</v>
      </c>
      <c r="P126" s="2" t="s">
        <v>22</v>
      </c>
      <c r="Q126" t="str">
        <f>_xlfn.XLOOKUP(B126,Status!$A$2:$A$1867,Status!$B$2:$B$1867)</f>
        <v>Completed</v>
      </c>
      <c r="R126" s="2" t="s">
        <v>23</v>
      </c>
      <c r="S126" s="8">
        <v>1</v>
      </c>
      <c r="T126" s="2" t="s">
        <v>37</v>
      </c>
      <c r="U126" s="31" t="str" cm="1">
        <f t="array" ref="U126">_xlfn.IFS(L126&lt;=5000,$Z$3,AND(L126&gt;5000,L126&lt;=15000),$Z$4,AND(L126&gt;15000,L126&lt;=30000),$Z$5,AND(L126&gt;30000,L126&lt;=50000),$Z$6,L126&gt;50000,$Z$7)</f>
        <v>Sangat Rendah</v>
      </c>
      <c r="V126" s="2"/>
    </row>
    <row r="127" spans="1:22" ht="15.75" customHeight="1" x14ac:dyDescent="0.25">
      <c r="A127" s="26"/>
      <c r="B127" s="2" t="s">
        <v>310</v>
      </c>
      <c r="C127" s="32">
        <v>45571.595104166663</v>
      </c>
      <c r="D127" s="53">
        <f>YEAR(Table1[[#This Row],[Order Date]])</f>
        <v>2024</v>
      </c>
      <c r="E127" s="2" t="s">
        <v>311</v>
      </c>
      <c r="F127" s="2" t="s">
        <v>116</v>
      </c>
      <c r="G127" s="2" t="s">
        <v>45</v>
      </c>
      <c r="H127" s="23">
        <v>40000</v>
      </c>
      <c r="I127" s="2">
        <v>4</v>
      </c>
      <c r="J127" s="31">
        <v>0</v>
      </c>
      <c r="K127" s="7">
        <f t="shared" si="4"/>
        <v>160000</v>
      </c>
      <c r="L127" s="7">
        <f t="shared" si="5"/>
        <v>0</v>
      </c>
      <c r="M127" s="7">
        <f t="shared" si="6"/>
        <v>160000</v>
      </c>
      <c r="N127" s="23">
        <v>72000</v>
      </c>
      <c r="O127" s="7">
        <f t="shared" si="7"/>
        <v>232000</v>
      </c>
      <c r="P127" s="2" t="s">
        <v>35</v>
      </c>
      <c r="Q127" t="str">
        <f>_xlfn.XLOOKUP(B127,Status!$A$2:$A$1867,Status!$B$2:$B$1867)</f>
        <v>Completed</v>
      </c>
      <c r="R127" s="2" t="s">
        <v>82</v>
      </c>
      <c r="S127" s="8">
        <v>3</v>
      </c>
      <c r="T127" s="2" t="s">
        <v>24</v>
      </c>
      <c r="U127" s="31" t="str" cm="1">
        <f t="array" ref="U127">_xlfn.IFS(L127&lt;=5000,$Z$3,AND(L127&gt;5000,L127&lt;=15000),$Z$4,AND(L127&gt;15000,L127&lt;=30000),$Z$5,AND(L127&gt;30000,L127&lt;=50000),$Z$6,L127&gt;50000,$Z$7)</f>
        <v>Sangat Rendah</v>
      </c>
      <c r="V127" s="2"/>
    </row>
    <row r="128" spans="1:22" ht="15.75" customHeight="1" x14ac:dyDescent="0.25">
      <c r="A128" s="26"/>
      <c r="B128" s="2" t="s">
        <v>312</v>
      </c>
      <c r="C128" s="32">
        <v>45571.958182870367</v>
      </c>
      <c r="D128" s="53">
        <f>YEAR(Table1[[#This Row],[Order Date]])</f>
        <v>2024</v>
      </c>
      <c r="E128" s="2" t="s">
        <v>311</v>
      </c>
      <c r="F128" s="2" t="s">
        <v>116</v>
      </c>
      <c r="G128" s="2" t="s">
        <v>58</v>
      </c>
      <c r="H128" s="23">
        <v>16000</v>
      </c>
      <c r="I128" s="2">
        <v>1</v>
      </c>
      <c r="J128" s="31">
        <v>15</v>
      </c>
      <c r="K128" s="7">
        <f t="shared" si="4"/>
        <v>16000</v>
      </c>
      <c r="L128" s="7">
        <f t="shared" si="5"/>
        <v>2400</v>
      </c>
      <c r="M128" s="7">
        <f t="shared" si="6"/>
        <v>13600</v>
      </c>
      <c r="N128" s="23">
        <v>72000</v>
      </c>
      <c r="O128" s="7">
        <f t="shared" si="7"/>
        <v>85600</v>
      </c>
      <c r="P128" s="2" t="s">
        <v>35</v>
      </c>
      <c r="Q128" t="str">
        <f>_xlfn.XLOOKUP(B128,Status!$A$2:$A$1867,Status!$B$2:$B$1867)</f>
        <v>Returned</v>
      </c>
      <c r="R128" s="2" t="s">
        <v>82</v>
      </c>
      <c r="S128" s="8">
        <v>1</v>
      </c>
      <c r="T128" s="2" t="s">
        <v>24</v>
      </c>
      <c r="U128" s="31" t="str" cm="1">
        <f t="array" ref="U128">_xlfn.IFS(L128&lt;=5000,$Z$3,AND(L128&gt;5000,L128&lt;=15000),$Z$4,AND(L128&gt;15000,L128&lt;=30000),$Z$5,AND(L128&gt;30000,L128&lt;=50000),$Z$6,L128&gt;50000,$Z$7)</f>
        <v>Sangat Rendah</v>
      </c>
      <c r="V128" s="2"/>
    </row>
    <row r="129" spans="1:22" ht="15.75" customHeight="1" x14ac:dyDescent="0.25">
      <c r="A129" s="26"/>
      <c r="B129" s="2" t="s">
        <v>313</v>
      </c>
      <c r="C129" s="32">
        <v>45572.168055555558</v>
      </c>
      <c r="D129" s="53">
        <f>YEAR(Table1[[#This Row],[Order Date]])</f>
        <v>2024</v>
      </c>
      <c r="E129" s="2" t="s">
        <v>314</v>
      </c>
      <c r="F129" s="2" t="s">
        <v>113</v>
      </c>
      <c r="G129" s="2" t="s">
        <v>186</v>
      </c>
      <c r="H129" s="23">
        <v>45000</v>
      </c>
      <c r="I129" s="2">
        <v>4</v>
      </c>
      <c r="J129" s="31">
        <v>10</v>
      </c>
      <c r="K129" s="7">
        <f t="shared" si="4"/>
        <v>180000</v>
      </c>
      <c r="L129" s="7">
        <f t="shared" si="5"/>
        <v>18000</v>
      </c>
      <c r="M129" s="7">
        <f t="shared" si="6"/>
        <v>162000</v>
      </c>
      <c r="N129" s="23">
        <v>18000</v>
      </c>
      <c r="O129" s="7">
        <f t="shared" si="7"/>
        <v>180000</v>
      </c>
      <c r="P129" s="2" t="s">
        <v>29</v>
      </c>
      <c r="Q129" t="str">
        <f>_xlfn.XLOOKUP(B129,Status!$A$2:$A$1867,Status!$B$2:$B$1867)</f>
        <v>Completed</v>
      </c>
      <c r="R129" s="2" t="s">
        <v>36</v>
      </c>
      <c r="S129" s="8">
        <v>1</v>
      </c>
      <c r="T129" s="2" t="s">
        <v>24</v>
      </c>
      <c r="U129" s="31" t="str" cm="1">
        <f t="array" ref="U129">_xlfn.IFS(L129&lt;=5000,$Z$3,AND(L129&gt;5000,L129&lt;=15000),$Z$4,AND(L129&gt;15000,L129&lt;=30000),$Z$5,AND(L129&gt;30000,L129&lt;=50000),$Z$6,L129&gt;50000,$Z$7)</f>
        <v>Normal</v>
      </c>
      <c r="V129" s="2"/>
    </row>
    <row r="130" spans="1:22" ht="15.75" customHeight="1" x14ac:dyDescent="0.25">
      <c r="A130" s="26"/>
      <c r="B130" s="2" t="s">
        <v>313</v>
      </c>
      <c r="C130" s="32">
        <v>45572.168055555558</v>
      </c>
      <c r="D130" s="53">
        <f>YEAR(Table1[[#This Row],[Order Date]])</f>
        <v>2024</v>
      </c>
      <c r="E130" s="2" t="s">
        <v>314</v>
      </c>
      <c r="F130" s="2" t="s">
        <v>113</v>
      </c>
      <c r="G130" s="2" t="s">
        <v>54</v>
      </c>
      <c r="H130" s="23">
        <v>16000</v>
      </c>
      <c r="I130" s="2">
        <v>3</v>
      </c>
      <c r="J130" s="31">
        <v>10</v>
      </c>
      <c r="K130" s="7">
        <f t="shared" si="4"/>
        <v>48000</v>
      </c>
      <c r="L130" s="7">
        <f t="shared" si="5"/>
        <v>4800</v>
      </c>
      <c r="M130" s="7">
        <f t="shared" si="6"/>
        <v>43200</v>
      </c>
      <c r="N130" s="23">
        <v>0</v>
      </c>
      <c r="O130" s="7">
        <f t="shared" si="7"/>
        <v>43200</v>
      </c>
      <c r="P130" s="2" t="s">
        <v>29</v>
      </c>
      <c r="Q130" t="str">
        <f>_xlfn.XLOOKUP(B130,Status!$A$2:$A$1867,Status!$B$2:$B$1867)</f>
        <v>Completed</v>
      </c>
      <c r="R130" s="2" t="s">
        <v>36</v>
      </c>
      <c r="S130" s="8">
        <v>1</v>
      </c>
      <c r="T130" s="2" t="s">
        <v>24</v>
      </c>
      <c r="U130" s="31" t="str" cm="1">
        <f t="array" ref="U130">_xlfn.IFS(L130&lt;=5000,$Z$3,AND(L130&gt;5000,L130&lt;=15000),$Z$4,AND(L130&gt;15000,L130&lt;=30000),$Z$5,AND(L130&gt;30000,L130&lt;=50000),$Z$6,L130&gt;50000,$Z$7)</f>
        <v>Sangat Rendah</v>
      </c>
      <c r="V130" s="2"/>
    </row>
    <row r="131" spans="1:22" ht="15.75" customHeight="1" x14ac:dyDescent="0.25">
      <c r="A131" s="26"/>
      <c r="B131" s="2" t="s">
        <v>315</v>
      </c>
      <c r="C131" s="32">
        <v>45572.169282407413</v>
      </c>
      <c r="D131" s="53">
        <f>YEAR(Table1[[#This Row],[Order Date]])</f>
        <v>2024</v>
      </c>
      <c r="E131" s="2" t="s">
        <v>316</v>
      </c>
      <c r="F131" s="2" t="s">
        <v>244</v>
      </c>
      <c r="G131" s="2" t="s">
        <v>174</v>
      </c>
      <c r="H131" s="23">
        <v>10000</v>
      </c>
      <c r="I131" s="2">
        <v>3</v>
      </c>
      <c r="J131" s="31">
        <v>5</v>
      </c>
      <c r="K131" s="7">
        <f t="shared" si="4"/>
        <v>30000</v>
      </c>
      <c r="L131" s="7">
        <f t="shared" si="5"/>
        <v>1500</v>
      </c>
      <c r="M131" s="7">
        <f t="shared" si="6"/>
        <v>28500</v>
      </c>
      <c r="N131" s="23">
        <v>80000</v>
      </c>
      <c r="O131" s="7">
        <f t="shared" si="7"/>
        <v>108500</v>
      </c>
      <c r="P131" s="2" t="s">
        <v>63</v>
      </c>
      <c r="Q131" t="str">
        <f>_xlfn.XLOOKUP(B131,Status!$A$2:$A$1867,Status!$B$2:$B$1867)</f>
        <v>Completed</v>
      </c>
      <c r="R131" s="2" t="s">
        <v>23</v>
      </c>
      <c r="S131" s="8">
        <v>2</v>
      </c>
      <c r="T131" s="2" t="s">
        <v>24</v>
      </c>
      <c r="U131" s="31" t="str" cm="1">
        <f t="array" ref="U131">_xlfn.IFS(L131&lt;=5000,$Z$3,AND(L131&gt;5000,L131&lt;=15000),$Z$4,AND(L131&gt;15000,L131&lt;=30000),$Z$5,AND(L131&gt;30000,L131&lt;=50000),$Z$6,L131&gt;50000,$Z$7)</f>
        <v>Sangat Rendah</v>
      </c>
      <c r="V131" s="2"/>
    </row>
    <row r="132" spans="1:22" ht="15.75" customHeight="1" x14ac:dyDescent="0.25">
      <c r="A132" s="26"/>
      <c r="B132" s="2" t="s">
        <v>317</v>
      </c>
      <c r="C132" s="32">
        <v>45572.446215277778</v>
      </c>
      <c r="D132" s="53">
        <f>YEAR(Table1[[#This Row],[Order Date]])</f>
        <v>2024</v>
      </c>
      <c r="E132" s="2" t="s">
        <v>318</v>
      </c>
      <c r="F132" s="2" t="s">
        <v>244</v>
      </c>
      <c r="G132" s="2" t="s">
        <v>81</v>
      </c>
      <c r="H132" s="23">
        <v>17000</v>
      </c>
      <c r="I132" s="2">
        <v>5</v>
      </c>
      <c r="J132" s="31">
        <v>15</v>
      </c>
      <c r="K132" s="7">
        <f t="shared" ref="K132:K195" si="8">H132*I132</f>
        <v>85000</v>
      </c>
      <c r="L132" s="7">
        <f t="shared" ref="L132:L195" si="9">K132*(J132/100)</f>
        <v>12750</v>
      </c>
      <c r="M132" s="7">
        <f t="shared" ref="M132:M195" si="10">K132-L132</f>
        <v>72250</v>
      </c>
      <c r="N132" s="23">
        <v>80000</v>
      </c>
      <c r="O132" s="7">
        <f t="shared" ref="O132:O195" si="11">SUM(M132:N132)</f>
        <v>152250</v>
      </c>
      <c r="P132" s="2" t="s">
        <v>35</v>
      </c>
      <c r="Q132" t="str">
        <f>_xlfn.XLOOKUP(B132,Status!$A$2:$A$1867,Status!$B$2:$B$1867)</f>
        <v>Returned</v>
      </c>
      <c r="R132" s="2" t="s">
        <v>23</v>
      </c>
      <c r="S132" s="8">
        <v>1</v>
      </c>
      <c r="T132" s="2" t="s">
        <v>37</v>
      </c>
      <c r="U132" s="31" t="str" cm="1">
        <f t="array" ref="U132">_xlfn.IFS(L132&lt;=5000,$Z$3,AND(L132&gt;5000,L132&lt;=15000),$Z$4,AND(L132&gt;15000,L132&lt;=30000),$Z$5,AND(L132&gt;30000,L132&lt;=50000),$Z$6,L132&gt;50000,$Z$7)</f>
        <v>Rendah</v>
      </c>
      <c r="V132" s="2"/>
    </row>
    <row r="133" spans="1:22" ht="15.75" customHeight="1" x14ac:dyDescent="0.25">
      <c r="A133" s="26"/>
      <c r="B133" s="2" t="s">
        <v>319</v>
      </c>
      <c r="C133" s="32">
        <v>45572.621770833342</v>
      </c>
      <c r="D133" s="53">
        <f>YEAR(Table1[[#This Row],[Order Date]])</f>
        <v>2024</v>
      </c>
      <c r="E133" s="2" t="s">
        <v>273</v>
      </c>
      <c r="F133" s="2" t="s">
        <v>195</v>
      </c>
      <c r="G133" s="2" t="s">
        <v>81</v>
      </c>
      <c r="H133" s="23">
        <v>17000</v>
      </c>
      <c r="I133" s="2">
        <v>4</v>
      </c>
      <c r="J133" s="31">
        <v>10</v>
      </c>
      <c r="K133" s="7">
        <f t="shared" si="8"/>
        <v>68000</v>
      </c>
      <c r="L133" s="7">
        <f t="shared" si="9"/>
        <v>6800</v>
      </c>
      <c r="M133" s="7">
        <f t="shared" si="10"/>
        <v>61200</v>
      </c>
      <c r="N133" s="23">
        <v>87000</v>
      </c>
      <c r="O133" s="7">
        <f t="shared" si="11"/>
        <v>148200</v>
      </c>
      <c r="P133" s="2" t="s">
        <v>35</v>
      </c>
      <c r="Q133" t="str">
        <f>_xlfn.XLOOKUP(B133,Status!$A$2:$A$1867,Status!$B$2:$B$1867)</f>
        <v>Completed</v>
      </c>
      <c r="R133" s="2" t="s">
        <v>46</v>
      </c>
      <c r="S133" s="8">
        <v>1</v>
      </c>
      <c r="T133" s="2" t="s">
        <v>24</v>
      </c>
      <c r="U133" s="31" t="str" cm="1">
        <f t="array" ref="U133">_xlfn.IFS(L133&lt;=5000,$Z$3,AND(L133&gt;5000,L133&lt;=15000),$Z$4,AND(L133&gt;15000,L133&lt;=30000),$Z$5,AND(L133&gt;30000,L133&lt;=50000),$Z$6,L133&gt;50000,$Z$7)</f>
        <v>Rendah</v>
      </c>
      <c r="V133" s="2"/>
    </row>
    <row r="134" spans="1:22" ht="15.75" customHeight="1" x14ac:dyDescent="0.25">
      <c r="A134" s="26"/>
      <c r="B134" s="2" t="s">
        <v>320</v>
      </c>
      <c r="C134" s="32">
        <v>45573.014687499999</v>
      </c>
      <c r="D134" s="53">
        <f>YEAR(Table1[[#This Row],[Order Date]])</f>
        <v>2024</v>
      </c>
      <c r="E134" s="2" t="s">
        <v>321</v>
      </c>
      <c r="F134" s="2" t="s">
        <v>80</v>
      </c>
      <c r="G134" s="2" t="s">
        <v>50</v>
      </c>
      <c r="H134" s="23">
        <v>14000</v>
      </c>
      <c r="I134" s="2">
        <v>2</v>
      </c>
      <c r="J134" s="31">
        <v>5</v>
      </c>
      <c r="K134" s="7">
        <f t="shared" si="8"/>
        <v>28000</v>
      </c>
      <c r="L134" s="7">
        <f t="shared" si="9"/>
        <v>1400</v>
      </c>
      <c r="M134" s="7">
        <f t="shared" si="10"/>
        <v>26600</v>
      </c>
      <c r="N134" s="23">
        <v>74000</v>
      </c>
      <c r="O134" s="7">
        <f t="shared" si="11"/>
        <v>100600</v>
      </c>
      <c r="P134" s="2" t="s">
        <v>35</v>
      </c>
      <c r="Q134" t="str">
        <f>_xlfn.XLOOKUP(B134,Status!$A$2:$A$1867,Status!$B$2:$B$1867)</f>
        <v>Completed</v>
      </c>
      <c r="R134" s="2" t="s">
        <v>30</v>
      </c>
      <c r="S134" s="8">
        <v>1</v>
      </c>
      <c r="T134" s="2" t="s">
        <v>24</v>
      </c>
      <c r="U134" s="31" t="str" cm="1">
        <f t="array" ref="U134">_xlfn.IFS(L134&lt;=5000,$Z$3,AND(L134&gt;5000,L134&lt;=15000),$Z$4,AND(L134&gt;15000,L134&lt;=30000),$Z$5,AND(L134&gt;30000,L134&lt;=50000),$Z$6,L134&gt;50000,$Z$7)</f>
        <v>Sangat Rendah</v>
      </c>
      <c r="V134" s="2"/>
    </row>
    <row r="135" spans="1:22" ht="15.75" customHeight="1" x14ac:dyDescent="0.25">
      <c r="A135" s="26"/>
      <c r="B135" s="2" t="s">
        <v>322</v>
      </c>
      <c r="C135" s="32">
        <v>45573.198518518519</v>
      </c>
      <c r="D135" s="53">
        <f>YEAR(Table1[[#This Row],[Order Date]])</f>
        <v>2024</v>
      </c>
      <c r="E135" s="2" t="s">
        <v>323</v>
      </c>
      <c r="F135" s="2" t="s">
        <v>103</v>
      </c>
      <c r="G135" s="2" t="s">
        <v>110</v>
      </c>
      <c r="H135" s="23">
        <v>6000</v>
      </c>
      <c r="I135" s="2">
        <v>5</v>
      </c>
      <c r="J135" s="31">
        <v>15</v>
      </c>
      <c r="K135" s="7">
        <f t="shared" si="8"/>
        <v>30000</v>
      </c>
      <c r="L135" s="7">
        <f t="shared" si="9"/>
        <v>4500</v>
      </c>
      <c r="M135" s="7">
        <f t="shared" si="10"/>
        <v>25500</v>
      </c>
      <c r="N135" s="23">
        <v>85000</v>
      </c>
      <c r="O135" s="7">
        <f t="shared" si="11"/>
        <v>110500</v>
      </c>
      <c r="P135" s="2" t="s">
        <v>63</v>
      </c>
      <c r="Q135" t="str">
        <f>_xlfn.XLOOKUP(B135,Status!$A$2:$A$1867,Status!$B$2:$B$1867)</f>
        <v>Completed</v>
      </c>
      <c r="R135" s="2" t="s">
        <v>23</v>
      </c>
      <c r="S135" s="8">
        <v>2</v>
      </c>
      <c r="T135" s="2" t="s">
        <v>24</v>
      </c>
      <c r="U135" s="31" t="str" cm="1">
        <f t="array" ref="U135">_xlfn.IFS(L135&lt;=5000,$Z$3,AND(L135&gt;5000,L135&lt;=15000),$Z$4,AND(L135&gt;15000,L135&lt;=30000),$Z$5,AND(L135&gt;30000,L135&lt;=50000),$Z$6,L135&gt;50000,$Z$7)</f>
        <v>Sangat Rendah</v>
      </c>
      <c r="V135" s="2"/>
    </row>
    <row r="136" spans="1:22" ht="15.75" customHeight="1" x14ac:dyDescent="0.25">
      <c r="A136" s="26"/>
      <c r="B136" s="2" t="s">
        <v>324</v>
      </c>
      <c r="C136" s="32">
        <v>45573.420266203713</v>
      </c>
      <c r="D136" s="53">
        <f>YEAR(Table1[[#This Row],[Order Date]])</f>
        <v>2024</v>
      </c>
      <c r="E136" s="2" t="s">
        <v>192</v>
      </c>
      <c r="F136" s="2" t="s">
        <v>107</v>
      </c>
      <c r="G136" s="2" t="s">
        <v>123</v>
      </c>
      <c r="H136" s="23">
        <v>22000</v>
      </c>
      <c r="I136" s="2">
        <v>4</v>
      </c>
      <c r="J136" s="31">
        <v>20</v>
      </c>
      <c r="K136" s="7">
        <f t="shared" si="8"/>
        <v>88000</v>
      </c>
      <c r="L136" s="7">
        <f t="shared" si="9"/>
        <v>17600</v>
      </c>
      <c r="M136" s="7">
        <f t="shared" si="10"/>
        <v>70400</v>
      </c>
      <c r="N136" s="23">
        <v>97000</v>
      </c>
      <c r="O136" s="7">
        <f t="shared" si="11"/>
        <v>167400</v>
      </c>
      <c r="P136" s="2" t="s">
        <v>63</v>
      </c>
      <c r="Q136" t="str">
        <f>_xlfn.XLOOKUP(B136,Status!$A$2:$A$1867,Status!$B$2:$B$1867)</f>
        <v>Completed</v>
      </c>
      <c r="R136" s="2" t="s">
        <v>30</v>
      </c>
      <c r="S136" s="8">
        <v>3</v>
      </c>
      <c r="T136" s="2" t="s">
        <v>24</v>
      </c>
      <c r="U136" s="31" t="str" cm="1">
        <f t="array" ref="U136">_xlfn.IFS(L136&lt;=5000,$Z$3,AND(L136&gt;5000,L136&lt;=15000),$Z$4,AND(L136&gt;15000,L136&lt;=30000),$Z$5,AND(L136&gt;30000,L136&lt;=50000),$Z$6,L136&gt;50000,$Z$7)</f>
        <v>Normal</v>
      </c>
      <c r="V136" s="2"/>
    </row>
    <row r="137" spans="1:22" ht="15.75" customHeight="1" x14ac:dyDescent="0.25">
      <c r="A137" s="26"/>
      <c r="B137" s="2" t="s">
        <v>325</v>
      </c>
      <c r="C137" s="32">
        <v>45573.527280092603</v>
      </c>
      <c r="D137" s="53">
        <f>YEAR(Table1[[#This Row],[Order Date]])</f>
        <v>2024</v>
      </c>
      <c r="E137" s="2" t="s">
        <v>326</v>
      </c>
      <c r="F137" s="2" t="s">
        <v>262</v>
      </c>
      <c r="G137" s="2" t="s">
        <v>50</v>
      </c>
      <c r="H137" s="23">
        <v>14000</v>
      </c>
      <c r="I137" s="2">
        <v>4</v>
      </c>
      <c r="J137" s="31">
        <v>10</v>
      </c>
      <c r="K137" s="7">
        <f t="shared" si="8"/>
        <v>56000</v>
      </c>
      <c r="L137" s="7">
        <f t="shared" si="9"/>
        <v>5600</v>
      </c>
      <c r="M137" s="7">
        <f t="shared" si="10"/>
        <v>50400</v>
      </c>
      <c r="N137" s="23">
        <v>18000</v>
      </c>
      <c r="O137" s="7">
        <f t="shared" si="11"/>
        <v>68400</v>
      </c>
      <c r="P137" s="2" t="s">
        <v>63</v>
      </c>
      <c r="Q137" t="str">
        <f>_xlfn.XLOOKUP(B137,Status!$A$2:$A$1867,Status!$B$2:$B$1867)</f>
        <v>Completed</v>
      </c>
      <c r="R137" s="2" t="s">
        <v>46</v>
      </c>
      <c r="S137" s="8">
        <v>3</v>
      </c>
      <c r="T137" s="2" t="s">
        <v>37</v>
      </c>
      <c r="U137" s="31" t="str" cm="1">
        <f t="array" ref="U137">_xlfn.IFS(L137&lt;=5000,$Z$3,AND(L137&gt;5000,L137&lt;=15000),$Z$4,AND(L137&gt;15000,L137&lt;=30000),$Z$5,AND(L137&gt;30000,L137&lt;=50000),$Z$6,L137&gt;50000,$Z$7)</f>
        <v>Rendah</v>
      </c>
      <c r="V137" s="2"/>
    </row>
    <row r="138" spans="1:22" ht="15.75" customHeight="1" x14ac:dyDescent="0.25">
      <c r="A138" s="26"/>
      <c r="B138" s="2" t="s">
        <v>327</v>
      </c>
      <c r="C138" s="32">
        <v>45573.747465277767</v>
      </c>
      <c r="D138" s="53">
        <f>YEAR(Table1[[#This Row],[Order Date]])</f>
        <v>2024</v>
      </c>
      <c r="E138" s="2" t="s">
        <v>179</v>
      </c>
      <c r="F138" s="2" t="s">
        <v>66</v>
      </c>
      <c r="G138" s="2" t="s">
        <v>34</v>
      </c>
      <c r="H138" s="23">
        <v>16000</v>
      </c>
      <c r="I138" s="2">
        <v>5</v>
      </c>
      <c r="J138" s="31">
        <v>0</v>
      </c>
      <c r="K138" s="7">
        <f t="shared" si="8"/>
        <v>80000</v>
      </c>
      <c r="L138" s="7">
        <f t="shared" si="9"/>
        <v>0</v>
      </c>
      <c r="M138" s="7">
        <f t="shared" si="10"/>
        <v>80000</v>
      </c>
      <c r="N138" s="23">
        <v>59000</v>
      </c>
      <c r="O138" s="7">
        <f t="shared" si="11"/>
        <v>139000</v>
      </c>
      <c r="P138" s="2" t="s">
        <v>35</v>
      </c>
      <c r="Q138" t="str">
        <f>_xlfn.XLOOKUP(B138,Status!$A$2:$A$1867,Status!$B$2:$B$1867)</f>
        <v>Cancelled</v>
      </c>
      <c r="R138" s="2" t="s">
        <v>23</v>
      </c>
      <c r="S138" s="8">
        <v>3</v>
      </c>
      <c r="T138" s="2" t="s">
        <v>24</v>
      </c>
      <c r="U138" s="31" t="str" cm="1">
        <f t="array" ref="U138">_xlfn.IFS(L138&lt;=5000,$Z$3,AND(L138&gt;5000,L138&lt;=15000),$Z$4,AND(L138&gt;15000,L138&lt;=30000),$Z$5,AND(L138&gt;30000,L138&lt;=50000),$Z$6,L138&gt;50000,$Z$7)</f>
        <v>Sangat Rendah</v>
      </c>
      <c r="V138" s="2"/>
    </row>
    <row r="139" spans="1:22" ht="15.75" customHeight="1" x14ac:dyDescent="0.25">
      <c r="A139" s="26"/>
      <c r="B139" s="2" t="s">
        <v>328</v>
      </c>
      <c r="C139" s="32">
        <v>45573.881365740737</v>
      </c>
      <c r="D139" s="53">
        <f>YEAR(Table1[[#This Row],[Order Date]])</f>
        <v>2024</v>
      </c>
      <c r="E139" s="2" t="s">
        <v>188</v>
      </c>
      <c r="F139" s="2" t="s">
        <v>189</v>
      </c>
      <c r="G139" s="2" t="s">
        <v>75</v>
      </c>
      <c r="H139" s="23">
        <v>55000</v>
      </c>
      <c r="I139" s="2">
        <v>2</v>
      </c>
      <c r="J139" s="31">
        <v>0</v>
      </c>
      <c r="K139" s="7">
        <f t="shared" si="8"/>
        <v>110000</v>
      </c>
      <c r="L139" s="7">
        <f t="shared" si="9"/>
        <v>0</v>
      </c>
      <c r="M139" s="7">
        <f t="shared" si="10"/>
        <v>110000</v>
      </c>
      <c r="N139" s="23">
        <v>57000</v>
      </c>
      <c r="O139" s="7">
        <f t="shared" si="11"/>
        <v>167000</v>
      </c>
      <c r="P139" s="2" t="s">
        <v>29</v>
      </c>
      <c r="Q139" t="str">
        <f>_xlfn.XLOOKUP(B139,Status!$A$2:$A$1867,Status!$B$2:$B$1867)</f>
        <v>Completed</v>
      </c>
      <c r="R139" s="2" t="s">
        <v>23</v>
      </c>
      <c r="S139" s="8">
        <v>5</v>
      </c>
      <c r="T139" s="2" t="s">
        <v>24</v>
      </c>
      <c r="U139" s="31" t="str" cm="1">
        <f t="array" ref="U139">_xlfn.IFS(L139&lt;=5000,$Z$3,AND(L139&gt;5000,L139&lt;=15000),$Z$4,AND(L139&gt;15000,L139&lt;=30000),$Z$5,AND(L139&gt;30000,L139&lt;=50000),$Z$6,L139&gt;50000,$Z$7)</f>
        <v>Sangat Rendah</v>
      </c>
      <c r="V139" s="2"/>
    </row>
    <row r="140" spans="1:22" ht="15.75" customHeight="1" x14ac:dyDescent="0.25">
      <c r="A140" s="26"/>
      <c r="B140" s="2" t="s">
        <v>329</v>
      </c>
      <c r="C140" s="32">
        <v>45574.081747685188</v>
      </c>
      <c r="D140" s="53">
        <f>YEAR(Table1[[#This Row],[Order Date]])</f>
        <v>2024</v>
      </c>
      <c r="E140" s="2" t="s">
        <v>169</v>
      </c>
      <c r="F140" s="2" t="s">
        <v>170</v>
      </c>
      <c r="G140" s="2" t="s">
        <v>250</v>
      </c>
      <c r="H140" s="23">
        <v>18000</v>
      </c>
      <c r="I140" s="2">
        <v>3</v>
      </c>
      <c r="J140" s="31">
        <v>15</v>
      </c>
      <c r="K140" s="7">
        <f t="shared" si="8"/>
        <v>54000</v>
      </c>
      <c r="L140" s="7">
        <f t="shared" si="9"/>
        <v>8100</v>
      </c>
      <c r="M140" s="7">
        <f t="shared" si="10"/>
        <v>45900</v>
      </c>
      <c r="N140" s="23">
        <v>46000</v>
      </c>
      <c r="O140" s="7">
        <f t="shared" si="11"/>
        <v>91900</v>
      </c>
      <c r="P140" s="2" t="s">
        <v>35</v>
      </c>
      <c r="Q140" t="str">
        <f>_xlfn.XLOOKUP(B140,Status!$A$2:$A$1867,Status!$B$2:$B$1867)</f>
        <v>Completed</v>
      </c>
      <c r="R140" s="2" t="s">
        <v>36</v>
      </c>
      <c r="S140" s="8">
        <v>1</v>
      </c>
      <c r="T140" s="2" t="s">
        <v>24</v>
      </c>
      <c r="U140" s="31" t="str" cm="1">
        <f t="array" ref="U140">_xlfn.IFS(L140&lt;=5000,$Z$3,AND(L140&gt;5000,L140&lt;=15000),$Z$4,AND(L140&gt;15000,L140&lt;=30000),$Z$5,AND(L140&gt;30000,L140&lt;=50000),$Z$6,L140&gt;50000,$Z$7)</f>
        <v>Rendah</v>
      </c>
      <c r="V140" s="2"/>
    </row>
    <row r="141" spans="1:22" ht="15.75" customHeight="1" x14ac:dyDescent="0.25">
      <c r="A141" s="26"/>
      <c r="B141" s="2" t="s">
        <v>329</v>
      </c>
      <c r="C141" s="32">
        <v>45574.081747685188</v>
      </c>
      <c r="D141" s="53">
        <f>YEAR(Table1[[#This Row],[Order Date]])</f>
        <v>2024</v>
      </c>
      <c r="E141" s="2" t="s">
        <v>169</v>
      </c>
      <c r="F141" s="2" t="s">
        <v>170</v>
      </c>
      <c r="G141" s="2" t="s">
        <v>85</v>
      </c>
      <c r="H141" s="23">
        <v>35000</v>
      </c>
      <c r="I141" s="2">
        <v>3</v>
      </c>
      <c r="J141" s="31">
        <v>20</v>
      </c>
      <c r="K141" s="7">
        <f t="shared" si="8"/>
        <v>105000</v>
      </c>
      <c r="L141" s="7">
        <f t="shared" si="9"/>
        <v>21000</v>
      </c>
      <c r="M141" s="7">
        <f t="shared" si="10"/>
        <v>84000</v>
      </c>
      <c r="N141" s="23">
        <v>0</v>
      </c>
      <c r="O141" s="7">
        <f t="shared" si="11"/>
        <v>84000</v>
      </c>
      <c r="P141" s="2" t="s">
        <v>35</v>
      </c>
      <c r="Q141" t="str">
        <f>_xlfn.XLOOKUP(B141,Status!$A$2:$A$1867,Status!$B$2:$B$1867)</f>
        <v>Completed</v>
      </c>
      <c r="R141" s="2" t="s">
        <v>36</v>
      </c>
      <c r="S141" s="8">
        <v>1</v>
      </c>
      <c r="T141" s="2" t="s">
        <v>24</v>
      </c>
      <c r="U141" s="31" t="str" cm="1">
        <f t="array" ref="U141">_xlfn.IFS(L141&lt;=5000,$Z$3,AND(L141&gt;5000,L141&lt;=15000),$Z$4,AND(L141&gt;15000,L141&lt;=30000),$Z$5,AND(L141&gt;30000,L141&lt;=50000),$Z$6,L141&gt;50000,$Z$7)</f>
        <v>Normal</v>
      </c>
      <c r="V141" s="2"/>
    </row>
    <row r="142" spans="1:22" ht="15.75" customHeight="1" x14ac:dyDescent="0.25">
      <c r="A142" s="26"/>
      <c r="B142" s="2" t="s">
        <v>330</v>
      </c>
      <c r="C142" s="32">
        <v>45574.15121527778</v>
      </c>
      <c r="D142" s="53">
        <f>YEAR(Table1[[#This Row],[Order Date]])</f>
        <v>2024</v>
      </c>
      <c r="E142" s="2" t="s">
        <v>331</v>
      </c>
      <c r="F142" s="2" t="s">
        <v>20</v>
      </c>
      <c r="G142" s="2" t="s">
        <v>45</v>
      </c>
      <c r="H142" s="23">
        <v>40000</v>
      </c>
      <c r="I142" s="2">
        <v>2</v>
      </c>
      <c r="J142" s="31">
        <v>15</v>
      </c>
      <c r="K142" s="7">
        <f t="shared" si="8"/>
        <v>80000</v>
      </c>
      <c r="L142" s="7">
        <f t="shared" si="9"/>
        <v>12000</v>
      </c>
      <c r="M142" s="7">
        <f t="shared" si="10"/>
        <v>68000</v>
      </c>
      <c r="N142" s="23">
        <v>15000</v>
      </c>
      <c r="O142" s="7">
        <f t="shared" si="11"/>
        <v>83000</v>
      </c>
      <c r="P142" s="2" t="s">
        <v>35</v>
      </c>
      <c r="Q142" t="str">
        <f>_xlfn.XLOOKUP(B142,Status!$A$2:$A$1867,Status!$B$2:$B$1867)</f>
        <v>Completed</v>
      </c>
      <c r="R142" s="2" t="s">
        <v>46</v>
      </c>
      <c r="S142" s="8">
        <v>5</v>
      </c>
      <c r="T142" s="2" t="s">
        <v>37</v>
      </c>
      <c r="U142" s="31" t="str" cm="1">
        <f t="array" ref="U142">_xlfn.IFS(L142&lt;=5000,$Z$3,AND(L142&gt;5000,L142&lt;=15000),$Z$4,AND(L142&gt;15000,L142&lt;=30000),$Z$5,AND(L142&gt;30000,L142&lt;=50000),$Z$6,L142&gt;50000,$Z$7)</f>
        <v>Rendah</v>
      </c>
      <c r="V142" s="2"/>
    </row>
    <row r="143" spans="1:22" ht="15.75" customHeight="1" x14ac:dyDescent="0.25">
      <c r="A143" s="26"/>
      <c r="B143" s="2" t="s">
        <v>332</v>
      </c>
      <c r="C143" s="32">
        <v>45574.197430555563</v>
      </c>
      <c r="D143" s="53">
        <f>YEAR(Table1[[#This Row],[Order Date]])</f>
        <v>2024</v>
      </c>
      <c r="E143" s="2" t="s">
        <v>333</v>
      </c>
      <c r="F143" s="2" t="s">
        <v>107</v>
      </c>
      <c r="G143" s="2" t="s">
        <v>85</v>
      </c>
      <c r="H143" s="23">
        <v>35000</v>
      </c>
      <c r="I143" s="2">
        <v>2</v>
      </c>
      <c r="J143" s="31">
        <v>5</v>
      </c>
      <c r="K143" s="7">
        <f t="shared" si="8"/>
        <v>70000</v>
      </c>
      <c r="L143" s="7">
        <f t="shared" si="9"/>
        <v>3500</v>
      </c>
      <c r="M143" s="7">
        <f t="shared" si="10"/>
        <v>66500</v>
      </c>
      <c r="N143" s="23">
        <v>97000</v>
      </c>
      <c r="O143" s="7">
        <f t="shared" si="11"/>
        <v>163500</v>
      </c>
      <c r="P143" s="2" t="s">
        <v>35</v>
      </c>
      <c r="Q143" t="str">
        <f>_xlfn.XLOOKUP(B143,Status!$A$2:$A$1867,Status!$B$2:$B$1867)</f>
        <v>Completed</v>
      </c>
      <c r="R143" s="2" t="s">
        <v>30</v>
      </c>
      <c r="S143" s="8">
        <v>5</v>
      </c>
      <c r="T143" s="2" t="s">
        <v>37</v>
      </c>
      <c r="U143" s="31" t="str" cm="1">
        <f t="array" ref="U143">_xlfn.IFS(L143&lt;=5000,$Z$3,AND(L143&gt;5000,L143&lt;=15000),$Z$4,AND(L143&gt;15000,L143&lt;=30000),$Z$5,AND(L143&gt;30000,L143&lt;=50000),$Z$6,L143&gt;50000,$Z$7)</f>
        <v>Sangat Rendah</v>
      </c>
      <c r="V143" s="2"/>
    </row>
    <row r="144" spans="1:22" ht="15.75" customHeight="1" x14ac:dyDescent="0.25">
      <c r="A144" s="26"/>
      <c r="B144" s="2" t="s">
        <v>334</v>
      </c>
      <c r="C144" s="32">
        <v>45574.236168981479</v>
      </c>
      <c r="D144" s="53">
        <f>YEAR(Table1[[#This Row],[Order Date]])</f>
        <v>2024</v>
      </c>
      <c r="E144" s="2" t="s">
        <v>335</v>
      </c>
      <c r="F144" s="2" t="s">
        <v>80</v>
      </c>
      <c r="G144" s="2" t="s">
        <v>123</v>
      </c>
      <c r="H144" s="23">
        <v>22000</v>
      </c>
      <c r="I144" s="2">
        <v>5</v>
      </c>
      <c r="J144" s="31">
        <v>0</v>
      </c>
      <c r="K144" s="7">
        <f t="shared" si="8"/>
        <v>110000</v>
      </c>
      <c r="L144" s="7">
        <f t="shared" si="9"/>
        <v>0</v>
      </c>
      <c r="M144" s="7">
        <f t="shared" si="10"/>
        <v>110000</v>
      </c>
      <c r="N144" s="23">
        <v>74000</v>
      </c>
      <c r="O144" s="7">
        <f t="shared" si="11"/>
        <v>184000</v>
      </c>
      <c r="P144" s="2" t="s">
        <v>63</v>
      </c>
      <c r="Q144" t="str">
        <f>_xlfn.XLOOKUP(B144,Status!$A$2:$A$1867,Status!$B$2:$B$1867)</f>
        <v>Completed</v>
      </c>
      <c r="R144" s="2" t="s">
        <v>82</v>
      </c>
      <c r="S144" s="8">
        <v>5</v>
      </c>
      <c r="T144" s="2" t="s">
        <v>37</v>
      </c>
      <c r="U144" s="31" t="str" cm="1">
        <f t="array" ref="U144">_xlfn.IFS(L144&lt;=5000,$Z$3,AND(L144&gt;5000,L144&lt;=15000),$Z$4,AND(L144&gt;15000,L144&lt;=30000),$Z$5,AND(L144&gt;30000,L144&lt;=50000),$Z$6,L144&gt;50000,$Z$7)</f>
        <v>Sangat Rendah</v>
      </c>
      <c r="V144" s="2"/>
    </row>
    <row r="145" spans="1:22" ht="15.75" customHeight="1" x14ac:dyDescent="0.25">
      <c r="A145" s="26"/>
      <c r="B145" s="2" t="s">
        <v>336</v>
      </c>
      <c r="C145" s="32">
        <v>45574.308252314811</v>
      </c>
      <c r="D145" s="53">
        <f>YEAR(Table1[[#This Row],[Order Date]])</f>
        <v>2024</v>
      </c>
      <c r="E145" s="2" t="s">
        <v>337</v>
      </c>
      <c r="F145" s="2" t="s">
        <v>131</v>
      </c>
      <c r="G145" s="2" t="s">
        <v>62</v>
      </c>
      <c r="H145" s="23">
        <v>50000</v>
      </c>
      <c r="I145" s="2">
        <v>3</v>
      </c>
      <c r="J145" s="31">
        <v>5</v>
      </c>
      <c r="K145" s="7">
        <f t="shared" si="8"/>
        <v>150000</v>
      </c>
      <c r="L145" s="7">
        <f t="shared" si="9"/>
        <v>7500</v>
      </c>
      <c r="M145" s="7">
        <f t="shared" si="10"/>
        <v>142500</v>
      </c>
      <c r="N145" s="23">
        <v>59000</v>
      </c>
      <c r="O145" s="7">
        <f t="shared" si="11"/>
        <v>201500</v>
      </c>
      <c r="P145" s="2" t="s">
        <v>35</v>
      </c>
      <c r="Q145" t="str">
        <f>_xlfn.XLOOKUP(B145,Status!$A$2:$A$1867,Status!$B$2:$B$1867)</f>
        <v>Completed</v>
      </c>
      <c r="R145" s="2" t="s">
        <v>46</v>
      </c>
      <c r="S145" s="8">
        <v>1</v>
      </c>
      <c r="T145" s="2" t="s">
        <v>24</v>
      </c>
      <c r="U145" s="31" t="str" cm="1">
        <f t="array" ref="U145">_xlfn.IFS(L145&lt;=5000,$Z$3,AND(L145&gt;5000,L145&lt;=15000),$Z$4,AND(L145&gt;15000,L145&lt;=30000),$Z$5,AND(L145&gt;30000,L145&lt;=50000),$Z$6,L145&gt;50000,$Z$7)</f>
        <v>Rendah</v>
      </c>
      <c r="V145" s="2"/>
    </row>
    <row r="146" spans="1:22" ht="15.75" customHeight="1" x14ac:dyDescent="0.25">
      <c r="A146" s="26"/>
      <c r="B146" s="2" t="s">
        <v>338</v>
      </c>
      <c r="C146" s="32">
        <v>45574.792592592603</v>
      </c>
      <c r="D146" s="53">
        <f>YEAR(Table1[[#This Row],[Order Date]])</f>
        <v>2024</v>
      </c>
      <c r="E146" s="2" t="s">
        <v>246</v>
      </c>
      <c r="F146" s="2" t="s">
        <v>238</v>
      </c>
      <c r="G146" s="2" t="s">
        <v>28</v>
      </c>
      <c r="H146" s="23">
        <v>5000</v>
      </c>
      <c r="I146" s="2">
        <v>1</v>
      </c>
      <c r="J146" s="31">
        <v>5</v>
      </c>
      <c r="K146" s="7">
        <f t="shared" si="8"/>
        <v>5000</v>
      </c>
      <c r="L146" s="7">
        <f t="shared" si="9"/>
        <v>250</v>
      </c>
      <c r="M146" s="7">
        <f t="shared" si="10"/>
        <v>4750</v>
      </c>
      <c r="N146" s="23">
        <v>28000</v>
      </c>
      <c r="O146" s="7">
        <f t="shared" si="11"/>
        <v>32750</v>
      </c>
      <c r="P146" s="2" t="s">
        <v>29</v>
      </c>
      <c r="Q146" t="str">
        <f>_xlfn.XLOOKUP(B146,Status!$A$2:$A$1867,Status!$B$2:$B$1867)</f>
        <v>Completed</v>
      </c>
      <c r="R146" s="2" t="s">
        <v>23</v>
      </c>
      <c r="S146" s="8">
        <v>2</v>
      </c>
      <c r="T146" s="2" t="s">
        <v>24</v>
      </c>
      <c r="U146" s="31" t="str" cm="1">
        <f t="array" ref="U146">_xlfn.IFS(L146&lt;=5000,$Z$3,AND(L146&gt;5000,L146&lt;=15000),$Z$4,AND(L146&gt;15000,L146&lt;=30000),$Z$5,AND(L146&gt;30000,L146&lt;=50000),$Z$6,L146&gt;50000,$Z$7)</f>
        <v>Sangat Rendah</v>
      </c>
      <c r="V146" s="2"/>
    </row>
    <row r="147" spans="1:22" ht="15.75" customHeight="1" x14ac:dyDescent="0.25">
      <c r="A147" s="26"/>
      <c r="B147" s="2" t="s">
        <v>339</v>
      </c>
      <c r="C147" s="32">
        <v>45574.835451388892</v>
      </c>
      <c r="D147" s="53">
        <f>YEAR(Table1[[#This Row],[Order Date]])</f>
        <v>2024</v>
      </c>
      <c r="E147" s="2" t="s">
        <v>340</v>
      </c>
      <c r="F147" s="2" t="s">
        <v>126</v>
      </c>
      <c r="G147" s="2" t="s">
        <v>93</v>
      </c>
      <c r="H147" s="23">
        <v>25000</v>
      </c>
      <c r="I147" s="2">
        <v>5</v>
      </c>
      <c r="J147" s="31">
        <v>15</v>
      </c>
      <c r="K147" s="7">
        <f t="shared" si="8"/>
        <v>125000</v>
      </c>
      <c r="L147" s="7">
        <f t="shared" si="9"/>
        <v>18750</v>
      </c>
      <c r="M147" s="7">
        <f t="shared" si="10"/>
        <v>106250</v>
      </c>
      <c r="N147" s="23">
        <v>84000</v>
      </c>
      <c r="O147" s="7">
        <f t="shared" si="11"/>
        <v>190250</v>
      </c>
      <c r="P147" s="2" t="s">
        <v>63</v>
      </c>
      <c r="Q147" t="str">
        <f>_xlfn.XLOOKUP(B147,Status!$A$2:$A$1867,Status!$B$2:$B$1867)</f>
        <v>Completed</v>
      </c>
      <c r="R147" s="2" t="s">
        <v>30</v>
      </c>
      <c r="S147" s="8">
        <v>2</v>
      </c>
      <c r="T147" s="2" t="s">
        <v>37</v>
      </c>
      <c r="U147" s="31" t="str" cm="1">
        <f t="array" ref="U147">_xlfn.IFS(L147&lt;=5000,$Z$3,AND(L147&gt;5000,L147&lt;=15000),$Z$4,AND(L147&gt;15000,L147&lt;=30000),$Z$5,AND(L147&gt;30000,L147&lt;=50000),$Z$6,L147&gt;50000,$Z$7)</f>
        <v>Normal</v>
      </c>
      <c r="V147" s="2"/>
    </row>
    <row r="148" spans="1:22" ht="15.75" customHeight="1" x14ac:dyDescent="0.25">
      <c r="A148" s="26"/>
      <c r="B148" s="2" t="s">
        <v>341</v>
      </c>
      <c r="C148" s="32">
        <v>45574.890370370369</v>
      </c>
      <c r="D148" s="53">
        <f>YEAR(Table1[[#This Row],[Order Date]])</f>
        <v>2024</v>
      </c>
      <c r="E148" s="2" t="s">
        <v>342</v>
      </c>
      <c r="F148" s="2" t="s">
        <v>131</v>
      </c>
      <c r="G148" s="2" t="s">
        <v>250</v>
      </c>
      <c r="H148" s="23">
        <v>18000</v>
      </c>
      <c r="I148" s="2">
        <v>2</v>
      </c>
      <c r="J148" s="31">
        <v>20</v>
      </c>
      <c r="K148" s="7">
        <f t="shared" si="8"/>
        <v>36000</v>
      </c>
      <c r="L148" s="7">
        <f t="shared" si="9"/>
        <v>7200</v>
      </c>
      <c r="M148" s="7">
        <f t="shared" si="10"/>
        <v>28800</v>
      </c>
      <c r="N148" s="23">
        <v>59000</v>
      </c>
      <c r="O148" s="7">
        <f t="shared" si="11"/>
        <v>87800</v>
      </c>
      <c r="P148" s="2" t="s">
        <v>63</v>
      </c>
      <c r="Q148" t="str">
        <f>_xlfn.XLOOKUP(B148,Status!$A$2:$A$1867,Status!$B$2:$B$1867)</f>
        <v>Completed</v>
      </c>
      <c r="R148" s="2" t="s">
        <v>23</v>
      </c>
      <c r="S148" s="8">
        <v>1</v>
      </c>
      <c r="T148" s="2" t="s">
        <v>37</v>
      </c>
      <c r="U148" s="31" t="str" cm="1">
        <f t="array" ref="U148">_xlfn.IFS(L148&lt;=5000,$Z$3,AND(L148&gt;5000,L148&lt;=15000),$Z$4,AND(L148&gt;15000,L148&lt;=30000),$Z$5,AND(L148&gt;30000,L148&lt;=50000),$Z$6,L148&gt;50000,$Z$7)</f>
        <v>Rendah</v>
      </c>
      <c r="V148" s="2"/>
    </row>
    <row r="149" spans="1:22" ht="15.75" customHeight="1" x14ac:dyDescent="0.25">
      <c r="A149" s="26"/>
      <c r="B149" s="2" t="s">
        <v>343</v>
      </c>
      <c r="C149" s="32">
        <v>45575.103472222218</v>
      </c>
      <c r="D149" s="53">
        <f>YEAR(Table1[[#This Row],[Order Date]])</f>
        <v>2024</v>
      </c>
      <c r="E149" s="2" t="s">
        <v>344</v>
      </c>
      <c r="F149" s="2" t="s">
        <v>195</v>
      </c>
      <c r="G149" s="2" t="s">
        <v>62</v>
      </c>
      <c r="H149" s="23">
        <v>50000</v>
      </c>
      <c r="I149" s="2">
        <v>1</v>
      </c>
      <c r="J149" s="31">
        <v>15</v>
      </c>
      <c r="K149" s="7">
        <f t="shared" si="8"/>
        <v>50000</v>
      </c>
      <c r="L149" s="7">
        <f t="shared" si="9"/>
        <v>7500</v>
      </c>
      <c r="M149" s="7">
        <f t="shared" si="10"/>
        <v>42500</v>
      </c>
      <c r="N149" s="23">
        <v>87000</v>
      </c>
      <c r="O149" s="7">
        <f t="shared" si="11"/>
        <v>129500</v>
      </c>
      <c r="P149" s="2" t="s">
        <v>63</v>
      </c>
      <c r="Q149" t="str">
        <f>_xlfn.XLOOKUP(B149,Status!$A$2:$A$1867,Status!$B$2:$B$1867)</f>
        <v>Completed</v>
      </c>
      <c r="R149" s="2" t="s">
        <v>30</v>
      </c>
      <c r="S149" s="8">
        <v>5</v>
      </c>
      <c r="T149" s="2" t="s">
        <v>24</v>
      </c>
      <c r="U149" s="31" t="str" cm="1">
        <f t="array" ref="U149">_xlfn.IFS(L149&lt;=5000,$Z$3,AND(L149&gt;5000,L149&lt;=15000),$Z$4,AND(L149&gt;15000,L149&lt;=30000),$Z$5,AND(L149&gt;30000,L149&lt;=50000),$Z$6,L149&gt;50000,$Z$7)</f>
        <v>Rendah</v>
      </c>
      <c r="V149" s="2"/>
    </row>
    <row r="150" spans="1:22" ht="15.75" customHeight="1" x14ac:dyDescent="0.25">
      <c r="A150" s="26"/>
      <c r="B150" s="2" t="s">
        <v>345</v>
      </c>
      <c r="C150" s="32">
        <v>45575.44390046296</v>
      </c>
      <c r="D150" s="53">
        <f>YEAR(Table1[[#This Row],[Order Date]])</f>
        <v>2024</v>
      </c>
      <c r="E150" s="2" t="s">
        <v>346</v>
      </c>
      <c r="F150" s="2" t="s">
        <v>296</v>
      </c>
      <c r="G150" s="2" t="s">
        <v>85</v>
      </c>
      <c r="H150" s="23">
        <v>35000</v>
      </c>
      <c r="I150" s="2">
        <v>1</v>
      </c>
      <c r="J150" s="31">
        <v>10</v>
      </c>
      <c r="K150" s="7">
        <f t="shared" si="8"/>
        <v>35000</v>
      </c>
      <c r="L150" s="7">
        <f t="shared" si="9"/>
        <v>3500</v>
      </c>
      <c r="M150" s="7">
        <f t="shared" si="10"/>
        <v>31500</v>
      </c>
      <c r="N150" s="23">
        <v>79000</v>
      </c>
      <c r="O150" s="7">
        <f t="shared" si="11"/>
        <v>110500</v>
      </c>
      <c r="P150" s="2" t="s">
        <v>35</v>
      </c>
      <c r="Q150" t="str">
        <f>_xlfn.XLOOKUP(B150,Status!$A$2:$A$1867,Status!$B$2:$B$1867)</f>
        <v>Completed</v>
      </c>
      <c r="R150" s="2" t="s">
        <v>30</v>
      </c>
      <c r="S150" s="8">
        <v>1</v>
      </c>
      <c r="T150" s="2" t="s">
        <v>24</v>
      </c>
      <c r="U150" s="31" t="str" cm="1">
        <f t="array" ref="U150">_xlfn.IFS(L150&lt;=5000,$Z$3,AND(L150&gt;5000,L150&lt;=15000),$Z$4,AND(L150&gt;15000,L150&lt;=30000),$Z$5,AND(L150&gt;30000,L150&lt;=50000),$Z$6,L150&gt;50000,$Z$7)</f>
        <v>Sangat Rendah</v>
      </c>
      <c r="V150" s="2"/>
    </row>
    <row r="151" spans="1:22" ht="15.75" customHeight="1" x14ac:dyDescent="0.25">
      <c r="A151" s="26"/>
      <c r="B151" s="2" t="s">
        <v>347</v>
      </c>
      <c r="C151" s="32">
        <v>45575.883668981478</v>
      </c>
      <c r="D151" s="53">
        <f>YEAR(Table1[[#This Row],[Order Date]])</f>
        <v>2024</v>
      </c>
      <c r="E151" s="2" t="s">
        <v>201</v>
      </c>
      <c r="F151" s="2" t="s">
        <v>107</v>
      </c>
      <c r="G151" s="2" t="s">
        <v>190</v>
      </c>
      <c r="H151" s="23">
        <v>35000</v>
      </c>
      <c r="I151" s="2">
        <v>2</v>
      </c>
      <c r="J151" s="31">
        <v>10</v>
      </c>
      <c r="K151" s="7">
        <f t="shared" si="8"/>
        <v>70000</v>
      </c>
      <c r="L151" s="7">
        <f t="shared" si="9"/>
        <v>7000</v>
      </c>
      <c r="M151" s="7">
        <f t="shared" si="10"/>
        <v>63000</v>
      </c>
      <c r="N151" s="23">
        <v>97000</v>
      </c>
      <c r="O151" s="7">
        <f t="shared" si="11"/>
        <v>160000</v>
      </c>
      <c r="P151" s="2" t="s">
        <v>63</v>
      </c>
      <c r="Q151" t="str">
        <f>_xlfn.XLOOKUP(B151,Status!$A$2:$A$1867,Status!$B$2:$B$1867)</f>
        <v>Completed</v>
      </c>
      <c r="R151" s="2" t="s">
        <v>30</v>
      </c>
      <c r="S151" s="8">
        <v>1</v>
      </c>
      <c r="T151" s="2" t="s">
        <v>24</v>
      </c>
      <c r="U151" s="31" t="str" cm="1">
        <f t="array" ref="U151">_xlfn.IFS(L151&lt;=5000,$Z$3,AND(L151&gt;5000,L151&lt;=15000),$Z$4,AND(L151&gt;15000,L151&lt;=30000),$Z$5,AND(L151&gt;30000,L151&lt;=50000),$Z$6,L151&gt;50000,$Z$7)</f>
        <v>Rendah</v>
      </c>
      <c r="V151" s="2"/>
    </row>
    <row r="152" spans="1:22" ht="15.75" customHeight="1" x14ac:dyDescent="0.25">
      <c r="A152" s="26"/>
      <c r="B152" s="2" t="s">
        <v>348</v>
      </c>
      <c r="C152" s="32">
        <v>45576.006597222222</v>
      </c>
      <c r="D152" s="53">
        <f>YEAR(Table1[[#This Row],[Order Date]])</f>
        <v>2024</v>
      </c>
      <c r="E152" s="2" t="s">
        <v>155</v>
      </c>
      <c r="F152" s="2" t="s">
        <v>92</v>
      </c>
      <c r="G152" s="2" t="s">
        <v>67</v>
      </c>
      <c r="H152" s="23">
        <v>15000</v>
      </c>
      <c r="I152" s="2">
        <v>5</v>
      </c>
      <c r="J152" s="31">
        <v>20</v>
      </c>
      <c r="K152" s="7">
        <f t="shared" si="8"/>
        <v>75000</v>
      </c>
      <c r="L152" s="7">
        <f t="shared" si="9"/>
        <v>15000</v>
      </c>
      <c r="M152" s="7">
        <f t="shared" si="10"/>
        <v>60000</v>
      </c>
      <c r="N152" s="23">
        <v>30000</v>
      </c>
      <c r="O152" s="7">
        <f t="shared" si="11"/>
        <v>90000</v>
      </c>
      <c r="P152" s="2" t="s">
        <v>29</v>
      </c>
      <c r="Q152" t="str">
        <f>_xlfn.XLOOKUP(B152,Status!$A$2:$A$1867,Status!$B$2:$B$1867)</f>
        <v>Completed</v>
      </c>
      <c r="R152" s="2" t="s">
        <v>82</v>
      </c>
      <c r="S152" s="8">
        <v>4</v>
      </c>
      <c r="T152" s="2" t="s">
        <v>24</v>
      </c>
      <c r="U152" s="31" t="str" cm="1">
        <f t="array" ref="U152">_xlfn.IFS(L152&lt;=5000,$Z$3,AND(L152&gt;5000,L152&lt;=15000),$Z$4,AND(L152&gt;15000,L152&lt;=30000),$Z$5,AND(L152&gt;30000,L152&lt;=50000),$Z$6,L152&gt;50000,$Z$7)</f>
        <v>Rendah</v>
      </c>
      <c r="V152" s="2"/>
    </row>
    <row r="153" spans="1:22" ht="15.75" customHeight="1" x14ac:dyDescent="0.25">
      <c r="A153" s="26"/>
      <c r="B153" s="2" t="s">
        <v>349</v>
      </c>
      <c r="C153" s="32">
        <v>45576.337685185194</v>
      </c>
      <c r="D153" s="53">
        <f>YEAR(Table1[[#This Row],[Order Date]])</f>
        <v>2024</v>
      </c>
      <c r="E153" s="2" t="s">
        <v>350</v>
      </c>
      <c r="F153" s="2" t="s">
        <v>195</v>
      </c>
      <c r="G153" s="2" t="s">
        <v>50</v>
      </c>
      <c r="H153" s="23">
        <v>14000</v>
      </c>
      <c r="I153" s="2">
        <v>4</v>
      </c>
      <c r="J153" s="31">
        <v>5</v>
      </c>
      <c r="K153" s="7">
        <f t="shared" si="8"/>
        <v>56000</v>
      </c>
      <c r="L153" s="7">
        <f t="shared" si="9"/>
        <v>2800</v>
      </c>
      <c r="M153" s="7">
        <f t="shared" si="10"/>
        <v>53200</v>
      </c>
      <c r="N153" s="23">
        <v>87000</v>
      </c>
      <c r="O153" s="7">
        <f t="shared" si="11"/>
        <v>140200</v>
      </c>
      <c r="P153" s="2" t="s">
        <v>22</v>
      </c>
      <c r="Q153" t="str">
        <f>_xlfn.XLOOKUP(B153,Status!$A$2:$A$1867,Status!$B$2:$B$1867)</f>
        <v>Completed</v>
      </c>
      <c r="R153" s="2" t="s">
        <v>46</v>
      </c>
      <c r="S153" s="8">
        <v>4</v>
      </c>
      <c r="T153" s="2" t="s">
        <v>37</v>
      </c>
      <c r="U153" s="31" t="str" cm="1">
        <f t="array" ref="U153">_xlfn.IFS(L153&lt;=5000,$Z$3,AND(L153&gt;5000,L153&lt;=15000),$Z$4,AND(L153&gt;15000,L153&lt;=30000),$Z$5,AND(L153&gt;30000,L153&lt;=50000),$Z$6,L153&gt;50000,$Z$7)</f>
        <v>Sangat Rendah</v>
      </c>
      <c r="V153" s="2"/>
    </row>
    <row r="154" spans="1:22" ht="15.75" customHeight="1" x14ac:dyDescent="0.25">
      <c r="A154" s="26"/>
      <c r="B154" s="2" t="s">
        <v>349</v>
      </c>
      <c r="C154" s="32">
        <v>45576.337685185194</v>
      </c>
      <c r="D154" s="53">
        <f>YEAR(Table1[[#This Row],[Order Date]])</f>
        <v>2024</v>
      </c>
      <c r="E154" s="2" t="s">
        <v>350</v>
      </c>
      <c r="F154" s="2" t="s">
        <v>195</v>
      </c>
      <c r="G154" s="2" t="s">
        <v>250</v>
      </c>
      <c r="H154" s="23">
        <v>18000</v>
      </c>
      <c r="I154" s="2">
        <v>3</v>
      </c>
      <c r="J154" s="31">
        <v>0</v>
      </c>
      <c r="K154" s="7">
        <f t="shared" si="8"/>
        <v>54000</v>
      </c>
      <c r="L154" s="7">
        <f t="shared" si="9"/>
        <v>0</v>
      </c>
      <c r="M154" s="7">
        <f t="shared" si="10"/>
        <v>54000</v>
      </c>
      <c r="N154" s="23">
        <v>0</v>
      </c>
      <c r="O154" s="7">
        <f t="shared" si="11"/>
        <v>54000</v>
      </c>
      <c r="P154" s="2" t="s">
        <v>22</v>
      </c>
      <c r="Q154" t="str">
        <f>_xlfn.XLOOKUP(B154,Status!$A$2:$A$1867,Status!$B$2:$B$1867)</f>
        <v>Completed</v>
      </c>
      <c r="R154" s="2" t="s">
        <v>46</v>
      </c>
      <c r="S154" s="8">
        <v>4</v>
      </c>
      <c r="T154" s="2" t="s">
        <v>37</v>
      </c>
      <c r="U154" s="31" t="str" cm="1">
        <f t="array" ref="U154">_xlfn.IFS(L154&lt;=5000,$Z$3,AND(L154&gt;5000,L154&lt;=15000),$Z$4,AND(L154&gt;15000,L154&lt;=30000),$Z$5,AND(L154&gt;30000,L154&lt;=50000),$Z$6,L154&gt;50000,$Z$7)</f>
        <v>Sangat Rendah</v>
      </c>
      <c r="V154" s="2"/>
    </row>
    <row r="155" spans="1:22" ht="15.75" customHeight="1" x14ac:dyDescent="0.25">
      <c r="A155" s="26"/>
      <c r="B155" s="2" t="s">
        <v>351</v>
      </c>
      <c r="C155" s="32">
        <v>45576.468136574083</v>
      </c>
      <c r="D155" s="53">
        <f>YEAR(Table1[[#This Row],[Order Date]])</f>
        <v>2024</v>
      </c>
      <c r="E155" s="2" t="s">
        <v>148</v>
      </c>
      <c r="F155" s="2" t="s">
        <v>74</v>
      </c>
      <c r="G155" s="2" t="s">
        <v>250</v>
      </c>
      <c r="H155" s="23">
        <v>18000</v>
      </c>
      <c r="I155" s="2">
        <v>1</v>
      </c>
      <c r="J155" s="31">
        <v>20</v>
      </c>
      <c r="K155" s="7">
        <f t="shared" si="8"/>
        <v>18000</v>
      </c>
      <c r="L155" s="7">
        <f t="shared" si="9"/>
        <v>3600</v>
      </c>
      <c r="M155" s="7">
        <f t="shared" si="10"/>
        <v>14400</v>
      </c>
      <c r="N155" s="23">
        <v>87000</v>
      </c>
      <c r="O155" s="7">
        <f t="shared" si="11"/>
        <v>101400</v>
      </c>
      <c r="P155" s="2" t="s">
        <v>29</v>
      </c>
      <c r="Q155" t="str">
        <f>_xlfn.XLOOKUP(B155,Status!$A$2:$A$1867,Status!$B$2:$B$1867)</f>
        <v>Returned</v>
      </c>
      <c r="R155" s="2" t="s">
        <v>46</v>
      </c>
      <c r="S155" s="8">
        <v>3</v>
      </c>
      <c r="T155" s="2" t="s">
        <v>24</v>
      </c>
      <c r="U155" s="31" t="str" cm="1">
        <f t="array" ref="U155">_xlfn.IFS(L155&lt;=5000,$Z$3,AND(L155&gt;5000,L155&lt;=15000),$Z$4,AND(L155&gt;15000,L155&lt;=30000),$Z$5,AND(L155&gt;30000,L155&lt;=50000),$Z$6,L155&gt;50000,$Z$7)</f>
        <v>Sangat Rendah</v>
      </c>
      <c r="V155" s="2"/>
    </row>
    <row r="156" spans="1:22" ht="15.75" customHeight="1" x14ac:dyDescent="0.25">
      <c r="A156" s="26"/>
      <c r="B156" s="2" t="s">
        <v>352</v>
      </c>
      <c r="C156" s="32">
        <v>45576.592407407406</v>
      </c>
      <c r="D156" s="53">
        <f>YEAR(Table1[[#This Row],[Order Date]])</f>
        <v>2024</v>
      </c>
      <c r="E156" s="2" t="s">
        <v>353</v>
      </c>
      <c r="F156" s="2" t="s">
        <v>66</v>
      </c>
      <c r="G156" s="2" t="s">
        <v>21</v>
      </c>
      <c r="H156" s="23">
        <v>45000</v>
      </c>
      <c r="I156" s="2">
        <v>1</v>
      </c>
      <c r="J156" s="31">
        <v>10</v>
      </c>
      <c r="K156" s="7">
        <f t="shared" si="8"/>
        <v>45000</v>
      </c>
      <c r="L156" s="7">
        <f t="shared" si="9"/>
        <v>4500</v>
      </c>
      <c r="M156" s="7">
        <f t="shared" si="10"/>
        <v>40500</v>
      </c>
      <c r="N156" s="23">
        <v>59000</v>
      </c>
      <c r="O156" s="7">
        <f t="shared" si="11"/>
        <v>99500</v>
      </c>
      <c r="P156" s="2" t="s">
        <v>63</v>
      </c>
      <c r="Q156" t="str">
        <f>_xlfn.XLOOKUP(B156,Status!$A$2:$A$1867,Status!$B$2:$B$1867)</f>
        <v>Completed</v>
      </c>
      <c r="R156" s="2" t="s">
        <v>36</v>
      </c>
      <c r="S156" s="8">
        <v>4</v>
      </c>
      <c r="T156" s="2" t="s">
        <v>24</v>
      </c>
      <c r="U156" s="31" t="str" cm="1">
        <f t="array" ref="U156">_xlfn.IFS(L156&lt;=5000,$Z$3,AND(L156&gt;5000,L156&lt;=15000),$Z$4,AND(L156&gt;15000,L156&lt;=30000),$Z$5,AND(L156&gt;30000,L156&lt;=50000),$Z$6,L156&gt;50000,$Z$7)</f>
        <v>Sangat Rendah</v>
      </c>
      <c r="V156" s="2"/>
    </row>
    <row r="157" spans="1:22" ht="15.75" customHeight="1" x14ac:dyDescent="0.25">
      <c r="A157" s="26"/>
      <c r="B157" s="2" t="s">
        <v>352</v>
      </c>
      <c r="C157" s="32">
        <v>45576.592407407406</v>
      </c>
      <c r="D157" s="53">
        <f>YEAR(Table1[[#This Row],[Order Date]])</f>
        <v>2024</v>
      </c>
      <c r="E157" s="2" t="s">
        <v>353</v>
      </c>
      <c r="F157" s="2" t="s">
        <v>66</v>
      </c>
      <c r="G157" s="2" t="s">
        <v>21</v>
      </c>
      <c r="H157" s="23">
        <v>45000</v>
      </c>
      <c r="I157" s="2">
        <v>1</v>
      </c>
      <c r="J157" s="31">
        <v>0</v>
      </c>
      <c r="K157" s="7">
        <f t="shared" si="8"/>
        <v>45000</v>
      </c>
      <c r="L157" s="7">
        <f t="shared" si="9"/>
        <v>0</v>
      </c>
      <c r="M157" s="7">
        <f t="shared" si="10"/>
        <v>45000</v>
      </c>
      <c r="N157" s="23">
        <v>0</v>
      </c>
      <c r="O157" s="7">
        <f t="shared" si="11"/>
        <v>45000</v>
      </c>
      <c r="P157" s="2" t="s">
        <v>63</v>
      </c>
      <c r="Q157" t="str">
        <f>_xlfn.XLOOKUP(B157,Status!$A$2:$A$1867,Status!$B$2:$B$1867)</f>
        <v>Completed</v>
      </c>
      <c r="R157" s="2" t="s">
        <v>36</v>
      </c>
      <c r="S157" s="8">
        <v>4</v>
      </c>
      <c r="T157" s="2" t="s">
        <v>24</v>
      </c>
      <c r="U157" s="31" t="str" cm="1">
        <f t="array" ref="U157">_xlfn.IFS(L157&lt;=5000,$Z$3,AND(L157&gt;5000,L157&lt;=15000),$Z$4,AND(L157&gt;15000,L157&lt;=30000),$Z$5,AND(L157&gt;30000,L157&lt;=50000),$Z$6,L157&gt;50000,$Z$7)</f>
        <v>Sangat Rendah</v>
      </c>
      <c r="V157" s="2"/>
    </row>
    <row r="158" spans="1:22" ht="15.75" customHeight="1" x14ac:dyDescent="0.25">
      <c r="A158" s="26"/>
      <c r="B158" s="2" t="s">
        <v>354</v>
      </c>
      <c r="C158" s="32">
        <v>45576.899918981479</v>
      </c>
      <c r="D158" s="53">
        <f>YEAR(Table1[[#This Row],[Order Date]])</f>
        <v>2024</v>
      </c>
      <c r="E158" s="2" t="s">
        <v>355</v>
      </c>
      <c r="F158" s="2" t="s">
        <v>116</v>
      </c>
      <c r="G158" s="2" t="s">
        <v>45</v>
      </c>
      <c r="H158" s="23">
        <v>40000</v>
      </c>
      <c r="I158" s="2">
        <v>3</v>
      </c>
      <c r="J158" s="31">
        <v>5</v>
      </c>
      <c r="K158" s="7">
        <f t="shared" si="8"/>
        <v>120000</v>
      </c>
      <c r="L158" s="7">
        <f t="shared" si="9"/>
        <v>6000</v>
      </c>
      <c r="M158" s="7">
        <f t="shared" si="10"/>
        <v>114000</v>
      </c>
      <c r="N158" s="23">
        <v>72000</v>
      </c>
      <c r="O158" s="7">
        <f t="shared" si="11"/>
        <v>186000</v>
      </c>
      <c r="P158" s="2" t="s">
        <v>63</v>
      </c>
      <c r="Q158" t="str">
        <f>_xlfn.XLOOKUP(B158,Status!$A$2:$A$1867,Status!$B$2:$B$1867)</f>
        <v>Returned</v>
      </c>
      <c r="R158" s="2" t="s">
        <v>82</v>
      </c>
      <c r="S158" s="8">
        <v>2</v>
      </c>
      <c r="T158" s="2" t="s">
        <v>24</v>
      </c>
      <c r="U158" s="31" t="str" cm="1">
        <f t="array" ref="U158">_xlfn.IFS(L158&lt;=5000,$Z$3,AND(L158&gt;5000,L158&lt;=15000),$Z$4,AND(L158&gt;15000,L158&lt;=30000),$Z$5,AND(L158&gt;30000,L158&lt;=50000),$Z$6,L158&gt;50000,$Z$7)</f>
        <v>Rendah</v>
      </c>
      <c r="V158" s="2"/>
    </row>
    <row r="159" spans="1:22" ht="15.75" customHeight="1" x14ac:dyDescent="0.25">
      <c r="A159" s="26"/>
      <c r="B159" s="2" t="s">
        <v>356</v>
      </c>
      <c r="C159" s="32">
        <v>45577.019085648149</v>
      </c>
      <c r="D159" s="53">
        <f>YEAR(Table1[[#This Row],[Order Date]])</f>
        <v>2024</v>
      </c>
      <c r="E159" s="2" t="s">
        <v>229</v>
      </c>
      <c r="F159" s="2" t="s">
        <v>195</v>
      </c>
      <c r="G159" s="2" t="s">
        <v>62</v>
      </c>
      <c r="H159" s="23">
        <v>50000</v>
      </c>
      <c r="I159" s="2">
        <v>5</v>
      </c>
      <c r="J159" s="31">
        <v>15</v>
      </c>
      <c r="K159" s="7">
        <f t="shared" si="8"/>
        <v>250000</v>
      </c>
      <c r="L159" s="7">
        <f t="shared" si="9"/>
        <v>37500</v>
      </c>
      <c r="M159" s="7">
        <f t="shared" si="10"/>
        <v>212500</v>
      </c>
      <c r="N159" s="23">
        <v>87000</v>
      </c>
      <c r="O159" s="7">
        <f t="shared" si="11"/>
        <v>299500</v>
      </c>
      <c r="P159" s="2" t="s">
        <v>29</v>
      </c>
      <c r="Q159" t="str">
        <f>_xlfn.XLOOKUP(B159,Status!$A$2:$A$1867,Status!$B$2:$B$1867)</f>
        <v>Completed</v>
      </c>
      <c r="R159" s="2" t="s">
        <v>23</v>
      </c>
      <c r="S159" s="8">
        <v>1</v>
      </c>
      <c r="T159" s="2" t="s">
        <v>24</v>
      </c>
      <c r="U159" s="31" t="str" cm="1">
        <f t="array" ref="U159">_xlfn.IFS(L159&lt;=5000,$Z$3,AND(L159&gt;5000,L159&lt;=15000),$Z$4,AND(L159&gt;15000,L159&lt;=30000),$Z$5,AND(L159&gt;30000,L159&lt;=50000),$Z$6,L159&gt;50000,$Z$7)</f>
        <v>Tinggi</v>
      </c>
      <c r="V159" s="2"/>
    </row>
    <row r="160" spans="1:22" ht="15.75" customHeight="1" x14ac:dyDescent="0.25">
      <c r="A160" s="26"/>
      <c r="B160" s="2" t="s">
        <v>357</v>
      </c>
      <c r="C160" s="32">
        <v>45577.086134259262</v>
      </c>
      <c r="D160" s="53">
        <f>YEAR(Table1[[#This Row],[Order Date]])</f>
        <v>2024</v>
      </c>
      <c r="E160" s="2" t="s">
        <v>140</v>
      </c>
      <c r="F160" s="2" t="s">
        <v>92</v>
      </c>
      <c r="G160" s="2" t="s">
        <v>67</v>
      </c>
      <c r="H160" s="23">
        <v>15000</v>
      </c>
      <c r="I160" s="2">
        <v>3</v>
      </c>
      <c r="J160" s="31">
        <v>20</v>
      </c>
      <c r="K160" s="7">
        <f t="shared" si="8"/>
        <v>45000</v>
      </c>
      <c r="L160" s="7">
        <f t="shared" si="9"/>
        <v>9000</v>
      </c>
      <c r="M160" s="7">
        <f t="shared" si="10"/>
        <v>36000</v>
      </c>
      <c r="N160" s="23">
        <v>30000</v>
      </c>
      <c r="O160" s="7">
        <f t="shared" si="11"/>
        <v>66000</v>
      </c>
      <c r="P160" s="2" t="s">
        <v>35</v>
      </c>
      <c r="Q160" t="str">
        <f>_xlfn.XLOOKUP(B160,Status!$A$2:$A$1867,Status!$B$2:$B$1867)</f>
        <v>Completed</v>
      </c>
      <c r="R160" s="2" t="s">
        <v>82</v>
      </c>
      <c r="S160" s="8">
        <v>5</v>
      </c>
      <c r="T160" s="2" t="s">
        <v>24</v>
      </c>
      <c r="U160" s="31" t="str" cm="1">
        <f t="array" ref="U160">_xlfn.IFS(L160&lt;=5000,$Z$3,AND(L160&gt;5000,L160&lt;=15000),$Z$4,AND(L160&gt;15000,L160&lt;=30000),$Z$5,AND(L160&gt;30000,L160&lt;=50000),$Z$6,L160&gt;50000,$Z$7)</f>
        <v>Rendah</v>
      </c>
      <c r="V160" s="2"/>
    </row>
    <row r="161" spans="1:22" ht="15.75" customHeight="1" x14ac:dyDescent="0.25">
      <c r="A161" s="26"/>
      <c r="B161" s="2" t="s">
        <v>358</v>
      </c>
      <c r="C161" s="32">
        <v>45577.210648148153</v>
      </c>
      <c r="D161" s="53">
        <f>YEAR(Table1[[#This Row],[Order Date]])</f>
        <v>2024</v>
      </c>
      <c r="E161" s="2" t="s">
        <v>359</v>
      </c>
      <c r="F161" s="2" t="s">
        <v>70</v>
      </c>
      <c r="G161" s="2" t="s">
        <v>58</v>
      </c>
      <c r="H161" s="23">
        <v>16000</v>
      </c>
      <c r="I161" s="2">
        <v>4</v>
      </c>
      <c r="J161" s="31">
        <v>15</v>
      </c>
      <c r="K161" s="7">
        <f t="shared" si="8"/>
        <v>64000</v>
      </c>
      <c r="L161" s="7">
        <f t="shared" si="9"/>
        <v>9600</v>
      </c>
      <c r="M161" s="7">
        <f t="shared" si="10"/>
        <v>54400</v>
      </c>
      <c r="N161" s="23">
        <v>89000</v>
      </c>
      <c r="O161" s="7">
        <f t="shared" si="11"/>
        <v>143400</v>
      </c>
      <c r="P161" s="2" t="s">
        <v>35</v>
      </c>
      <c r="Q161" t="str">
        <f>_xlfn.XLOOKUP(B161,Status!$A$2:$A$1867,Status!$B$2:$B$1867)</f>
        <v>Completed</v>
      </c>
      <c r="R161" s="2" t="s">
        <v>46</v>
      </c>
      <c r="S161" s="8">
        <v>2</v>
      </c>
      <c r="T161" s="2" t="s">
        <v>24</v>
      </c>
      <c r="U161" s="31" t="str" cm="1">
        <f t="array" ref="U161">_xlfn.IFS(L161&lt;=5000,$Z$3,AND(L161&gt;5000,L161&lt;=15000),$Z$4,AND(L161&gt;15000,L161&lt;=30000),$Z$5,AND(L161&gt;30000,L161&lt;=50000),$Z$6,L161&gt;50000,$Z$7)</f>
        <v>Rendah</v>
      </c>
      <c r="V161" s="2"/>
    </row>
    <row r="162" spans="1:22" ht="15.75" customHeight="1" x14ac:dyDescent="0.25">
      <c r="A162" s="26"/>
      <c r="B162" s="2" t="s">
        <v>360</v>
      </c>
      <c r="C162" s="32">
        <v>45578.0231712963</v>
      </c>
      <c r="D162" s="53">
        <f>YEAR(Table1[[#This Row],[Order Date]])</f>
        <v>2024</v>
      </c>
      <c r="E162" s="2" t="s">
        <v>361</v>
      </c>
      <c r="F162" s="2" t="s">
        <v>70</v>
      </c>
      <c r="G162" s="2" t="s">
        <v>123</v>
      </c>
      <c r="H162" s="23">
        <v>22000</v>
      </c>
      <c r="I162" s="2">
        <v>4</v>
      </c>
      <c r="J162" s="31">
        <v>5</v>
      </c>
      <c r="K162" s="7">
        <f t="shared" si="8"/>
        <v>88000</v>
      </c>
      <c r="L162" s="7">
        <f t="shared" si="9"/>
        <v>4400</v>
      </c>
      <c r="M162" s="7">
        <f t="shared" si="10"/>
        <v>83600</v>
      </c>
      <c r="N162" s="23">
        <v>89000</v>
      </c>
      <c r="O162" s="7">
        <f t="shared" si="11"/>
        <v>172600</v>
      </c>
      <c r="P162" s="2" t="s">
        <v>29</v>
      </c>
      <c r="Q162" t="str">
        <f>_xlfn.XLOOKUP(B162,Status!$A$2:$A$1867,Status!$B$2:$B$1867)</f>
        <v>Completed</v>
      </c>
      <c r="R162" s="2" t="s">
        <v>46</v>
      </c>
      <c r="S162" s="8">
        <v>5</v>
      </c>
      <c r="T162" s="2" t="s">
        <v>37</v>
      </c>
      <c r="U162" s="31" t="str" cm="1">
        <f t="array" ref="U162">_xlfn.IFS(L162&lt;=5000,$Z$3,AND(L162&gt;5000,L162&lt;=15000),$Z$4,AND(L162&gt;15000,L162&lt;=30000),$Z$5,AND(L162&gt;30000,L162&lt;=50000),$Z$6,L162&gt;50000,$Z$7)</f>
        <v>Sangat Rendah</v>
      </c>
      <c r="V162" s="2"/>
    </row>
    <row r="163" spans="1:22" ht="15.75" customHeight="1" x14ac:dyDescent="0.25">
      <c r="A163" s="26"/>
      <c r="B163" s="2" t="s">
        <v>362</v>
      </c>
      <c r="C163" s="32">
        <v>45578.09033564815</v>
      </c>
      <c r="D163" s="53">
        <f>YEAR(Table1[[#This Row],[Order Date]])</f>
        <v>2024</v>
      </c>
      <c r="E163" s="2" t="s">
        <v>363</v>
      </c>
      <c r="F163" s="2" t="s">
        <v>189</v>
      </c>
      <c r="G163" s="2" t="s">
        <v>75</v>
      </c>
      <c r="H163" s="23">
        <v>55000</v>
      </c>
      <c r="I163" s="2">
        <v>1</v>
      </c>
      <c r="J163" s="31">
        <v>5</v>
      </c>
      <c r="K163" s="7">
        <f t="shared" si="8"/>
        <v>55000</v>
      </c>
      <c r="L163" s="7">
        <f t="shared" si="9"/>
        <v>2750</v>
      </c>
      <c r="M163" s="7">
        <f t="shared" si="10"/>
        <v>52250</v>
      </c>
      <c r="N163" s="23">
        <v>57000</v>
      </c>
      <c r="O163" s="7">
        <f t="shared" si="11"/>
        <v>109250</v>
      </c>
      <c r="P163" s="2" t="s">
        <v>35</v>
      </c>
      <c r="Q163" t="str">
        <f>_xlfn.XLOOKUP(B163,Status!$A$2:$A$1867,Status!$B$2:$B$1867)</f>
        <v>Completed</v>
      </c>
      <c r="R163" s="2" t="s">
        <v>30</v>
      </c>
      <c r="S163" s="8">
        <v>2</v>
      </c>
      <c r="T163" s="2" t="s">
        <v>24</v>
      </c>
      <c r="U163" s="31" t="str" cm="1">
        <f t="array" ref="U163">_xlfn.IFS(L163&lt;=5000,$Z$3,AND(L163&gt;5000,L163&lt;=15000),$Z$4,AND(L163&gt;15000,L163&lt;=30000),$Z$5,AND(L163&gt;30000,L163&lt;=50000),$Z$6,L163&gt;50000,$Z$7)</f>
        <v>Sangat Rendah</v>
      </c>
      <c r="V163" s="2"/>
    </row>
    <row r="164" spans="1:22" ht="15.75" customHeight="1" x14ac:dyDescent="0.25">
      <c r="A164" s="26"/>
      <c r="B164" s="2" t="s">
        <v>364</v>
      </c>
      <c r="C164" s="32">
        <v>45578.308217592603</v>
      </c>
      <c r="D164" s="53">
        <f>YEAR(Table1[[#This Row],[Order Date]])</f>
        <v>2024</v>
      </c>
      <c r="E164" s="2" t="s">
        <v>365</v>
      </c>
      <c r="F164" s="2" t="s">
        <v>61</v>
      </c>
      <c r="G164" s="2" t="s">
        <v>138</v>
      </c>
      <c r="H164" s="23">
        <v>17000</v>
      </c>
      <c r="I164" s="2">
        <v>3</v>
      </c>
      <c r="J164" s="31">
        <v>20</v>
      </c>
      <c r="K164" s="7">
        <f t="shared" si="8"/>
        <v>51000</v>
      </c>
      <c r="L164" s="7">
        <f t="shared" si="9"/>
        <v>10200</v>
      </c>
      <c r="M164" s="7">
        <f t="shared" si="10"/>
        <v>40800</v>
      </c>
      <c r="N164" s="23">
        <v>26000</v>
      </c>
      <c r="O164" s="7">
        <f t="shared" si="11"/>
        <v>66800</v>
      </c>
      <c r="P164" s="2" t="s">
        <v>63</v>
      </c>
      <c r="Q164" t="str">
        <f>_xlfn.XLOOKUP(B164,Status!$A$2:$A$1867,Status!$B$2:$B$1867)</f>
        <v>Completed</v>
      </c>
      <c r="R164" s="2" t="s">
        <v>23</v>
      </c>
      <c r="S164" s="8">
        <v>3</v>
      </c>
      <c r="T164" s="2" t="s">
        <v>24</v>
      </c>
      <c r="U164" s="31" t="str" cm="1">
        <f t="array" ref="U164">_xlfn.IFS(L164&lt;=5000,$Z$3,AND(L164&gt;5000,L164&lt;=15000),$Z$4,AND(L164&gt;15000,L164&lt;=30000),$Z$5,AND(L164&gt;30000,L164&lt;=50000),$Z$6,L164&gt;50000,$Z$7)</f>
        <v>Rendah</v>
      </c>
      <c r="V164" s="2"/>
    </row>
    <row r="165" spans="1:22" ht="15.75" customHeight="1" x14ac:dyDescent="0.25">
      <c r="A165" s="26"/>
      <c r="B165" s="2" t="s">
        <v>366</v>
      </c>
      <c r="C165" s="32">
        <v>45578.389340277783</v>
      </c>
      <c r="D165" s="53">
        <f>YEAR(Table1[[#This Row],[Order Date]])</f>
        <v>2024</v>
      </c>
      <c r="E165" s="2" t="s">
        <v>140</v>
      </c>
      <c r="F165" s="2" t="s">
        <v>92</v>
      </c>
      <c r="G165" s="2" t="s">
        <v>110</v>
      </c>
      <c r="H165" s="23">
        <v>6000</v>
      </c>
      <c r="I165" s="2">
        <v>3</v>
      </c>
      <c r="J165" s="31">
        <v>15</v>
      </c>
      <c r="K165" s="7">
        <f t="shared" si="8"/>
        <v>18000</v>
      </c>
      <c r="L165" s="7">
        <f t="shared" si="9"/>
        <v>2700</v>
      </c>
      <c r="M165" s="7">
        <f t="shared" si="10"/>
        <v>15300</v>
      </c>
      <c r="N165" s="23">
        <v>30000</v>
      </c>
      <c r="O165" s="7">
        <f t="shared" si="11"/>
        <v>45300</v>
      </c>
      <c r="P165" s="2" t="s">
        <v>63</v>
      </c>
      <c r="Q165" t="str">
        <f>_xlfn.XLOOKUP(B165,Status!$A$2:$A$1867,Status!$B$2:$B$1867)</f>
        <v>Completed</v>
      </c>
      <c r="R165" s="2" t="s">
        <v>36</v>
      </c>
      <c r="S165" s="8">
        <v>5</v>
      </c>
      <c r="T165" s="2" t="s">
        <v>24</v>
      </c>
      <c r="U165" s="31" t="str" cm="1">
        <f t="array" ref="U165">_xlfn.IFS(L165&lt;=5000,$Z$3,AND(L165&gt;5000,L165&lt;=15000),$Z$4,AND(L165&gt;15000,L165&lt;=30000),$Z$5,AND(L165&gt;30000,L165&lt;=50000),$Z$6,L165&gt;50000,$Z$7)</f>
        <v>Sangat Rendah</v>
      </c>
      <c r="V165" s="2"/>
    </row>
    <row r="166" spans="1:22" ht="15.75" customHeight="1" x14ac:dyDescent="0.25">
      <c r="A166" s="26"/>
      <c r="B166" s="2" t="s">
        <v>367</v>
      </c>
      <c r="C166" s="32">
        <v>45579.019826388889</v>
      </c>
      <c r="D166" s="53">
        <f>YEAR(Table1[[#This Row],[Order Date]])</f>
        <v>2024</v>
      </c>
      <c r="E166" s="2" t="s">
        <v>368</v>
      </c>
      <c r="F166" s="2" t="s">
        <v>113</v>
      </c>
      <c r="G166" s="2" t="s">
        <v>88</v>
      </c>
      <c r="H166" s="23">
        <v>14000</v>
      </c>
      <c r="I166" s="2">
        <v>1</v>
      </c>
      <c r="J166" s="31">
        <v>0</v>
      </c>
      <c r="K166" s="7">
        <f t="shared" si="8"/>
        <v>14000</v>
      </c>
      <c r="L166" s="7">
        <f t="shared" si="9"/>
        <v>0</v>
      </c>
      <c r="M166" s="7">
        <f t="shared" si="10"/>
        <v>14000</v>
      </c>
      <c r="N166" s="23">
        <v>18000</v>
      </c>
      <c r="O166" s="7">
        <f t="shared" si="11"/>
        <v>32000</v>
      </c>
      <c r="P166" s="2" t="s">
        <v>35</v>
      </c>
      <c r="Q166" t="str">
        <f>_xlfn.XLOOKUP(B166,Status!$A$2:$A$1867,Status!$B$2:$B$1867)</f>
        <v>Completed</v>
      </c>
      <c r="R166" s="2" t="s">
        <v>36</v>
      </c>
      <c r="S166" s="8">
        <v>5</v>
      </c>
      <c r="T166" s="2" t="s">
        <v>37</v>
      </c>
      <c r="U166" s="31" t="str" cm="1">
        <f t="array" ref="U166">_xlfn.IFS(L166&lt;=5000,$Z$3,AND(L166&gt;5000,L166&lt;=15000),$Z$4,AND(L166&gt;15000,L166&lt;=30000),$Z$5,AND(L166&gt;30000,L166&lt;=50000),$Z$6,L166&gt;50000,$Z$7)</f>
        <v>Sangat Rendah</v>
      </c>
      <c r="V166" s="2"/>
    </row>
    <row r="167" spans="1:22" ht="15.75" customHeight="1" x14ac:dyDescent="0.25">
      <c r="A167" s="26"/>
      <c r="B167" s="2" t="s">
        <v>369</v>
      </c>
      <c r="C167" s="32">
        <v>45579.089201388888</v>
      </c>
      <c r="D167" s="53">
        <f>YEAR(Table1[[#This Row],[Order Date]])</f>
        <v>2024</v>
      </c>
      <c r="E167" s="2" t="s">
        <v>326</v>
      </c>
      <c r="F167" s="2" t="s">
        <v>262</v>
      </c>
      <c r="G167" s="2" t="s">
        <v>186</v>
      </c>
      <c r="H167" s="23">
        <v>45000</v>
      </c>
      <c r="I167" s="2">
        <v>4</v>
      </c>
      <c r="J167" s="31">
        <v>15</v>
      </c>
      <c r="K167" s="7">
        <f t="shared" si="8"/>
        <v>180000</v>
      </c>
      <c r="L167" s="7">
        <f t="shared" si="9"/>
        <v>27000</v>
      </c>
      <c r="M167" s="7">
        <f t="shared" si="10"/>
        <v>153000</v>
      </c>
      <c r="N167" s="23">
        <v>18000</v>
      </c>
      <c r="O167" s="7">
        <f t="shared" si="11"/>
        <v>171000</v>
      </c>
      <c r="P167" s="2" t="s">
        <v>29</v>
      </c>
      <c r="Q167" t="str">
        <f>_xlfn.XLOOKUP(B167,Status!$A$2:$A$1867,Status!$B$2:$B$1867)</f>
        <v>Completed</v>
      </c>
      <c r="R167" s="2" t="s">
        <v>36</v>
      </c>
      <c r="S167" s="8">
        <v>5</v>
      </c>
      <c r="T167" s="2" t="s">
        <v>37</v>
      </c>
      <c r="U167" s="31" t="str" cm="1">
        <f t="array" ref="U167">_xlfn.IFS(L167&lt;=5000,$Z$3,AND(L167&gt;5000,L167&lt;=15000),$Z$4,AND(L167&gt;15000,L167&lt;=30000),$Z$5,AND(L167&gt;30000,L167&lt;=50000),$Z$6,L167&gt;50000,$Z$7)</f>
        <v>Normal</v>
      </c>
      <c r="V167" s="2"/>
    </row>
    <row r="168" spans="1:22" ht="15.75" customHeight="1" x14ac:dyDescent="0.25">
      <c r="A168" s="26"/>
      <c r="B168" s="2" t="s">
        <v>370</v>
      </c>
      <c r="C168" s="32">
        <v>45579.285381944443</v>
      </c>
      <c r="D168" s="53">
        <f>YEAR(Table1[[#This Row],[Order Date]])</f>
        <v>2024</v>
      </c>
      <c r="E168" s="2" t="s">
        <v>371</v>
      </c>
      <c r="F168" s="2" t="s">
        <v>27</v>
      </c>
      <c r="G168" s="2" t="s">
        <v>174</v>
      </c>
      <c r="H168" s="23">
        <v>10000</v>
      </c>
      <c r="I168" s="2">
        <v>3</v>
      </c>
      <c r="J168" s="31">
        <v>0</v>
      </c>
      <c r="K168" s="7">
        <f t="shared" si="8"/>
        <v>30000</v>
      </c>
      <c r="L168" s="7">
        <f t="shared" si="9"/>
        <v>0</v>
      </c>
      <c r="M168" s="7">
        <f t="shared" si="10"/>
        <v>30000</v>
      </c>
      <c r="N168" s="23">
        <v>17000</v>
      </c>
      <c r="O168" s="7">
        <f t="shared" si="11"/>
        <v>47000</v>
      </c>
      <c r="P168" s="2" t="s">
        <v>22</v>
      </c>
      <c r="Q168" t="str">
        <f>_xlfn.XLOOKUP(B168,Status!$A$2:$A$1867,Status!$B$2:$B$1867)</f>
        <v>Completed</v>
      </c>
      <c r="R168" s="2" t="s">
        <v>36</v>
      </c>
      <c r="S168" s="8">
        <v>3</v>
      </c>
      <c r="T168" s="2" t="s">
        <v>24</v>
      </c>
      <c r="U168" s="31" t="str" cm="1">
        <f t="array" ref="U168">_xlfn.IFS(L168&lt;=5000,$Z$3,AND(L168&gt;5000,L168&lt;=15000),$Z$4,AND(L168&gt;15000,L168&lt;=30000),$Z$5,AND(L168&gt;30000,L168&lt;=50000),$Z$6,L168&gt;50000,$Z$7)</f>
        <v>Sangat Rendah</v>
      </c>
      <c r="V168" s="2"/>
    </row>
    <row r="169" spans="1:22" ht="15.75" customHeight="1" x14ac:dyDescent="0.25">
      <c r="A169" s="26"/>
      <c r="B169" s="2" t="s">
        <v>372</v>
      </c>
      <c r="C169" s="32">
        <v>45579.436226851853</v>
      </c>
      <c r="D169" s="53">
        <f>YEAR(Table1[[#This Row],[Order Date]])</f>
        <v>2024</v>
      </c>
      <c r="E169" s="2" t="s">
        <v>26</v>
      </c>
      <c r="F169" s="2" t="s">
        <v>27</v>
      </c>
      <c r="G169" s="2" t="s">
        <v>93</v>
      </c>
      <c r="H169" s="23">
        <v>25000</v>
      </c>
      <c r="I169" s="2">
        <v>1</v>
      </c>
      <c r="J169" s="31">
        <v>5</v>
      </c>
      <c r="K169" s="7">
        <f t="shared" si="8"/>
        <v>25000</v>
      </c>
      <c r="L169" s="7">
        <f t="shared" si="9"/>
        <v>1250</v>
      </c>
      <c r="M169" s="7">
        <f t="shared" si="10"/>
        <v>23750</v>
      </c>
      <c r="N169" s="23">
        <v>17000</v>
      </c>
      <c r="O169" s="7">
        <f t="shared" si="11"/>
        <v>40750</v>
      </c>
      <c r="P169" s="2" t="s">
        <v>35</v>
      </c>
      <c r="Q169" t="str">
        <f>_xlfn.XLOOKUP(B169,Status!$A$2:$A$1867,Status!$B$2:$B$1867)</f>
        <v>Completed</v>
      </c>
      <c r="R169" s="2" t="s">
        <v>30</v>
      </c>
      <c r="S169" s="8">
        <v>2</v>
      </c>
      <c r="T169" s="2" t="s">
        <v>24</v>
      </c>
      <c r="U169" s="31" t="str" cm="1">
        <f t="array" ref="U169">_xlfn.IFS(L169&lt;=5000,$Z$3,AND(L169&gt;5000,L169&lt;=15000),$Z$4,AND(L169&gt;15000,L169&lt;=30000),$Z$5,AND(L169&gt;30000,L169&lt;=50000),$Z$6,L169&gt;50000,$Z$7)</f>
        <v>Sangat Rendah</v>
      </c>
      <c r="V169" s="2"/>
    </row>
    <row r="170" spans="1:22" ht="15.75" customHeight="1" x14ac:dyDescent="0.25">
      <c r="A170" s="26"/>
      <c r="B170" s="2" t="s">
        <v>373</v>
      </c>
      <c r="C170" s="32">
        <v>45579.47074074074</v>
      </c>
      <c r="D170" s="53">
        <f>YEAR(Table1[[#This Row],[Order Date]])</f>
        <v>2024</v>
      </c>
      <c r="E170" s="2" t="s">
        <v>374</v>
      </c>
      <c r="F170" s="2" t="s">
        <v>375</v>
      </c>
      <c r="G170" s="2" t="s">
        <v>110</v>
      </c>
      <c r="H170" s="23">
        <v>6000</v>
      </c>
      <c r="I170" s="2">
        <v>5</v>
      </c>
      <c r="J170" s="31">
        <v>5</v>
      </c>
      <c r="K170" s="7">
        <f t="shared" si="8"/>
        <v>30000</v>
      </c>
      <c r="L170" s="7">
        <f t="shared" si="9"/>
        <v>1500</v>
      </c>
      <c r="M170" s="7">
        <f t="shared" si="10"/>
        <v>28500</v>
      </c>
      <c r="N170" s="23">
        <v>21000</v>
      </c>
      <c r="O170" s="7">
        <f t="shared" si="11"/>
        <v>49500</v>
      </c>
      <c r="P170" s="2" t="s">
        <v>63</v>
      </c>
      <c r="Q170" t="str">
        <f>_xlfn.XLOOKUP(B170,Status!$A$2:$A$1867,Status!$B$2:$B$1867)</f>
        <v>Completed</v>
      </c>
      <c r="R170" s="2" t="s">
        <v>82</v>
      </c>
      <c r="S170" s="8">
        <v>4</v>
      </c>
      <c r="T170" s="2" t="s">
        <v>37</v>
      </c>
      <c r="U170" s="31" t="str" cm="1">
        <f t="array" ref="U170">_xlfn.IFS(L170&lt;=5000,$Z$3,AND(L170&gt;5000,L170&lt;=15000),$Z$4,AND(L170&gt;15000,L170&lt;=30000),$Z$5,AND(L170&gt;30000,L170&lt;=50000),$Z$6,L170&gt;50000,$Z$7)</f>
        <v>Sangat Rendah</v>
      </c>
      <c r="V170" s="2"/>
    </row>
    <row r="171" spans="1:22" ht="15.75" customHeight="1" x14ac:dyDescent="0.25">
      <c r="A171" s="26"/>
      <c r="B171" s="2" t="s">
        <v>376</v>
      </c>
      <c r="C171" s="32">
        <v>45579.511793981481</v>
      </c>
      <c r="D171" s="53">
        <f>YEAR(Table1[[#This Row],[Order Date]])</f>
        <v>2024</v>
      </c>
      <c r="E171" s="2" t="s">
        <v>377</v>
      </c>
      <c r="F171" s="2" t="s">
        <v>182</v>
      </c>
      <c r="G171" s="2" t="s">
        <v>85</v>
      </c>
      <c r="H171" s="23">
        <v>35000</v>
      </c>
      <c r="I171" s="2">
        <v>5</v>
      </c>
      <c r="J171" s="31">
        <v>15</v>
      </c>
      <c r="K171" s="7">
        <f t="shared" si="8"/>
        <v>175000</v>
      </c>
      <c r="L171" s="7">
        <f t="shared" si="9"/>
        <v>26250</v>
      </c>
      <c r="M171" s="7">
        <f t="shared" si="10"/>
        <v>148750</v>
      </c>
      <c r="N171" s="23">
        <v>48000</v>
      </c>
      <c r="O171" s="7">
        <f t="shared" si="11"/>
        <v>196750</v>
      </c>
      <c r="P171" s="2" t="s">
        <v>29</v>
      </c>
      <c r="Q171" t="str">
        <f>_xlfn.XLOOKUP(B171,Status!$A$2:$A$1867,Status!$B$2:$B$1867)</f>
        <v>Completed</v>
      </c>
      <c r="R171" s="2" t="s">
        <v>46</v>
      </c>
      <c r="S171" s="8">
        <v>4</v>
      </c>
      <c r="T171" s="2" t="s">
        <v>24</v>
      </c>
      <c r="U171" s="31" t="str" cm="1">
        <f t="array" ref="U171">_xlfn.IFS(L171&lt;=5000,$Z$3,AND(L171&gt;5000,L171&lt;=15000),$Z$4,AND(L171&gt;15000,L171&lt;=30000),$Z$5,AND(L171&gt;30000,L171&lt;=50000),$Z$6,L171&gt;50000,$Z$7)</f>
        <v>Normal</v>
      </c>
      <c r="V171" s="2"/>
    </row>
    <row r="172" spans="1:22" ht="15.75" customHeight="1" x14ac:dyDescent="0.25">
      <c r="A172" s="26"/>
      <c r="B172" s="2" t="s">
        <v>378</v>
      </c>
      <c r="C172" s="32">
        <v>45580.081608796303</v>
      </c>
      <c r="D172" s="53">
        <f>YEAR(Table1[[#This Row],[Order Date]])</f>
        <v>2024</v>
      </c>
      <c r="E172" s="2" t="s">
        <v>379</v>
      </c>
      <c r="F172" s="2" t="s">
        <v>27</v>
      </c>
      <c r="G172" s="2" t="s">
        <v>190</v>
      </c>
      <c r="H172" s="23">
        <v>35000</v>
      </c>
      <c r="I172" s="2">
        <v>5</v>
      </c>
      <c r="J172" s="31">
        <v>10</v>
      </c>
      <c r="K172" s="7">
        <f t="shared" si="8"/>
        <v>175000</v>
      </c>
      <c r="L172" s="7">
        <f t="shared" si="9"/>
        <v>17500</v>
      </c>
      <c r="M172" s="7">
        <f t="shared" si="10"/>
        <v>157500</v>
      </c>
      <c r="N172" s="23">
        <v>17000</v>
      </c>
      <c r="O172" s="7">
        <f t="shared" si="11"/>
        <v>174500</v>
      </c>
      <c r="P172" s="2" t="s">
        <v>35</v>
      </c>
      <c r="Q172" t="str">
        <f>_xlfn.XLOOKUP(B172,Status!$A$2:$A$1867,Status!$B$2:$B$1867)</f>
        <v>Completed</v>
      </c>
      <c r="R172" s="2" t="s">
        <v>46</v>
      </c>
      <c r="S172" s="8">
        <v>2</v>
      </c>
      <c r="T172" s="2" t="s">
        <v>24</v>
      </c>
      <c r="U172" s="31" t="str" cm="1">
        <f t="array" ref="U172">_xlfn.IFS(L172&lt;=5000,$Z$3,AND(L172&gt;5000,L172&lt;=15000),$Z$4,AND(L172&gt;15000,L172&lt;=30000),$Z$5,AND(L172&gt;30000,L172&lt;=50000),$Z$6,L172&gt;50000,$Z$7)</f>
        <v>Normal</v>
      </c>
      <c r="V172" s="2"/>
    </row>
    <row r="173" spans="1:22" ht="15.75" customHeight="1" x14ac:dyDescent="0.25">
      <c r="A173" s="26"/>
      <c r="B173" s="2" t="s">
        <v>380</v>
      </c>
      <c r="C173" s="32">
        <v>45580.332685185182</v>
      </c>
      <c r="D173" s="53">
        <f>YEAR(Table1[[#This Row],[Order Date]])</f>
        <v>2024</v>
      </c>
      <c r="E173" s="2" t="s">
        <v>381</v>
      </c>
      <c r="F173" s="2" t="s">
        <v>103</v>
      </c>
      <c r="G173" s="2" t="s">
        <v>41</v>
      </c>
      <c r="H173" s="23">
        <v>4000</v>
      </c>
      <c r="I173" s="2">
        <v>2</v>
      </c>
      <c r="J173" s="31">
        <v>0</v>
      </c>
      <c r="K173" s="7">
        <f t="shared" si="8"/>
        <v>8000</v>
      </c>
      <c r="L173" s="7">
        <f t="shared" si="9"/>
        <v>0</v>
      </c>
      <c r="M173" s="7">
        <f t="shared" si="10"/>
        <v>8000</v>
      </c>
      <c r="N173" s="23">
        <v>85000</v>
      </c>
      <c r="O173" s="7">
        <f t="shared" si="11"/>
        <v>93000</v>
      </c>
      <c r="P173" s="2" t="s">
        <v>63</v>
      </c>
      <c r="Q173" t="str">
        <f>_xlfn.XLOOKUP(B173,Status!$A$2:$A$1867,Status!$B$2:$B$1867)</f>
        <v>Returned</v>
      </c>
      <c r="R173" s="2" t="s">
        <v>23</v>
      </c>
      <c r="S173" s="8">
        <v>3</v>
      </c>
      <c r="T173" s="2" t="s">
        <v>24</v>
      </c>
      <c r="U173" s="31" t="str" cm="1">
        <f t="array" ref="U173">_xlfn.IFS(L173&lt;=5000,$Z$3,AND(L173&gt;5000,L173&lt;=15000),$Z$4,AND(L173&gt;15000,L173&lt;=30000),$Z$5,AND(L173&gt;30000,L173&lt;=50000),$Z$6,L173&gt;50000,$Z$7)</f>
        <v>Sangat Rendah</v>
      </c>
      <c r="V173" s="2"/>
    </row>
    <row r="174" spans="1:22" ht="15.75" customHeight="1" x14ac:dyDescent="0.25">
      <c r="A174" s="26"/>
      <c r="B174" s="2" t="s">
        <v>382</v>
      </c>
      <c r="C174" s="32">
        <v>45580.433888888889</v>
      </c>
      <c r="D174" s="53">
        <f>YEAR(Table1[[#This Row],[Order Date]])</f>
        <v>2024</v>
      </c>
      <c r="E174" s="2" t="s">
        <v>383</v>
      </c>
      <c r="F174" s="2" t="s">
        <v>122</v>
      </c>
      <c r="G174" s="2" t="s">
        <v>45</v>
      </c>
      <c r="H174" s="23">
        <v>40000</v>
      </c>
      <c r="I174" s="2">
        <v>4</v>
      </c>
      <c r="J174" s="31">
        <v>5</v>
      </c>
      <c r="K174" s="7">
        <f t="shared" si="8"/>
        <v>160000</v>
      </c>
      <c r="L174" s="7">
        <f t="shared" si="9"/>
        <v>8000</v>
      </c>
      <c r="M174" s="7">
        <f t="shared" si="10"/>
        <v>152000</v>
      </c>
      <c r="N174" s="23">
        <v>78000</v>
      </c>
      <c r="O174" s="7">
        <f t="shared" si="11"/>
        <v>230000</v>
      </c>
      <c r="P174" s="2" t="s">
        <v>35</v>
      </c>
      <c r="Q174" t="str">
        <f>_xlfn.XLOOKUP(B174,Status!$A$2:$A$1867,Status!$B$2:$B$1867)</f>
        <v>Completed</v>
      </c>
      <c r="R174" s="2" t="s">
        <v>23</v>
      </c>
      <c r="S174" s="8">
        <v>5</v>
      </c>
      <c r="T174" s="2" t="s">
        <v>24</v>
      </c>
      <c r="U174" s="31" t="str" cm="1">
        <f t="array" ref="U174">_xlfn.IFS(L174&lt;=5000,$Z$3,AND(L174&gt;5000,L174&lt;=15000),$Z$4,AND(L174&gt;15000,L174&lt;=30000),$Z$5,AND(L174&gt;30000,L174&lt;=50000),$Z$6,L174&gt;50000,$Z$7)</f>
        <v>Rendah</v>
      </c>
      <c r="V174" s="2"/>
    </row>
    <row r="175" spans="1:22" ht="15.75" customHeight="1" x14ac:dyDescent="0.25">
      <c r="A175" s="26"/>
      <c r="B175" s="2" t="s">
        <v>384</v>
      </c>
      <c r="C175" s="32">
        <v>45580.58116898148</v>
      </c>
      <c r="D175" s="53">
        <f>YEAR(Table1[[#This Row],[Order Date]])</f>
        <v>2024</v>
      </c>
      <c r="E175" s="2" t="s">
        <v>385</v>
      </c>
      <c r="F175" s="2" t="s">
        <v>375</v>
      </c>
      <c r="G175" s="2" t="s">
        <v>71</v>
      </c>
      <c r="H175" s="23">
        <v>40000</v>
      </c>
      <c r="I175" s="2">
        <v>2</v>
      </c>
      <c r="J175" s="31">
        <v>15</v>
      </c>
      <c r="K175" s="7">
        <f t="shared" si="8"/>
        <v>80000</v>
      </c>
      <c r="L175" s="7">
        <f t="shared" si="9"/>
        <v>12000</v>
      </c>
      <c r="M175" s="7">
        <f t="shared" si="10"/>
        <v>68000</v>
      </c>
      <c r="N175" s="23">
        <v>21000</v>
      </c>
      <c r="O175" s="7">
        <f t="shared" si="11"/>
        <v>89000</v>
      </c>
      <c r="P175" s="2" t="s">
        <v>63</v>
      </c>
      <c r="Q175" t="str">
        <f>_xlfn.XLOOKUP(B175,Status!$A$2:$A$1867,Status!$B$2:$B$1867)</f>
        <v>Cancelled</v>
      </c>
      <c r="R175" s="2" t="s">
        <v>82</v>
      </c>
      <c r="S175" s="8">
        <v>5</v>
      </c>
      <c r="T175" s="2" t="s">
        <v>24</v>
      </c>
      <c r="U175" s="31" t="str" cm="1">
        <f t="array" ref="U175">_xlfn.IFS(L175&lt;=5000,$Z$3,AND(L175&gt;5000,L175&lt;=15000),$Z$4,AND(L175&gt;15000,L175&lt;=30000),$Z$5,AND(L175&gt;30000,L175&lt;=50000),$Z$6,L175&gt;50000,$Z$7)</f>
        <v>Rendah</v>
      </c>
      <c r="V175" s="2"/>
    </row>
    <row r="176" spans="1:22" ht="15.75" customHeight="1" x14ac:dyDescent="0.25">
      <c r="A176" s="26"/>
      <c r="B176" s="2" t="s">
        <v>386</v>
      </c>
      <c r="C176" s="32">
        <v>45580.70553240741</v>
      </c>
      <c r="D176" s="53">
        <f>YEAR(Table1[[#This Row],[Order Date]])</f>
        <v>2024</v>
      </c>
      <c r="E176" s="2" t="s">
        <v>387</v>
      </c>
      <c r="F176" s="2" t="s">
        <v>49</v>
      </c>
      <c r="G176" s="2" t="s">
        <v>62</v>
      </c>
      <c r="H176" s="23">
        <v>50000</v>
      </c>
      <c r="I176" s="2">
        <v>1</v>
      </c>
      <c r="J176" s="31">
        <v>5</v>
      </c>
      <c r="K176" s="7">
        <f t="shared" si="8"/>
        <v>50000</v>
      </c>
      <c r="L176" s="7">
        <f t="shared" si="9"/>
        <v>2500</v>
      </c>
      <c r="M176" s="7">
        <f t="shared" si="10"/>
        <v>47500</v>
      </c>
      <c r="N176" s="23">
        <v>43000</v>
      </c>
      <c r="O176" s="7">
        <f t="shared" si="11"/>
        <v>90500</v>
      </c>
      <c r="P176" s="2" t="s">
        <v>35</v>
      </c>
      <c r="Q176" t="str">
        <f>_xlfn.XLOOKUP(B176,Status!$A$2:$A$1867,Status!$B$2:$B$1867)</f>
        <v>Completed</v>
      </c>
      <c r="R176" s="2" t="s">
        <v>36</v>
      </c>
      <c r="S176" s="8">
        <v>3</v>
      </c>
      <c r="T176" s="2" t="s">
        <v>37</v>
      </c>
      <c r="U176" s="31" t="str" cm="1">
        <f t="array" ref="U176">_xlfn.IFS(L176&lt;=5000,$Z$3,AND(L176&gt;5000,L176&lt;=15000),$Z$4,AND(L176&gt;15000,L176&lt;=30000),$Z$5,AND(L176&gt;30000,L176&lt;=50000),$Z$6,L176&gt;50000,$Z$7)</f>
        <v>Sangat Rendah</v>
      </c>
      <c r="V176" s="2"/>
    </row>
    <row r="177" spans="1:22" ht="15.75" customHeight="1" x14ac:dyDescent="0.25">
      <c r="A177" s="26"/>
      <c r="B177" s="2" t="s">
        <v>388</v>
      </c>
      <c r="C177" s="32">
        <v>45580.726215277777</v>
      </c>
      <c r="D177" s="53">
        <f>YEAR(Table1[[#This Row],[Order Date]])</f>
        <v>2024</v>
      </c>
      <c r="E177" s="2" t="s">
        <v>389</v>
      </c>
      <c r="F177" s="2" t="s">
        <v>182</v>
      </c>
      <c r="G177" s="2" t="s">
        <v>186</v>
      </c>
      <c r="H177" s="23">
        <v>45000</v>
      </c>
      <c r="I177" s="2">
        <v>5</v>
      </c>
      <c r="J177" s="31">
        <v>10</v>
      </c>
      <c r="K177" s="7">
        <f t="shared" si="8"/>
        <v>225000</v>
      </c>
      <c r="L177" s="7">
        <f t="shared" si="9"/>
        <v>22500</v>
      </c>
      <c r="M177" s="7">
        <f t="shared" si="10"/>
        <v>202500</v>
      </c>
      <c r="N177" s="23">
        <v>48000</v>
      </c>
      <c r="O177" s="7">
        <f t="shared" si="11"/>
        <v>250500</v>
      </c>
      <c r="P177" s="2" t="s">
        <v>29</v>
      </c>
      <c r="Q177" t="str">
        <f>_xlfn.XLOOKUP(B177,Status!$A$2:$A$1867,Status!$B$2:$B$1867)</f>
        <v>Completed</v>
      </c>
      <c r="R177" s="2" t="s">
        <v>23</v>
      </c>
      <c r="S177" s="8">
        <v>4</v>
      </c>
      <c r="T177" s="2" t="s">
        <v>24</v>
      </c>
      <c r="U177" s="31" t="str" cm="1">
        <f t="array" ref="U177">_xlfn.IFS(L177&lt;=5000,$Z$3,AND(L177&gt;5000,L177&lt;=15000),$Z$4,AND(L177&gt;15000,L177&lt;=30000),$Z$5,AND(L177&gt;30000,L177&lt;=50000),$Z$6,L177&gt;50000,$Z$7)</f>
        <v>Normal</v>
      </c>
      <c r="V177" s="2"/>
    </row>
    <row r="178" spans="1:22" ht="15.75" customHeight="1" x14ac:dyDescent="0.25">
      <c r="A178" s="26"/>
      <c r="B178" s="2" t="s">
        <v>390</v>
      </c>
      <c r="C178" s="32">
        <v>45580.737210648149</v>
      </c>
      <c r="D178" s="53">
        <f>YEAR(Table1[[#This Row],[Order Date]])</f>
        <v>2024</v>
      </c>
      <c r="E178" s="2" t="s">
        <v>391</v>
      </c>
      <c r="F178" s="2" t="s">
        <v>122</v>
      </c>
      <c r="G178" s="2" t="s">
        <v>186</v>
      </c>
      <c r="H178" s="23">
        <v>45000</v>
      </c>
      <c r="I178" s="2">
        <v>3</v>
      </c>
      <c r="J178" s="31">
        <v>0</v>
      </c>
      <c r="K178" s="7">
        <f t="shared" si="8"/>
        <v>135000</v>
      </c>
      <c r="L178" s="7">
        <f t="shared" si="9"/>
        <v>0</v>
      </c>
      <c r="M178" s="7">
        <f t="shared" si="10"/>
        <v>135000</v>
      </c>
      <c r="N178" s="23">
        <v>78000</v>
      </c>
      <c r="O178" s="7">
        <f t="shared" si="11"/>
        <v>213000</v>
      </c>
      <c r="P178" s="2" t="s">
        <v>35</v>
      </c>
      <c r="Q178" t="str">
        <f>_xlfn.XLOOKUP(B178,Status!$A$2:$A$1867,Status!$B$2:$B$1867)</f>
        <v>Completed</v>
      </c>
      <c r="R178" s="2" t="s">
        <v>46</v>
      </c>
      <c r="S178" s="8">
        <v>5</v>
      </c>
      <c r="T178" s="2" t="s">
        <v>24</v>
      </c>
      <c r="U178" s="31" t="str" cm="1">
        <f t="array" ref="U178">_xlfn.IFS(L178&lt;=5000,$Z$3,AND(L178&gt;5000,L178&lt;=15000),$Z$4,AND(L178&gt;15000,L178&lt;=30000),$Z$5,AND(L178&gt;30000,L178&lt;=50000),$Z$6,L178&gt;50000,$Z$7)</f>
        <v>Sangat Rendah</v>
      </c>
      <c r="V178" s="2"/>
    </row>
    <row r="179" spans="1:22" ht="15.75" customHeight="1" x14ac:dyDescent="0.25">
      <c r="A179" s="26"/>
      <c r="B179" s="2" t="s">
        <v>392</v>
      </c>
      <c r="C179" s="32">
        <v>45580.862592592603</v>
      </c>
      <c r="D179" s="53">
        <f>YEAR(Table1[[#This Row],[Order Date]])</f>
        <v>2024</v>
      </c>
      <c r="E179" s="2" t="s">
        <v>201</v>
      </c>
      <c r="F179" s="2" t="s">
        <v>107</v>
      </c>
      <c r="G179" s="2" t="s">
        <v>50</v>
      </c>
      <c r="H179" s="23">
        <v>14000</v>
      </c>
      <c r="I179" s="2">
        <v>4</v>
      </c>
      <c r="J179" s="31">
        <v>0</v>
      </c>
      <c r="K179" s="7">
        <f t="shared" si="8"/>
        <v>56000</v>
      </c>
      <c r="L179" s="7">
        <f t="shared" si="9"/>
        <v>0</v>
      </c>
      <c r="M179" s="7">
        <f t="shared" si="10"/>
        <v>56000</v>
      </c>
      <c r="N179" s="23">
        <v>97000</v>
      </c>
      <c r="O179" s="7">
        <f t="shared" si="11"/>
        <v>153000</v>
      </c>
      <c r="P179" s="2" t="s">
        <v>35</v>
      </c>
      <c r="Q179" t="str">
        <f>_xlfn.XLOOKUP(B179,Status!$A$2:$A$1867,Status!$B$2:$B$1867)</f>
        <v>Returned</v>
      </c>
      <c r="R179" s="2" t="s">
        <v>46</v>
      </c>
      <c r="S179" s="8">
        <v>1</v>
      </c>
      <c r="T179" s="2" t="s">
        <v>24</v>
      </c>
      <c r="U179" s="31" t="str" cm="1">
        <f t="array" ref="U179">_xlfn.IFS(L179&lt;=5000,$Z$3,AND(L179&gt;5000,L179&lt;=15000),$Z$4,AND(L179&gt;15000,L179&lt;=30000),$Z$5,AND(L179&gt;30000,L179&lt;=50000),$Z$6,L179&gt;50000,$Z$7)</f>
        <v>Sangat Rendah</v>
      </c>
      <c r="V179" s="2"/>
    </row>
    <row r="180" spans="1:22" ht="15.75" customHeight="1" x14ac:dyDescent="0.25">
      <c r="A180" s="26"/>
      <c r="B180" s="2" t="s">
        <v>392</v>
      </c>
      <c r="C180" s="32">
        <v>45580.862592592603</v>
      </c>
      <c r="D180" s="53">
        <f>YEAR(Table1[[#This Row],[Order Date]])</f>
        <v>2024</v>
      </c>
      <c r="E180" s="2" t="s">
        <v>201</v>
      </c>
      <c r="F180" s="2" t="s">
        <v>107</v>
      </c>
      <c r="G180" s="2" t="s">
        <v>138</v>
      </c>
      <c r="H180" s="23">
        <v>17000</v>
      </c>
      <c r="I180" s="2">
        <v>5</v>
      </c>
      <c r="J180" s="31">
        <v>0</v>
      </c>
      <c r="K180" s="7">
        <f t="shared" si="8"/>
        <v>85000</v>
      </c>
      <c r="L180" s="7">
        <f t="shared" si="9"/>
        <v>0</v>
      </c>
      <c r="M180" s="7">
        <f t="shared" si="10"/>
        <v>85000</v>
      </c>
      <c r="N180" s="23">
        <v>0</v>
      </c>
      <c r="O180" s="7">
        <f t="shared" si="11"/>
        <v>85000</v>
      </c>
      <c r="P180" s="2" t="s">
        <v>35</v>
      </c>
      <c r="Q180" t="str">
        <f>_xlfn.XLOOKUP(B180,Status!$A$2:$A$1867,Status!$B$2:$B$1867)</f>
        <v>Returned</v>
      </c>
      <c r="R180" s="2" t="s">
        <v>46</v>
      </c>
      <c r="S180" s="8">
        <v>1</v>
      </c>
      <c r="T180" s="2" t="s">
        <v>24</v>
      </c>
      <c r="U180" s="31" t="str" cm="1">
        <f t="array" ref="U180">_xlfn.IFS(L180&lt;=5000,$Z$3,AND(L180&gt;5000,L180&lt;=15000),$Z$4,AND(L180&gt;15000,L180&lt;=30000),$Z$5,AND(L180&gt;30000,L180&lt;=50000),$Z$6,L180&gt;50000,$Z$7)</f>
        <v>Sangat Rendah</v>
      </c>
      <c r="V180" s="2"/>
    </row>
    <row r="181" spans="1:22" ht="15.75" customHeight="1" x14ac:dyDescent="0.25">
      <c r="A181" s="26"/>
      <c r="B181" s="2" t="s">
        <v>393</v>
      </c>
      <c r="C181" s="32">
        <v>45580.967118055552</v>
      </c>
      <c r="D181" s="53">
        <f>YEAR(Table1[[#This Row],[Order Date]])</f>
        <v>2024</v>
      </c>
      <c r="E181" s="2" t="s">
        <v>394</v>
      </c>
      <c r="F181" s="2" t="s">
        <v>53</v>
      </c>
      <c r="G181" s="2" t="s">
        <v>104</v>
      </c>
      <c r="H181" s="23">
        <v>30000</v>
      </c>
      <c r="I181" s="2">
        <v>5</v>
      </c>
      <c r="J181" s="31">
        <v>5</v>
      </c>
      <c r="K181" s="7">
        <f t="shared" si="8"/>
        <v>150000</v>
      </c>
      <c r="L181" s="7">
        <f t="shared" si="9"/>
        <v>7500</v>
      </c>
      <c r="M181" s="7">
        <f t="shared" si="10"/>
        <v>142500</v>
      </c>
      <c r="N181" s="23">
        <v>18000</v>
      </c>
      <c r="O181" s="7">
        <f t="shared" si="11"/>
        <v>160500</v>
      </c>
      <c r="P181" s="2" t="s">
        <v>22</v>
      </c>
      <c r="Q181" t="str">
        <f>_xlfn.XLOOKUP(B181,Status!$A$2:$A$1867,Status!$B$2:$B$1867)</f>
        <v>Completed</v>
      </c>
      <c r="R181" s="2" t="s">
        <v>30</v>
      </c>
      <c r="S181" s="8">
        <v>2</v>
      </c>
      <c r="T181" s="2" t="s">
        <v>24</v>
      </c>
      <c r="U181" s="31" t="str" cm="1">
        <f t="array" ref="U181">_xlfn.IFS(L181&lt;=5000,$Z$3,AND(L181&gt;5000,L181&lt;=15000),$Z$4,AND(L181&gt;15000,L181&lt;=30000),$Z$5,AND(L181&gt;30000,L181&lt;=50000),$Z$6,L181&gt;50000,$Z$7)</f>
        <v>Rendah</v>
      </c>
      <c r="V181" s="2"/>
    </row>
    <row r="182" spans="1:22" ht="15.75" customHeight="1" x14ac:dyDescent="0.25">
      <c r="A182" s="26"/>
      <c r="B182" s="2" t="s">
        <v>395</v>
      </c>
      <c r="C182" s="32">
        <v>45581.035011574073</v>
      </c>
      <c r="D182" s="53">
        <f>YEAR(Table1[[#This Row],[Order Date]])</f>
        <v>2024</v>
      </c>
      <c r="E182" s="2" t="s">
        <v>396</v>
      </c>
      <c r="F182" s="2" t="s">
        <v>66</v>
      </c>
      <c r="G182" s="2" t="s">
        <v>58</v>
      </c>
      <c r="H182" s="23">
        <v>16000</v>
      </c>
      <c r="I182" s="2">
        <v>1</v>
      </c>
      <c r="J182" s="31">
        <v>20</v>
      </c>
      <c r="K182" s="7">
        <f t="shared" si="8"/>
        <v>16000</v>
      </c>
      <c r="L182" s="7">
        <f t="shared" si="9"/>
        <v>3200</v>
      </c>
      <c r="M182" s="7">
        <f t="shared" si="10"/>
        <v>12800</v>
      </c>
      <c r="N182" s="23">
        <v>59000</v>
      </c>
      <c r="O182" s="7">
        <f t="shared" si="11"/>
        <v>71800</v>
      </c>
      <c r="P182" s="2" t="s">
        <v>63</v>
      </c>
      <c r="Q182" t="str">
        <f>_xlfn.XLOOKUP(B182,Status!$A$2:$A$1867,Status!$B$2:$B$1867)</f>
        <v>Completed</v>
      </c>
      <c r="R182" s="2" t="s">
        <v>82</v>
      </c>
      <c r="S182" s="8">
        <v>4</v>
      </c>
      <c r="T182" s="2" t="s">
        <v>37</v>
      </c>
      <c r="U182" s="31" t="str" cm="1">
        <f t="array" ref="U182">_xlfn.IFS(L182&lt;=5000,$Z$3,AND(L182&gt;5000,L182&lt;=15000),$Z$4,AND(L182&gt;15000,L182&lt;=30000),$Z$5,AND(L182&gt;30000,L182&lt;=50000),$Z$6,L182&gt;50000,$Z$7)</f>
        <v>Sangat Rendah</v>
      </c>
      <c r="V182" s="2"/>
    </row>
    <row r="183" spans="1:22" ht="15.75" customHeight="1" x14ac:dyDescent="0.25">
      <c r="A183" s="26"/>
      <c r="B183" s="2" t="s">
        <v>397</v>
      </c>
      <c r="C183" s="32">
        <v>45581.525694444441</v>
      </c>
      <c r="D183" s="53">
        <f>YEAR(Table1[[#This Row],[Order Date]])</f>
        <v>2024</v>
      </c>
      <c r="E183" s="2" t="s">
        <v>398</v>
      </c>
      <c r="F183" s="2" t="s">
        <v>182</v>
      </c>
      <c r="G183" s="2" t="s">
        <v>93</v>
      </c>
      <c r="H183" s="23">
        <v>25000</v>
      </c>
      <c r="I183" s="2">
        <v>3</v>
      </c>
      <c r="J183" s="31">
        <v>20</v>
      </c>
      <c r="K183" s="7">
        <f t="shared" si="8"/>
        <v>75000</v>
      </c>
      <c r="L183" s="7">
        <f t="shared" si="9"/>
        <v>15000</v>
      </c>
      <c r="M183" s="7">
        <f t="shared" si="10"/>
        <v>60000</v>
      </c>
      <c r="N183" s="23">
        <v>48000</v>
      </c>
      <c r="O183" s="7">
        <f t="shared" si="11"/>
        <v>108000</v>
      </c>
      <c r="P183" s="2" t="s">
        <v>35</v>
      </c>
      <c r="Q183" t="str">
        <f>_xlfn.XLOOKUP(B183,Status!$A$2:$A$1867,Status!$B$2:$B$1867)</f>
        <v>Returned</v>
      </c>
      <c r="R183" s="2" t="s">
        <v>36</v>
      </c>
      <c r="S183" s="8">
        <v>4</v>
      </c>
      <c r="T183" s="2" t="s">
        <v>24</v>
      </c>
      <c r="U183" s="31" t="str" cm="1">
        <f t="array" ref="U183">_xlfn.IFS(L183&lt;=5000,$Z$3,AND(L183&gt;5000,L183&lt;=15000),$Z$4,AND(L183&gt;15000,L183&lt;=30000),$Z$5,AND(L183&gt;30000,L183&lt;=50000),$Z$6,L183&gt;50000,$Z$7)</f>
        <v>Rendah</v>
      </c>
      <c r="V183" s="2"/>
    </row>
    <row r="184" spans="1:22" ht="15.75" customHeight="1" x14ac:dyDescent="0.25">
      <c r="A184" s="26"/>
      <c r="B184" s="2" t="s">
        <v>399</v>
      </c>
      <c r="C184" s="32">
        <v>45581.551469907397</v>
      </c>
      <c r="D184" s="53">
        <f>YEAR(Table1[[#This Row],[Order Date]])</f>
        <v>2024</v>
      </c>
      <c r="E184" s="2" t="s">
        <v>400</v>
      </c>
      <c r="F184" s="2" t="s">
        <v>27</v>
      </c>
      <c r="G184" s="2" t="s">
        <v>250</v>
      </c>
      <c r="H184" s="23">
        <v>18000</v>
      </c>
      <c r="I184" s="2">
        <v>1</v>
      </c>
      <c r="J184" s="31">
        <v>5</v>
      </c>
      <c r="K184" s="7">
        <f t="shared" si="8"/>
        <v>18000</v>
      </c>
      <c r="L184" s="7">
        <f t="shared" si="9"/>
        <v>900</v>
      </c>
      <c r="M184" s="7">
        <f t="shared" si="10"/>
        <v>17100</v>
      </c>
      <c r="N184" s="23">
        <v>17000</v>
      </c>
      <c r="O184" s="7">
        <f t="shared" si="11"/>
        <v>34100</v>
      </c>
      <c r="P184" s="2" t="s">
        <v>63</v>
      </c>
      <c r="Q184" t="str">
        <f>_xlfn.XLOOKUP(B184,Status!$A$2:$A$1867,Status!$B$2:$B$1867)</f>
        <v>Returned</v>
      </c>
      <c r="R184" s="2" t="s">
        <v>30</v>
      </c>
      <c r="S184" s="8">
        <v>2</v>
      </c>
      <c r="T184" s="2" t="s">
        <v>24</v>
      </c>
      <c r="U184" s="31" t="str" cm="1">
        <f t="array" ref="U184">_xlfn.IFS(L184&lt;=5000,$Z$3,AND(L184&gt;5000,L184&lt;=15000),$Z$4,AND(L184&gt;15000,L184&lt;=30000),$Z$5,AND(L184&gt;30000,L184&lt;=50000),$Z$6,L184&gt;50000,$Z$7)</f>
        <v>Sangat Rendah</v>
      </c>
      <c r="V184" s="2"/>
    </row>
    <row r="185" spans="1:22" ht="15.75" customHeight="1" x14ac:dyDescent="0.25">
      <c r="A185" s="26"/>
      <c r="B185" s="2" t="s">
        <v>401</v>
      </c>
      <c r="C185" s="32">
        <v>45581.599340277768</v>
      </c>
      <c r="D185" s="53">
        <f>YEAR(Table1[[#This Row],[Order Date]])</f>
        <v>2024</v>
      </c>
      <c r="E185" s="2" t="s">
        <v>402</v>
      </c>
      <c r="F185" s="2" t="s">
        <v>163</v>
      </c>
      <c r="G185" s="2" t="s">
        <v>123</v>
      </c>
      <c r="H185" s="23">
        <v>22000</v>
      </c>
      <c r="I185" s="2">
        <v>3</v>
      </c>
      <c r="J185" s="31">
        <v>5</v>
      </c>
      <c r="K185" s="7">
        <f t="shared" si="8"/>
        <v>66000</v>
      </c>
      <c r="L185" s="7">
        <f t="shared" si="9"/>
        <v>3300</v>
      </c>
      <c r="M185" s="7">
        <f t="shared" si="10"/>
        <v>62700</v>
      </c>
      <c r="N185" s="23">
        <v>50000</v>
      </c>
      <c r="O185" s="7">
        <f t="shared" si="11"/>
        <v>112700</v>
      </c>
      <c r="P185" s="2" t="s">
        <v>29</v>
      </c>
      <c r="Q185" t="str">
        <f>_xlfn.XLOOKUP(B185,Status!$A$2:$A$1867,Status!$B$2:$B$1867)</f>
        <v>Completed</v>
      </c>
      <c r="R185" s="2" t="s">
        <v>30</v>
      </c>
      <c r="S185" s="8">
        <v>2</v>
      </c>
      <c r="T185" s="2" t="s">
        <v>24</v>
      </c>
      <c r="U185" s="31" t="str" cm="1">
        <f t="array" ref="U185">_xlfn.IFS(L185&lt;=5000,$Z$3,AND(L185&gt;5000,L185&lt;=15000),$Z$4,AND(L185&gt;15000,L185&lt;=30000),$Z$5,AND(L185&gt;30000,L185&lt;=50000),$Z$6,L185&gt;50000,$Z$7)</f>
        <v>Sangat Rendah</v>
      </c>
      <c r="V185" s="2"/>
    </row>
    <row r="186" spans="1:22" ht="15.75" customHeight="1" x14ac:dyDescent="0.25">
      <c r="A186" s="26"/>
      <c r="B186" s="2" t="s">
        <v>403</v>
      </c>
      <c r="C186" s="32">
        <v>45581.850717592592</v>
      </c>
      <c r="D186" s="53">
        <f>YEAR(Table1[[#This Row],[Order Date]])</f>
        <v>2024</v>
      </c>
      <c r="E186" s="2" t="s">
        <v>404</v>
      </c>
      <c r="F186" s="2" t="s">
        <v>177</v>
      </c>
      <c r="G186" s="2" t="s">
        <v>21</v>
      </c>
      <c r="H186" s="23">
        <v>45000</v>
      </c>
      <c r="I186" s="2">
        <v>1</v>
      </c>
      <c r="J186" s="31">
        <v>20</v>
      </c>
      <c r="K186" s="7">
        <f t="shared" si="8"/>
        <v>45000</v>
      </c>
      <c r="L186" s="7">
        <f t="shared" si="9"/>
        <v>9000</v>
      </c>
      <c r="M186" s="7">
        <f t="shared" si="10"/>
        <v>36000</v>
      </c>
      <c r="N186" s="23">
        <v>56000</v>
      </c>
      <c r="O186" s="7">
        <f t="shared" si="11"/>
        <v>92000</v>
      </c>
      <c r="P186" s="2" t="s">
        <v>22</v>
      </c>
      <c r="Q186" t="str">
        <f>_xlfn.XLOOKUP(B186,Status!$A$2:$A$1867,Status!$B$2:$B$1867)</f>
        <v>Cancelled</v>
      </c>
      <c r="R186" s="2" t="s">
        <v>82</v>
      </c>
      <c r="S186" s="8">
        <v>5</v>
      </c>
      <c r="T186" s="2" t="s">
        <v>37</v>
      </c>
      <c r="U186" s="31" t="str" cm="1">
        <f t="array" ref="U186">_xlfn.IFS(L186&lt;=5000,$Z$3,AND(L186&gt;5000,L186&lt;=15000),$Z$4,AND(L186&gt;15000,L186&lt;=30000),$Z$5,AND(L186&gt;30000,L186&lt;=50000),$Z$6,L186&gt;50000,$Z$7)</f>
        <v>Rendah</v>
      </c>
      <c r="V186" s="2"/>
    </row>
    <row r="187" spans="1:22" ht="15.75" customHeight="1" x14ac:dyDescent="0.25">
      <c r="A187" s="26"/>
      <c r="B187" s="2" t="s">
        <v>405</v>
      </c>
      <c r="C187" s="32">
        <v>45582.04446759259</v>
      </c>
      <c r="D187" s="53">
        <f>YEAR(Table1[[#This Row],[Order Date]])</f>
        <v>2024</v>
      </c>
      <c r="E187" s="2" t="s">
        <v>256</v>
      </c>
      <c r="F187" s="2" t="s">
        <v>107</v>
      </c>
      <c r="G187" s="2" t="s">
        <v>144</v>
      </c>
      <c r="H187" s="23">
        <v>18000</v>
      </c>
      <c r="I187" s="2">
        <v>2</v>
      </c>
      <c r="J187" s="31">
        <v>15</v>
      </c>
      <c r="K187" s="7">
        <f t="shared" si="8"/>
        <v>36000</v>
      </c>
      <c r="L187" s="7">
        <f t="shared" si="9"/>
        <v>5400</v>
      </c>
      <c r="M187" s="7">
        <f t="shared" si="10"/>
        <v>30600</v>
      </c>
      <c r="N187" s="23">
        <v>97000</v>
      </c>
      <c r="O187" s="7">
        <f t="shared" si="11"/>
        <v>127600</v>
      </c>
      <c r="P187" s="2" t="s">
        <v>35</v>
      </c>
      <c r="Q187" t="str">
        <f>_xlfn.XLOOKUP(B187,Status!$A$2:$A$1867,Status!$B$2:$B$1867)</f>
        <v>Completed</v>
      </c>
      <c r="R187" s="2" t="s">
        <v>82</v>
      </c>
      <c r="S187" s="8">
        <v>5</v>
      </c>
      <c r="T187" s="2" t="s">
        <v>24</v>
      </c>
      <c r="U187" s="31" t="str" cm="1">
        <f t="array" ref="U187">_xlfn.IFS(L187&lt;=5000,$Z$3,AND(L187&gt;5000,L187&lt;=15000),$Z$4,AND(L187&gt;15000,L187&lt;=30000),$Z$5,AND(L187&gt;30000,L187&lt;=50000),$Z$6,L187&gt;50000,$Z$7)</f>
        <v>Rendah</v>
      </c>
      <c r="V187" s="2"/>
    </row>
    <row r="188" spans="1:22" ht="15.75" customHeight="1" x14ac:dyDescent="0.25">
      <c r="A188" s="26"/>
      <c r="B188" s="2" t="s">
        <v>406</v>
      </c>
      <c r="C188" s="32">
        <v>45582.439421296287</v>
      </c>
      <c r="D188" s="53">
        <f>YEAR(Table1[[#This Row],[Order Date]])</f>
        <v>2024</v>
      </c>
      <c r="E188" s="2" t="s">
        <v>155</v>
      </c>
      <c r="F188" s="2" t="s">
        <v>92</v>
      </c>
      <c r="G188" s="2" t="s">
        <v>123</v>
      </c>
      <c r="H188" s="23">
        <v>22000</v>
      </c>
      <c r="I188" s="2">
        <v>2</v>
      </c>
      <c r="J188" s="31">
        <v>10</v>
      </c>
      <c r="K188" s="7">
        <f t="shared" si="8"/>
        <v>44000</v>
      </c>
      <c r="L188" s="7">
        <f t="shared" si="9"/>
        <v>4400</v>
      </c>
      <c r="M188" s="7">
        <f t="shared" si="10"/>
        <v>39600</v>
      </c>
      <c r="N188" s="23">
        <v>30000</v>
      </c>
      <c r="O188" s="7">
        <f t="shared" si="11"/>
        <v>69600</v>
      </c>
      <c r="P188" s="2" t="s">
        <v>63</v>
      </c>
      <c r="Q188" t="str">
        <f>_xlfn.XLOOKUP(B188,Status!$A$2:$A$1867,Status!$B$2:$B$1867)</f>
        <v>Completed</v>
      </c>
      <c r="R188" s="2" t="s">
        <v>30</v>
      </c>
      <c r="S188" s="8">
        <v>1</v>
      </c>
      <c r="T188" s="2" t="s">
        <v>24</v>
      </c>
      <c r="U188" s="31" t="str" cm="1">
        <f t="array" ref="U188">_xlfn.IFS(L188&lt;=5000,$Z$3,AND(L188&gt;5000,L188&lt;=15000),$Z$4,AND(L188&gt;15000,L188&lt;=30000),$Z$5,AND(L188&gt;30000,L188&lt;=50000),$Z$6,L188&gt;50000,$Z$7)</f>
        <v>Sangat Rendah</v>
      </c>
      <c r="V188" s="2"/>
    </row>
    <row r="189" spans="1:22" ht="15.75" customHeight="1" x14ac:dyDescent="0.25">
      <c r="A189" s="26"/>
      <c r="B189" s="2" t="s">
        <v>407</v>
      </c>
      <c r="C189" s="32">
        <v>45582.465902777767</v>
      </c>
      <c r="D189" s="53">
        <f>YEAR(Table1[[#This Row],[Order Date]])</f>
        <v>2024</v>
      </c>
      <c r="E189" s="2" t="s">
        <v>408</v>
      </c>
      <c r="F189" s="2" t="s">
        <v>74</v>
      </c>
      <c r="G189" s="2" t="s">
        <v>104</v>
      </c>
      <c r="H189" s="23">
        <v>30000</v>
      </c>
      <c r="I189" s="2">
        <v>1</v>
      </c>
      <c r="J189" s="31">
        <v>10</v>
      </c>
      <c r="K189" s="7">
        <f t="shared" si="8"/>
        <v>30000</v>
      </c>
      <c r="L189" s="7">
        <f t="shared" si="9"/>
        <v>3000</v>
      </c>
      <c r="M189" s="7">
        <f t="shared" si="10"/>
        <v>27000</v>
      </c>
      <c r="N189" s="23">
        <v>87000</v>
      </c>
      <c r="O189" s="7">
        <f t="shared" si="11"/>
        <v>114000</v>
      </c>
      <c r="P189" s="2" t="s">
        <v>22</v>
      </c>
      <c r="Q189" t="str">
        <f>_xlfn.XLOOKUP(B189,Status!$A$2:$A$1867,Status!$B$2:$B$1867)</f>
        <v>Completed</v>
      </c>
      <c r="R189" s="2" t="s">
        <v>36</v>
      </c>
      <c r="S189" s="8">
        <v>3</v>
      </c>
      <c r="T189" s="2" t="s">
        <v>24</v>
      </c>
      <c r="U189" s="31" t="str" cm="1">
        <f t="array" ref="U189">_xlfn.IFS(L189&lt;=5000,$Z$3,AND(L189&gt;5000,L189&lt;=15000),$Z$4,AND(L189&gt;15000,L189&lt;=30000),$Z$5,AND(L189&gt;30000,L189&lt;=50000),$Z$6,L189&gt;50000,$Z$7)</f>
        <v>Sangat Rendah</v>
      </c>
      <c r="V189" s="2"/>
    </row>
    <row r="190" spans="1:22" ht="15.75" customHeight="1" x14ac:dyDescent="0.25">
      <c r="A190" s="26"/>
      <c r="B190" s="2" t="s">
        <v>409</v>
      </c>
      <c r="C190" s="32">
        <v>45582.85765046296</v>
      </c>
      <c r="D190" s="53">
        <f>YEAR(Table1[[#This Row],[Order Date]])</f>
        <v>2024</v>
      </c>
      <c r="E190" s="2" t="s">
        <v>410</v>
      </c>
      <c r="F190" s="2" t="s">
        <v>151</v>
      </c>
      <c r="G190" s="2" t="s">
        <v>190</v>
      </c>
      <c r="H190" s="23">
        <v>35000</v>
      </c>
      <c r="I190" s="2">
        <v>4</v>
      </c>
      <c r="J190" s="31">
        <v>15</v>
      </c>
      <c r="K190" s="7">
        <f t="shared" si="8"/>
        <v>140000</v>
      </c>
      <c r="L190" s="7">
        <f t="shared" si="9"/>
        <v>21000</v>
      </c>
      <c r="M190" s="7">
        <f t="shared" si="10"/>
        <v>119000</v>
      </c>
      <c r="N190" s="23">
        <v>55000</v>
      </c>
      <c r="O190" s="7">
        <f t="shared" si="11"/>
        <v>174000</v>
      </c>
      <c r="P190" s="2" t="s">
        <v>22</v>
      </c>
      <c r="Q190" t="str">
        <f>_xlfn.XLOOKUP(B190,Status!$A$2:$A$1867,Status!$B$2:$B$1867)</f>
        <v>Completed</v>
      </c>
      <c r="R190" s="2" t="s">
        <v>82</v>
      </c>
      <c r="S190" s="8">
        <v>2</v>
      </c>
      <c r="T190" s="2" t="s">
        <v>24</v>
      </c>
      <c r="U190" s="31" t="str" cm="1">
        <f t="array" ref="U190">_xlfn.IFS(L190&lt;=5000,$Z$3,AND(L190&gt;5000,L190&lt;=15000),$Z$4,AND(L190&gt;15000,L190&lt;=30000),$Z$5,AND(L190&gt;30000,L190&lt;=50000),$Z$6,L190&gt;50000,$Z$7)</f>
        <v>Normal</v>
      </c>
      <c r="V190" s="2"/>
    </row>
    <row r="191" spans="1:22" ht="15.75" customHeight="1" x14ac:dyDescent="0.25">
      <c r="A191" s="26"/>
      <c r="B191" s="2" t="s">
        <v>411</v>
      </c>
      <c r="C191" s="32">
        <v>45583.083252314813</v>
      </c>
      <c r="D191" s="53">
        <f>YEAR(Table1[[#This Row],[Order Date]])</f>
        <v>2024</v>
      </c>
      <c r="E191" s="2" t="s">
        <v>412</v>
      </c>
      <c r="F191" s="2" t="s">
        <v>70</v>
      </c>
      <c r="G191" s="2" t="s">
        <v>21</v>
      </c>
      <c r="H191" s="23">
        <v>45000</v>
      </c>
      <c r="I191" s="2">
        <v>5</v>
      </c>
      <c r="J191" s="31">
        <v>10</v>
      </c>
      <c r="K191" s="7">
        <f t="shared" si="8"/>
        <v>225000</v>
      </c>
      <c r="L191" s="7">
        <f t="shared" si="9"/>
        <v>22500</v>
      </c>
      <c r="M191" s="7">
        <f t="shared" si="10"/>
        <v>202500</v>
      </c>
      <c r="N191" s="23">
        <v>89000</v>
      </c>
      <c r="O191" s="7">
        <f t="shared" si="11"/>
        <v>291500</v>
      </c>
      <c r="P191" s="2" t="s">
        <v>29</v>
      </c>
      <c r="Q191" t="str">
        <f>_xlfn.XLOOKUP(B191,Status!$A$2:$A$1867,Status!$B$2:$B$1867)</f>
        <v>Completed</v>
      </c>
      <c r="R191" s="2" t="s">
        <v>30</v>
      </c>
      <c r="S191" s="8">
        <v>3</v>
      </c>
      <c r="T191" s="2" t="s">
        <v>24</v>
      </c>
      <c r="U191" s="31" t="str" cm="1">
        <f t="array" ref="U191">_xlfn.IFS(L191&lt;=5000,$Z$3,AND(L191&gt;5000,L191&lt;=15000),$Z$4,AND(L191&gt;15000,L191&lt;=30000),$Z$5,AND(L191&gt;30000,L191&lt;=50000),$Z$6,L191&gt;50000,$Z$7)</f>
        <v>Normal</v>
      </c>
      <c r="V191" s="2"/>
    </row>
    <row r="192" spans="1:22" ht="15.75" customHeight="1" x14ac:dyDescent="0.25">
      <c r="A192" s="26"/>
      <c r="B192" s="2" t="s">
        <v>413</v>
      </c>
      <c r="C192" s="32">
        <v>45583.400694444441</v>
      </c>
      <c r="D192" s="53">
        <f>YEAR(Table1[[#This Row],[Order Date]])</f>
        <v>2024</v>
      </c>
      <c r="E192" s="2" t="s">
        <v>231</v>
      </c>
      <c r="F192" s="2" t="s">
        <v>66</v>
      </c>
      <c r="G192" s="2" t="s">
        <v>190</v>
      </c>
      <c r="H192" s="23">
        <v>35000</v>
      </c>
      <c r="I192" s="2">
        <v>1</v>
      </c>
      <c r="J192" s="31">
        <v>0</v>
      </c>
      <c r="K192" s="7">
        <f t="shared" si="8"/>
        <v>35000</v>
      </c>
      <c r="L192" s="7">
        <f t="shared" si="9"/>
        <v>0</v>
      </c>
      <c r="M192" s="7">
        <f t="shared" si="10"/>
        <v>35000</v>
      </c>
      <c r="N192" s="23">
        <v>59000</v>
      </c>
      <c r="O192" s="7">
        <f t="shared" si="11"/>
        <v>94000</v>
      </c>
      <c r="P192" s="2" t="s">
        <v>29</v>
      </c>
      <c r="Q192" t="str">
        <f>_xlfn.XLOOKUP(B192,Status!$A$2:$A$1867,Status!$B$2:$B$1867)</f>
        <v>Completed</v>
      </c>
      <c r="R192" s="2" t="s">
        <v>36</v>
      </c>
      <c r="S192" s="8">
        <v>1</v>
      </c>
      <c r="T192" s="2" t="s">
        <v>24</v>
      </c>
      <c r="U192" s="31" t="str" cm="1">
        <f t="array" ref="U192">_xlfn.IFS(L192&lt;=5000,$Z$3,AND(L192&gt;5000,L192&lt;=15000),$Z$4,AND(L192&gt;15000,L192&lt;=30000),$Z$5,AND(L192&gt;30000,L192&lt;=50000),$Z$6,L192&gt;50000,$Z$7)</f>
        <v>Sangat Rendah</v>
      </c>
      <c r="V192" s="2"/>
    </row>
    <row r="193" spans="1:22" ht="15.75" customHeight="1" x14ac:dyDescent="0.25">
      <c r="A193" s="26"/>
      <c r="B193" s="2" t="s">
        <v>413</v>
      </c>
      <c r="C193" s="32">
        <v>45583.400694444441</v>
      </c>
      <c r="D193" s="53">
        <f>YEAR(Table1[[#This Row],[Order Date]])</f>
        <v>2024</v>
      </c>
      <c r="E193" s="2" t="s">
        <v>231</v>
      </c>
      <c r="F193" s="2" t="s">
        <v>66</v>
      </c>
      <c r="G193" s="2" t="s">
        <v>50</v>
      </c>
      <c r="H193" s="23">
        <v>14000</v>
      </c>
      <c r="I193" s="2">
        <v>3</v>
      </c>
      <c r="J193" s="31">
        <v>20</v>
      </c>
      <c r="K193" s="7">
        <f t="shared" si="8"/>
        <v>42000</v>
      </c>
      <c r="L193" s="7">
        <f t="shared" si="9"/>
        <v>8400</v>
      </c>
      <c r="M193" s="7">
        <f t="shared" si="10"/>
        <v>33600</v>
      </c>
      <c r="N193" s="23">
        <v>0</v>
      </c>
      <c r="O193" s="7">
        <f t="shared" si="11"/>
        <v>33600</v>
      </c>
      <c r="P193" s="2" t="s">
        <v>29</v>
      </c>
      <c r="Q193" t="str">
        <f>_xlfn.XLOOKUP(B193,Status!$A$2:$A$1867,Status!$B$2:$B$1867)</f>
        <v>Completed</v>
      </c>
      <c r="R193" s="2" t="s">
        <v>36</v>
      </c>
      <c r="S193" s="8">
        <v>1</v>
      </c>
      <c r="T193" s="2" t="s">
        <v>24</v>
      </c>
      <c r="U193" s="31" t="str" cm="1">
        <f t="array" ref="U193">_xlfn.IFS(L193&lt;=5000,$Z$3,AND(L193&gt;5000,L193&lt;=15000),$Z$4,AND(L193&gt;15000,L193&lt;=30000),$Z$5,AND(L193&gt;30000,L193&lt;=50000),$Z$6,L193&gt;50000,$Z$7)</f>
        <v>Rendah</v>
      </c>
      <c r="V193" s="2"/>
    </row>
    <row r="194" spans="1:22" ht="15.75" customHeight="1" x14ac:dyDescent="0.25">
      <c r="A194" s="26"/>
      <c r="B194" s="2" t="s">
        <v>414</v>
      </c>
      <c r="C194" s="32">
        <v>45583.736875000002</v>
      </c>
      <c r="D194" s="53">
        <f>YEAR(Table1[[#This Row],[Order Date]])</f>
        <v>2024</v>
      </c>
      <c r="E194" s="2" t="s">
        <v>109</v>
      </c>
      <c r="F194" s="2" t="s">
        <v>49</v>
      </c>
      <c r="G194" s="2" t="s">
        <v>58</v>
      </c>
      <c r="H194" s="23">
        <v>16000</v>
      </c>
      <c r="I194" s="2">
        <v>4</v>
      </c>
      <c r="J194" s="31">
        <v>10</v>
      </c>
      <c r="K194" s="7">
        <f t="shared" si="8"/>
        <v>64000</v>
      </c>
      <c r="L194" s="7">
        <f t="shared" si="9"/>
        <v>6400</v>
      </c>
      <c r="M194" s="7">
        <f t="shared" si="10"/>
        <v>57600</v>
      </c>
      <c r="N194" s="23">
        <v>43000</v>
      </c>
      <c r="O194" s="7">
        <f t="shared" si="11"/>
        <v>100600</v>
      </c>
      <c r="P194" s="2" t="s">
        <v>29</v>
      </c>
      <c r="Q194" t="str">
        <f>_xlfn.XLOOKUP(B194,Status!$A$2:$A$1867,Status!$B$2:$B$1867)</f>
        <v>Returned</v>
      </c>
      <c r="R194" s="2" t="s">
        <v>82</v>
      </c>
      <c r="S194" s="8">
        <v>4</v>
      </c>
      <c r="T194" s="2" t="s">
        <v>24</v>
      </c>
      <c r="U194" s="31" t="str" cm="1">
        <f t="array" ref="U194">_xlfn.IFS(L194&lt;=5000,$Z$3,AND(L194&gt;5000,L194&lt;=15000),$Z$4,AND(L194&gt;15000,L194&lt;=30000),$Z$5,AND(L194&gt;30000,L194&lt;=50000),$Z$6,L194&gt;50000,$Z$7)</f>
        <v>Rendah</v>
      </c>
      <c r="V194" s="2"/>
    </row>
    <row r="195" spans="1:22" ht="15.75" customHeight="1" x14ac:dyDescent="0.25">
      <c r="A195" s="26"/>
      <c r="B195" s="2" t="s">
        <v>415</v>
      </c>
      <c r="C195" s="32">
        <v>45583.761122685188</v>
      </c>
      <c r="D195" s="53">
        <f>YEAR(Table1[[#This Row],[Order Date]])</f>
        <v>2024</v>
      </c>
      <c r="E195" s="2" t="s">
        <v>416</v>
      </c>
      <c r="F195" s="2" t="s">
        <v>131</v>
      </c>
      <c r="G195" s="2" t="s">
        <v>45</v>
      </c>
      <c r="H195" s="23">
        <v>40000</v>
      </c>
      <c r="I195" s="2">
        <v>1</v>
      </c>
      <c r="J195" s="31">
        <v>20</v>
      </c>
      <c r="K195" s="7">
        <f t="shared" si="8"/>
        <v>40000</v>
      </c>
      <c r="L195" s="7">
        <f t="shared" si="9"/>
        <v>8000</v>
      </c>
      <c r="M195" s="7">
        <f t="shared" si="10"/>
        <v>32000</v>
      </c>
      <c r="N195" s="23">
        <v>59000</v>
      </c>
      <c r="O195" s="7">
        <f t="shared" si="11"/>
        <v>91000</v>
      </c>
      <c r="P195" s="2" t="s">
        <v>35</v>
      </c>
      <c r="Q195" t="str">
        <f>_xlfn.XLOOKUP(B195,Status!$A$2:$A$1867,Status!$B$2:$B$1867)</f>
        <v>Completed</v>
      </c>
      <c r="R195" s="2" t="s">
        <v>82</v>
      </c>
      <c r="S195" s="8">
        <v>2</v>
      </c>
      <c r="T195" s="2" t="s">
        <v>24</v>
      </c>
      <c r="U195" s="31" t="str" cm="1">
        <f t="array" ref="U195">_xlfn.IFS(L195&lt;=5000,$Z$3,AND(L195&gt;5000,L195&lt;=15000),$Z$4,AND(L195&gt;15000,L195&lt;=30000),$Z$5,AND(L195&gt;30000,L195&lt;=50000),$Z$6,L195&gt;50000,$Z$7)</f>
        <v>Rendah</v>
      </c>
      <c r="V195" s="2"/>
    </row>
    <row r="196" spans="1:22" ht="15.75" customHeight="1" x14ac:dyDescent="0.25">
      <c r="A196" s="26"/>
      <c r="B196" s="2" t="s">
        <v>417</v>
      </c>
      <c r="C196" s="32">
        <v>45583.808518518519</v>
      </c>
      <c r="D196" s="53">
        <f>YEAR(Table1[[#This Row],[Order Date]])</f>
        <v>2024</v>
      </c>
      <c r="E196" s="2" t="s">
        <v>273</v>
      </c>
      <c r="F196" s="2" t="s">
        <v>195</v>
      </c>
      <c r="G196" s="2" t="s">
        <v>104</v>
      </c>
      <c r="H196" s="23">
        <v>30000</v>
      </c>
      <c r="I196" s="2">
        <v>1</v>
      </c>
      <c r="J196" s="31">
        <v>20</v>
      </c>
      <c r="K196" s="7">
        <f t="shared" ref="K196:K259" si="12">H196*I196</f>
        <v>30000</v>
      </c>
      <c r="L196" s="7">
        <f t="shared" ref="L196:L259" si="13">K196*(J196/100)</f>
        <v>6000</v>
      </c>
      <c r="M196" s="7">
        <f t="shared" ref="M196:M259" si="14">K196-L196</f>
        <v>24000</v>
      </c>
      <c r="N196" s="23">
        <v>87000</v>
      </c>
      <c r="O196" s="7">
        <f t="shared" ref="O196:O259" si="15">SUM(M196:N196)</f>
        <v>111000</v>
      </c>
      <c r="P196" s="2" t="s">
        <v>29</v>
      </c>
      <c r="Q196" t="str">
        <f>_xlfn.XLOOKUP(B196,Status!$A$2:$A$1867,Status!$B$2:$B$1867)</f>
        <v>Completed</v>
      </c>
      <c r="R196" s="2" t="s">
        <v>30</v>
      </c>
      <c r="S196" s="8">
        <v>2</v>
      </c>
      <c r="T196" s="2" t="s">
        <v>24</v>
      </c>
      <c r="U196" s="31" t="str" cm="1">
        <f t="array" ref="U196">_xlfn.IFS(L196&lt;=5000,$Z$3,AND(L196&gt;5000,L196&lt;=15000),$Z$4,AND(L196&gt;15000,L196&lt;=30000),$Z$5,AND(L196&gt;30000,L196&lt;=50000),$Z$6,L196&gt;50000,$Z$7)</f>
        <v>Rendah</v>
      </c>
      <c r="V196" s="2"/>
    </row>
    <row r="197" spans="1:22" ht="15.75" customHeight="1" x14ac:dyDescent="0.25">
      <c r="A197" s="26"/>
      <c r="B197" s="2" t="s">
        <v>418</v>
      </c>
      <c r="C197" s="32">
        <v>45584.355254629627</v>
      </c>
      <c r="D197" s="53">
        <f>YEAR(Table1[[#This Row],[Order Date]])</f>
        <v>2024</v>
      </c>
      <c r="E197" s="2" t="s">
        <v>419</v>
      </c>
      <c r="F197" s="2" t="s">
        <v>103</v>
      </c>
      <c r="G197" s="2" t="s">
        <v>28</v>
      </c>
      <c r="H197" s="23">
        <v>5000</v>
      </c>
      <c r="I197" s="2">
        <v>3</v>
      </c>
      <c r="J197" s="31">
        <v>10</v>
      </c>
      <c r="K197" s="7">
        <f t="shared" si="12"/>
        <v>15000</v>
      </c>
      <c r="L197" s="7">
        <f t="shared" si="13"/>
        <v>1500</v>
      </c>
      <c r="M197" s="7">
        <f t="shared" si="14"/>
        <v>13500</v>
      </c>
      <c r="N197" s="23">
        <v>85000</v>
      </c>
      <c r="O197" s="7">
        <f t="shared" si="15"/>
        <v>98500</v>
      </c>
      <c r="P197" s="2" t="s">
        <v>63</v>
      </c>
      <c r="Q197" t="str">
        <f>_xlfn.XLOOKUP(B197,Status!$A$2:$A$1867,Status!$B$2:$B$1867)</f>
        <v>Returned</v>
      </c>
      <c r="R197" s="2" t="s">
        <v>23</v>
      </c>
      <c r="S197" s="8">
        <v>5</v>
      </c>
      <c r="T197" s="2" t="s">
        <v>37</v>
      </c>
      <c r="U197" s="31" t="str" cm="1">
        <f t="array" ref="U197">_xlfn.IFS(L197&lt;=5000,$Z$3,AND(L197&gt;5000,L197&lt;=15000),$Z$4,AND(L197&gt;15000,L197&lt;=30000),$Z$5,AND(L197&gt;30000,L197&lt;=50000),$Z$6,L197&gt;50000,$Z$7)</f>
        <v>Sangat Rendah</v>
      </c>
      <c r="V197" s="2"/>
    </row>
    <row r="198" spans="1:22" ht="15.75" customHeight="1" x14ac:dyDescent="0.25">
      <c r="A198" s="26"/>
      <c r="B198" s="2" t="s">
        <v>420</v>
      </c>
      <c r="C198" s="32">
        <v>45584.36681712963</v>
      </c>
      <c r="D198" s="53">
        <f>YEAR(Table1[[#This Row],[Order Date]])</f>
        <v>2024</v>
      </c>
      <c r="E198" s="2" t="s">
        <v>421</v>
      </c>
      <c r="F198" s="2" t="s">
        <v>103</v>
      </c>
      <c r="G198" s="2" t="s">
        <v>34</v>
      </c>
      <c r="H198" s="23">
        <v>16000</v>
      </c>
      <c r="I198" s="2">
        <v>4</v>
      </c>
      <c r="J198" s="31">
        <v>0</v>
      </c>
      <c r="K198" s="7">
        <f t="shared" si="12"/>
        <v>64000</v>
      </c>
      <c r="L198" s="7">
        <f t="shared" si="13"/>
        <v>0</v>
      </c>
      <c r="M198" s="7">
        <f t="shared" si="14"/>
        <v>64000</v>
      </c>
      <c r="N198" s="23">
        <v>85000</v>
      </c>
      <c r="O198" s="7">
        <f t="shared" si="15"/>
        <v>149000</v>
      </c>
      <c r="P198" s="2" t="s">
        <v>22</v>
      </c>
      <c r="Q198" t="str">
        <f>_xlfn.XLOOKUP(B198,Status!$A$2:$A$1867,Status!$B$2:$B$1867)</f>
        <v>Completed</v>
      </c>
      <c r="R198" s="2" t="s">
        <v>46</v>
      </c>
      <c r="S198" s="8">
        <v>3</v>
      </c>
      <c r="T198" s="2" t="s">
        <v>24</v>
      </c>
      <c r="U198" s="31" t="str" cm="1">
        <f t="array" ref="U198">_xlfn.IFS(L198&lt;=5000,$Z$3,AND(L198&gt;5000,L198&lt;=15000),$Z$4,AND(L198&gt;15000,L198&lt;=30000),$Z$5,AND(L198&gt;30000,L198&lt;=50000),$Z$6,L198&gt;50000,$Z$7)</f>
        <v>Sangat Rendah</v>
      </c>
      <c r="V198" s="2"/>
    </row>
    <row r="199" spans="1:22" ht="15.75" customHeight="1" x14ac:dyDescent="0.25">
      <c r="A199" s="26"/>
      <c r="B199" s="2" t="s">
        <v>422</v>
      </c>
      <c r="C199" s="32">
        <v>45584.417337962957</v>
      </c>
      <c r="D199" s="53">
        <f>YEAR(Table1[[#This Row],[Order Date]])</f>
        <v>2024</v>
      </c>
      <c r="E199" s="2" t="s">
        <v>309</v>
      </c>
      <c r="F199" s="2" t="s">
        <v>107</v>
      </c>
      <c r="G199" s="2" t="s">
        <v>54</v>
      </c>
      <c r="H199" s="23">
        <v>16000</v>
      </c>
      <c r="I199" s="2">
        <v>2</v>
      </c>
      <c r="J199" s="31">
        <v>10</v>
      </c>
      <c r="K199" s="7">
        <f t="shared" si="12"/>
        <v>32000</v>
      </c>
      <c r="L199" s="7">
        <f t="shared" si="13"/>
        <v>3200</v>
      </c>
      <c r="M199" s="7">
        <f t="shared" si="14"/>
        <v>28800</v>
      </c>
      <c r="N199" s="23">
        <v>97000</v>
      </c>
      <c r="O199" s="7">
        <f t="shared" si="15"/>
        <v>125800</v>
      </c>
      <c r="P199" s="2" t="s">
        <v>63</v>
      </c>
      <c r="Q199" t="str">
        <f>_xlfn.XLOOKUP(B199,Status!$A$2:$A$1867,Status!$B$2:$B$1867)</f>
        <v>Returned</v>
      </c>
      <c r="R199" s="2" t="s">
        <v>46</v>
      </c>
      <c r="S199" s="8">
        <v>4</v>
      </c>
      <c r="T199" s="2" t="s">
        <v>37</v>
      </c>
      <c r="U199" s="31" t="str" cm="1">
        <f t="array" ref="U199">_xlfn.IFS(L199&lt;=5000,$Z$3,AND(L199&gt;5000,L199&lt;=15000),$Z$4,AND(L199&gt;15000,L199&lt;=30000),$Z$5,AND(L199&gt;30000,L199&lt;=50000),$Z$6,L199&gt;50000,$Z$7)</f>
        <v>Sangat Rendah</v>
      </c>
      <c r="V199" s="2"/>
    </row>
    <row r="200" spans="1:22" ht="15.75" customHeight="1" x14ac:dyDescent="0.25">
      <c r="A200" s="26"/>
      <c r="B200" s="2" t="s">
        <v>423</v>
      </c>
      <c r="C200" s="32">
        <v>45584.532777777778</v>
      </c>
      <c r="D200" s="53">
        <f>YEAR(Table1[[#This Row],[Order Date]])</f>
        <v>2024</v>
      </c>
      <c r="E200" s="2" t="s">
        <v>155</v>
      </c>
      <c r="F200" s="2" t="s">
        <v>92</v>
      </c>
      <c r="G200" s="2" t="s">
        <v>190</v>
      </c>
      <c r="H200" s="23">
        <v>35000</v>
      </c>
      <c r="I200" s="2">
        <v>2</v>
      </c>
      <c r="J200" s="31">
        <v>10</v>
      </c>
      <c r="K200" s="7">
        <f t="shared" si="12"/>
        <v>70000</v>
      </c>
      <c r="L200" s="7">
        <f t="shared" si="13"/>
        <v>7000</v>
      </c>
      <c r="M200" s="7">
        <f t="shared" si="14"/>
        <v>63000</v>
      </c>
      <c r="N200" s="23">
        <v>30000</v>
      </c>
      <c r="O200" s="7">
        <f t="shared" si="15"/>
        <v>93000</v>
      </c>
      <c r="P200" s="2" t="s">
        <v>35</v>
      </c>
      <c r="Q200" t="str">
        <f>_xlfn.XLOOKUP(B200,Status!$A$2:$A$1867,Status!$B$2:$B$1867)</f>
        <v>Completed</v>
      </c>
      <c r="R200" s="2" t="s">
        <v>82</v>
      </c>
      <c r="S200" s="8">
        <v>5</v>
      </c>
      <c r="T200" s="2" t="s">
        <v>24</v>
      </c>
      <c r="U200" s="31" t="str" cm="1">
        <f t="array" ref="U200">_xlfn.IFS(L200&lt;=5000,$Z$3,AND(L200&gt;5000,L200&lt;=15000),$Z$4,AND(L200&gt;15000,L200&lt;=30000),$Z$5,AND(L200&gt;30000,L200&lt;=50000),$Z$6,L200&gt;50000,$Z$7)</f>
        <v>Rendah</v>
      </c>
      <c r="V200" s="2"/>
    </row>
    <row r="201" spans="1:22" ht="15.75" customHeight="1" x14ac:dyDescent="0.25">
      <c r="A201" s="26"/>
      <c r="B201" s="2" t="s">
        <v>424</v>
      </c>
      <c r="C201" s="32">
        <v>45584.6871875</v>
      </c>
      <c r="D201" s="53">
        <f>YEAR(Table1[[#This Row],[Order Date]])</f>
        <v>2024</v>
      </c>
      <c r="E201" s="2" t="s">
        <v>425</v>
      </c>
      <c r="F201" s="2" t="s">
        <v>44</v>
      </c>
      <c r="G201" s="2" t="s">
        <v>67</v>
      </c>
      <c r="H201" s="23">
        <v>15000</v>
      </c>
      <c r="I201" s="2">
        <v>3</v>
      </c>
      <c r="J201" s="31">
        <v>0</v>
      </c>
      <c r="K201" s="7">
        <f t="shared" si="12"/>
        <v>45000</v>
      </c>
      <c r="L201" s="7">
        <f t="shared" si="13"/>
        <v>0</v>
      </c>
      <c r="M201" s="7">
        <f t="shared" si="14"/>
        <v>45000</v>
      </c>
      <c r="N201" s="23">
        <v>93000</v>
      </c>
      <c r="O201" s="7">
        <f t="shared" si="15"/>
        <v>138000</v>
      </c>
      <c r="P201" s="2" t="s">
        <v>63</v>
      </c>
      <c r="Q201" t="str">
        <f>_xlfn.XLOOKUP(B201,Status!$A$2:$A$1867,Status!$B$2:$B$1867)</f>
        <v>Cancelled</v>
      </c>
      <c r="R201" s="2" t="s">
        <v>23</v>
      </c>
      <c r="S201" s="8">
        <v>2</v>
      </c>
      <c r="T201" s="2" t="s">
        <v>37</v>
      </c>
      <c r="U201" s="31" t="str" cm="1">
        <f t="array" ref="U201">_xlfn.IFS(L201&lt;=5000,$Z$3,AND(L201&gt;5000,L201&lt;=15000),$Z$4,AND(L201&gt;15000,L201&lt;=30000),$Z$5,AND(L201&gt;30000,L201&lt;=50000),$Z$6,L201&gt;50000,$Z$7)</f>
        <v>Sangat Rendah</v>
      </c>
      <c r="V201" s="2"/>
    </row>
    <row r="202" spans="1:22" ht="15.75" customHeight="1" x14ac:dyDescent="0.25">
      <c r="A202" s="26"/>
      <c r="B202" s="2" t="s">
        <v>426</v>
      </c>
      <c r="C202" s="32">
        <v>45585.006365740737</v>
      </c>
      <c r="D202" s="53">
        <f>YEAR(Table1[[#This Row],[Order Date]])</f>
        <v>2024</v>
      </c>
      <c r="E202" s="2" t="s">
        <v>427</v>
      </c>
      <c r="F202" s="2" t="s">
        <v>103</v>
      </c>
      <c r="G202" s="2" t="s">
        <v>138</v>
      </c>
      <c r="H202" s="23">
        <v>17000</v>
      </c>
      <c r="I202" s="2">
        <v>1</v>
      </c>
      <c r="J202" s="31">
        <v>0</v>
      </c>
      <c r="K202" s="7">
        <f t="shared" si="12"/>
        <v>17000</v>
      </c>
      <c r="L202" s="7">
        <f t="shared" si="13"/>
        <v>0</v>
      </c>
      <c r="M202" s="7">
        <f t="shared" si="14"/>
        <v>17000</v>
      </c>
      <c r="N202" s="23">
        <v>85000</v>
      </c>
      <c r="O202" s="7">
        <f t="shared" si="15"/>
        <v>102000</v>
      </c>
      <c r="P202" s="2" t="s">
        <v>22</v>
      </c>
      <c r="Q202" t="str">
        <f>_xlfn.XLOOKUP(B202,Status!$A$2:$A$1867,Status!$B$2:$B$1867)</f>
        <v>Completed</v>
      </c>
      <c r="R202" s="2" t="s">
        <v>36</v>
      </c>
      <c r="S202" s="8">
        <v>1</v>
      </c>
      <c r="T202" s="2" t="s">
        <v>24</v>
      </c>
      <c r="U202" s="31" t="str" cm="1">
        <f t="array" ref="U202">_xlfn.IFS(L202&lt;=5000,$Z$3,AND(L202&gt;5000,L202&lt;=15000),$Z$4,AND(L202&gt;15000,L202&lt;=30000),$Z$5,AND(L202&gt;30000,L202&lt;=50000),$Z$6,L202&gt;50000,$Z$7)</f>
        <v>Sangat Rendah</v>
      </c>
      <c r="V202" s="2"/>
    </row>
    <row r="203" spans="1:22" ht="15.75" customHeight="1" x14ac:dyDescent="0.25">
      <c r="A203" s="26"/>
      <c r="B203" s="2" t="s">
        <v>428</v>
      </c>
      <c r="C203" s="32">
        <v>45585.27239583333</v>
      </c>
      <c r="D203" s="53">
        <f>YEAR(Table1[[#This Row],[Order Date]])</f>
        <v>2024</v>
      </c>
      <c r="E203" s="2" t="s">
        <v>429</v>
      </c>
      <c r="F203" s="2" t="s">
        <v>177</v>
      </c>
      <c r="G203" s="2" t="s">
        <v>190</v>
      </c>
      <c r="H203" s="23">
        <v>35000</v>
      </c>
      <c r="I203" s="2">
        <v>2</v>
      </c>
      <c r="J203" s="31">
        <v>10</v>
      </c>
      <c r="K203" s="7">
        <f t="shared" si="12"/>
        <v>70000</v>
      </c>
      <c r="L203" s="7">
        <f t="shared" si="13"/>
        <v>7000</v>
      </c>
      <c r="M203" s="7">
        <f t="shared" si="14"/>
        <v>63000</v>
      </c>
      <c r="N203" s="23">
        <v>56000</v>
      </c>
      <c r="O203" s="7">
        <f t="shared" si="15"/>
        <v>119000</v>
      </c>
      <c r="P203" s="2" t="s">
        <v>35</v>
      </c>
      <c r="Q203" t="str">
        <f>_xlfn.XLOOKUP(B203,Status!$A$2:$A$1867,Status!$B$2:$B$1867)</f>
        <v>Returned</v>
      </c>
      <c r="R203" s="2" t="s">
        <v>46</v>
      </c>
      <c r="S203" s="8">
        <v>4</v>
      </c>
      <c r="T203" s="2" t="s">
        <v>37</v>
      </c>
      <c r="U203" s="31" t="str" cm="1">
        <f t="array" ref="U203">_xlfn.IFS(L203&lt;=5000,$Z$3,AND(L203&gt;5000,L203&lt;=15000),$Z$4,AND(L203&gt;15000,L203&lt;=30000),$Z$5,AND(L203&gt;30000,L203&lt;=50000),$Z$6,L203&gt;50000,$Z$7)</f>
        <v>Rendah</v>
      </c>
      <c r="V203" s="2"/>
    </row>
    <row r="204" spans="1:22" ht="15.75" customHeight="1" x14ac:dyDescent="0.25">
      <c r="A204" s="26"/>
      <c r="B204" s="2" t="s">
        <v>430</v>
      </c>
      <c r="C204" s="32">
        <v>45585.31559027778</v>
      </c>
      <c r="D204" s="53">
        <f>YEAR(Table1[[#This Row],[Order Date]])</f>
        <v>2024</v>
      </c>
      <c r="E204" s="2" t="s">
        <v>431</v>
      </c>
      <c r="F204" s="2" t="s">
        <v>33</v>
      </c>
      <c r="G204" s="2" t="s">
        <v>104</v>
      </c>
      <c r="H204" s="23">
        <v>30000</v>
      </c>
      <c r="I204" s="2">
        <v>3</v>
      </c>
      <c r="J204" s="31">
        <v>5</v>
      </c>
      <c r="K204" s="7">
        <f t="shared" si="12"/>
        <v>90000</v>
      </c>
      <c r="L204" s="7">
        <f t="shared" si="13"/>
        <v>4500</v>
      </c>
      <c r="M204" s="7">
        <f t="shared" si="14"/>
        <v>85500</v>
      </c>
      <c r="N204" s="23">
        <v>76000</v>
      </c>
      <c r="O204" s="7">
        <f t="shared" si="15"/>
        <v>161500</v>
      </c>
      <c r="P204" s="2" t="s">
        <v>29</v>
      </c>
      <c r="Q204" t="str">
        <f>_xlfn.XLOOKUP(B204,Status!$A$2:$A$1867,Status!$B$2:$B$1867)</f>
        <v>Returned</v>
      </c>
      <c r="R204" s="2" t="s">
        <v>82</v>
      </c>
      <c r="S204" s="8">
        <v>1</v>
      </c>
      <c r="T204" s="2" t="s">
        <v>24</v>
      </c>
      <c r="U204" s="31" t="str" cm="1">
        <f t="array" ref="U204">_xlfn.IFS(L204&lt;=5000,$Z$3,AND(L204&gt;5000,L204&lt;=15000),$Z$4,AND(L204&gt;15000,L204&lt;=30000),$Z$5,AND(L204&gt;30000,L204&lt;=50000),$Z$6,L204&gt;50000,$Z$7)</f>
        <v>Sangat Rendah</v>
      </c>
      <c r="V204" s="2"/>
    </row>
    <row r="205" spans="1:22" ht="15.75" customHeight="1" x14ac:dyDescent="0.25">
      <c r="A205" s="26"/>
      <c r="B205" s="2" t="s">
        <v>430</v>
      </c>
      <c r="C205" s="32">
        <v>45585.31559027778</v>
      </c>
      <c r="D205" s="53">
        <f>YEAR(Table1[[#This Row],[Order Date]])</f>
        <v>2024</v>
      </c>
      <c r="E205" s="2" t="s">
        <v>431</v>
      </c>
      <c r="F205" s="2" t="s">
        <v>33</v>
      </c>
      <c r="G205" s="2" t="s">
        <v>144</v>
      </c>
      <c r="H205" s="23">
        <v>18000</v>
      </c>
      <c r="I205" s="2">
        <v>2</v>
      </c>
      <c r="J205" s="31">
        <v>10</v>
      </c>
      <c r="K205" s="7">
        <f t="shared" si="12"/>
        <v>36000</v>
      </c>
      <c r="L205" s="7">
        <f t="shared" si="13"/>
        <v>3600</v>
      </c>
      <c r="M205" s="7">
        <f t="shared" si="14"/>
        <v>32400</v>
      </c>
      <c r="N205" s="23">
        <v>0</v>
      </c>
      <c r="O205" s="7">
        <f t="shared" si="15"/>
        <v>32400</v>
      </c>
      <c r="P205" s="2" t="s">
        <v>29</v>
      </c>
      <c r="Q205" t="str">
        <f>_xlfn.XLOOKUP(B205,Status!$A$2:$A$1867,Status!$B$2:$B$1867)</f>
        <v>Returned</v>
      </c>
      <c r="R205" s="2" t="s">
        <v>82</v>
      </c>
      <c r="S205" s="8">
        <v>1</v>
      </c>
      <c r="T205" s="2" t="s">
        <v>24</v>
      </c>
      <c r="U205" s="31" t="str" cm="1">
        <f t="array" ref="U205">_xlfn.IFS(L205&lt;=5000,$Z$3,AND(L205&gt;5000,L205&lt;=15000),$Z$4,AND(L205&gt;15000,L205&lt;=30000),$Z$5,AND(L205&gt;30000,L205&lt;=50000),$Z$6,L205&gt;50000,$Z$7)</f>
        <v>Sangat Rendah</v>
      </c>
      <c r="V205" s="2"/>
    </row>
    <row r="206" spans="1:22" ht="15.75" customHeight="1" x14ac:dyDescent="0.25">
      <c r="A206" s="26"/>
      <c r="B206" s="2" t="s">
        <v>432</v>
      </c>
      <c r="C206" s="32">
        <v>45585.430104166669</v>
      </c>
      <c r="D206" s="53">
        <f>YEAR(Table1[[#This Row],[Order Date]])</f>
        <v>2024</v>
      </c>
      <c r="E206" s="2" t="s">
        <v>265</v>
      </c>
      <c r="F206" s="2" t="s">
        <v>119</v>
      </c>
      <c r="G206" s="2" t="s">
        <v>45</v>
      </c>
      <c r="H206" s="23">
        <v>40000</v>
      </c>
      <c r="I206" s="2">
        <v>5</v>
      </c>
      <c r="J206" s="31">
        <v>15</v>
      </c>
      <c r="K206" s="7">
        <f t="shared" si="12"/>
        <v>200000</v>
      </c>
      <c r="L206" s="7">
        <f t="shared" si="13"/>
        <v>30000</v>
      </c>
      <c r="M206" s="7">
        <f t="shared" si="14"/>
        <v>170000</v>
      </c>
      <c r="N206" s="23">
        <v>0</v>
      </c>
      <c r="O206" s="7">
        <f t="shared" si="15"/>
        <v>170000</v>
      </c>
      <c r="P206" s="2" t="s">
        <v>29</v>
      </c>
      <c r="Q206" t="str">
        <f>_xlfn.XLOOKUP(B206,Status!$A$2:$A$1867,Status!$B$2:$B$1867)</f>
        <v>Returned</v>
      </c>
      <c r="R206" s="2" t="s">
        <v>46</v>
      </c>
      <c r="S206" s="8">
        <v>2</v>
      </c>
      <c r="T206" s="2" t="s">
        <v>24</v>
      </c>
      <c r="U206" s="31" t="str" cm="1">
        <f t="array" ref="U206">_xlfn.IFS(L206&lt;=5000,$Z$3,AND(L206&gt;5000,L206&lt;=15000),$Z$4,AND(L206&gt;15000,L206&lt;=30000),$Z$5,AND(L206&gt;30000,L206&lt;=50000),$Z$6,L206&gt;50000,$Z$7)</f>
        <v>Normal</v>
      </c>
      <c r="V206" s="2"/>
    </row>
    <row r="207" spans="1:22" ht="15.75" customHeight="1" x14ac:dyDescent="0.25">
      <c r="A207" s="26"/>
      <c r="B207" s="2" t="s">
        <v>433</v>
      </c>
      <c r="C207" s="32">
        <v>45586.347326388888</v>
      </c>
      <c r="D207" s="53">
        <f>YEAR(Table1[[#This Row],[Order Date]])</f>
        <v>2024</v>
      </c>
      <c r="E207" s="2" t="s">
        <v>434</v>
      </c>
      <c r="F207" s="2" t="s">
        <v>435</v>
      </c>
      <c r="G207" s="2" t="s">
        <v>138</v>
      </c>
      <c r="H207" s="23">
        <v>17000</v>
      </c>
      <c r="I207" s="2">
        <v>2</v>
      </c>
      <c r="J207" s="31">
        <v>20</v>
      </c>
      <c r="K207" s="7">
        <f t="shared" si="12"/>
        <v>34000</v>
      </c>
      <c r="L207" s="7">
        <f t="shared" si="13"/>
        <v>6800</v>
      </c>
      <c r="M207" s="7">
        <f t="shared" si="14"/>
        <v>27200</v>
      </c>
      <c r="N207" s="23">
        <v>67000</v>
      </c>
      <c r="O207" s="7">
        <f t="shared" si="15"/>
        <v>94200</v>
      </c>
      <c r="P207" s="2" t="s">
        <v>29</v>
      </c>
      <c r="Q207" t="str">
        <f>_xlfn.XLOOKUP(B207,Status!$A$2:$A$1867,Status!$B$2:$B$1867)</f>
        <v>Returned</v>
      </c>
      <c r="R207" s="2" t="s">
        <v>46</v>
      </c>
      <c r="S207" s="8">
        <v>4</v>
      </c>
      <c r="T207" s="2" t="s">
        <v>24</v>
      </c>
      <c r="U207" s="31" t="str" cm="1">
        <f t="array" ref="U207">_xlfn.IFS(L207&lt;=5000,$Z$3,AND(L207&gt;5000,L207&lt;=15000),$Z$4,AND(L207&gt;15000,L207&lt;=30000),$Z$5,AND(L207&gt;30000,L207&lt;=50000),$Z$6,L207&gt;50000,$Z$7)</f>
        <v>Rendah</v>
      </c>
      <c r="V207" s="2"/>
    </row>
    <row r="208" spans="1:22" ht="15.75" customHeight="1" x14ac:dyDescent="0.25">
      <c r="A208" s="26"/>
      <c r="B208" s="2" t="s">
        <v>436</v>
      </c>
      <c r="C208" s="32">
        <v>45586.38616898148</v>
      </c>
      <c r="D208" s="53">
        <f>YEAR(Table1[[#This Row],[Order Date]])</f>
        <v>2024</v>
      </c>
      <c r="E208" s="2" t="s">
        <v>437</v>
      </c>
      <c r="F208" s="2" t="s">
        <v>375</v>
      </c>
      <c r="G208" s="2" t="s">
        <v>45</v>
      </c>
      <c r="H208" s="23">
        <v>40000</v>
      </c>
      <c r="I208" s="2">
        <v>3</v>
      </c>
      <c r="J208" s="31">
        <v>5</v>
      </c>
      <c r="K208" s="7">
        <f t="shared" si="12"/>
        <v>120000</v>
      </c>
      <c r="L208" s="7">
        <f t="shared" si="13"/>
        <v>6000</v>
      </c>
      <c r="M208" s="7">
        <f t="shared" si="14"/>
        <v>114000</v>
      </c>
      <c r="N208" s="23">
        <v>21000</v>
      </c>
      <c r="O208" s="7">
        <f t="shared" si="15"/>
        <v>135000</v>
      </c>
      <c r="P208" s="2" t="s">
        <v>63</v>
      </c>
      <c r="Q208" t="str">
        <f>_xlfn.XLOOKUP(B208,Status!$A$2:$A$1867,Status!$B$2:$B$1867)</f>
        <v>Completed</v>
      </c>
      <c r="R208" s="2" t="s">
        <v>23</v>
      </c>
      <c r="S208" s="8">
        <v>3</v>
      </c>
      <c r="T208" s="2" t="s">
        <v>24</v>
      </c>
      <c r="U208" s="31" t="str" cm="1">
        <f t="array" ref="U208">_xlfn.IFS(L208&lt;=5000,$Z$3,AND(L208&gt;5000,L208&lt;=15000),$Z$4,AND(L208&gt;15000,L208&lt;=30000),$Z$5,AND(L208&gt;30000,L208&lt;=50000),$Z$6,L208&gt;50000,$Z$7)</f>
        <v>Rendah</v>
      </c>
      <c r="V208" s="2"/>
    </row>
    <row r="209" spans="1:22" ht="15.75" customHeight="1" x14ac:dyDescent="0.25">
      <c r="A209" s="26"/>
      <c r="B209" s="2" t="s">
        <v>438</v>
      </c>
      <c r="C209" s="32">
        <v>45587.162407407413</v>
      </c>
      <c r="D209" s="53">
        <f>YEAR(Table1[[#This Row],[Order Date]])</f>
        <v>2024</v>
      </c>
      <c r="E209" s="2" t="s">
        <v>439</v>
      </c>
      <c r="F209" s="2" t="s">
        <v>119</v>
      </c>
      <c r="G209" s="2" t="s">
        <v>93</v>
      </c>
      <c r="H209" s="23">
        <v>25000</v>
      </c>
      <c r="I209" s="2">
        <v>1</v>
      </c>
      <c r="J209" s="31">
        <v>0</v>
      </c>
      <c r="K209" s="7">
        <f t="shared" si="12"/>
        <v>25000</v>
      </c>
      <c r="L209" s="7">
        <f t="shared" si="13"/>
        <v>0</v>
      </c>
      <c r="M209" s="7">
        <f t="shared" si="14"/>
        <v>25000</v>
      </c>
      <c r="N209" s="23">
        <v>0</v>
      </c>
      <c r="O209" s="7">
        <f t="shared" si="15"/>
        <v>25000</v>
      </c>
      <c r="P209" s="2" t="s">
        <v>35</v>
      </c>
      <c r="Q209" t="str">
        <f>_xlfn.XLOOKUP(B209,Status!$A$2:$A$1867,Status!$B$2:$B$1867)</f>
        <v>Completed</v>
      </c>
      <c r="R209" s="2" t="s">
        <v>23</v>
      </c>
      <c r="S209" s="8">
        <v>1</v>
      </c>
      <c r="T209" s="2" t="s">
        <v>37</v>
      </c>
      <c r="U209" s="31" t="str" cm="1">
        <f t="array" ref="U209">_xlfn.IFS(L209&lt;=5000,$Z$3,AND(L209&gt;5000,L209&lt;=15000),$Z$4,AND(L209&gt;15000,L209&lt;=30000),$Z$5,AND(L209&gt;30000,L209&lt;=50000),$Z$6,L209&gt;50000,$Z$7)</f>
        <v>Sangat Rendah</v>
      </c>
      <c r="V209" s="2"/>
    </row>
    <row r="210" spans="1:22" ht="15.75" customHeight="1" x14ac:dyDescent="0.25">
      <c r="A210" s="26"/>
      <c r="B210" s="2" t="s">
        <v>440</v>
      </c>
      <c r="C210" s="32">
        <v>45587.341643518521</v>
      </c>
      <c r="D210" s="53">
        <f>YEAR(Table1[[#This Row],[Order Date]])</f>
        <v>2024</v>
      </c>
      <c r="E210" s="2" t="s">
        <v>441</v>
      </c>
      <c r="F210" s="2" t="s">
        <v>116</v>
      </c>
      <c r="G210" s="2" t="s">
        <v>58</v>
      </c>
      <c r="H210" s="23">
        <v>16000</v>
      </c>
      <c r="I210" s="2">
        <v>2</v>
      </c>
      <c r="J210" s="31">
        <v>0</v>
      </c>
      <c r="K210" s="7">
        <f t="shared" si="12"/>
        <v>32000</v>
      </c>
      <c r="L210" s="7">
        <f t="shared" si="13"/>
        <v>0</v>
      </c>
      <c r="M210" s="7">
        <f t="shared" si="14"/>
        <v>32000</v>
      </c>
      <c r="N210" s="23">
        <v>72000</v>
      </c>
      <c r="O210" s="7">
        <f t="shared" si="15"/>
        <v>104000</v>
      </c>
      <c r="P210" s="2" t="s">
        <v>63</v>
      </c>
      <c r="Q210" t="str">
        <f>_xlfn.XLOOKUP(B210,Status!$A$2:$A$1867,Status!$B$2:$B$1867)</f>
        <v>Completed</v>
      </c>
      <c r="R210" s="2" t="s">
        <v>46</v>
      </c>
      <c r="S210" s="8">
        <v>1</v>
      </c>
      <c r="T210" s="2" t="s">
        <v>37</v>
      </c>
      <c r="U210" s="31" t="str" cm="1">
        <f t="array" ref="U210">_xlfn.IFS(L210&lt;=5000,$Z$3,AND(L210&gt;5000,L210&lt;=15000),$Z$4,AND(L210&gt;15000,L210&lt;=30000),$Z$5,AND(L210&gt;30000,L210&lt;=50000),$Z$6,L210&gt;50000,$Z$7)</f>
        <v>Sangat Rendah</v>
      </c>
      <c r="V210" s="2"/>
    </row>
    <row r="211" spans="1:22" ht="15.75" customHeight="1" x14ac:dyDescent="0.25">
      <c r="A211" s="26"/>
      <c r="B211" s="2" t="s">
        <v>442</v>
      </c>
      <c r="C211" s="32">
        <v>45587.469409722216</v>
      </c>
      <c r="D211" s="53">
        <f>YEAR(Table1[[#This Row],[Order Date]])</f>
        <v>2024</v>
      </c>
      <c r="E211" s="2" t="s">
        <v>443</v>
      </c>
      <c r="F211" s="2" t="s">
        <v>53</v>
      </c>
      <c r="G211" s="2" t="s">
        <v>186</v>
      </c>
      <c r="H211" s="23">
        <v>45000</v>
      </c>
      <c r="I211" s="2">
        <v>4</v>
      </c>
      <c r="J211" s="31">
        <v>15</v>
      </c>
      <c r="K211" s="7">
        <f t="shared" si="12"/>
        <v>180000</v>
      </c>
      <c r="L211" s="7">
        <f t="shared" si="13"/>
        <v>27000</v>
      </c>
      <c r="M211" s="7">
        <f t="shared" si="14"/>
        <v>153000</v>
      </c>
      <c r="N211" s="23">
        <v>18000</v>
      </c>
      <c r="O211" s="7">
        <f t="shared" si="15"/>
        <v>171000</v>
      </c>
      <c r="P211" s="2" t="s">
        <v>29</v>
      </c>
      <c r="Q211" t="str">
        <f>_xlfn.XLOOKUP(B211,Status!$A$2:$A$1867,Status!$B$2:$B$1867)</f>
        <v>Completed</v>
      </c>
      <c r="R211" s="2" t="s">
        <v>36</v>
      </c>
      <c r="S211" s="8">
        <v>1</v>
      </c>
      <c r="T211" s="2" t="s">
        <v>24</v>
      </c>
      <c r="U211" s="31" t="str" cm="1">
        <f t="array" ref="U211">_xlfn.IFS(L211&lt;=5000,$Z$3,AND(L211&gt;5000,L211&lt;=15000),$Z$4,AND(L211&gt;15000,L211&lt;=30000),$Z$5,AND(L211&gt;30000,L211&lt;=50000),$Z$6,L211&gt;50000,$Z$7)</f>
        <v>Normal</v>
      </c>
      <c r="V211" s="2"/>
    </row>
    <row r="212" spans="1:22" ht="15.75" customHeight="1" x14ac:dyDescent="0.25">
      <c r="A212" s="26"/>
      <c r="B212" s="2" t="s">
        <v>444</v>
      </c>
      <c r="C212" s="32">
        <v>45587.500289351847</v>
      </c>
      <c r="D212" s="53">
        <f>YEAR(Table1[[#This Row],[Order Date]])</f>
        <v>2024</v>
      </c>
      <c r="E212" s="2" t="s">
        <v>84</v>
      </c>
      <c r="F212" s="2" t="s">
        <v>57</v>
      </c>
      <c r="G212" s="2" t="s">
        <v>104</v>
      </c>
      <c r="H212" s="23">
        <v>30000</v>
      </c>
      <c r="I212" s="2">
        <v>1</v>
      </c>
      <c r="J212" s="31">
        <v>20</v>
      </c>
      <c r="K212" s="7">
        <f t="shared" si="12"/>
        <v>30000</v>
      </c>
      <c r="L212" s="7">
        <f t="shared" si="13"/>
        <v>6000</v>
      </c>
      <c r="M212" s="7">
        <f t="shared" si="14"/>
        <v>24000</v>
      </c>
      <c r="N212" s="23">
        <v>80000</v>
      </c>
      <c r="O212" s="7">
        <f t="shared" si="15"/>
        <v>104000</v>
      </c>
      <c r="P212" s="2" t="s">
        <v>63</v>
      </c>
      <c r="Q212" t="str">
        <f>_xlfn.XLOOKUP(B212,Status!$A$2:$A$1867,Status!$B$2:$B$1867)</f>
        <v>Completed</v>
      </c>
      <c r="R212" s="2" t="s">
        <v>23</v>
      </c>
      <c r="S212" s="8">
        <v>3</v>
      </c>
      <c r="T212" s="2" t="s">
        <v>37</v>
      </c>
      <c r="U212" s="31" t="str" cm="1">
        <f t="array" ref="U212">_xlfn.IFS(L212&lt;=5000,$Z$3,AND(L212&gt;5000,L212&lt;=15000),$Z$4,AND(L212&gt;15000,L212&lt;=30000),$Z$5,AND(L212&gt;30000,L212&lt;=50000),$Z$6,L212&gt;50000,$Z$7)</f>
        <v>Rendah</v>
      </c>
      <c r="V212" s="2"/>
    </row>
    <row r="213" spans="1:22" ht="15.75" customHeight="1" x14ac:dyDescent="0.25">
      <c r="A213" s="26"/>
      <c r="B213" s="2" t="s">
        <v>445</v>
      </c>
      <c r="C213" s="32">
        <v>45588.139120370368</v>
      </c>
      <c r="D213" s="53">
        <f>YEAR(Table1[[#This Row],[Order Date]])</f>
        <v>2024</v>
      </c>
      <c r="E213" s="2" t="s">
        <v>446</v>
      </c>
      <c r="F213" s="2" t="s">
        <v>296</v>
      </c>
      <c r="G213" s="2" t="s">
        <v>81</v>
      </c>
      <c r="H213" s="23">
        <v>17000</v>
      </c>
      <c r="I213" s="2">
        <v>2</v>
      </c>
      <c r="J213" s="31">
        <v>15</v>
      </c>
      <c r="K213" s="7">
        <f t="shared" si="12"/>
        <v>34000</v>
      </c>
      <c r="L213" s="7">
        <f t="shared" si="13"/>
        <v>5100</v>
      </c>
      <c r="M213" s="7">
        <f t="shared" si="14"/>
        <v>28900</v>
      </c>
      <c r="N213" s="23">
        <v>79000</v>
      </c>
      <c r="O213" s="7">
        <f t="shared" si="15"/>
        <v>107900</v>
      </c>
      <c r="P213" s="2" t="s">
        <v>35</v>
      </c>
      <c r="Q213" t="str">
        <f>_xlfn.XLOOKUP(B213,Status!$A$2:$A$1867,Status!$B$2:$B$1867)</f>
        <v>Returned</v>
      </c>
      <c r="R213" s="2" t="s">
        <v>30</v>
      </c>
      <c r="S213" s="8">
        <v>5</v>
      </c>
      <c r="T213" s="2" t="s">
        <v>37</v>
      </c>
      <c r="U213" s="31" t="str" cm="1">
        <f t="array" ref="U213">_xlfn.IFS(L213&lt;=5000,$Z$3,AND(L213&gt;5000,L213&lt;=15000),$Z$4,AND(L213&gt;15000,L213&lt;=30000),$Z$5,AND(L213&gt;30000,L213&lt;=50000),$Z$6,L213&gt;50000,$Z$7)</f>
        <v>Rendah</v>
      </c>
      <c r="V213" s="2"/>
    </row>
    <row r="214" spans="1:22" ht="15.75" customHeight="1" x14ac:dyDescent="0.25">
      <c r="A214" s="26"/>
      <c r="B214" s="2" t="s">
        <v>447</v>
      </c>
      <c r="C214" s="32">
        <v>45588.201261574082</v>
      </c>
      <c r="D214" s="53">
        <f>YEAR(Table1[[#This Row],[Order Date]])</f>
        <v>2024</v>
      </c>
      <c r="E214" s="2" t="s">
        <v>249</v>
      </c>
      <c r="F214" s="2" t="s">
        <v>49</v>
      </c>
      <c r="G214" s="2" t="s">
        <v>250</v>
      </c>
      <c r="H214" s="23">
        <v>18000</v>
      </c>
      <c r="I214" s="2">
        <v>5</v>
      </c>
      <c r="J214" s="31">
        <v>5</v>
      </c>
      <c r="K214" s="7">
        <f t="shared" si="12"/>
        <v>90000</v>
      </c>
      <c r="L214" s="7">
        <f t="shared" si="13"/>
        <v>4500</v>
      </c>
      <c r="M214" s="7">
        <f t="shared" si="14"/>
        <v>85500</v>
      </c>
      <c r="N214" s="23">
        <v>43000</v>
      </c>
      <c r="O214" s="7">
        <f t="shared" si="15"/>
        <v>128500</v>
      </c>
      <c r="P214" s="2" t="s">
        <v>29</v>
      </c>
      <c r="Q214" t="str">
        <f>_xlfn.XLOOKUP(B214,Status!$A$2:$A$1867,Status!$B$2:$B$1867)</f>
        <v>Completed</v>
      </c>
      <c r="R214" s="2" t="s">
        <v>82</v>
      </c>
      <c r="S214" s="8">
        <v>2</v>
      </c>
      <c r="T214" s="2" t="s">
        <v>24</v>
      </c>
      <c r="U214" s="31" t="str" cm="1">
        <f t="array" ref="U214">_xlfn.IFS(L214&lt;=5000,$Z$3,AND(L214&gt;5000,L214&lt;=15000),$Z$4,AND(L214&gt;15000,L214&lt;=30000),$Z$5,AND(L214&gt;30000,L214&lt;=50000),$Z$6,L214&gt;50000,$Z$7)</f>
        <v>Sangat Rendah</v>
      </c>
      <c r="V214" s="2"/>
    </row>
    <row r="215" spans="1:22" ht="15.75" customHeight="1" x14ac:dyDescent="0.25">
      <c r="A215" s="26"/>
      <c r="B215" s="2" t="s">
        <v>447</v>
      </c>
      <c r="C215" s="32">
        <v>45588.201261574082</v>
      </c>
      <c r="D215" s="53">
        <f>YEAR(Table1[[#This Row],[Order Date]])</f>
        <v>2024</v>
      </c>
      <c r="E215" s="2" t="s">
        <v>249</v>
      </c>
      <c r="F215" s="2" t="s">
        <v>49</v>
      </c>
      <c r="G215" s="2" t="s">
        <v>186</v>
      </c>
      <c r="H215" s="23">
        <v>45000</v>
      </c>
      <c r="I215" s="2">
        <v>5</v>
      </c>
      <c r="J215" s="31">
        <v>20</v>
      </c>
      <c r="K215" s="7">
        <f t="shared" si="12"/>
        <v>225000</v>
      </c>
      <c r="L215" s="7">
        <f t="shared" si="13"/>
        <v>45000</v>
      </c>
      <c r="M215" s="7">
        <f t="shared" si="14"/>
        <v>180000</v>
      </c>
      <c r="N215" s="23">
        <v>0</v>
      </c>
      <c r="O215" s="7">
        <f t="shared" si="15"/>
        <v>180000</v>
      </c>
      <c r="P215" s="2" t="s">
        <v>29</v>
      </c>
      <c r="Q215" t="str">
        <f>_xlfn.XLOOKUP(B215,Status!$A$2:$A$1867,Status!$B$2:$B$1867)</f>
        <v>Completed</v>
      </c>
      <c r="R215" s="2" t="s">
        <v>82</v>
      </c>
      <c r="S215" s="8">
        <v>2</v>
      </c>
      <c r="T215" s="2" t="s">
        <v>24</v>
      </c>
      <c r="U215" s="31" t="str" cm="1">
        <f t="array" ref="U215">_xlfn.IFS(L215&lt;=5000,$Z$3,AND(L215&gt;5000,L215&lt;=15000),$Z$4,AND(L215&gt;15000,L215&lt;=30000),$Z$5,AND(L215&gt;30000,L215&lt;=50000),$Z$6,L215&gt;50000,$Z$7)</f>
        <v>Tinggi</v>
      </c>
      <c r="V215" s="2"/>
    </row>
    <row r="216" spans="1:22" ht="15.75" customHeight="1" x14ac:dyDescent="0.25">
      <c r="A216" s="26"/>
      <c r="B216" s="2" t="s">
        <v>448</v>
      </c>
      <c r="C216" s="32">
        <v>45588.265324074076</v>
      </c>
      <c r="D216" s="53">
        <f>YEAR(Table1[[#This Row],[Order Date]])</f>
        <v>2024</v>
      </c>
      <c r="E216" s="2" t="s">
        <v>449</v>
      </c>
      <c r="F216" s="2" t="s">
        <v>151</v>
      </c>
      <c r="G216" s="2" t="s">
        <v>34</v>
      </c>
      <c r="H216" s="23">
        <v>16000</v>
      </c>
      <c r="I216" s="2">
        <v>4</v>
      </c>
      <c r="J216" s="31">
        <v>15</v>
      </c>
      <c r="K216" s="7">
        <f t="shared" si="12"/>
        <v>64000</v>
      </c>
      <c r="L216" s="7">
        <f t="shared" si="13"/>
        <v>9600</v>
      </c>
      <c r="M216" s="7">
        <f t="shared" si="14"/>
        <v>54400</v>
      </c>
      <c r="N216" s="23">
        <v>55000</v>
      </c>
      <c r="O216" s="7">
        <f t="shared" si="15"/>
        <v>109400</v>
      </c>
      <c r="P216" s="2" t="s">
        <v>35</v>
      </c>
      <c r="Q216" t="str">
        <f>_xlfn.XLOOKUP(B216,Status!$A$2:$A$1867,Status!$B$2:$B$1867)</f>
        <v>Completed</v>
      </c>
      <c r="R216" s="2" t="s">
        <v>36</v>
      </c>
      <c r="S216" s="8">
        <v>1</v>
      </c>
      <c r="T216" s="2" t="s">
        <v>24</v>
      </c>
      <c r="U216" s="31" t="str" cm="1">
        <f t="array" ref="U216">_xlfn.IFS(L216&lt;=5000,$Z$3,AND(L216&gt;5000,L216&lt;=15000),$Z$4,AND(L216&gt;15000,L216&lt;=30000),$Z$5,AND(L216&gt;30000,L216&lt;=50000),$Z$6,L216&gt;50000,$Z$7)</f>
        <v>Rendah</v>
      </c>
      <c r="V216" s="2"/>
    </row>
    <row r="217" spans="1:22" ht="15.75" customHeight="1" x14ac:dyDescent="0.25">
      <c r="A217" s="26"/>
      <c r="B217" s="2" t="s">
        <v>450</v>
      </c>
      <c r="C217" s="32">
        <v>45588.701157407413</v>
      </c>
      <c r="D217" s="53">
        <f>YEAR(Table1[[#This Row],[Order Date]])</f>
        <v>2024</v>
      </c>
      <c r="E217" s="2" t="s">
        <v>451</v>
      </c>
      <c r="F217" s="2" t="s">
        <v>116</v>
      </c>
      <c r="G217" s="2" t="s">
        <v>136</v>
      </c>
      <c r="H217" s="23">
        <v>12000</v>
      </c>
      <c r="I217" s="2">
        <v>4</v>
      </c>
      <c r="J217" s="31">
        <v>5</v>
      </c>
      <c r="K217" s="7">
        <f t="shared" si="12"/>
        <v>48000</v>
      </c>
      <c r="L217" s="7">
        <f t="shared" si="13"/>
        <v>2400</v>
      </c>
      <c r="M217" s="7">
        <f t="shared" si="14"/>
        <v>45600</v>
      </c>
      <c r="N217" s="23">
        <v>72000</v>
      </c>
      <c r="O217" s="7">
        <f t="shared" si="15"/>
        <v>117600</v>
      </c>
      <c r="P217" s="2" t="s">
        <v>29</v>
      </c>
      <c r="Q217" t="str">
        <f>_xlfn.XLOOKUP(B217,Status!$A$2:$A$1867,Status!$B$2:$B$1867)</f>
        <v>Completed</v>
      </c>
      <c r="R217" s="2" t="s">
        <v>36</v>
      </c>
      <c r="S217" s="8">
        <v>4</v>
      </c>
      <c r="T217" s="2" t="s">
        <v>24</v>
      </c>
      <c r="U217" s="31" t="str" cm="1">
        <f t="array" ref="U217">_xlfn.IFS(L217&lt;=5000,$Z$3,AND(L217&gt;5000,L217&lt;=15000),$Z$4,AND(L217&gt;15000,L217&lt;=30000),$Z$5,AND(L217&gt;30000,L217&lt;=50000),$Z$6,L217&gt;50000,$Z$7)</f>
        <v>Sangat Rendah</v>
      </c>
      <c r="V217" s="2"/>
    </row>
    <row r="218" spans="1:22" ht="15.75" customHeight="1" x14ac:dyDescent="0.25">
      <c r="A218" s="26"/>
      <c r="B218" s="2" t="s">
        <v>452</v>
      </c>
      <c r="C218" s="32">
        <v>45588.701851851853</v>
      </c>
      <c r="D218" s="53">
        <f>YEAR(Table1[[#This Row],[Order Date]])</f>
        <v>2024</v>
      </c>
      <c r="E218" s="2" t="s">
        <v>453</v>
      </c>
      <c r="F218" s="2" t="s">
        <v>27</v>
      </c>
      <c r="G218" s="2" t="s">
        <v>110</v>
      </c>
      <c r="H218" s="23">
        <v>6000</v>
      </c>
      <c r="I218" s="2">
        <v>4</v>
      </c>
      <c r="J218" s="31">
        <v>10</v>
      </c>
      <c r="K218" s="7">
        <f t="shared" si="12"/>
        <v>24000</v>
      </c>
      <c r="L218" s="7">
        <f t="shared" si="13"/>
        <v>2400</v>
      </c>
      <c r="M218" s="7">
        <f t="shared" si="14"/>
        <v>21600</v>
      </c>
      <c r="N218" s="23">
        <v>17000</v>
      </c>
      <c r="O218" s="7">
        <f t="shared" si="15"/>
        <v>38600</v>
      </c>
      <c r="P218" s="2" t="s">
        <v>29</v>
      </c>
      <c r="Q218" t="str">
        <f>_xlfn.XLOOKUP(B218,Status!$A$2:$A$1867,Status!$B$2:$B$1867)</f>
        <v>Completed</v>
      </c>
      <c r="R218" s="2" t="s">
        <v>23</v>
      </c>
      <c r="S218" s="8">
        <v>4</v>
      </c>
      <c r="T218" s="2" t="s">
        <v>37</v>
      </c>
      <c r="U218" s="31" t="str" cm="1">
        <f t="array" ref="U218">_xlfn.IFS(L218&lt;=5000,$Z$3,AND(L218&gt;5000,L218&lt;=15000),$Z$4,AND(L218&gt;15000,L218&lt;=30000),$Z$5,AND(L218&gt;30000,L218&lt;=50000),$Z$6,L218&gt;50000,$Z$7)</f>
        <v>Sangat Rendah</v>
      </c>
      <c r="V218" s="2"/>
    </row>
    <row r="219" spans="1:22" ht="15.75" customHeight="1" x14ac:dyDescent="0.25">
      <c r="A219" s="26"/>
      <c r="B219" s="2" t="s">
        <v>454</v>
      </c>
      <c r="C219" s="32">
        <v>45588.748912037037</v>
      </c>
      <c r="D219" s="53">
        <f>YEAR(Table1[[#This Row],[Order Date]])</f>
        <v>2024</v>
      </c>
      <c r="E219" s="2" t="s">
        <v>455</v>
      </c>
      <c r="F219" s="2" t="s">
        <v>33</v>
      </c>
      <c r="G219" s="2" t="s">
        <v>186</v>
      </c>
      <c r="H219" s="23">
        <v>45000</v>
      </c>
      <c r="I219" s="2">
        <v>3</v>
      </c>
      <c r="J219" s="31">
        <v>15</v>
      </c>
      <c r="K219" s="7">
        <f t="shared" si="12"/>
        <v>135000</v>
      </c>
      <c r="L219" s="7">
        <f t="shared" si="13"/>
        <v>20250</v>
      </c>
      <c r="M219" s="7">
        <f t="shared" si="14"/>
        <v>114750</v>
      </c>
      <c r="N219" s="23">
        <v>76000</v>
      </c>
      <c r="O219" s="7">
        <f t="shared" si="15"/>
        <v>190750</v>
      </c>
      <c r="P219" s="2" t="s">
        <v>29</v>
      </c>
      <c r="Q219" t="str">
        <f>_xlfn.XLOOKUP(B219,Status!$A$2:$A$1867,Status!$B$2:$B$1867)</f>
        <v>Completed</v>
      </c>
      <c r="R219" s="2" t="s">
        <v>36</v>
      </c>
      <c r="S219" s="8">
        <v>1</v>
      </c>
      <c r="T219" s="2" t="s">
        <v>24</v>
      </c>
      <c r="U219" s="31" t="str" cm="1">
        <f t="array" ref="U219">_xlfn.IFS(L219&lt;=5000,$Z$3,AND(L219&gt;5000,L219&lt;=15000),$Z$4,AND(L219&gt;15000,L219&lt;=30000),$Z$5,AND(L219&gt;30000,L219&lt;=50000),$Z$6,L219&gt;50000,$Z$7)</f>
        <v>Normal</v>
      </c>
      <c r="V219" s="2"/>
    </row>
    <row r="220" spans="1:22" ht="15.75" customHeight="1" x14ac:dyDescent="0.25">
      <c r="A220" s="26"/>
      <c r="B220" s="2" t="s">
        <v>454</v>
      </c>
      <c r="C220" s="32">
        <v>45588.748912037037</v>
      </c>
      <c r="D220" s="53">
        <f>YEAR(Table1[[#This Row],[Order Date]])</f>
        <v>2024</v>
      </c>
      <c r="E220" s="2" t="s">
        <v>455</v>
      </c>
      <c r="F220" s="2" t="s">
        <v>33</v>
      </c>
      <c r="G220" s="2" t="s">
        <v>81</v>
      </c>
      <c r="H220" s="23">
        <v>17000</v>
      </c>
      <c r="I220" s="2">
        <v>4</v>
      </c>
      <c r="J220" s="31">
        <v>20</v>
      </c>
      <c r="K220" s="7">
        <f t="shared" si="12"/>
        <v>68000</v>
      </c>
      <c r="L220" s="7">
        <f t="shared" si="13"/>
        <v>13600</v>
      </c>
      <c r="M220" s="7">
        <f t="shared" si="14"/>
        <v>54400</v>
      </c>
      <c r="N220" s="23">
        <v>0</v>
      </c>
      <c r="O220" s="7">
        <f t="shared" si="15"/>
        <v>54400</v>
      </c>
      <c r="P220" s="2" t="s">
        <v>29</v>
      </c>
      <c r="Q220" t="str">
        <f>_xlfn.XLOOKUP(B220,Status!$A$2:$A$1867,Status!$B$2:$B$1867)</f>
        <v>Completed</v>
      </c>
      <c r="R220" s="2" t="s">
        <v>36</v>
      </c>
      <c r="S220" s="8">
        <v>1</v>
      </c>
      <c r="T220" s="2" t="s">
        <v>24</v>
      </c>
      <c r="U220" s="31" t="str" cm="1">
        <f t="array" ref="U220">_xlfn.IFS(L220&lt;=5000,$Z$3,AND(L220&gt;5000,L220&lt;=15000),$Z$4,AND(L220&gt;15000,L220&lt;=30000),$Z$5,AND(L220&gt;30000,L220&lt;=50000),$Z$6,L220&gt;50000,$Z$7)</f>
        <v>Rendah</v>
      </c>
      <c r="V220" s="2"/>
    </row>
    <row r="221" spans="1:22" ht="15.75" customHeight="1" x14ac:dyDescent="0.25">
      <c r="A221" s="26"/>
      <c r="B221" s="2" t="s">
        <v>456</v>
      </c>
      <c r="C221" s="32">
        <v>45589.446782407409</v>
      </c>
      <c r="D221" s="53">
        <f>YEAR(Table1[[#This Row],[Order Date]])</f>
        <v>2024</v>
      </c>
      <c r="E221" s="2" t="s">
        <v>457</v>
      </c>
      <c r="F221" s="2" t="s">
        <v>80</v>
      </c>
      <c r="G221" s="2" t="s">
        <v>123</v>
      </c>
      <c r="H221" s="23">
        <v>22000</v>
      </c>
      <c r="I221" s="2">
        <v>3</v>
      </c>
      <c r="J221" s="31">
        <v>10</v>
      </c>
      <c r="K221" s="7">
        <f t="shared" si="12"/>
        <v>66000</v>
      </c>
      <c r="L221" s="7">
        <f t="shared" si="13"/>
        <v>6600</v>
      </c>
      <c r="M221" s="7">
        <f t="shared" si="14"/>
        <v>59400</v>
      </c>
      <c r="N221" s="23">
        <v>74000</v>
      </c>
      <c r="O221" s="7">
        <f t="shared" si="15"/>
        <v>133400</v>
      </c>
      <c r="P221" s="2" t="s">
        <v>22</v>
      </c>
      <c r="Q221" t="str">
        <f>_xlfn.XLOOKUP(B221,Status!$A$2:$A$1867,Status!$B$2:$B$1867)</f>
        <v>Completed</v>
      </c>
      <c r="R221" s="2" t="s">
        <v>23</v>
      </c>
      <c r="S221" s="8">
        <v>3</v>
      </c>
      <c r="T221" s="2" t="s">
        <v>24</v>
      </c>
      <c r="U221" s="31" t="str" cm="1">
        <f t="array" ref="U221">_xlfn.IFS(L221&lt;=5000,$Z$3,AND(L221&gt;5000,L221&lt;=15000),$Z$4,AND(L221&gt;15000,L221&lt;=30000),$Z$5,AND(L221&gt;30000,L221&lt;=50000),$Z$6,L221&gt;50000,$Z$7)</f>
        <v>Rendah</v>
      </c>
      <c r="V221" s="2"/>
    </row>
    <row r="222" spans="1:22" ht="15.75" customHeight="1" x14ac:dyDescent="0.25">
      <c r="A222" s="26"/>
      <c r="B222" s="2" t="s">
        <v>458</v>
      </c>
      <c r="C222" s="32">
        <v>45589.502523148149</v>
      </c>
      <c r="D222" s="53">
        <f>YEAR(Table1[[#This Row],[Order Date]])</f>
        <v>2024</v>
      </c>
      <c r="E222" s="2" t="s">
        <v>459</v>
      </c>
      <c r="F222" s="2" t="s">
        <v>61</v>
      </c>
      <c r="G222" s="2" t="s">
        <v>93</v>
      </c>
      <c r="H222" s="23">
        <v>25000</v>
      </c>
      <c r="I222" s="2">
        <v>3</v>
      </c>
      <c r="J222" s="31">
        <v>10</v>
      </c>
      <c r="K222" s="7">
        <f t="shared" si="12"/>
        <v>75000</v>
      </c>
      <c r="L222" s="7">
        <f t="shared" si="13"/>
        <v>7500</v>
      </c>
      <c r="M222" s="7">
        <f t="shared" si="14"/>
        <v>67500</v>
      </c>
      <c r="N222" s="23">
        <v>26000</v>
      </c>
      <c r="O222" s="7">
        <f t="shared" si="15"/>
        <v>93500</v>
      </c>
      <c r="P222" s="2" t="s">
        <v>29</v>
      </c>
      <c r="Q222" t="str">
        <f>_xlfn.XLOOKUP(B222,Status!$A$2:$A$1867,Status!$B$2:$B$1867)</f>
        <v>Completed</v>
      </c>
      <c r="R222" s="2" t="s">
        <v>46</v>
      </c>
      <c r="S222" s="8">
        <v>5</v>
      </c>
      <c r="T222" s="2" t="s">
        <v>24</v>
      </c>
      <c r="U222" s="31" t="str" cm="1">
        <f t="array" ref="U222">_xlfn.IFS(L222&lt;=5000,$Z$3,AND(L222&gt;5000,L222&lt;=15000),$Z$4,AND(L222&gt;15000,L222&lt;=30000),$Z$5,AND(L222&gt;30000,L222&lt;=50000),$Z$6,L222&gt;50000,$Z$7)</f>
        <v>Rendah</v>
      </c>
      <c r="V222" s="2"/>
    </row>
    <row r="223" spans="1:22" ht="15.75" customHeight="1" x14ac:dyDescent="0.25">
      <c r="A223" s="26"/>
      <c r="B223" s="2" t="s">
        <v>460</v>
      </c>
      <c r="C223" s="32">
        <v>45589.551249999997</v>
      </c>
      <c r="D223" s="53">
        <f>YEAR(Table1[[#This Row],[Order Date]])</f>
        <v>2024</v>
      </c>
      <c r="E223" s="2" t="s">
        <v>461</v>
      </c>
      <c r="F223" s="2" t="s">
        <v>92</v>
      </c>
      <c r="G223" s="2" t="s">
        <v>85</v>
      </c>
      <c r="H223" s="23">
        <v>35000</v>
      </c>
      <c r="I223" s="2">
        <v>3</v>
      </c>
      <c r="J223" s="31">
        <v>0</v>
      </c>
      <c r="K223" s="7">
        <f t="shared" si="12"/>
        <v>105000</v>
      </c>
      <c r="L223" s="7">
        <f t="shared" si="13"/>
        <v>0</v>
      </c>
      <c r="M223" s="7">
        <f t="shared" si="14"/>
        <v>105000</v>
      </c>
      <c r="N223" s="23">
        <v>30000</v>
      </c>
      <c r="O223" s="7">
        <f t="shared" si="15"/>
        <v>135000</v>
      </c>
      <c r="P223" s="2" t="s">
        <v>35</v>
      </c>
      <c r="Q223" t="str">
        <f>_xlfn.XLOOKUP(B223,Status!$A$2:$A$1867,Status!$B$2:$B$1867)</f>
        <v>Completed</v>
      </c>
      <c r="R223" s="2" t="s">
        <v>36</v>
      </c>
      <c r="S223" s="8">
        <v>1</v>
      </c>
      <c r="T223" s="2" t="s">
        <v>37</v>
      </c>
      <c r="U223" s="31" t="str" cm="1">
        <f t="array" ref="U223">_xlfn.IFS(L223&lt;=5000,$Z$3,AND(L223&gt;5000,L223&lt;=15000),$Z$4,AND(L223&gt;15000,L223&lt;=30000),$Z$5,AND(L223&gt;30000,L223&lt;=50000),$Z$6,L223&gt;50000,$Z$7)</f>
        <v>Sangat Rendah</v>
      </c>
      <c r="V223" s="2"/>
    </row>
    <row r="224" spans="1:22" ht="15.75" customHeight="1" x14ac:dyDescent="0.25">
      <c r="A224" s="26"/>
      <c r="B224" s="2" t="s">
        <v>462</v>
      </c>
      <c r="C224" s="32">
        <v>45589.828738425917</v>
      </c>
      <c r="D224" s="53">
        <f>YEAR(Table1[[#This Row],[Order Date]])</f>
        <v>2024</v>
      </c>
      <c r="E224" s="2" t="s">
        <v>118</v>
      </c>
      <c r="F224" s="2" t="s">
        <v>119</v>
      </c>
      <c r="G224" s="2" t="s">
        <v>110</v>
      </c>
      <c r="H224" s="23">
        <v>6000</v>
      </c>
      <c r="I224" s="2">
        <v>5</v>
      </c>
      <c r="J224" s="31">
        <v>15</v>
      </c>
      <c r="K224" s="7">
        <f t="shared" si="12"/>
        <v>30000</v>
      </c>
      <c r="L224" s="7">
        <f t="shared" si="13"/>
        <v>4500</v>
      </c>
      <c r="M224" s="7">
        <f t="shared" si="14"/>
        <v>25500</v>
      </c>
      <c r="N224" s="23">
        <v>0</v>
      </c>
      <c r="O224" s="7">
        <f t="shared" si="15"/>
        <v>25500</v>
      </c>
      <c r="P224" s="2" t="s">
        <v>35</v>
      </c>
      <c r="Q224" t="str">
        <f>_xlfn.XLOOKUP(B224,Status!$A$2:$A$1867,Status!$B$2:$B$1867)</f>
        <v>Completed</v>
      </c>
      <c r="R224" s="2" t="s">
        <v>36</v>
      </c>
      <c r="S224" s="8">
        <v>3</v>
      </c>
      <c r="T224" s="2" t="s">
        <v>24</v>
      </c>
      <c r="U224" s="31" t="str" cm="1">
        <f t="array" ref="U224">_xlfn.IFS(L224&lt;=5000,$Z$3,AND(L224&gt;5000,L224&lt;=15000),$Z$4,AND(L224&gt;15000,L224&lt;=30000),$Z$5,AND(L224&gt;30000,L224&lt;=50000),$Z$6,L224&gt;50000,$Z$7)</f>
        <v>Sangat Rendah</v>
      </c>
      <c r="V224" s="2"/>
    </row>
    <row r="225" spans="1:22" ht="15.75" customHeight="1" x14ac:dyDescent="0.25">
      <c r="A225" s="26"/>
      <c r="B225" s="2" t="s">
        <v>463</v>
      </c>
      <c r="C225" s="32">
        <v>45589.90861111111</v>
      </c>
      <c r="D225" s="53">
        <f>YEAR(Table1[[#This Row],[Order Date]])</f>
        <v>2024</v>
      </c>
      <c r="E225" s="2" t="s">
        <v>464</v>
      </c>
      <c r="F225" s="2" t="s">
        <v>296</v>
      </c>
      <c r="G225" s="2" t="s">
        <v>190</v>
      </c>
      <c r="H225" s="23">
        <v>35000</v>
      </c>
      <c r="I225" s="2">
        <v>4</v>
      </c>
      <c r="J225" s="31">
        <v>20</v>
      </c>
      <c r="K225" s="7">
        <f t="shared" si="12"/>
        <v>140000</v>
      </c>
      <c r="L225" s="7">
        <f t="shared" si="13"/>
        <v>28000</v>
      </c>
      <c r="M225" s="7">
        <f t="shared" si="14"/>
        <v>112000</v>
      </c>
      <c r="N225" s="23">
        <v>79000</v>
      </c>
      <c r="O225" s="7">
        <f t="shared" si="15"/>
        <v>191000</v>
      </c>
      <c r="P225" s="2" t="s">
        <v>29</v>
      </c>
      <c r="Q225" t="str">
        <f>_xlfn.XLOOKUP(B225,Status!$A$2:$A$1867,Status!$B$2:$B$1867)</f>
        <v>Completed</v>
      </c>
      <c r="R225" s="2" t="s">
        <v>46</v>
      </c>
      <c r="S225" s="8">
        <v>4</v>
      </c>
      <c r="T225" s="2" t="s">
        <v>37</v>
      </c>
      <c r="U225" s="31" t="str" cm="1">
        <f t="array" ref="U225">_xlfn.IFS(L225&lt;=5000,$Z$3,AND(L225&gt;5000,L225&lt;=15000),$Z$4,AND(L225&gt;15000,L225&lt;=30000),$Z$5,AND(L225&gt;30000,L225&lt;=50000),$Z$6,L225&gt;50000,$Z$7)</f>
        <v>Normal</v>
      </c>
      <c r="V225" s="2"/>
    </row>
    <row r="226" spans="1:22" ht="15.75" customHeight="1" x14ac:dyDescent="0.25">
      <c r="A226" s="26"/>
      <c r="B226" s="2" t="s">
        <v>465</v>
      </c>
      <c r="C226" s="32">
        <v>45589.987604166658</v>
      </c>
      <c r="D226" s="53">
        <f>YEAR(Table1[[#This Row],[Order Date]])</f>
        <v>2024</v>
      </c>
      <c r="E226" s="2" t="s">
        <v>466</v>
      </c>
      <c r="F226" s="2" t="s">
        <v>131</v>
      </c>
      <c r="G226" s="2" t="s">
        <v>71</v>
      </c>
      <c r="H226" s="23">
        <v>40000</v>
      </c>
      <c r="I226" s="2">
        <v>1</v>
      </c>
      <c r="J226" s="31">
        <v>5</v>
      </c>
      <c r="K226" s="7">
        <f t="shared" si="12"/>
        <v>40000</v>
      </c>
      <c r="L226" s="7">
        <f t="shared" si="13"/>
        <v>2000</v>
      </c>
      <c r="M226" s="7">
        <f t="shared" si="14"/>
        <v>38000</v>
      </c>
      <c r="N226" s="23">
        <v>59000</v>
      </c>
      <c r="O226" s="7">
        <f t="shared" si="15"/>
        <v>97000</v>
      </c>
      <c r="P226" s="2" t="s">
        <v>22</v>
      </c>
      <c r="Q226" t="str">
        <f>_xlfn.XLOOKUP(B226,Status!$A$2:$A$1867,Status!$B$2:$B$1867)</f>
        <v>Completed</v>
      </c>
      <c r="R226" s="2" t="s">
        <v>82</v>
      </c>
      <c r="S226" s="8">
        <v>5</v>
      </c>
      <c r="T226" s="2" t="s">
        <v>24</v>
      </c>
      <c r="U226" s="31" t="str" cm="1">
        <f t="array" ref="U226">_xlfn.IFS(L226&lt;=5000,$Z$3,AND(L226&gt;5000,L226&lt;=15000),$Z$4,AND(L226&gt;15000,L226&lt;=30000),$Z$5,AND(L226&gt;30000,L226&lt;=50000),$Z$6,L226&gt;50000,$Z$7)</f>
        <v>Sangat Rendah</v>
      </c>
      <c r="V226" s="2"/>
    </row>
    <row r="227" spans="1:22" ht="15.75" customHeight="1" x14ac:dyDescent="0.25">
      <c r="A227" s="26"/>
      <c r="B227" s="2" t="s">
        <v>467</v>
      </c>
      <c r="C227" s="32">
        <v>45590.049872685187</v>
      </c>
      <c r="D227" s="53">
        <f>YEAR(Table1[[#This Row],[Order Date]])</f>
        <v>2024</v>
      </c>
      <c r="E227" s="2" t="s">
        <v>468</v>
      </c>
      <c r="F227" s="2" t="s">
        <v>163</v>
      </c>
      <c r="G227" s="2" t="s">
        <v>144</v>
      </c>
      <c r="H227" s="23">
        <v>18000</v>
      </c>
      <c r="I227" s="2">
        <v>1</v>
      </c>
      <c r="J227" s="31">
        <v>10</v>
      </c>
      <c r="K227" s="7">
        <f t="shared" si="12"/>
        <v>18000</v>
      </c>
      <c r="L227" s="7">
        <f t="shared" si="13"/>
        <v>1800</v>
      </c>
      <c r="M227" s="7">
        <f t="shared" si="14"/>
        <v>16200</v>
      </c>
      <c r="N227" s="23">
        <v>50000</v>
      </c>
      <c r="O227" s="7">
        <f t="shared" si="15"/>
        <v>66200</v>
      </c>
      <c r="P227" s="2" t="s">
        <v>35</v>
      </c>
      <c r="Q227" t="str">
        <f>_xlfn.XLOOKUP(B227,Status!$A$2:$A$1867,Status!$B$2:$B$1867)</f>
        <v>Completed</v>
      </c>
      <c r="R227" s="2" t="s">
        <v>36</v>
      </c>
      <c r="S227" s="8">
        <v>4</v>
      </c>
      <c r="T227" s="2" t="s">
        <v>24</v>
      </c>
      <c r="U227" s="31" t="str" cm="1">
        <f t="array" ref="U227">_xlfn.IFS(L227&lt;=5000,$Z$3,AND(L227&gt;5000,L227&lt;=15000),$Z$4,AND(L227&gt;15000,L227&lt;=30000),$Z$5,AND(L227&gt;30000,L227&lt;=50000),$Z$6,L227&gt;50000,$Z$7)</f>
        <v>Sangat Rendah</v>
      </c>
      <c r="V227" s="2"/>
    </row>
    <row r="228" spans="1:22" ht="15.75" customHeight="1" x14ac:dyDescent="0.25">
      <c r="A228" s="26"/>
      <c r="B228" s="2" t="s">
        <v>469</v>
      </c>
      <c r="C228" s="32">
        <v>45590.060011574067</v>
      </c>
      <c r="D228" s="53">
        <f>YEAR(Table1[[#This Row],[Order Date]])</f>
        <v>2024</v>
      </c>
      <c r="E228" s="2" t="s">
        <v>470</v>
      </c>
      <c r="F228" s="2" t="s">
        <v>116</v>
      </c>
      <c r="G228" s="2" t="s">
        <v>110</v>
      </c>
      <c r="H228" s="23">
        <v>6000</v>
      </c>
      <c r="I228" s="2">
        <v>4</v>
      </c>
      <c r="J228" s="31">
        <v>5</v>
      </c>
      <c r="K228" s="7">
        <f t="shared" si="12"/>
        <v>24000</v>
      </c>
      <c r="L228" s="7">
        <f t="shared" si="13"/>
        <v>1200</v>
      </c>
      <c r="M228" s="7">
        <f t="shared" si="14"/>
        <v>22800</v>
      </c>
      <c r="N228" s="23">
        <v>72000</v>
      </c>
      <c r="O228" s="7">
        <f t="shared" si="15"/>
        <v>94800</v>
      </c>
      <c r="P228" s="2" t="s">
        <v>63</v>
      </c>
      <c r="Q228" t="str">
        <f>_xlfn.XLOOKUP(B228,Status!$A$2:$A$1867,Status!$B$2:$B$1867)</f>
        <v>Completed</v>
      </c>
      <c r="R228" s="2" t="s">
        <v>46</v>
      </c>
      <c r="S228" s="8">
        <v>2</v>
      </c>
      <c r="T228" s="2" t="s">
        <v>24</v>
      </c>
      <c r="U228" s="31" t="str" cm="1">
        <f t="array" ref="U228">_xlfn.IFS(L228&lt;=5000,$Z$3,AND(L228&gt;5000,L228&lt;=15000),$Z$4,AND(L228&gt;15000,L228&lt;=30000),$Z$5,AND(L228&gt;30000,L228&lt;=50000),$Z$6,L228&gt;50000,$Z$7)</f>
        <v>Sangat Rendah</v>
      </c>
      <c r="V228" s="2"/>
    </row>
    <row r="229" spans="1:22" ht="15.75" customHeight="1" x14ac:dyDescent="0.25">
      <c r="A229" s="26"/>
      <c r="B229" s="2" t="s">
        <v>471</v>
      </c>
      <c r="C229" s="32">
        <v>45590.070925925917</v>
      </c>
      <c r="D229" s="53">
        <f>YEAR(Table1[[#This Row],[Order Date]])</f>
        <v>2024</v>
      </c>
      <c r="E229" s="2" t="s">
        <v>379</v>
      </c>
      <c r="F229" s="2" t="s">
        <v>27</v>
      </c>
      <c r="G229" s="2" t="s">
        <v>136</v>
      </c>
      <c r="H229" s="23">
        <v>12000</v>
      </c>
      <c r="I229" s="2">
        <v>1</v>
      </c>
      <c r="J229" s="31">
        <v>0</v>
      </c>
      <c r="K229" s="7">
        <f t="shared" si="12"/>
        <v>12000</v>
      </c>
      <c r="L229" s="7">
        <f t="shared" si="13"/>
        <v>0</v>
      </c>
      <c r="M229" s="7">
        <f t="shared" si="14"/>
        <v>12000</v>
      </c>
      <c r="N229" s="23">
        <v>17000</v>
      </c>
      <c r="O229" s="7">
        <f t="shared" si="15"/>
        <v>29000</v>
      </c>
      <c r="P229" s="2" t="s">
        <v>35</v>
      </c>
      <c r="Q229" t="str">
        <f>_xlfn.XLOOKUP(B229,Status!$A$2:$A$1867,Status!$B$2:$B$1867)</f>
        <v>Completed</v>
      </c>
      <c r="R229" s="2" t="s">
        <v>23</v>
      </c>
      <c r="S229" s="8">
        <v>4</v>
      </c>
      <c r="T229" s="2" t="s">
        <v>24</v>
      </c>
      <c r="U229" s="31" t="str" cm="1">
        <f t="array" ref="U229">_xlfn.IFS(L229&lt;=5000,$Z$3,AND(L229&gt;5000,L229&lt;=15000),$Z$4,AND(L229&gt;15000,L229&lt;=30000),$Z$5,AND(L229&gt;30000,L229&lt;=50000),$Z$6,L229&gt;50000,$Z$7)</f>
        <v>Sangat Rendah</v>
      </c>
      <c r="V229" s="2"/>
    </row>
    <row r="230" spans="1:22" ht="15.75" customHeight="1" x14ac:dyDescent="0.25">
      <c r="A230" s="26"/>
      <c r="B230" s="2" t="s">
        <v>472</v>
      </c>
      <c r="C230" s="32">
        <v>45590.156111111108</v>
      </c>
      <c r="D230" s="53">
        <f>YEAR(Table1[[#This Row],[Order Date]])</f>
        <v>2024</v>
      </c>
      <c r="E230" s="2" t="s">
        <v>473</v>
      </c>
      <c r="F230" s="2" t="s">
        <v>122</v>
      </c>
      <c r="G230" s="2" t="s">
        <v>88</v>
      </c>
      <c r="H230" s="23">
        <v>14000</v>
      </c>
      <c r="I230" s="2">
        <v>4</v>
      </c>
      <c r="J230" s="31">
        <v>5</v>
      </c>
      <c r="K230" s="7">
        <f t="shared" si="12"/>
        <v>56000</v>
      </c>
      <c r="L230" s="7">
        <f t="shared" si="13"/>
        <v>2800</v>
      </c>
      <c r="M230" s="7">
        <f t="shared" si="14"/>
        <v>53200</v>
      </c>
      <c r="N230" s="23">
        <v>78000</v>
      </c>
      <c r="O230" s="7">
        <f t="shared" si="15"/>
        <v>131200</v>
      </c>
      <c r="P230" s="2" t="s">
        <v>29</v>
      </c>
      <c r="Q230" t="str">
        <f>_xlfn.XLOOKUP(B230,Status!$A$2:$A$1867,Status!$B$2:$B$1867)</f>
        <v>Returned</v>
      </c>
      <c r="R230" s="2" t="s">
        <v>23</v>
      </c>
      <c r="S230" s="8">
        <v>1</v>
      </c>
      <c r="T230" s="2" t="s">
        <v>24</v>
      </c>
      <c r="U230" s="31" t="str" cm="1">
        <f t="array" ref="U230">_xlfn.IFS(L230&lt;=5000,$Z$3,AND(L230&gt;5000,L230&lt;=15000),$Z$4,AND(L230&gt;15000,L230&lt;=30000),$Z$5,AND(L230&gt;30000,L230&lt;=50000),$Z$6,L230&gt;50000,$Z$7)</f>
        <v>Sangat Rendah</v>
      </c>
      <c r="V230" s="2"/>
    </row>
    <row r="231" spans="1:22" ht="15.75" customHeight="1" x14ac:dyDescent="0.25">
      <c r="A231" s="26"/>
      <c r="B231" s="2" t="s">
        <v>474</v>
      </c>
      <c r="C231" s="32">
        <v>45590.454780092587</v>
      </c>
      <c r="D231" s="53">
        <f>YEAR(Table1[[#This Row],[Order Date]])</f>
        <v>2024</v>
      </c>
      <c r="E231" s="2" t="s">
        <v>52</v>
      </c>
      <c r="F231" s="2" t="s">
        <v>53</v>
      </c>
      <c r="G231" s="2" t="s">
        <v>34</v>
      </c>
      <c r="H231" s="23">
        <v>16000</v>
      </c>
      <c r="I231" s="2">
        <v>4</v>
      </c>
      <c r="J231" s="31">
        <v>0</v>
      </c>
      <c r="K231" s="7">
        <f t="shared" si="12"/>
        <v>64000</v>
      </c>
      <c r="L231" s="7">
        <f t="shared" si="13"/>
        <v>0</v>
      </c>
      <c r="M231" s="7">
        <f t="shared" si="14"/>
        <v>64000</v>
      </c>
      <c r="N231" s="23">
        <v>18000</v>
      </c>
      <c r="O231" s="7">
        <f t="shared" si="15"/>
        <v>82000</v>
      </c>
      <c r="P231" s="2" t="s">
        <v>22</v>
      </c>
      <c r="Q231" t="str">
        <f>_xlfn.XLOOKUP(B231,Status!$A$2:$A$1867,Status!$B$2:$B$1867)</f>
        <v>Completed</v>
      </c>
      <c r="R231" s="2" t="s">
        <v>82</v>
      </c>
      <c r="S231" s="8">
        <v>5</v>
      </c>
      <c r="T231" s="2" t="s">
        <v>24</v>
      </c>
      <c r="U231" s="31" t="str" cm="1">
        <f t="array" ref="U231">_xlfn.IFS(L231&lt;=5000,$Z$3,AND(L231&gt;5000,L231&lt;=15000),$Z$4,AND(L231&gt;15000,L231&lt;=30000),$Z$5,AND(L231&gt;30000,L231&lt;=50000),$Z$6,L231&gt;50000,$Z$7)</f>
        <v>Sangat Rendah</v>
      </c>
      <c r="V231" s="2"/>
    </row>
    <row r="232" spans="1:22" ht="15.75" customHeight="1" x14ac:dyDescent="0.25">
      <c r="A232" s="26"/>
      <c r="B232" s="2" t="s">
        <v>475</v>
      </c>
      <c r="C232" s="32">
        <v>45590.681967592587</v>
      </c>
      <c r="D232" s="53">
        <f>YEAR(Table1[[#This Row],[Order Date]])</f>
        <v>2024</v>
      </c>
      <c r="E232" s="2" t="s">
        <v>446</v>
      </c>
      <c r="F232" s="2" t="s">
        <v>296</v>
      </c>
      <c r="G232" s="2" t="s">
        <v>21</v>
      </c>
      <c r="H232" s="23">
        <v>45000</v>
      </c>
      <c r="I232" s="2">
        <v>2</v>
      </c>
      <c r="J232" s="31">
        <v>0</v>
      </c>
      <c r="K232" s="7">
        <f t="shared" si="12"/>
        <v>90000</v>
      </c>
      <c r="L232" s="7">
        <f t="shared" si="13"/>
        <v>0</v>
      </c>
      <c r="M232" s="7">
        <f t="shared" si="14"/>
        <v>90000</v>
      </c>
      <c r="N232" s="23">
        <v>79000</v>
      </c>
      <c r="O232" s="7">
        <f t="shared" si="15"/>
        <v>169000</v>
      </c>
      <c r="P232" s="2" t="s">
        <v>29</v>
      </c>
      <c r="Q232" t="str">
        <f>_xlfn.XLOOKUP(B232,Status!$A$2:$A$1867,Status!$B$2:$B$1867)</f>
        <v>Completed</v>
      </c>
      <c r="R232" s="2" t="s">
        <v>82</v>
      </c>
      <c r="S232" s="8">
        <v>5</v>
      </c>
      <c r="T232" s="2" t="s">
        <v>37</v>
      </c>
      <c r="U232" s="31" t="str" cm="1">
        <f t="array" ref="U232">_xlfn.IFS(L232&lt;=5000,$Z$3,AND(L232&gt;5000,L232&lt;=15000),$Z$4,AND(L232&gt;15000,L232&lt;=30000),$Z$5,AND(L232&gt;30000,L232&lt;=50000),$Z$6,L232&gt;50000,$Z$7)</f>
        <v>Sangat Rendah</v>
      </c>
      <c r="V232" s="2"/>
    </row>
    <row r="233" spans="1:22" ht="15.75" customHeight="1" x14ac:dyDescent="0.25">
      <c r="A233" s="26"/>
      <c r="B233" s="2" t="s">
        <v>476</v>
      </c>
      <c r="C233" s="32">
        <v>45590.768460648149</v>
      </c>
      <c r="D233" s="53">
        <f>YEAR(Table1[[#This Row],[Order Date]])</f>
        <v>2024</v>
      </c>
      <c r="E233" s="2" t="s">
        <v>477</v>
      </c>
      <c r="F233" s="2" t="s">
        <v>182</v>
      </c>
      <c r="G233" s="2" t="s">
        <v>75</v>
      </c>
      <c r="H233" s="23">
        <v>55000</v>
      </c>
      <c r="I233" s="2">
        <v>5</v>
      </c>
      <c r="J233" s="31">
        <v>5</v>
      </c>
      <c r="K233" s="7">
        <f t="shared" si="12"/>
        <v>275000</v>
      </c>
      <c r="L233" s="7">
        <f t="shared" si="13"/>
        <v>13750</v>
      </c>
      <c r="M233" s="7">
        <f t="shared" si="14"/>
        <v>261250</v>
      </c>
      <c r="N233" s="23">
        <v>48000</v>
      </c>
      <c r="O233" s="7">
        <f t="shared" si="15"/>
        <v>309250</v>
      </c>
      <c r="P233" s="2" t="s">
        <v>35</v>
      </c>
      <c r="Q233" t="str">
        <f>_xlfn.XLOOKUP(B233,Status!$A$2:$A$1867,Status!$B$2:$B$1867)</f>
        <v>Returned</v>
      </c>
      <c r="R233" s="2" t="s">
        <v>82</v>
      </c>
      <c r="S233" s="8">
        <v>1</v>
      </c>
      <c r="T233" s="2" t="s">
        <v>24</v>
      </c>
      <c r="U233" s="31" t="str" cm="1">
        <f t="array" ref="U233">_xlfn.IFS(L233&lt;=5000,$Z$3,AND(L233&gt;5000,L233&lt;=15000),$Z$4,AND(L233&gt;15000,L233&lt;=30000),$Z$5,AND(L233&gt;30000,L233&lt;=50000),$Z$6,L233&gt;50000,$Z$7)</f>
        <v>Rendah</v>
      </c>
      <c r="V233" s="2"/>
    </row>
    <row r="234" spans="1:22" ht="15.75" customHeight="1" x14ac:dyDescent="0.25">
      <c r="A234" s="26"/>
      <c r="B234" s="2" t="s">
        <v>478</v>
      </c>
      <c r="C234" s="32">
        <v>45590.867025462961</v>
      </c>
      <c r="D234" s="53">
        <f>YEAR(Table1[[#This Row],[Order Date]])</f>
        <v>2024</v>
      </c>
      <c r="E234" s="2" t="s">
        <v>479</v>
      </c>
      <c r="F234" s="2" t="s">
        <v>107</v>
      </c>
      <c r="G234" s="2" t="s">
        <v>81</v>
      </c>
      <c r="H234" s="23">
        <v>17000</v>
      </c>
      <c r="I234" s="2">
        <v>3</v>
      </c>
      <c r="J234" s="31">
        <v>15</v>
      </c>
      <c r="K234" s="7">
        <f t="shared" si="12"/>
        <v>51000</v>
      </c>
      <c r="L234" s="7">
        <f t="shared" si="13"/>
        <v>7650</v>
      </c>
      <c r="M234" s="7">
        <f t="shared" si="14"/>
        <v>43350</v>
      </c>
      <c r="N234" s="23">
        <v>97000</v>
      </c>
      <c r="O234" s="7">
        <f t="shared" si="15"/>
        <v>140350</v>
      </c>
      <c r="P234" s="2" t="s">
        <v>63</v>
      </c>
      <c r="Q234" t="str">
        <f>_xlfn.XLOOKUP(B234,Status!$A$2:$A$1867,Status!$B$2:$B$1867)</f>
        <v>Completed</v>
      </c>
      <c r="R234" s="2" t="s">
        <v>36</v>
      </c>
      <c r="S234" s="8">
        <v>5</v>
      </c>
      <c r="T234" s="2" t="s">
        <v>37</v>
      </c>
      <c r="U234" s="31" t="str" cm="1">
        <f t="array" ref="U234">_xlfn.IFS(L234&lt;=5000,$Z$3,AND(L234&gt;5000,L234&lt;=15000),$Z$4,AND(L234&gt;15000,L234&lt;=30000),$Z$5,AND(L234&gt;30000,L234&lt;=50000),$Z$6,L234&gt;50000,$Z$7)</f>
        <v>Rendah</v>
      </c>
      <c r="V234" s="2"/>
    </row>
    <row r="235" spans="1:22" ht="15.75" customHeight="1" x14ac:dyDescent="0.25">
      <c r="A235" s="26"/>
      <c r="B235" s="2" t="s">
        <v>480</v>
      </c>
      <c r="C235" s="32">
        <v>45590.888842592591</v>
      </c>
      <c r="D235" s="53">
        <f>YEAR(Table1[[#This Row],[Order Date]])</f>
        <v>2024</v>
      </c>
      <c r="E235" s="2" t="s">
        <v>377</v>
      </c>
      <c r="F235" s="2" t="s">
        <v>182</v>
      </c>
      <c r="G235" s="2" t="s">
        <v>123</v>
      </c>
      <c r="H235" s="23">
        <v>22000</v>
      </c>
      <c r="I235" s="2">
        <v>5</v>
      </c>
      <c r="J235" s="31">
        <v>10</v>
      </c>
      <c r="K235" s="7">
        <f t="shared" si="12"/>
        <v>110000</v>
      </c>
      <c r="L235" s="7">
        <f t="shared" si="13"/>
        <v>11000</v>
      </c>
      <c r="M235" s="7">
        <f t="shared" si="14"/>
        <v>99000</v>
      </c>
      <c r="N235" s="23">
        <v>48000</v>
      </c>
      <c r="O235" s="7">
        <f t="shared" si="15"/>
        <v>147000</v>
      </c>
      <c r="P235" s="2" t="s">
        <v>22</v>
      </c>
      <c r="Q235" t="str">
        <f>_xlfn.XLOOKUP(B235,Status!$A$2:$A$1867,Status!$B$2:$B$1867)</f>
        <v>Completed</v>
      </c>
      <c r="R235" s="2" t="s">
        <v>82</v>
      </c>
      <c r="S235" s="8">
        <v>3</v>
      </c>
      <c r="T235" s="2" t="s">
        <v>24</v>
      </c>
      <c r="U235" s="31" t="str" cm="1">
        <f t="array" ref="U235">_xlfn.IFS(L235&lt;=5000,$Z$3,AND(L235&gt;5000,L235&lt;=15000),$Z$4,AND(L235&gt;15000,L235&lt;=30000),$Z$5,AND(L235&gt;30000,L235&lt;=50000),$Z$6,L235&gt;50000,$Z$7)</f>
        <v>Rendah</v>
      </c>
      <c r="V235" s="2"/>
    </row>
    <row r="236" spans="1:22" ht="15.75" customHeight="1" x14ac:dyDescent="0.25">
      <c r="A236" s="26"/>
      <c r="B236" s="2" t="s">
        <v>481</v>
      </c>
      <c r="C236" s="32">
        <v>45590.895532407398</v>
      </c>
      <c r="D236" s="53">
        <f>YEAR(Table1[[#This Row],[Order Date]])</f>
        <v>2024</v>
      </c>
      <c r="E236" s="2" t="s">
        <v>184</v>
      </c>
      <c r="F236" s="2" t="s">
        <v>103</v>
      </c>
      <c r="G236" s="2" t="s">
        <v>123</v>
      </c>
      <c r="H236" s="23">
        <v>22000</v>
      </c>
      <c r="I236" s="2">
        <v>3</v>
      </c>
      <c r="J236" s="31">
        <v>0</v>
      </c>
      <c r="K236" s="7">
        <f t="shared" si="12"/>
        <v>66000</v>
      </c>
      <c r="L236" s="7">
        <f t="shared" si="13"/>
        <v>0</v>
      </c>
      <c r="M236" s="7">
        <f t="shared" si="14"/>
        <v>66000</v>
      </c>
      <c r="N236" s="23">
        <v>85000</v>
      </c>
      <c r="O236" s="7">
        <f t="shared" si="15"/>
        <v>151000</v>
      </c>
      <c r="P236" s="2" t="s">
        <v>35</v>
      </c>
      <c r="Q236" t="str">
        <f>_xlfn.XLOOKUP(B236,Status!$A$2:$A$1867,Status!$B$2:$B$1867)</f>
        <v>Completed</v>
      </c>
      <c r="R236" s="2" t="s">
        <v>23</v>
      </c>
      <c r="S236" s="8">
        <v>1</v>
      </c>
      <c r="T236" s="2" t="s">
        <v>24</v>
      </c>
      <c r="U236" s="31" t="str" cm="1">
        <f t="array" ref="U236">_xlfn.IFS(L236&lt;=5000,$Z$3,AND(L236&gt;5000,L236&lt;=15000),$Z$4,AND(L236&gt;15000,L236&lt;=30000),$Z$5,AND(L236&gt;30000,L236&lt;=50000),$Z$6,L236&gt;50000,$Z$7)</f>
        <v>Sangat Rendah</v>
      </c>
      <c r="V236" s="2"/>
    </row>
    <row r="237" spans="1:22" ht="15.75" customHeight="1" x14ac:dyDescent="0.25">
      <c r="A237" s="26"/>
      <c r="B237" s="2" t="s">
        <v>482</v>
      </c>
      <c r="C237" s="32">
        <v>45591.019918981481</v>
      </c>
      <c r="D237" s="53">
        <f>YEAR(Table1[[#This Row],[Order Date]])</f>
        <v>2024</v>
      </c>
      <c r="E237" s="2" t="s">
        <v>483</v>
      </c>
      <c r="F237" s="2" t="s">
        <v>170</v>
      </c>
      <c r="G237" s="2" t="s">
        <v>54</v>
      </c>
      <c r="H237" s="23">
        <v>16000</v>
      </c>
      <c r="I237" s="2">
        <v>5</v>
      </c>
      <c r="J237" s="31">
        <v>10</v>
      </c>
      <c r="K237" s="7">
        <f t="shared" si="12"/>
        <v>80000</v>
      </c>
      <c r="L237" s="7">
        <f t="shared" si="13"/>
        <v>8000</v>
      </c>
      <c r="M237" s="7">
        <f t="shared" si="14"/>
        <v>72000</v>
      </c>
      <c r="N237" s="23">
        <v>46000</v>
      </c>
      <c r="O237" s="7">
        <f t="shared" si="15"/>
        <v>118000</v>
      </c>
      <c r="P237" s="2" t="s">
        <v>29</v>
      </c>
      <c r="Q237" t="str">
        <f>_xlfn.XLOOKUP(B237,Status!$A$2:$A$1867,Status!$B$2:$B$1867)</f>
        <v>Completed</v>
      </c>
      <c r="R237" s="2" t="s">
        <v>30</v>
      </c>
      <c r="S237" s="8">
        <v>4</v>
      </c>
      <c r="T237" s="2" t="s">
        <v>24</v>
      </c>
      <c r="U237" s="31" t="str" cm="1">
        <f t="array" ref="U237">_xlfn.IFS(L237&lt;=5000,$Z$3,AND(L237&gt;5000,L237&lt;=15000),$Z$4,AND(L237&gt;15000,L237&lt;=30000),$Z$5,AND(L237&gt;30000,L237&lt;=50000),$Z$6,L237&gt;50000,$Z$7)</f>
        <v>Rendah</v>
      </c>
      <c r="V237" s="2"/>
    </row>
    <row r="238" spans="1:22" ht="15.75" customHeight="1" x14ac:dyDescent="0.25">
      <c r="A238" s="26"/>
      <c r="B238" s="2" t="s">
        <v>484</v>
      </c>
      <c r="C238" s="32">
        <v>45591.140474537038</v>
      </c>
      <c r="D238" s="53">
        <f>YEAR(Table1[[#This Row],[Order Date]])</f>
        <v>2024</v>
      </c>
      <c r="E238" s="2" t="s">
        <v>201</v>
      </c>
      <c r="F238" s="2" t="s">
        <v>107</v>
      </c>
      <c r="G238" s="2" t="s">
        <v>190</v>
      </c>
      <c r="H238" s="23">
        <v>35000</v>
      </c>
      <c r="I238" s="2">
        <v>1</v>
      </c>
      <c r="J238" s="31">
        <v>15</v>
      </c>
      <c r="K238" s="7">
        <f t="shared" si="12"/>
        <v>35000</v>
      </c>
      <c r="L238" s="7">
        <f t="shared" si="13"/>
        <v>5250</v>
      </c>
      <c r="M238" s="7">
        <f t="shared" si="14"/>
        <v>29750</v>
      </c>
      <c r="N238" s="23">
        <v>97000</v>
      </c>
      <c r="O238" s="7">
        <f t="shared" si="15"/>
        <v>126750</v>
      </c>
      <c r="P238" s="2" t="s">
        <v>63</v>
      </c>
      <c r="Q238" t="str">
        <f>_xlfn.XLOOKUP(B238,Status!$A$2:$A$1867,Status!$B$2:$B$1867)</f>
        <v>Completed</v>
      </c>
      <c r="R238" s="2" t="s">
        <v>46</v>
      </c>
      <c r="S238" s="8">
        <v>5</v>
      </c>
      <c r="T238" s="2" t="s">
        <v>24</v>
      </c>
      <c r="U238" s="31" t="str" cm="1">
        <f t="array" ref="U238">_xlfn.IFS(L238&lt;=5000,$Z$3,AND(L238&gt;5000,L238&lt;=15000),$Z$4,AND(L238&gt;15000,L238&lt;=30000),$Z$5,AND(L238&gt;30000,L238&lt;=50000),$Z$6,L238&gt;50000,$Z$7)</f>
        <v>Rendah</v>
      </c>
      <c r="V238" s="2"/>
    </row>
    <row r="239" spans="1:22" ht="15.75" customHeight="1" x14ac:dyDescent="0.25">
      <c r="A239" s="26"/>
      <c r="B239" s="2" t="s">
        <v>485</v>
      </c>
      <c r="C239" s="32">
        <v>45591.467962962961</v>
      </c>
      <c r="D239" s="53">
        <f>YEAR(Table1[[#This Row],[Order Date]])</f>
        <v>2024</v>
      </c>
      <c r="E239" s="2" t="s">
        <v>486</v>
      </c>
      <c r="F239" s="2" t="s">
        <v>182</v>
      </c>
      <c r="G239" s="2" t="s">
        <v>123</v>
      </c>
      <c r="H239" s="23">
        <v>22000</v>
      </c>
      <c r="I239" s="2">
        <v>3</v>
      </c>
      <c r="J239" s="31">
        <v>0</v>
      </c>
      <c r="K239" s="7">
        <f t="shared" si="12"/>
        <v>66000</v>
      </c>
      <c r="L239" s="7">
        <f t="shared" si="13"/>
        <v>0</v>
      </c>
      <c r="M239" s="7">
        <f t="shared" si="14"/>
        <v>66000</v>
      </c>
      <c r="N239" s="23">
        <v>48000</v>
      </c>
      <c r="O239" s="7">
        <f t="shared" si="15"/>
        <v>114000</v>
      </c>
      <c r="P239" s="2" t="s">
        <v>63</v>
      </c>
      <c r="Q239" t="str">
        <f>_xlfn.XLOOKUP(B239,Status!$A$2:$A$1867,Status!$B$2:$B$1867)</f>
        <v>Completed</v>
      </c>
      <c r="R239" s="2" t="s">
        <v>36</v>
      </c>
      <c r="S239" s="8">
        <v>2</v>
      </c>
      <c r="T239" s="2" t="s">
        <v>24</v>
      </c>
      <c r="U239" s="31" t="str" cm="1">
        <f t="array" ref="U239">_xlfn.IFS(L239&lt;=5000,$Z$3,AND(L239&gt;5000,L239&lt;=15000),$Z$4,AND(L239&gt;15000,L239&lt;=30000),$Z$5,AND(L239&gt;30000,L239&lt;=50000),$Z$6,L239&gt;50000,$Z$7)</f>
        <v>Sangat Rendah</v>
      </c>
      <c r="V239" s="2"/>
    </row>
    <row r="240" spans="1:22" ht="15.75" customHeight="1" x14ac:dyDescent="0.25">
      <c r="A240" s="26"/>
      <c r="B240" s="2" t="s">
        <v>487</v>
      </c>
      <c r="C240" s="32">
        <v>45591.748981481483</v>
      </c>
      <c r="D240" s="53">
        <f>YEAR(Table1[[#This Row],[Order Date]])</f>
        <v>2024</v>
      </c>
      <c r="E240" s="2" t="s">
        <v>488</v>
      </c>
      <c r="F240" s="2" t="s">
        <v>49</v>
      </c>
      <c r="G240" s="2" t="s">
        <v>62</v>
      </c>
      <c r="H240" s="23">
        <v>50000</v>
      </c>
      <c r="I240" s="2">
        <v>5</v>
      </c>
      <c r="J240" s="31">
        <v>15</v>
      </c>
      <c r="K240" s="7">
        <f t="shared" si="12"/>
        <v>250000</v>
      </c>
      <c r="L240" s="7">
        <f t="shared" si="13"/>
        <v>37500</v>
      </c>
      <c r="M240" s="7">
        <f t="shared" si="14"/>
        <v>212500</v>
      </c>
      <c r="N240" s="23">
        <v>43000</v>
      </c>
      <c r="O240" s="7">
        <f t="shared" si="15"/>
        <v>255500</v>
      </c>
      <c r="P240" s="2" t="s">
        <v>35</v>
      </c>
      <c r="Q240" t="str">
        <f>_xlfn.XLOOKUP(B240,Status!$A$2:$A$1867,Status!$B$2:$B$1867)</f>
        <v>Completed</v>
      </c>
      <c r="R240" s="2" t="s">
        <v>36</v>
      </c>
      <c r="S240" s="8">
        <v>5</v>
      </c>
      <c r="T240" s="2" t="s">
        <v>24</v>
      </c>
      <c r="U240" s="31" t="str" cm="1">
        <f t="array" ref="U240">_xlfn.IFS(L240&lt;=5000,$Z$3,AND(L240&gt;5000,L240&lt;=15000),$Z$4,AND(L240&gt;15000,L240&lt;=30000),$Z$5,AND(L240&gt;30000,L240&lt;=50000),$Z$6,L240&gt;50000,$Z$7)</f>
        <v>Tinggi</v>
      </c>
      <c r="V240" s="2"/>
    </row>
    <row r="241" spans="1:22" ht="15.75" customHeight="1" x14ac:dyDescent="0.25">
      <c r="A241" s="26"/>
      <c r="B241" s="2" t="s">
        <v>489</v>
      </c>
      <c r="C241" s="32">
        <v>45591.931064814817</v>
      </c>
      <c r="D241" s="53">
        <f>YEAR(Table1[[#This Row],[Order Date]])</f>
        <v>2024</v>
      </c>
      <c r="E241" s="2" t="s">
        <v>203</v>
      </c>
      <c r="F241" s="2" t="s">
        <v>20</v>
      </c>
      <c r="G241" s="2" t="s">
        <v>136</v>
      </c>
      <c r="H241" s="23">
        <v>12000</v>
      </c>
      <c r="I241" s="2">
        <v>1</v>
      </c>
      <c r="J241" s="31">
        <v>0</v>
      </c>
      <c r="K241" s="7">
        <f t="shared" si="12"/>
        <v>12000</v>
      </c>
      <c r="L241" s="7">
        <f t="shared" si="13"/>
        <v>0</v>
      </c>
      <c r="M241" s="7">
        <f t="shared" si="14"/>
        <v>12000</v>
      </c>
      <c r="N241" s="23">
        <v>15000</v>
      </c>
      <c r="O241" s="7">
        <f t="shared" si="15"/>
        <v>27000</v>
      </c>
      <c r="P241" s="2" t="s">
        <v>22</v>
      </c>
      <c r="Q241" t="str">
        <f>_xlfn.XLOOKUP(B241,Status!$A$2:$A$1867,Status!$B$2:$B$1867)</f>
        <v>Completed</v>
      </c>
      <c r="R241" s="2" t="s">
        <v>30</v>
      </c>
      <c r="S241" s="8">
        <v>5</v>
      </c>
      <c r="T241" s="2" t="s">
        <v>24</v>
      </c>
      <c r="U241" s="31" t="str" cm="1">
        <f t="array" ref="U241">_xlfn.IFS(L241&lt;=5000,$Z$3,AND(L241&gt;5000,L241&lt;=15000),$Z$4,AND(L241&gt;15000,L241&lt;=30000),$Z$5,AND(L241&gt;30000,L241&lt;=50000),$Z$6,L241&gt;50000,$Z$7)</f>
        <v>Sangat Rendah</v>
      </c>
      <c r="V241" s="2"/>
    </row>
    <row r="242" spans="1:22" ht="15.75" customHeight="1" x14ac:dyDescent="0.25">
      <c r="A242" s="26"/>
      <c r="B242" s="2" t="s">
        <v>490</v>
      </c>
      <c r="C242" s="32">
        <v>45591.96943287037</v>
      </c>
      <c r="D242" s="53">
        <f>YEAR(Table1[[#This Row],[Order Date]])</f>
        <v>2024</v>
      </c>
      <c r="E242" s="2" t="s">
        <v>181</v>
      </c>
      <c r="F242" s="2" t="s">
        <v>182</v>
      </c>
      <c r="G242" s="2" t="s">
        <v>75</v>
      </c>
      <c r="H242" s="23">
        <v>55000</v>
      </c>
      <c r="I242" s="2">
        <v>3</v>
      </c>
      <c r="J242" s="31">
        <v>0</v>
      </c>
      <c r="K242" s="7">
        <f t="shared" si="12"/>
        <v>165000</v>
      </c>
      <c r="L242" s="7">
        <f t="shared" si="13"/>
        <v>0</v>
      </c>
      <c r="M242" s="7">
        <f t="shared" si="14"/>
        <v>165000</v>
      </c>
      <c r="N242" s="23">
        <v>48000</v>
      </c>
      <c r="O242" s="7">
        <f t="shared" si="15"/>
        <v>213000</v>
      </c>
      <c r="P242" s="2" t="s">
        <v>63</v>
      </c>
      <c r="Q242" t="str">
        <f>_xlfn.XLOOKUP(B242,Status!$A$2:$A$1867,Status!$B$2:$B$1867)</f>
        <v>Completed</v>
      </c>
      <c r="R242" s="2" t="s">
        <v>30</v>
      </c>
      <c r="S242" s="8">
        <v>2</v>
      </c>
      <c r="T242" s="2" t="s">
        <v>24</v>
      </c>
      <c r="U242" s="31" t="str" cm="1">
        <f t="array" ref="U242">_xlfn.IFS(L242&lt;=5000,$Z$3,AND(L242&gt;5000,L242&lt;=15000),$Z$4,AND(L242&gt;15000,L242&lt;=30000),$Z$5,AND(L242&gt;30000,L242&lt;=50000),$Z$6,L242&gt;50000,$Z$7)</f>
        <v>Sangat Rendah</v>
      </c>
      <c r="V242" s="2"/>
    </row>
    <row r="243" spans="1:22" ht="15.75" customHeight="1" x14ac:dyDescent="0.25">
      <c r="A243" s="26"/>
      <c r="B243" s="2" t="s">
        <v>491</v>
      </c>
      <c r="C243" s="32">
        <v>45592.29173611111</v>
      </c>
      <c r="D243" s="53">
        <f>YEAR(Table1[[#This Row],[Order Date]])</f>
        <v>2024</v>
      </c>
      <c r="E243" s="2" t="s">
        <v>492</v>
      </c>
      <c r="F243" s="2" t="s">
        <v>96</v>
      </c>
      <c r="G243" s="2" t="s">
        <v>21</v>
      </c>
      <c r="H243" s="23">
        <v>45000</v>
      </c>
      <c r="I243" s="2">
        <v>4</v>
      </c>
      <c r="J243" s="31">
        <v>0</v>
      </c>
      <c r="K243" s="7">
        <f t="shared" si="12"/>
        <v>180000</v>
      </c>
      <c r="L243" s="7">
        <f t="shared" si="13"/>
        <v>0</v>
      </c>
      <c r="M243" s="7">
        <f t="shared" si="14"/>
        <v>180000</v>
      </c>
      <c r="N243" s="23">
        <v>49000</v>
      </c>
      <c r="O243" s="7">
        <f t="shared" si="15"/>
        <v>229000</v>
      </c>
      <c r="P243" s="2" t="s">
        <v>63</v>
      </c>
      <c r="Q243" t="str">
        <f>_xlfn.XLOOKUP(B243,Status!$A$2:$A$1867,Status!$B$2:$B$1867)</f>
        <v>Returned</v>
      </c>
      <c r="R243" s="2" t="s">
        <v>82</v>
      </c>
      <c r="S243" s="8">
        <v>1</v>
      </c>
      <c r="T243" s="2" t="s">
        <v>37</v>
      </c>
      <c r="U243" s="31" t="str" cm="1">
        <f t="array" ref="U243">_xlfn.IFS(L243&lt;=5000,$Z$3,AND(L243&gt;5000,L243&lt;=15000),$Z$4,AND(L243&gt;15000,L243&lt;=30000),$Z$5,AND(L243&gt;30000,L243&lt;=50000),$Z$6,L243&gt;50000,$Z$7)</f>
        <v>Sangat Rendah</v>
      </c>
      <c r="V243" s="2"/>
    </row>
    <row r="244" spans="1:22" ht="15.75" customHeight="1" x14ac:dyDescent="0.25">
      <c r="A244" s="26"/>
      <c r="B244" s="2" t="s">
        <v>493</v>
      </c>
      <c r="C244" s="32">
        <v>45592.339837962973</v>
      </c>
      <c r="D244" s="53">
        <f>YEAR(Table1[[#This Row],[Order Date]])</f>
        <v>2024</v>
      </c>
      <c r="E244" s="2" t="s">
        <v>477</v>
      </c>
      <c r="F244" s="2" t="s">
        <v>182</v>
      </c>
      <c r="G244" s="2" t="s">
        <v>190</v>
      </c>
      <c r="H244" s="23">
        <v>35000</v>
      </c>
      <c r="I244" s="2">
        <v>2</v>
      </c>
      <c r="J244" s="31">
        <v>10</v>
      </c>
      <c r="K244" s="7">
        <f t="shared" si="12"/>
        <v>70000</v>
      </c>
      <c r="L244" s="7">
        <f t="shared" si="13"/>
        <v>7000</v>
      </c>
      <c r="M244" s="7">
        <f t="shared" si="14"/>
        <v>63000</v>
      </c>
      <c r="N244" s="23">
        <v>48000</v>
      </c>
      <c r="O244" s="7">
        <f t="shared" si="15"/>
        <v>111000</v>
      </c>
      <c r="P244" s="2" t="s">
        <v>35</v>
      </c>
      <c r="Q244" t="str">
        <f>_xlfn.XLOOKUP(B244,Status!$A$2:$A$1867,Status!$B$2:$B$1867)</f>
        <v>Completed</v>
      </c>
      <c r="R244" s="2" t="s">
        <v>82</v>
      </c>
      <c r="S244" s="8">
        <v>1</v>
      </c>
      <c r="T244" s="2" t="s">
        <v>24</v>
      </c>
      <c r="U244" s="31" t="str" cm="1">
        <f t="array" ref="U244">_xlfn.IFS(L244&lt;=5000,$Z$3,AND(L244&gt;5000,L244&lt;=15000),$Z$4,AND(L244&gt;15000,L244&lt;=30000),$Z$5,AND(L244&gt;30000,L244&lt;=50000),$Z$6,L244&gt;50000,$Z$7)</f>
        <v>Rendah</v>
      </c>
      <c r="V244" s="2"/>
    </row>
    <row r="245" spans="1:22" ht="15.75" customHeight="1" x14ac:dyDescent="0.25">
      <c r="A245" s="26"/>
      <c r="B245" s="2" t="s">
        <v>494</v>
      </c>
      <c r="C245" s="32">
        <v>45592.706921296303</v>
      </c>
      <c r="D245" s="53">
        <f>YEAR(Table1[[#This Row],[Order Date]])</f>
        <v>2024</v>
      </c>
      <c r="E245" s="2" t="s">
        <v>495</v>
      </c>
      <c r="F245" s="2" t="s">
        <v>44</v>
      </c>
      <c r="G245" s="2" t="s">
        <v>45</v>
      </c>
      <c r="H245" s="23">
        <v>40000</v>
      </c>
      <c r="I245" s="2">
        <v>5</v>
      </c>
      <c r="J245" s="31">
        <v>0</v>
      </c>
      <c r="K245" s="7">
        <f t="shared" si="12"/>
        <v>200000</v>
      </c>
      <c r="L245" s="7">
        <f t="shared" si="13"/>
        <v>0</v>
      </c>
      <c r="M245" s="7">
        <f t="shared" si="14"/>
        <v>200000</v>
      </c>
      <c r="N245" s="23">
        <v>93000</v>
      </c>
      <c r="O245" s="7">
        <f t="shared" si="15"/>
        <v>293000</v>
      </c>
      <c r="P245" s="2" t="s">
        <v>22</v>
      </c>
      <c r="Q245" t="str">
        <f>_xlfn.XLOOKUP(B245,Status!$A$2:$A$1867,Status!$B$2:$B$1867)</f>
        <v>Completed</v>
      </c>
      <c r="R245" s="2" t="s">
        <v>23</v>
      </c>
      <c r="S245" s="8">
        <v>2</v>
      </c>
      <c r="T245" s="2" t="s">
        <v>37</v>
      </c>
      <c r="U245" s="31" t="str" cm="1">
        <f t="array" ref="U245">_xlfn.IFS(L245&lt;=5000,$Z$3,AND(L245&gt;5000,L245&lt;=15000),$Z$4,AND(L245&gt;15000,L245&lt;=30000),$Z$5,AND(L245&gt;30000,L245&lt;=50000),$Z$6,L245&gt;50000,$Z$7)</f>
        <v>Sangat Rendah</v>
      </c>
      <c r="V245" s="2"/>
    </row>
    <row r="246" spans="1:22" ht="15.75" customHeight="1" x14ac:dyDescent="0.25">
      <c r="A246" s="26"/>
      <c r="B246" s="2" t="s">
        <v>496</v>
      </c>
      <c r="C246" s="32">
        <v>45592.76121527778</v>
      </c>
      <c r="D246" s="53">
        <f>YEAR(Table1[[#This Row],[Order Date]])</f>
        <v>2024</v>
      </c>
      <c r="E246" s="2" t="s">
        <v>497</v>
      </c>
      <c r="F246" s="2" t="s">
        <v>173</v>
      </c>
      <c r="G246" s="2" t="s">
        <v>85</v>
      </c>
      <c r="H246" s="23">
        <v>35000</v>
      </c>
      <c r="I246" s="2">
        <v>5</v>
      </c>
      <c r="J246" s="31">
        <v>10</v>
      </c>
      <c r="K246" s="7">
        <f t="shared" si="12"/>
        <v>175000</v>
      </c>
      <c r="L246" s="7">
        <f t="shared" si="13"/>
        <v>17500</v>
      </c>
      <c r="M246" s="7">
        <f t="shared" si="14"/>
        <v>157500</v>
      </c>
      <c r="N246" s="23">
        <v>49000</v>
      </c>
      <c r="O246" s="7">
        <f t="shared" si="15"/>
        <v>206500</v>
      </c>
      <c r="P246" s="2" t="s">
        <v>22</v>
      </c>
      <c r="Q246" t="str">
        <f>_xlfn.XLOOKUP(B246,Status!$A$2:$A$1867,Status!$B$2:$B$1867)</f>
        <v>Returned</v>
      </c>
      <c r="R246" s="2" t="s">
        <v>23</v>
      </c>
      <c r="S246" s="8">
        <v>1</v>
      </c>
      <c r="T246" s="2" t="s">
        <v>37</v>
      </c>
      <c r="U246" s="31" t="str" cm="1">
        <f t="array" ref="U246">_xlfn.IFS(L246&lt;=5000,$Z$3,AND(L246&gt;5000,L246&lt;=15000),$Z$4,AND(L246&gt;15000,L246&lt;=30000),$Z$5,AND(L246&gt;30000,L246&lt;=50000),$Z$6,L246&gt;50000,$Z$7)</f>
        <v>Normal</v>
      </c>
      <c r="V246" s="2"/>
    </row>
    <row r="247" spans="1:22" ht="15.75" customHeight="1" x14ac:dyDescent="0.25">
      <c r="A247" s="26"/>
      <c r="B247" s="2" t="s">
        <v>498</v>
      </c>
      <c r="C247" s="32">
        <v>45593.106770833343</v>
      </c>
      <c r="D247" s="53">
        <f>YEAR(Table1[[#This Row],[Order Date]])</f>
        <v>2024</v>
      </c>
      <c r="E247" s="2" t="s">
        <v>499</v>
      </c>
      <c r="F247" s="2" t="s">
        <v>131</v>
      </c>
      <c r="G247" s="2" t="s">
        <v>28</v>
      </c>
      <c r="H247" s="23">
        <v>5000</v>
      </c>
      <c r="I247" s="2">
        <v>4</v>
      </c>
      <c r="J247" s="31">
        <v>0</v>
      </c>
      <c r="K247" s="7">
        <f t="shared" si="12"/>
        <v>20000</v>
      </c>
      <c r="L247" s="7">
        <f t="shared" si="13"/>
        <v>0</v>
      </c>
      <c r="M247" s="7">
        <f t="shared" si="14"/>
        <v>20000</v>
      </c>
      <c r="N247" s="23">
        <v>59000</v>
      </c>
      <c r="O247" s="7">
        <f t="shared" si="15"/>
        <v>79000</v>
      </c>
      <c r="P247" s="2" t="s">
        <v>29</v>
      </c>
      <c r="Q247" t="str">
        <f>_xlfn.XLOOKUP(B247,Status!$A$2:$A$1867,Status!$B$2:$B$1867)</f>
        <v>Completed</v>
      </c>
      <c r="R247" s="2" t="s">
        <v>36</v>
      </c>
      <c r="S247" s="8">
        <v>5</v>
      </c>
      <c r="T247" s="2" t="s">
        <v>24</v>
      </c>
      <c r="U247" s="31" t="str" cm="1">
        <f t="array" ref="U247">_xlfn.IFS(L247&lt;=5000,$Z$3,AND(L247&gt;5000,L247&lt;=15000),$Z$4,AND(L247&gt;15000,L247&lt;=30000),$Z$5,AND(L247&gt;30000,L247&lt;=50000),$Z$6,L247&gt;50000,$Z$7)</f>
        <v>Sangat Rendah</v>
      </c>
      <c r="V247" s="2"/>
    </row>
    <row r="248" spans="1:22" ht="15.75" customHeight="1" x14ac:dyDescent="0.25">
      <c r="A248" s="26"/>
      <c r="B248" s="2" t="s">
        <v>500</v>
      </c>
      <c r="C248" s="32">
        <v>45593.151678240742</v>
      </c>
      <c r="D248" s="53">
        <f>YEAR(Table1[[#This Row],[Order Date]])</f>
        <v>2024</v>
      </c>
      <c r="E248" s="2" t="s">
        <v>153</v>
      </c>
      <c r="F248" s="2" t="s">
        <v>103</v>
      </c>
      <c r="G248" s="2" t="s">
        <v>250</v>
      </c>
      <c r="H248" s="23">
        <v>18000</v>
      </c>
      <c r="I248" s="2">
        <v>2</v>
      </c>
      <c r="J248" s="31">
        <v>10</v>
      </c>
      <c r="K248" s="7">
        <f t="shared" si="12"/>
        <v>36000</v>
      </c>
      <c r="L248" s="7">
        <f t="shared" si="13"/>
        <v>3600</v>
      </c>
      <c r="M248" s="7">
        <f t="shared" si="14"/>
        <v>32400</v>
      </c>
      <c r="N248" s="23">
        <v>85000</v>
      </c>
      <c r="O248" s="7">
        <f t="shared" si="15"/>
        <v>117400</v>
      </c>
      <c r="P248" s="2" t="s">
        <v>29</v>
      </c>
      <c r="Q248" t="str">
        <f>_xlfn.XLOOKUP(B248,Status!$A$2:$A$1867,Status!$B$2:$B$1867)</f>
        <v>Completed</v>
      </c>
      <c r="R248" s="2" t="s">
        <v>30</v>
      </c>
      <c r="S248" s="8">
        <v>1</v>
      </c>
      <c r="T248" s="2" t="s">
        <v>37</v>
      </c>
      <c r="U248" s="31" t="str" cm="1">
        <f t="array" ref="U248">_xlfn.IFS(L248&lt;=5000,$Z$3,AND(L248&gt;5000,L248&lt;=15000),$Z$4,AND(L248&gt;15000,L248&lt;=30000),$Z$5,AND(L248&gt;30000,L248&lt;=50000),$Z$6,L248&gt;50000,$Z$7)</f>
        <v>Sangat Rendah</v>
      </c>
      <c r="V248" s="2"/>
    </row>
    <row r="249" spans="1:22" ht="15.75" customHeight="1" x14ac:dyDescent="0.25">
      <c r="A249" s="26"/>
      <c r="B249" s="2" t="s">
        <v>501</v>
      </c>
      <c r="C249" s="32">
        <v>45593.403321759259</v>
      </c>
      <c r="D249" s="53">
        <f>YEAR(Table1[[#This Row],[Order Date]])</f>
        <v>2024</v>
      </c>
      <c r="E249" s="2" t="s">
        <v>502</v>
      </c>
      <c r="F249" s="2" t="s">
        <v>107</v>
      </c>
      <c r="G249" s="2" t="s">
        <v>41</v>
      </c>
      <c r="H249" s="23">
        <v>4000</v>
      </c>
      <c r="I249" s="2">
        <v>4</v>
      </c>
      <c r="J249" s="31">
        <v>0</v>
      </c>
      <c r="K249" s="7">
        <f t="shared" si="12"/>
        <v>16000</v>
      </c>
      <c r="L249" s="7">
        <f t="shared" si="13"/>
        <v>0</v>
      </c>
      <c r="M249" s="7">
        <f t="shared" si="14"/>
        <v>16000</v>
      </c>
      <c r="N249" s="23">
        <v>97000</v>
      </c>
      <c r="O249" s="7">
        <f t="shared" si="15"/>
        <v>113000</v>
      </c>
      <c r="P249" s="2" t="s">
        <v>63</v>
      </c>
      <c r="Q249" t="str">
        <f>_xlfn.XLOOKUP(B249,Status!$A$2:$A$1867,Status!$B$2:$B$1867)</f>
        <v>Completed</v>
      </c>
      <c r="R249" s="2" t="s">
        <v>82</v>
      </c>
      <c r="S249" s="8">
        <v>2</v>
      </c>
      <c r="T249" s="2" t="s">
        <v>24</v>
      </c>
      <c r="U249" s="31" t="str" cm="1">
        <f t="array" ref="U249">_xlfn.IFS(L249&lt;=5000,$Z$3,AND(L249&gt;5000,L249&lt;=15000),$Z$4,AND(L249&gt;15000,L249&lt;=30000),$Z$5,AND(L249&gt;30000,L249&lt;=50000),$Z$6,L249&gt;50000,$Z$7)</f>
        <v>Sangat Rendah</v>
      </c>
      <c r="V249" s="2"/>
    </row>
    <row r="250" spans="1:22" ht="15.75" customHeight="1" x14ac:dyDescent="0.25">
      <c r="A250" s="26"/>
      <c r="B250" s="2" t="s">
        <v>503</v>
      </c>
      <c r="C250" s="32">
        <v>45594.145104166673</v>
      </c>
      <c r="D250" s="53">
        <f>YEAR(Table1[[#This Row],[Order Date]])</f>
        <v>2024</v>
      </c>
      <c r="E250" s="2" t="s">
        <v>504</v>
      </c>
      <c r="F250" s="2" t="s">
        <v>195</v>
      </c>
      <c r="G250" s="2" t="s">
        <v>41</v>
      </c>
      <c r="H250" s="23">
        <v>4000</v>
      </c>
      <c r="I250" s="2">
        <v>3</v>
      </c>
      <c r="J250" s="31">
        <v>20</v>
      </c>
      <c r="K250" s="7">
        <f t="shared" si="12"/>
        <v>12000</v>
      </c>
      <c r="L250" s="7">
        <f t="shared" si="13"/>
        <v>2400</v>
      </c>
      <c r="M250" s="7">
        <f t="shared" si="14"/>
        <v>9600</v>
      </c>
      <c r="N250" s="23">
        <v>87000</v>
      </c>
      <c r="O250" s="7">
        <f t="shared" si="15"/>
        <v>96600</v>
      </c>
      <c r="P250" s="2" t="s">
        <v>35</v>
      </c>
      <c r="Q250" t="str">
        <f>_xlfn.XLOOKUP(B250,Status!$A$2:$A$1867,Status!$B$2:$B$1867)</f>
        <v>Cancelled</v>
      </c>
      <c r="R250" s="2" t="s">
        <v>23</v>
      </c>
      <c r="S250" s="8">
        <v>4</v>
      </c>
      <c r="T250" s="2" t="s">
        <v>24</v>
      </c>
      <c r="U250" s="31" t="str" cm="1">
        <f t="array" ref="U250">_xlfn.IFS(L250&lt;=5000,$Z$3,AND(L250&gt;5000,L250&lt;=15000),$Z$4,AND(L250&gt;15000,L250&lt;=30000),$Z$5,AND(L250&gt;30000,L250&lt;=50000),$Z$6,L250&gt;50000,$Z$7)</f>
        <v>Sangat Rendah</v>
      </c>
      <c r="V250" s="2"/>
    </row>
    <row r="251" spans="1:22" ht="15.75" customHeight="1" x14ac:dyDescent="0.25">
      <c r="A251" s="26"/>
      <c r="B251" s="2" t="s">
        <v>505</v>
      </c>
      <c r="C251" s="32">
        <v>45594.350405092591</v>
      </c>
      <c r="D251" s="53">
        <f>YEAR(Table1[[#This Row],[Order Date]])</f>
        <v>2024</v>
      </c>
      <c r="E251" s="2" t="s">
        <v>281</v>
      </c>
      <c r="F251" s="2" t="s">
        <v>151</v>
      </c>
      <c r="G251" s="2" t="s">
        <v>144</v>
      </c>
      <c r="H251" s="23">
        <v>18000</v>
      </c>
      <c r="I251" s="2">
        <v>3</v>
      </c>
      <c r="J251" s="31">
        <v>10</v>
      </c>
      <c r="K251" s="7">
        <f t="shared" si="12"/>
        <v>54000</v>
      </c>
      <c r="L251" s="7">
        <f t="shared" si="13"/>
        <v>5400</v>
      </c>
      <c r="M251" s="7">
        <f t="shared" si="14"/>
        <v>48600</v>
      </c>
      <c r="N251" s="23">
        <v>55000</v>
      </c>
      <c r="O251" s="7">
        <f t="shared" si="15"/>
        <v>103600</v>
      </c>
      <c r="P251" s="2" t="s">
        <v>35</v>
      </c>
      <c r="Q251" t="str">
        <f>_xlfn.XLOOKUP(B251,Status!$A$2:$A$1867,Status!$B$2:$B$1867)</f>
        <v>Completed</v>
      </c>
      <c r="R251" s="2" t="s">
        <v>36</v>
      </c>
      <c r="S251" s="8">
        <v>3</v>
      </c>
      <c r="T251" s="2" t="s">
        <v>24</v>
      </c>
      <c r="U251" s="31" t="str" cm="1">
        <f t="array" ref="U251">_xlfn.IFS(L251&lt;=5000,$Z$3,AND(L251&gt;5000,L251&lt;=15000),$Z$4,AND(L251&gt;15000,L251&lt;=30000),$Z$5,AND(L251&gt;30000,L251&lt;=50000),$Z$6,L251&gt;50000,$Z$7)</f>
        <v>Rendah</v>
      </c>
      <c r="V251" s="2"/>
    </row>
    <row r="252" spans="1:22" ht="15.75" customHeight="1" x14ac:dyDescent="0.25">
      <c r="A252" s="26"/>
      <c r="B252" s="2" t="s">
        <v>506</v>
      </c>
      <c r="C252" s="32">
        <v>45594.41207175926</v>
      </c>
      <c r="D252" s="53">
        <f>YEAR(Table1[[#This Row],[Order Date]])</f>
        <v>2024</v>
      </c>
      <c r="E252" s="2" t="s">
        <v>203</v>
      </c>
      <c r="F252" s="2" t="s">
        <v>20</v>
      </c>
      <c r="G252" s="2" t="s">
        <v>50</v>
      </c>
      <c r="H252" s="23">
        <v>14000</v>
      </c>
      <c r="I252" s="2">
        <v>4</v>
      </c>
      <c r="J252" s="31">
        <v>10</v>
      </c>
      <c r="K252" s="7">
        <f t="shared" si="12"/>
        <v>56000</v>
      </c>
      <c r="L252" s="7">
        <f t="shared" si="13"/>
        <v>5600</v>
      </c>
      <c r="M252" s="7">
        <f t="shared" si="14"/>
        <v>50400</v>
      </c>
      <c r="N252" s="23">
        <v>15000</v>
      </c>
      <c r="O252" s="7">
        <f t="shared" si="15"/>
        <v>65400</v>
      </c>
      <c r="P252" s="2" t="s">
        <v>63</v>
      </c>
      <c r="Q252" t="str">
        <f>_xlfn.XLOOKUP(B252,Status!$A$2:$A$1867,Status!$B$2:$B$1867)</f>
        <v>Cancelled</v>
      </c>
      <c r="R252" s="2" t="s">
        <v>82</v>
      </c>
      <c r="S252" s="8">
        <v>2</v>
      </c>
      <c r="T252" s="2" t="s">
        <v>24</v>
      </c>
      <c r="U252" s="31" t="str" cm="1">
        <f t="array" ref="U252">_xlfn.IFS(L252&lt;=5000,$Z$3,AND(L252&gt;5000,L252&lt;=15000),$Z$4,AND(L252&gt;15000,L252&lt;=30000),$Z$5,AND(L252&gt;30000,L252&lt;=50000),$Z$6,L252&gt;50000,$Z$7)</f>
        <v>Rendah</v>
      </c>
      <c r="V252" s="2"/>
    </row>
    <row r="253" spans="1:22" ht="15.75" customHeight="1" x14ac:dyDescent="0.25">
      <c r="A253" s="26"/>
      <c r="B253" s="2" t="s">
        <v>507</v>
      </c>
      <c r="C253" s="32">
        <v>45594.518923611111</v>
      </c>
      <c r="D253" s="53">
        <f>YEAR(Table1[[#This Row],[Order Date]])</f>
        <v>2024</v>
      </c>
      <c r="E253" s="2" t="s">
        <v>508</v>
      </c>
      <c r="F253" s="2" t="s">
        <v>20</v>
      </c>
      <c r="G253" s="2" t="s">
        <v>174</v>
      </c>
      <c r="H253" s="23">
        <v>10000</v>
      </c>
      <c r="I253" s="2">
        <v>4</v>
      </c>
      <c r="J253" s="31">
        <v>10</v>
      </c>
      <c r="K253" s="7">
        <f t="shared" si="12"/>
        <v>40000</v>
      </c>
      <c r="L253" s="7">
        <f t="shared" si="13"/>
        <v>4000</v>
      </c>
      <c r="M253" s="7">
        <f t="shared" si="14"/>
        <v>36000</v>
      </c>
      <c r="N253" s="23">
        <v>15000</v>
      </c>
      <c r="O253" s="7">
        <f t="shared" si="15"/>
        <v>51000</v>
      </c>
      <c r="P253" s="2" t="s">
        <v>63</v>
      </c>
      <c r="Q253" t="str">
        <f>_xlfn.XLOOKUP(B253,Status!$A$2:$A$1867,Status!$B$2:$B$1867)</f>
        <v>Completed</v>
      </c>
      <c r="R253" s="2" t="s">
        <v>36</v>
      </c>
      <c r="S253" s="8">
        <v>5</v>
      </c>
      <c r="T253" s="2" t="s">
        <v>37</v>
      </c>
      <c r="U253" s="31" t="str" cm="1">
        <f t="array" ref="U253">_xlfn.IFS(L253&lt;=5000,$Z$3,AND(L253&gt;5000,L253&lt;=15000),$Z$4,AND(L253&gt;15000,L253&lt;=30000),$Z$5,AND(L253&gt;30000,L253&lt;=50000),$Z$6,L253&gt;50000,$Z$7)</f>
        <v>Sangat Rendah</v>
      </c>
      <c r="V253" s="2"/>
    </row>
    <row r="254" spans="1:22" ht="15.75" customHeight="1" x14ac:dyDescent="0.25">
      <c r="A254" s="26"/>
      <c r="B254" s="2" t="s">
        <v>509</v>
      </c>
      <c r="C254" s="32">
        <v>45594.764247685183</v>
      </c>
      <c r="D254" s="53">
        <f>YEAR(Table1[[#This Row],[Order Date]])</f>
        <v>2024</v>
      </c>
      <c r="E254" s="2" t="s">
        <v>510</v>
      </c>
      <c r="F254" s="2" t="s">
        <v>96</v>
      </c>
      <c r="G254" s="2" t="s">
        <v>81</v>
      </c>
      <c r="H254" s="23">
        <v>17000</v>
      </c>
      <c r="I254" s="2">
        <v>2</v>
      </c>
      <c r="J254" s="31">
        <v>0</v>
      </c>
      <c r="K254" s="7">
        <f t="shared" si="12"/>
        <v>34000</v>
      </c>
      <c r="L254" s="7">
        <f t="shared" si="13"/>
        <v>0</v>
      </c>
      <c r="M254" s="7">
        <f t="shared" si="14"/>
        <v>34000</v>
      </c>
      <c r="N254" s="23">
        <v>49000</v>
      </c>
      <c r="O254" s="7">
        <f t="shared" si="15"/>
        <v>83000</v>
      </c>
      <c r="P254" s="2" t="s">
        <v>22</v>
      </c>
      <c r="Q254" t="str">
        <f>_xlfn.XLOOKUP(B254,Status!$A$2:$A$1867,Status!$B$2:$B$1867)</f>
        <v>Completed</v>
      </c>
      <c r="R254" s="2" t="s">
        <v>23</v>
      </c>
      <c r="S254" s="8">
        <v>4</v>
      </c>
      <c r="T254" s="2" t="s">
        <v>24</v>
      </c>
      <c r="U254" s="31" t="str" cm="1">
        <f t="array" ref="U254">_xlfn.IFS(L254&lt;=5000,$Z$3,AND(L254&gt;5000,L254&lt;=15000),$Z$4,AND(L254&gt;15000,L254&lt;=30000),$Z$5,AND(L254&gt;30000,L254&lt;=50000),$Z$6,L254&gt;50000,$Z$7)</f>
        <v>Sangat Rendah</v>
      </c>
      <c r="V254" s="2"/>
    </row>
    <row r="255" spans="1:22" ht="15.75" customHeight="1" x14ac:dyDescent="0.25">
      <c r="A255" s="26"/>
      <c r="B255" s="2" t="s">
        <v>511</v>
      </c>
      <c r="C255" s="32">
        <v>45594.980034722219</v>
      </c>
      <c r="D255" s="53">
        <f>YEAR(Table1[[#This Row],[Order Date]])</f>
        <v>2024</v>
      </c>
      <c r="E255" s="2" t="s">
        <v>26</v>
      </c>
      <c r="F255" s="2" t="s">
        <v>27</v>
      </c>
      <c r="G255" s="2" t="s">
        <v>67</v>
      </c>
      <c r="H255" s="23">
        <v>15000</v>
      </c>
      <c r="I255" s="2">
        <v>4</v>
      </c>
      <c r="J255" s="31">
        <v>10</v>
      </c>
      <c r="K255" s="7">
        <f t="shared" si="12"/>
        <v>60000</v>
      </c>
      <c r="L255" s="7">
        <f t="shared" si="13"/>
        <v>6000</v>
      </c>
      <c r="M255" s="7">
        <f t="shared" si="14"/>
        <v>54000</v>
      </c>
      <c r="N255" s="23">
        <v>17000</v>
      </c>
      <c r="O255" s="7">
        <f t="shared" si="15"/>
        <v>71000</v>
      </c>
      <c r="P255" s="2" t="s">
        <v>22</v>
      </c>
      <c r="Q255" t="str">
        <f>_xlfn.XLOOKUP(B255,Status!$A$2:$A$1867,Status!$B$2:$B$1867)</f>
        <v>Completed</v>
      </c>
      <c r="R255" s="2" t="s">
        <v>46</v>
      </c>
      <c r="S255" s="8">
        <v>2</v>
      </c>
      <c r="T255" s="2" t="s">
        <v>24</v>
      </c>
      <c r="U255" s="31" t="str" cm="1">
        <f t="array" ref="U255">_xlfn.IFS(L255&lt;=5000,$Z$3,AND(L255&gt;5000,L255&lt;=15000),$Z$4,AND(L255&gt;15000,L255&lt;=30000),$Z$5,AND(L255&gt;30000,L255&lt;=50000),$Z$6,L255&gt;50000,$Z$7)</f>
        <v>Rendah</v>
      </c>
      <c r="V255" s="2"/>
    </row>
    <row r="256" spans="1:22" ht="15.75" customHeight="1" x14ac:dyDescent="0.25">
      <c r="A256" s="26"/>
      <c r="B256" s="2" t="s">
        <v>512</v>
      </c>
      <c r="C256" s="32">
        <v>45595.261643518519</v>
      </c>
      <c r="D256" s="53">
        <f>YEAR(Table1[[#This Row],[Order Date]])</f>
        <v>2024</v>
      </c>
      <c r="E256" s="2" t="s">
        <v>513</v>
      </c>
      <c r="F256" s="2" t="s">
        <v>182</v>
      </c>
      <c r="G256" s="2" t="s">
        <v>110</v>
      </c>
      <c r="H256" s="23">
        <v>6000</v>
      </c>
      <c r="I256" s="2">
        <v>3</v>
      </c>
      <c r="J256" s="31">
        <v>20</v>
      </c>
      <c r="K256" s="7">
        <f t="shared" si="12"/>
        <v>18000</v>
      </c>
      <c r="L256" s="7">
        <f t="shared" si="13"/>
        <v>3600</v>
      </c>
      <c r="M256" s="7">
        <f t="shared" si="14"/>
        <v>14400</v>
      </c>
      <c r="N256" s="23">
        <v>48000</v>
      </c>
      <c r="O256" s="7">
        <f t="shared" si="15"/>
        <v>62400</v>
      </c>
      <c r="P256" s="2" t="s">
        <v>22</v>
      </c>
      <c r="Q256" t="str">
        <f>_xlfn.XLOOKUP(B256,Status!$A$2:$A$1867,Status!$B$2:$B$1867)</f>
        <v>Completed</v>
      </c>
      <c r="R256" s="2" t="s">
        <v>23</v>
      </c>
      <c r="S256" s="8">
        <v>3</v>
      </c>
      <c r="T256" s="2" t="s">
        <v>24</v>
      </c>
      <c r="U256" s="31" t="str" cm="1">
        <f t="array" ref="U256">_xlfn.IFS(L256&lt;=5000,$Z$3,AND(L256&gt;5000,L256&lt;=15000),$Z$4,AND(L256&gt;15000,L256&lt;=30000),$Z$5,AND(L256&gt;30000,L256&lt;=50000),$Z$6,L256&gt;50000,$Z$7)</f>
        <v>Sangat Rendah</v>
      </c>
      <c r="V256" s="2"/>
    </row>
    <row r="257" spans="1:22" ht="15.75" customHeight="1" x14ac:dyDescent="0.25">
      <c r="A257" s="26"/>
      <c r="B257" s="2" t="s">
        <v>514</v>
      </c>
      <c r="C257" s="32">
        <v>45595.439872685187</v>
      </c>
      <c r="D257" s="53">
        <f>YEAR(Table1[[#This Row],[Order Date]])</f>
        <v>2024</v>
      </c>
      <c r="E257" s="2" t="s">
        <v>515</v>
      </c>
      <c r="F257" s="2" t="s">
        <v>182</v>
      </c>
      <c r="G257" s="2" t="s">
        <v>62</v>
      </c>
      <c r="H257" s="23">
        <v>50000</v>
      </c>
      <c r="I257" s="2">
        <v>1</v>
      </c>
      <c r="J257" s="31">
        <v>5</v>
      </c>
      <c r="K257" s="7">
        <f t="shared" si="12"/>
        <v>50000</v>
      </c>
      <c r="L257" s="7">
        <f t="shared" si="13"/>
        <v>2500</v>
      </c>
      <c r="M257" s="7">
        <f t="shared" si="14"/>
        <v>47500</v>
      </c>
      <c r="N257" s="23">
        <v>48000</v>
      </c>
      <c r="O257" s="7">
        <f t="shared" si="15"/>
        <v>95500</v>
      </c>
      <c r="P257" s="2" t="s">
        <v>22</v>
      </c>
      <c r="Q257" t="str">
        <f>_xlfn.XLOOKUP(B257,Status!$A$2:$A$1867,Status!$B$2:$B$1867)</f>
        <v>Completed</v>
      </c>
      <c r="R257" s="2" t="s">
        <v>30</v>
      </c>
      <c r="S257" s="8">
        <v>2</v>
      </c>
      <c r="T257" s="2" t="s">
        <v>24</v>
      </c>
      <c r="U257" s="31" t="str" cm="1">
        <f t="array" ref="U257">_xlfn.IFS(L257&lt;=5000,$Z$3,AND(L257&gt;5000,L257&lt;=15000),$Z$4,AND(L257&gt;15000,L257&lt;=30000),$Z$5,AND(L257&gt;30000,L257&lt;=50000),$Z$6,L257&gt;50000,$Z$7)</f>
        <v>Sangat Rendah</v>
      </c>
      <c r="V257" s="2"/>
    </row>
    <row r="258" spans="1:22" ht="15.75" customHeight="1" x14ac:dyDescent="0.25">
      <c r="A258" s="26"/>
      <c r="B258" s="2" t="s">
        <v>516</v>
      </c>
      <c r="C258" s="32">
        <v>45596.643530092602</v>
      </c>
      <c r="D258" s="53">
        <f>YEAR(Table1[[#This Row],[Order Date]])</f>
        <v>2024</v>
      </c>
      <c r="E258" s="2" t="s">
        <v>408</v>
      </c>
      <c r="F258" s="2" t="s">
        <v>74</v>
      </c>
      <c r="G258" s="2" t="s">
        <v>41</v>
      </c>
      <c r="H258" s="23">
        <v>4000</v>
      </c>
      <c r="I258" s="2">
        <v>2</v>
      </c>
      <c r="J258" s="31">
        <v>5</v>
      </c>
      <c r="K258" s="7">
        <f t="shared" si="12"/>
        <v>8000</v>
      </c>
      <c r="L258" s="7">
        <f t="shared" si="13"/>
        <v>400</v>
      </c>
      <c r="M258" s="7">
        <f t="shared" si="14"/>
        <v>7600</v>
      </c>
      <c r="N258" s="23">
        <v>87000</v>
      </c>
      <c r="O258" s="7">
        <f t="shared" si="15"/>
        <v>94600</v>
      </c>
      <c r="P258" s="2" t="s">
        <v>29</v>
      </c>
      <c r="Q258" t="str">
        <f>_xlfn.XLOOKUP(B258,Status!$A$2:$A$1867,Status!$B$2:$B$1867)</f>
        <v>Completed</v>
      </c>
      <c r="R258" s="2" t="s">
        <v>30</v>
      </c>
      <c r="S258" s="8">
        <v>3</v>
      </c>
      <c r="T258" s="2" t="s">
        <v>24</v>
      </c>
      <c r="U258" s="31" t="str" cm="1">
        <f t="array" ref="U258">_xlfn.IFS(L258&lt;=5000,$Z$3,AND(L258&gt;5000,L258&lt;=15000),$Z$4,AND(L258&gt;15000,L258&lt;=30000),$Z$5,AND(L258&gt;30000,L258&lt;=50000),$Z$6,L258&gt;50000,$Z$7)</f>
        <v>Sangat Rendah</v>
      </c>
      <c r="V258" s="2"/>
    </row>
    <row r="259" spans="1:22" ht="15.75" customHeight="1" x14ac:dyDescent="0.25">
      <c r="A259" s="26"/>
      <c r="B259" s="2" t="s">
        <v>517</v>
      </c>
      <c r="C259" s="32">
        <v>45597.015821759262</v>
      </c>
      <c r="D259" s="53">
        <f>YEAR(Table1[[#This Row],[Order Date]])</f>
        <v>2024</v>
      </c>
      <c r="E259" s="2" t="s">
        <v>365</v>
      </c>
      <c r="F259" s="2" t="s">
        <v>61</v>
      </c>
      <c r="G259" s="2" t="s">
        <v>85</v>
      </c>
      <c r="H259" s="23">
        <v>35000</v>
      </c>
      <c r="I259" s="2">
        <v>2</v>
      </c>
      <c r="J259" s="31">
        <v>0</v>
      </c>
      <c r="K259" s="7">
        <f t="shared" si="12"/>
        <v>70000</v>
      </c>
      <c r="L259" s="7">
        <f t="shared" si="13"/>
        <v>0</v>
      </c>
      <c r="M259" s="7">
        <f t="shared" si="14"/>
        <v>70000</v>
      </c>
      <c r="N259" s="23">
        <v>26000</v>
      </c>
      <c r="O259" s="7">
        <f t="shared" si="15"/>
        <v>96000</v>
      </c>
      <c r="P259" s="2" t="s">
        <v>35</v>
      </c>
      <c r="Q259" t="str">
        <f>_xlfn.XLOOKUP(B259,Status!$A$2:$A$1867,Status!$B$2:$B$1867)</f>
        <v>Returned</v>
      </c>
      <c r="R259" s="2" t="s">
        <v>23</v>
      </c>
      <c r="S259" s="8">
        <v>2</v>
      </c>
      <c r="T259" s="2" t="s">
        <v>24</v>
      </c>
      <c r="U259" s="31" t="str" cm="1">
        <f t="array" ref="U259">_xlfn.IFS(L259&lt;=5000,$Z$3,AND(L259&gt;5000,L259&lt;=15000),$Z$4,AND(L259&gt;15000,L259&lt;=30000),$Z$5,AND(L259&gt;30000,L259&lt;=50000),$Z$6,L259&gt;50000,$Z$7)</f>
        <v>Sangat Rendah</v>
      </c>
      <c r="V259" s="2"/>
    </row>
    <row r="260" spans="1:22" ht="15.75" customHeight="1" x14ac:dyDescent="0.25">
      <c r="A260" s="26"/>
      <c r="B260" s="2" t="s">
        <v>518</v>
      </c>
      <c r="C260" s="32">
        <v>45597.078587962962</v>
      </c>
      <c r="D260" s="53">
        <f>YEAR(Table1[[#This Row],[Order Date]])</f>
        <v>2024</v>
      </c>
      <c r="E260" s="2" t="s">
        <v>87</v>
      </c>
      <c r="F260" s="2" t="s">
        <v>80</v>
      </c>
      <c r="G260" s="2" t="s">
        <v>75</v>
      </c>
      <c r="H260" s="23">
        <v>55000</v>
      </c>
      <c r="I260" s="2">
        <v>1</v>
      </c>
      <c r="J260" s="31">
        <v>10</v>
      </c>
      <c r="K260" s="7">
        <f t="shared" ref="K260:K323" si="16">H260*I260</f>
        <v>55000</v>
      </c>
      <c r="L260" s="7">
        <f t="shared" ref="L260:L323" si="17">K260*(J260/100)</f>
        <v>5500</v>
      </c>
      <c r="M260" s="7">
        <f t="shared" ref="M260:M323" si="18">K260-L260</f>
        <v>49500</v>
      </c>
      <c r="N260" s="23">
        <v>74000</v>
      </c>
      <c r="O260" s="7">
        <f t="shared" ref="O260:O323" si="19">SUM(M260:N260)</f>
        <v>123500</v>
      </c>
      <c r="P260" s="2" t="s">
        <v>22</v>
      </c>
      <c r="Q260" t="str">
        <f>_xlfn.XLOOKUP(B260,Status!$A$2:$A$1867,Status!$B$2:$B$1867)</f>
        <v>Returned</v>
      </c>
      <c r="R260" s="2" t="s">
        <v>30</v>
      </c>
      <c r="S260" s="8">
        <v>3</v>
      </c>
      <c r="T260" s="2" t="s">
        <v>24</v>
      </c>
      <c r="U260" s="31" t="str" cm="1">
        <f t="array" ref="U260">_xlfn.IFS(L260&lt;=5000,$Z$3,AND(L260&gt;5000,L260&lt;=15000),$Z$4,AND(L260&gt;15000,L260&lt;=30000),$Z$5,AND(L260&gt;30000,L260&lt;=50000),$Z$6,L260&gt;50000,$Z$7)</f>
        <v>Rendah</v>
      </c>
      <c r="V260" s="2"/>
    </row>
    <row r="261" spans="1:22" ht="15.75" customHeight="1" x14ac:dyDescent="0.25">
      <c r="A261" s="26"/>
      <c r="B261" s="2" t="s">
        <v>519</v>
      </c>
      <c r="C261" s="32">
        <v>45597.089837962973</v>
      </c>
      <c r="D261" s="53">
        <f>YEAR(Table1[[#This Row],[Order Date]])</f>
        <v>2024</v>
      </c>
      <c r="E261" s="2" t="s">
        <v>520</v>
      </c>
      <c r="F261" s="2" t="s">
        <v>103</v>
      </c>
      <c r="G261" s="2" t="s">
        <v>67</v>
      </c>
      <c r="H261" s="23">
        <v>15000</v>
      </c>
      <c r="I261" s="2">
        <v>1</v>
      </c>
      <c r="J261" s="31">
        <v>5</v>
      </c>
      <c r="K261" s="7">
        <f t="shared" si="16"/>
        <v>15000</v>
      </c>
      <c r="L261" s="7">
        <f t="shared" si="17"/>
        <v>750</v>
      </c>
      <c r="M261" s="7">
        <f t="shared" si="18"/>
        <v>14250</v>
      </c>
      <c r="N261" s="23">
        <v>85000</v>
      </c>
      <c r="O261" s="7">
        <f t="shared" si="19"/>
        <v>99250</v>
      </c>
      <c r="P261" s="2" t="s">
        <v>22</v>
      </c>
      <c r="Q261" t="str">
        <f>_xlfn.XLOOKUP(B261,Status!$A$2:$A$1867,Status!$B$2:$B$1867)</f>
        <v>Completed</v>
      </c>
      <c r="R261" s="2" t="s">
        <v>36</v>
      </c>
      <c r="S261" s="8">
        <v>5</v>
      </c>
      <c r="T261" s="2" t="s">
        <v>24</v>
      </c>
      <c r="U261" s="31" t="str" cm="1">
        <f t="array" ref="U261">_xlfn.IFS(L261&lt;=5000,$Z$3,AND(L261&gt;5000,L261&lt;=15000),$Z$4,AND(L261&gt;15000,L261&lt;=30000),$Z$5,AND(L261&gt;30000,L261&lt;=50000),$Z$6,L261&gt;50000,$Z$7)</f>
        <v>Sangat Rendah</v>
      </c>
      <c r="V261" s="2"/>
    </row>
    <row r="262" spans="1:22" ht="15.75" customHeight="1" x14ac:dyDescent="0.25">
      <c r="A262" s="26"/>
      <c r="B262" s="2" t="s">
        <v>521</v>
      </c>
      <c r="C262" s="32">
        <v>45597.640682870369</v>
      </c>
      <c r="D262" s="53">
        <f>YEAR(Table1[[#This Row],[Order Date]])</f>
        <v>2024</v>
      </c>
      <c r="E262" s="2" t="s">
        <v>285</v>
      </c>
      <c r="F262" s="2" t="s">
        <v>20</v>
      </c>
      <c r="G262" s="2" t="s">
        <v>71</v>
      </c>
      <c r="H262" s="23">
        <v>40000</v>
      </c>
      <c r="I262" s="2">
        <v>2</v>
      </c>
      <c r="J262" s="31">
        <v>15</v>
      </c>
      <c r="K262" s="7">
        <f t="shared" si="16"/>
        <v>80000</v>
      </c>
      <c r="L262" s="7">
        <f t="shared" si="17"/>
        <v>12000</v>
      </c>
      <c r="M262" s="7">
        <f t="shared" si="18"/>
        <v>68000</v>
      </c>
      <c r="N262" s="23">
        <v>15000</v>
      </c>
      <c r="O262" s="7">
        <f t="shared" si="19"/>
        <v>83000</v>
      </c>
      <c r="P262" s="2" t="s">
        <v>35</v>
      </c>
      <c r="Q262" t="str">
        <f>_xlfn.XLOOKUP(B262,Status!$A$2:$A$1867,Status!$B$2:$B$1867)</f>
        <v>Cancelled</v>
      </c>
      <c r="R262" s="2" t="s">
        <v>46</v>
      </c>
      <c r="S262" s="8">
        <v>3</v>
      </c>
      <c r="T262" s="2" t="s">
        <v>37</v>
      </c>
      <c r="U262" s="31" t="str" cm="1">
        <f t="array" ref="U262">_xlfn.IFS(L262&lt;=5000,$Z$3,AND(L262&gt;5000,L262&lt;=15000),$Z$4,AND(L262&gt;15000,L262&lt;=30000),$Z$5,AND(L262&gt;30000,L262&lt;=50000),$Z$6,L262&gt;50000,$Z$7)</f>
        <v>Rendah</v>
      </c>
      <c r="V262" s="2"/>
    </row>
    <row r="263" spans="1:22" ht="15.75" customHeight="1" x14ac:dyDescent="0.25">
      <c r="A263" s="26"/>
      <c r="B263" s="2" t="s">
        <v>522</v>
      </c>
      <c r="C263" s="32">
        <v>45597.866851851853</v>
      </c>
      <c r="D263" s="53">
        <f>YEAR(Table1[[#This Row],[Order Date]])</f>
        <v>2024</v>
      </c>
      <c r="E263" s="2" t="s">
        <v>523</v>
      </c>
      <c r="F263" s="2" t="s">
        <v>113</v>
      </c>
      <c r="G263" s="2" t="s">
        <v>186</v>
      </c>
      <c r="H263" s="23">
        <v>45000</v>
      </c>
      <c r="I263" s="2">
        <v>4</v>
      </c>
      <c r="J263" s="31">
        <v>0</v>
      </c>
      <c r="K263" s="7">
        <f t="shared" si="16"/>
        <v>180000</v>
      </c>
      <c r="L263" s="7">
        <f t="shared" si="17"/>
        <v>0</v>
      </c>
      <c r="M263" s="7">
        <f t="shared" si="18"/>
        <v>180000</v>
      </c>
      <c r="N263" s="23">
        <v>18000</v>
      </c>
      <c r="O263" s="7">
        <f t="shared" si="19"/>
        <v>198000</v>
      </c>
      <c r="P263" s="2" t="s">
        <v>29</v>
      </c>
      <c r="Q263" t="str">
        <f>_xlfn.XLOOKUP(B263,Status!$A$2:$A$1867,Status!$B$2:$B$1867)</f>
        <v>Completed</v>
      </c>
      <c r="R263" s="2" t="s">
        <v>30</v>
      </c>
      <c r="S263" s="8">
        <v>4</v>
      </c>
      <c r="T263" s="2" t="s">
        <v>24</v>
      </c>
      <c r="U263" s="31" t="str" cm="1">
        <f t="array" ref="U263">_xlfn.IFS(L263&lt;=5000,$Z$3,AND(L263&gt;5000,L263&lt;=15000),$Z$4,AND(L263&gt;15000,L263&lt;=30000),$Z$5,AND(L263&gt;30000,L263&lt;=50000),$Z$6,L263&gt;50000,$Z$7)</f>
        <v>Sangat Rendah</v>
      </c>
      <c r="V263" s="2"/>
    </row>
    <row r="264" spans="1:22" ht="15.75" customHeight="1" x14ac:dyDescent="0.25">
      <c r="A264" s="26"/>
      <c r="B264" s="2" t="s">
        <v>524</v>
      </c>
      <c r="C264" s="32">
        <v>45597.910775462973</v>
      </c>
      <c r="D264" s="53">
        <f>YEAR(Table1[[#This Row],[Order Date]])</f>
        <v>2024</v>
      </c>
      <c r="E264" s="2" t="s">
        <v>525</v>
      </c>
      <c r="F264" s="2" t="s">
        <v>96</v>
      </c>
      <c r="G264" s="2" t="s">
        <v>81</v>
      </c>
      <c r="H264" s="23">
        <v>17000</v>
      </c>
      <c r="I264" s="2">
        <v>1</v>
      </c>
      <c r="J264" s="31">
        <v>20</v>
      </c>
      <c r="K264" s="7">
        <f t="shared" si="16"/>
        <v>17000</v>
      </c>
      <c r="L264" s="7">
        <f t="shared" si="17"/>
        <v>3400</v>
      </c>
      <c r="M264" s="7">
        <f t="shared" si="18"/>
        <v>13600</v>
      </c>
      <c r="N264" s="23">
        <v>49000</v>
      </c>
      <c r="O264" s="7">
        <f t="shared" si="19"/>
        <v>62600</v>
      </c>
      <c r="P264" s="2" t="s">
        <v>29</v>
      </c>
      <c r="Q264" t="str">
        <f>_xlfn.XLOOKUP(B264,Status!$A$2:$A$1867,Status!$B$2:$B$1867)</f>
        <v>Completed</v>
      </c>
      <c r="R264" s="2" t="s">
        <v>36</v>
      </c>
      <c r="S264" s="8">
        <v>3</v>
      </c>
      <c r="T264" s="2" t="s">
        <v>24</v>
      </c>
      <c r="U264" s="31" t="str" cm="1">
        <f t="array" ref="U264">_xlfn.IFS(L264&lt;=5000,$Z$3,AND(L264&gt;5000,L264&lt;=15000),$Z$4,AND(L264&gt;15000,L264&lt;=30000),$Z$5,AND(L264&gt;30000,L264&lt;=50000),$Z$6,L264&gt;50000,$Z$7)</f>
        <v>Sangat Rendah</v>
      </c>
      <c r="V264" s="2"/>
    </row>
    <row r="265" spans="1:22" ht="15.75" customHeight="1" x14ac:dyDescent="0.25">
      <c r="A265" s="26"/>
      <c r="B265" s="2" t="s">
        <v>526</v>
      </c>
      <c r="C265" s="32">
        <v>45598.30060185185</v>
      </c>
      <c r="D265" s="53">
        <f>YEAR(Table1[[#This Row],[Order Date]])</f>
        <v>2024</v>
      </c>
      <c r="E265" s="2" t="s">
        <v>527</v>
      </c>
      <c r="F265" s="2" t="s">
        <v>173</v>
      </c>
      <c r="G265" s="2" t="s">
        <v>71</v>
      </c>
      <c r="H265" s="23">
        <v>40000</v>
      </c>
      <c r="I265" s="2">
        <v>4</v>
      </c>
      <c r="J265" s="31">
        <v>0</v>
      </c>
      <c r="K265" s="7">
        <f t="shared" si="16"/>
        <v>160000</v>
      </c>
      <c r="L265" s="7">
        <f t="shared" si="17"/>
        <v>0</v>
      </c>
      <c r="M265" s="7">
        <f t="shared" si="18"/>
        <v>160000</v>
      </c>
      <c r="N265" s="23">
        <v>49000</v>
      </c>
      <c r="O265" s="7">
        <f t="shared" si="19"/>
        <v>209000</v>
      </c>
      <c r="P265" s="2" t="s">
        <v>29</v>
      </c>
      <c r="Q265" t="str">
        <f>_xlfn.XLOOKUP(B265,Status!$A$2:$A$1867,Status!$B$2:$B$1867)</f>
        <v>Completed</v>
      </c>
      <c r="R265" s="2" t="s">
        <v>23</v>
      </c>
      <c r="S265" s="8">
        <v>1</v>
      </c>
      <c r="T265" s="2" t="s">
        <v>24</v>
      </c>
      <c r="U265" s="31" t="str" cm="1">
        <f t="array" ref="U265">_xlfn.IFS(L265&lt;=5000,$Z$3,AND(L265&gt;5000,L265&lt;=15000),$Z$4,AND(L265&gt;15000,L265&lt;=30000),$Z$5,AND(L265&gt;30000,L265&lt;=50000),$Z$6,L265&gt;50000,$Z$7)</f>
        <v>Sangat Rendah</v>
      </c>
      <c r="V265" s="2"/>
    </row>
    <row r="266" spans="1:22" ht="15.75" customHeight="1" x14ac:dyDescent="0.25">
      <c r="A266" s="26"/>
      <c r="B266" s="2" t="s">
        <v>528</v>
      </c>
      <c r="C266" s="32">
        <v>45598.751608796287</v>
      </c>
      <c r="D266" s="53">
        <f>YEAR(Table1[[#This Row],[Order Date]])</f>
        <v>2024</v>
      </c>
      <c r="E266" s="2" t="s">
        <v>455</v>
      </c>
      <c r="F266" s="2" t="s">
        <v>33</v>
      </c>
      <c r="G266" s="2" t="s">
        <v>58</v>
      </c>
      <c r="H266" s="23">
        <v>16000</v>
      </c>
      <c r="I266" s="2">
        <v>1</v>
      </c>
      <c r="J266" s="31">
        <v>10</v>
      </c>
      <c r="K266" s="7">
        <f t="shared" si="16"/>
        <v>16000</v>
      </c>
      <c r="L266" s="7">
        <f t="shared" si="17"/>
        <v>1600</v>
      </c>
      <c r="M266" s="7">
        <f t="shared" si="18"/>
        <v>14400</v>
      </c>
      <c r="N266" s="23">
        <v>76000</v>
      </c>
      <c r="O266" s="7">
        <f t="shared" si="19"/>
        <v>90400</v>
      </c>
      <c r="P266" s="2" t="s">
        <v>35</v>
      </c>
      <c r="Q266" t="str">
        <f>_xlfn.XLOOKUP(B266,Status!$A$2:$A$1867,Status!$B$2:$B$1867)</f>
        <v>Returned</v>
      </c>
      <c r="R266" s="2" t="s">
        <v>46</v>
      </c>
      <c r="S266" s="8">
        <v>1</v>
      </c>
      <c r="T266" s="2" t="s">
        <v>24</v>
      </c>
      <c r="U266" s="31" t="str" cm="1">
        <f t="array" ref="U266">_xlfn.IFS(L266&lt;=5000,$Z$3,AND(L266&gt;5000,L266&lt;=15000),$Z$4,AND(L266&gt;15000,L266&lt;=30000),$Z$5,AND(L266&gt;30000,L266&lt;=50000),$Z$6,L266&gt;50000,$Z$7)</f>
        <v>Sangat Rendah</v>
      </c>
      <c r="V266" s="2"/>
    </row>
    <row r="267" spans="1:22" ht="15.75" customHeight="1" x14ac:dyDescent="0.25">
      <c r="A267" s="26"/>
      <c r="B267" s="2" t="s">
        <v>529</v>
      </c>
      <c r="C267" s="32">
        <v>45598.904791666668</v>
      </c>
      <c r="D267" s="53">
        <f>YEAR(Table1[[#This Row],[Order Date]])</f>
        <v>2024</v>
      </c>
      <c r="E267" s="2" t="s">
        <v>530</v>
      </c>
      <c r="F267" s="2" t="s">
        <v>151</v>
      </c>
      <c r="G267" s="2" t="s">
        <v>250</v>
      </c>
      <c r="H267" s="23">
        <v>18000</v>
      </c>
      <c r="I267" s="2">
        <v>5</v>
      </c>
      <c r="J267" s="31">
        <v>0</v>
      </c>
      <c r="K267" s="7">
        <f t="shared" si="16"/>
        <v>90000</v>
      </c>
      <c r="L267" s="7">
        <f t="shared" si="17"/>
        <v>0</v>
      </c>
      <c r="M267" s="7">
        <f t="shared" si="18"/>
        <v>90000</v>
      </c>
      <c r="N267" s="23">
        <v>55000</v>
      </c>
      <c r="O267" s="7">
        <f t="shared" si="19"/>
        <v>145000</v>
      </c>
      <c r="P267" s="2" t="s">
        <v>63</v>
      </c>
      <c r="Q267" t="str">
        <f>_xlfn.XLOOKUP(B267,Status!$A$2:$A$1867,Status!$B$2:$B$1867)</f>
        <v>Completed</v>
      </c>
      <c r="R267" s="2" t="s">
        <v>82</v>
      </c>
      <c r="S267" s="8">
        <v>2</v>
      </c>
      <c r="T267" s="2" t="s">
        <v>24</v>
      </c>
      <c r="U267" s="31" t="str" cm="1">
        <f t="array" ref="U267">_xlfn.IFS(L267&lt;=5000,$Z$3,AND(L267&gt;5000,L267&lt;=15000),$Z$4,AND(L267&gt;15000,L267&lt;=30000),$Z$5,AND(L267&gt;30000,L267&lt;=50000),$Z$6,L267&gt;50000,$Z$7)</f>
        <v>Sangat Rendah</v>
      </c>
      <c r="V267" s="2"/>
    </row>
    <row r="268" spans="1:22" ht="15.75" customHeight="1" x14ac:dyDescent="0.25">
      <c r="A268" s="26"/>
      <c r="B268" s="2" t="s">
        <v>531</v>
      </c>
      <c r="C268" s="32">
        <v>45599.25885416667</v>
      </c>
      <c r="D268" s="53">
        <f>YEAR(Table1[[#This Row],[Order Date]])</f>
        <v>2024</v>
      </c>
      <c r="E268" s="2" t="s">
        <v>532</v>
      </c>
      <c r="F268" s="2" t="s">
        <v>262</v>
      </c>
      <c r="G268" s="2" t="s">
        <v>75</v>
      </c>
      <c r="H268" s="23">
        <v>55000</v>
      </c>
      <c r="I268" s="2">
        <v>3</v>
      </c>
      <c r="J268" s="31">
        <v>0</v>
      </c>
      <c r="K268" s="7">
        <f t="shared" si="16"/>
        <v>165000</v>
      </c>
      <c r="L268" s="7">
        <f t="shared" si="17"/>
        <v>0</v>
      </c>
      <c r="M268" s="7">
        <f t="shared" si="18"/>
        <v>165000</v>
      </c>
      <c r="N268" s="23">
        <v>18000</v>
      </c>
      <c r="O268" s="7">
        <f t="shared" si="19"/>
        <v>183000</v>
      </c>
      <c r="P268" s="2" t="s">
        <v>22</v>
      </c>
      <c r="Q268" t="str">
        <f>_xlfn.XLOOKUP(B268,Status!$A$2:$A$1867,Status!$B$2:$B$1867)</f>
        <v>Completed</v>
      </c>
      <c r="R268" s="2" t="s">
        <v>30</v>
      </c>
      <c r="S268" s="8">
        <v>2</v>
      </c>
      <c r="T268" s="2" t="s">
        <v>24</v>
      </c>
      <c r="U268" s="31" t="str" cm="1">
        <f t="array" ref="U268">_xlfn.IFS(L268&lt;=5000,$Z$3,AND(L268&gt;5000,L268&lt;=15000),$Z$4,AND(L268&gt;15000,L268&lt;=30000),$Z$5,AND(L268&gt;30000,L268&lt;=50000),$Z$6,L268&gt;50000,$Z$7)</f>
        <v>Sangat Rendah</v>
      </c>
      <c r="V268" s="2"/>
    </row>
    <row r="269" spans="1:22" ht="15.75" customHeight="1" x14ac:dyDescent="0.25">
      <c r="A269" s="26"/>
      <c r="B269" s="2" t="s">
        <v>531</v>
      </c>
      <c r="C269" s="32">
        <v>45599.25885416667</v>
      </c>
      <c r="D269" s="53">
        <f>YEAR(Table1[[#This Row],[Order Date]])</f>
        <v>2024</v>
      </c>
      <c r="E269" s="2" t="s">
        <v>532</v>
      </c>
      <c r="F269" s="2" t="s">
        <v>262</v>
      </c>
      <c r="G269" s="2" t="s">
        <v>28</v>
      </c>
      <c r="H269" s="23">
        <v>5000</v>
      </c>
      <c r="I269" s="2">
        <v>2</v>
      </c>
      <c r="J269" s="31">
        <v>5</v>
      </c>
      <c r="K269" s="7">
        <f t="shared" si="16"/>
        <v>10000</v>
      </c>
      <c r="L269" s="7">
        <f t="shared" si="17"/>
        <v>500</v>
      </c>
      <c r="M269" s="7">
        <f t="shared" si="18"/>
        <v>9500</v>
      </c>
      <c r="N269" s="23">
        <v>0</v>
      </c>
      <c r="O269" s="7">
        <f t="shared" si="19"/>
        <v>9500</v>
      </c>
      <c r="P269" s="2" t="s">
        <v>22</v>
      </c>
      <c r="Q269" t="str">
        <f>_xlfn.XLOOKUP(B269,Status!$A$2:$A$1867,Status!$B$2:$B$1867)</f>
        <v>Completed</v>
      </c>
      <c r="R269" s="2" t="s">
        <v>30</v>
      </c>
      <c r="S269" s="8">
        <v>2</v>
      </c>
      <c r="T269" s="2" t="s">
        <v>24</v>
      </c>
      <c r="U269" s="31" t="str" cm="1">
        <f t="array" ref="U269">_xlfn.IFS(L269&lt;=5000,$Z$3,AND(L269&gt;5000,L269&lt;=15000),$Z$4,AND(L269&gt;15000,L269&lt;=30000),$Z$5,AND(L269&gt;30000,L269&lt;=50000),$Z$6,L269&gt;50000,$Z$7)</f>
        <v>Sangat Rendah</v>
      </c>
      <c r="V269" s="2"/>
    </row>
    <row r="270" spans="1:22" ht="15.75" customHeight="1" x14ac:dyDescent="0.25">
      <c r="A270" s="26"/>
      <c r="B270" s="2" t="s">
        <v>533</v>
      </c>
      <c r="C270" s="32">
        <v>45599.295289351852</v>
      </c>
      <c r="D270" s="53">
        <f>YEAR(Table1[[#This Row],[Order Date]])</f>
        <v>2024</v>
      </c>
      <c r="E270" s="2" t="s">
        <v>231</v>
      </c>
      <c r="F270" s="2" t="s">
        <v>66</v>
      </c>
      <c r="G270" s="2" t="s">
        <v>136</v>
      </c>
      <c r="H270" s="23">
        <v>12000</v>
      </c>
      <c r="I270" s="2">
        <v>2</v>
      </c>
      <c r="J270" s="31">
        <v>15</v>
      </c>
      <c r="K270" s="7">
        <f t="shared" si="16"/>
        <v>24000</v>
      </c>
      <c r="L270" s="7">
        <f t="shared" si="17"/>
        <v>3600</v>
      </c>
      <c r="M270" s="7">
        <f t="shared" si="18"/>
        <v>20400</v>
      </c>
      <c r="N270" s="23">
        <v>59000</v>
      </c>
      <c r="O270" s="7">
        <f t="shared" si="19"/>
        <v>79400</v>
      </c>
      <c r="P270" s="2" t="s">
        <v>29</v>
      </c>
      <c r="Q270" t="str">
        <f>_xlfn.XLOOKUP(B270,Status!$A$2:$A$1867,Status!$B$2:$B$1867)</f>
        <v>Completed</v>
      </c>
      <c r="R270" s="2" t="s">
        <v>30</v>
      </c>
      <c r="S270" s="8">
        <v>3</v>
      </c>
      <c r="T270" s="2" t="s">
        <v>24</v>
      </c>
      <c r="U270" s="31" t="str" cm="1">
        <f t="array" ref="U270">_xlfn.IFS(L270&lt;=5000,$Z$3,AND(L270&gt;5000,L270&lt;=15000),$Z$4,AND(L270&gt;15000,L270&lt;=30000),$Z$5,AND(L270&gt;30000,L270&lt;=50000),$Z$6,L270&gt;50000,$Z$7)</f>
        <v>Sangat Rendah</v>
      </c>
      <c r="V270" s="2"/>
    </row>
    <row r="271" spans="1:22" ht="15.75" customHeight="1" x14ac:dyDescent="0.25">
      <c r="A271" s="26"/>
      <c r="B271" s="2" t="s">
        <v>534</v>
      </c>
      <c r="C271" s="32">
        <v>45599.459305555552</v>
      </c>
      <c r="D271" s="53">
        <f>YEAR(Table1[[#This Row],[Order Date]])</f>
        <v>2024</v>
      </c>
      <c r="E271" s="2" t="s">
        <v>466</v>
      </c>
      <c r="F271" s="2" t="s">
        <v>131</v>
      </c>
      <c r="G271" s="2" t="s">
        <v>136</v>
      </c>
      <c r="H271" s="23">
        <v>12000</v>
      </c>
      <c r="I271" s="2">
        <v>3</v>
      </c>
      <c r="J271" s="31">
        <v>15</v>
      </c>
      <c r="K271" s="7">
        <f t="shared" si="16"/>
        <v>36000</v>
      </c>
      <c r="L271" s="7">
        <f t="shared" si="17"/>
        <v>5400</v>
      </c>
      <c r="M271" s="7">
        <f t="shared" si="18"/>
        <v>30600</v>
      </c>
      <c r="N271" s="23">
        <v>59000</v>
      </c>
      <c r="O271" s="7">
        <f t="shared" si="19"/>
        <v>89600</v>
      </c>
      <c r="P271" s="2" t="s">
        <v>63</v>
      </c>
      <c r="Q271" t="str">
        <f>_xlfn.XLOOKUP(B271,Status!$A$2:$A$1867,Status!$B$2:$B$1867)</f>
        <v>Completed</v>
      </c>
      <c r="R271" s="2" t="s">
        <v>30</v>
      </c>
      <c r="S271" s="8">
        <v>3</v>
      </c>
      <c r="T271" s="2" t="s">
        <v>24</v>
      </c>
      <c r="U271" s="31" t="str" cm="1">
        <f t="array" ref="U271">_xlfn.IFS(L271&lt;=5000,$Z$3,AND(L271&gt;5000,L271&lt;=15000),$Z$4,AND(L271&gt;15000,L271&lt;=30000),$Z$5,AND(L271&gt;30000,L271&lt;=50000),$Z$6,L271&gt;50000,$Z$7)</f>
        <v>Rendah</v>
      </c>
      <c r="V271" s="2"/>
    </row>
    <row r="272" spans="1:22" ht="15.75" customHeight="1" x14ac:dyDescent="0.25">
      <c r="A272" s="26"/>
      <c r="B272" s="2" t="s">
        <v>535</v>
      </c>
      <c r="C272" s="32">
        <v>45600.006215277783</v>
      </c>
      <c r="D272" s="53">
        <f>YEAR(Table1[[#This Row],[Order Date]])</f>
        <v>2024</v>
      </c>
      <c r="E272" s="2" t="s">
        <v>231</v>
      </c>
      <c r="F272" s="2" t="s">
        <v>66</v>
      </c>
      <c r="G272" s="2" t="s">
        <v>186</v>
      </c>
      <c r="H272" s="23">
        <v>45000</v>
      </c>
      <c r="I272" s="2">
        <v>4</v>
      </c>
      <c r="J272" s="31">
        <v>15</v>
      </c>
      <c r="K272" s="7">
        <f t="shared" si="16"/>
        <v>180000</v>
      </c>
      <c r="L272" s="7">
        <f t="shared" si="17"/>
        <v>27000</v>
      </c>
      <c r="M272" s="7">
        <f t="shared" si="18"/>
        <v>153000</v>
      </c>
      <c r="N272" s="23">
        <v>59000</v>
      </c>
      <c r="O272" s="7">
        <f t="shared" si="19"/>
        <v>212000</v>
      </c>
      <c r="P272" s="2" t="s">
        <v>29</v>
      </c>
      <c r="Q272" t="str">
        <f>_xlfn.XLOOKUP(B272,Status!$A$2:$A$1867,Status!$B$2:$B$1867)</f>
        <v>Completed</v>
      </c>
      <c r="R272" s="2" t="s">
        <v>82</v>
      </c>
      <c r="S272" s="8">
        <v>1</v>
      </c>
      <c r="T272" s="2" t="s">
        <v>24</v>
      </c>
      <c r="U272" s="31" t="str" cm="1">
        <f t="array" ref="U272">_xlfn.IFS(L272&lt;=5000,$Z$3,AND(L272&gt;5000,L272&lt;=15000),$Z$4,AND(L272&gt;15000,L272&lt;=30000),$Z$5,AND(L272&gt;30000,L272&lt;=50000),$Z$6,L272&gt;50000,$Z$7)</f>
        <v>Normal</v>
      </c>
      <c r="V272" s="2"/>
    </row>
    <row r="273" spans="1:22" ht="15.75" customHeight="1" x14ac:dyDescent="0.25">
      <c r="A273" s="26"/>
      <c r="B273" s="2" t="s">
        <v>536</v>
      </c>
      <c r="C273" s="32">
        <v>45600.688842592594</v>
      </c>
      <c r="D273" s="53">
        <f>YEAR(Table1[[#This Row],[Order Date]])</f>
        <v>2024</v>
      </c>
      <c r="E273" s="2" t="s">
        <v>537</v>
      </c>
      <c r="F273" s="2" t="s">
        <v>57</v>
      </c>
      <c r="G273" s="2" t="s">
        <v>174</v>
      </c>
      <c r="H273" s="23">
        <v>10000</v>
      </c>
      <c r="I273" s="2">
        <v>4</v>
      </c>
      <c r="J273" s="31">
        <v>20</v>
      </c>
      <c r="K273" s="7">
        <f t="shared" si="16"/>
        <v>40000</v>
      </c>
      <c r="L273" s="7">
        <f t="shared" si="17"/>
        <v>8000</v>
      </c>
      <c r="M273" s="7">
        <f t="shared" si="18"/>
        <v>32000</v>
      </c>
      <c r="N273" s="23">
        <v>80000</v>
      </c>
      <c r="O273" s="7">
        <f t="shared" si="19"/>
        <v>112000</v>
      </c>
      <c r="P273" s="2" t="s">
        <v>22</v>
      </c>
      <c r="Q273" t="str">
        <f>_xlfn.XLOOKUP(B273,Status!$A$2:$A$1867,Status!$B$2:$B$1867)</f>
        <v>Completed</v>
      </c>
      <c r="R273" s="2" t="s">
        <v>23</v>
      </c>
      <c r="S273" s="8">
        <v>3</v>
      </c>
      <c r="T273" s="2" t="s">
        <v>37</v>
      </c>
      <c r="U273" s="31" t="str" cm="1">
        <f t="array" ref="U273">_xlfn.IFS(L273&lt;=5000,$Z$3,AND(L273&gt;5000,L273&lt;=15000),$Z$4,AND(L273&gt;15000,L273&lt;=30000),$Z$5,AND(L273&gt;30000,L273&lt;=50000),$Z$6,L273&gt;50000,$Z$7)</f>
        <v>Rendah</v>
      </c>
      <c r="V273" s="2"/>
    </row>
    <row r="274" spans="1:22" ht="15.75" customHeight="1" x14ac:dyDescent="0.25">
      <c r="A274" s="26"/>
      <c r="B274" s="2" t="s">
        <v>538</v>
      </c>
      <c r="C274" s="32">
        <v>45600.952939814822</v>
      </c>
      <c r="D274" s="53">
        <f>YEAR(Table1[[#This Row],[Order Date]])</f>
        <v>2024</v>
      </c>
      <c r="E274" s="2" t="s">
        <v>299</v>
      </c>
      <c r="F274" s="2" t="s">
        <v>163</v>
      </c>
      <c r="G274" s="2" t="s">
        <v>186</v>
      </c>
      <c r="H274" s="23">
        <v>45000</v>
      </c>
      <c r="I274" s="2">
        <v>3</v>
      </c>
      <c r="J274" s="31">
        <v>5</v>
      </c>
      <c r="K274" s="7">
        <f t="shared" si="16"/>
        <v>135000</v>
      </c>
      <c r="L274" s="7">
        <f t="shared" si="17"/>
        <v>6750</v>
      </c>
      <c r="M274" s="7">
        <f t="shared" si="18"/>
        <v>128250</v>
      </c>
      <c r="N274" s="23">
        <v>50000</v>
      </c>
      <c r="O274" s="7">
        <f t="shared" si="19"/>
        <v>178250</v>
      </c>
      <c r="P274" s="2" t="s">
        <v>29</v>
      </c>
      <c r="Q274" t="str">
        <f>_xlfn.XLOOKUP(B274,Status!$A$2:$A$1867,Status!$B$2:$B$1867)</f>
        <v>Completed</v>
      </c>
      <c r="R274" s="2" t="s">
        <v>36</v>
      </c>
      <c r="S274" s="8">
        <v>3</v>
      </c>
      <c r="T274" s="2" t="s">
        <v>24</v>
      </c>
      <c r="U274" s="31" t="str" cm="1">
        <f t="array" ref="U274">_xlfn.IFS(L274&lt;=5000,$Z$3,AND(L274&gt;5000,L274&lt;=15000),$Z$4,AND(L274&gt;15000,L274&lt;=30000),$Z$5,AND(L274&gt;30000,L274&lt;=50000),$Z$6,L274&gt;50000,$Z$7)</f>
        <v>Rendah</v>
      </c>
      <c r="V274" s="2"/>
    </row>
    <row r="275" spans="1:22" ht="15.75" customHeight="1" x14ac:dyDescent="0.25">
      <c r="A275" s="26"/>
      <c r="B275" s="2" t="s">
        <v>539</v>
      </c>
      <c r="C275" s="32">
        <v>45600.978148148148</v>
      </c>
      <c r="D275" s="53">
        <f>YEAR(Table1[[#This Row],[Order Date]])</f>
        <v>2024</v>
      </c>
      <c r="E275" s="2" t="s">
        <v>79</v>
      </c>
      <c r="F275" s="2" t="s">
        <v>80</v>
      </c>
      <c r="G275" s="2" t="s">
        <v>50</v>
      </c>
      <c r="H275" s="23">
        <v>14000</v>
      </c>
      <c r="I275" s="2">
        <v>2</v>
      </c>
      <c r="J275" s="31">
        <v>20</v>
      </c>
      <c r="K275" s="7">
        <f t="shared" si="16"/>
        <v>28000</v>
      </c>
      <c r="L275" s="7">
        <f t="shared" si="17"/>
        <v>5600</v>
      </c>
      <c r="M275" s="7">
        <f t="shared" si="18"/>
        <v>22400</v>
      </c>
      <c r="N275" s="23">
        <v>74000</v>
      </c>
      <c r="O275" s="7">
        <f t="shared" si="19"/>
        <v>96400</v>
      </c>
      <c r="P275" s="2" t="s">
        <v>35</v>
      </c>
      <c r="Q275" t="str">
        <f>_xlfn.XLOOKUP(B275,Status!$A$2:$A$1867,Status!$B$2:$B$1867)</f>
        <v>Completed</v>
      </c>
      <c r="R275" s="2" t="s">
        <v>23</v>
      </c>
      <c r="S275" s="8">
        <v>4</v>
      </c>
      <c r="T275" s="2" t="s">
        <v>24</v>
      </c>
      <c r="U275" s="31" t="str" cm="1">
        <f t="array" ref="U275">_xlfn.IFS(L275&lt;=5000,$Z$3,AND(L275&gt;5000,L275&lt;=15000),$Z$4,AND(L275&gt;15000,L275&lt;=30000),$Z$5,AND(L275&gt;30000,L275&lt;=50000),$Z$6,L275&gt;50000,$Z$7)</f>
        <v>Rendah</v>
      </c>
      <c r="V275" s="2"/>
    </row>
    <row r="276" spans="1:22" ht="15.75" customHeight="1" x14ac:dyDescent="0.25">
      <c r="A276" s="26"/>
      <c r="B276" s="2" t="s">
        <v>540</v>
      </c>
      <c r="C276" s="32">
        <v>45601.156458333331</v>
      </c>
      <c r="D276" s="53">
        <f>YEAR(Table1[[#This Row],[Order Date]])</f>
        <v>2024</v>
      </c>
      <c r="E276" s="2" t="s">
        <v>150</v>
      </c>
      <c r="F276" s="2" t="s">
        <v>151</v>
      </c>
      <c r="G276" s="2" t="s">
        <v>34</v>
      </c>
      <c r="H276" s="23">
        <v>16000</v>
      </c>
      <c r="I276" s="2">
        <v>5</v>
      </c>
      <c r="J276" s="31">
        <v>0</v>
      </c>
      <c r="K276" s="7">
        <f t="shared" si="16"/>
        <v>80000</v>
      </c>
      <c r="L276" s="7">
        <f t="shared" si="17"/>
        <v>0</v>
      </c>
      <c r="M276" s="7">
        <f t="shared" si="18"/>
        <v>80000</v>
      </c>
      <c r="N276" s="23">
        <v>55000</v>
      </c>
      <c r="O276" s="7">
        <f t="shared" si="19"/>
        <v>135000</v>
      </c>
      <c r="P276" s="2" t="s">
        <v>63</v>
      </c>
      <c r="Q276" t="str">
        <f>_xlfn.XLOOKUP(B276,Status!$A$2:$A$1867,Status!$B$2:$B$1867)</f>
        <v>Completed</v>
      </c>
      <c r="R276" s="2" t="s">
        <v>23</v>
      </c>
      <c r="S276" s="8">
        <v>4</v>
      </c>
      <c r="T276" s="2" t="s">
        <v>37</v>
      </c>
      <c r="U276" s="31" t="str" cm="1">
        <f t="array" ref="U276">_xlfn.IFS(L276&lt;=5000,$Z$3,AND(L276&gt;5000,L276&lt;=15000),$Z$4,AND(L276&gt;15000,L276&lt;=30000),$Z$5,AND(L276&gt;30000,L276&lt;=50000),$Z$6,L276&gt;50000,$Z$7)</f>
        <v>Sangat Rendah</v>
      </c>
      <c r="V276" s="2"/>
    </row>
    <row r="277" spans="1:22" ht="15.75" customHeight="1" x14ac:dyDescent="0.25">
      <c r="A277" s="26"/>
      <c r="B277" s="2" t="s">
        <v>541</v>
      </c>
      <c r="C277" s="32">
        <v>45601.280624999999</v>
      </c>
      <c r="D277" s="53">
        <f>YEAR(Table1[[#This Row],[Order Date]])</f>
        <v>2024</v>
      </c>
      <c r="E277" s="2" t="s">
        <v>542</v>
      </c>
      <c r="F277" s="2" t="s">
        <v>122</v>
      </c>
      <c r="G277" s="2" t="s">
        <v>93</v>
      </c>
      <c r="H277" s="23">
        <v>25000</v>
      </c>
      <c r="I277" s="2">
        <v>3</v>
      </c>
      <c r="J277" s="31">
        <v>20</v>
      </c>
      <c r="K277" s="7">
        <f t="shared" si="16"/>
        <v>75000</v>
      </c>
      <c r="L277" s="7">
        <f t="shared" si="17"/>
        <v>15000</v>
      </c>
      <c r="M277" s="7">
        <f t="shared" si="18"/>
        <v>60000</v>
      </c>
      <c r="N277" s="23">
        <v>78000</v>
      </c>
      <c r="O277" s="7">
        <f t="shared" si="19"/>
        <v>138000</v>
      </c>
      <c r="P277" s="2" t="s">
        <v>63</v>
      </c>
      <c r="Q277" t="str">
        <f>_xlfn.XLOOKUP(B277,Status!$A$2:$A$1867,Status!$B$2:$B$1867)</f>
        <v>Completed</v>
      </c>
      <c r="R277" s="2" t="s">
        <v>36</v>
      </c>
      <c r="S277" s="8">
        <v>4</v>
      </c>
      <c r="T277" s="2" t="s">
        <v>24</v>
      </c>
      <c r="U277" s="31" t="str" cm="1">
        <f t="array" ref="U277">_xlfn.IFS(L277&lt;=5000,$Z$3,AND(L277&gt;5000,L277&lt;=15000),$Z$4,AND(L277&gt;15000,L277&lt;=30000),$Z$5,AND(L277&gt;30000,L277&lt;=50000),$Z$6,L277&gt;50000,$Z$7)</f>
        <v>Rendah</v>
      </c>
      <c r="V277" s="2"/>
    </row>
    <row r="278" spans="1:22" ht="15.75" customHeight="1" x14ac:dyDescent="0.25">
      <c r="A278" s="26"/>
      <c r="B278" s="2" t="s">
        <v>543</v>
      </c>
      <c r="C278" s="32">
        <v>45601.289606481478</v>
      </c>
      <c r="D278" s="53">
        <f>YEAR(Table1[[#This Row],[Order Date]])</f>
        <v>2024</v>
      </c>
      <c r="E278" s="2" t="s">
        <v>544</v>
      </c>
      <c r="F278" s="2" t="s">
        <v>163</v>
      </c>
      <c r="G278" s="2" t="s">
        <v>67</v>
      </c>
      <c r="H278" s="23">
        <v>15000</v>
      </c>
      <c r="I278" s="2">
        <v>4</v>
      </c>
      <c r="J278" s="31">
        <v>20</v>
      </c>
      <c r="K278" s="7">
        <f t="shared" si="16"/>
        <v>60000</v>
      </c>
      <c r="L278" s="7">
        <f t="shared" si="17"/>
        <v>12000</v>
      </c>
      <c r="M278" s="7">
        <f t="shared" si="18"/>
        <v>48000</v>
      </c>
      <c r="N278" s="23">
        <v>50000</v>
      </c>
      <c r="O278" s="7">
        <f t="shared" si="19"/>
        <v>98000</v>
      </c>
      <c r="P278" s="2" t="s">
        <v>22</v>
      </c>
      <c r="Q278" t="str">
        <f>_xlfn.XLOOKUP(B278,Status!$A$2:$A$1867,Status!$B$2:$B$1867)</f>
        <v>Completed</v>
      </c>
      <c r="R278" s="2" t="s">
        <v>23</v>
      </c>
      <c r="S278" s="8">
        <v>4</v>
      </c>
      <c r="T278" s="2" t="s">
        <v>24</v>
      </c>
      <c r="U278" s="31" t="str" cm="1">
        <f t="array" ref="U278">_xlfn.IFS(L278&lt;=5000,$Z$3,AND(L278&gt;5000,L278&lt;=15000),$Z$4,AND(L278&gt;15000,L278&lt;=30000),$Z$5,AND(L278&gt;30000,L278&lt;=50000),$Z$6,L278&gt;50000,$Z$7)</f>
        <v>Rendah</v>
      </c>
      <c r="V278" s="2"/>
    </row>
    <row r="279" spans="1:22" ht="15.75" customHeight="1" x14ac:dyDescent="0.25">
      <c r="A279" s="26"/>
      <c r="B279" s="2" t="s">
        <v>545</v>
      </c>
      <c r="C279" s="32">
        <v>45601.34511574074</v>
      </c>
      <c r="D279" s="53">
        <f>YEAR(Table1[[#This Row],[Order Date]])</f>
        <v>2024</v>
      </c>
      <c r="E279" s="2" t="s">
        <v>307</v>
      </c>
      <c r="F279" s="2" t="s">
        <v>70</v>
      </c>
      <c r="G279" s="2" t="s">
        <v>81</v>
      </c>
      <c r="H279" s="23">
        <v>17000</v>
      </c>
      <c r="I279" s="2">
        <v>4</v>
      </c>
      <c r="J279" s="31">
        <v>15</v>
      </c>
      <c r="K279" s="7">
        <f t="shared" si="16"/>
        <v>68000</v>
      </c>
      <c r="L279" s="7">
        <f t="shared" si="17"/>
        <v>10200</v>
      </c>
      <c r="M279" s="7">
        <f t="shared" si="18"/>
        <v>57800</v>
      </c>
      <c r="N279" s="23">
        <v>89000</v>
      </c>
      <c r="O279" s="7">
        <f t="shared" si="19"/>
        <v>146800</v>
      </c>
      <c r="P279" s="2" t="s">
        <v>29</v>
      </c>
      <c r="Q279" t="str">
        <f>_xlfn.XLOOKUP(B279,Status!$A$2:$A$1867,Status!$B$2:$B$1867)</f>
        <v>Completed</v>
      </c>
      <c r="R279" s="2" t="s">
        <v>82</v>
      </c>
      <c r="S279" s="8">
        <v>2</v>
      </c>
      <c r="T279" s="2" t="s">
        <v>24</v>
      </c>
      <c r="U279" s="31" t="str" cm="1">
        <f t="array" ref="U279">_xlfn.IFS(L279&lt;=5000,$Z$3,AND(L279&gt;5000,L279&lt;=15000),$Z$4,AND(L279&gt;15000,L279&lt;=30000),$Z$5,AND(L279&gt;30000,L279&lt;=50000),$Z$6,L279&gt;50000,$Z$7)</f>
        <v>Rendah</v>
      </c>
      <c r="V279" s="2"/>
    </row>
    <row r="280" spans="1:22" ht="15.75" customHeight="1" x14ac:dyDescent="0.25">
      <c r="A280" s="26"/>
      <c r="B280" s="2" t="s">
        <v>546</v>
      </c>
      <c r="C280" s="32">
        <v>45602.008159722223</v>
      </c>
      <c r="D280" s="53">
        <f>YEAR(Table1[[#This Row],[Order Date]])</f>
        <v>2024</v>
      </c>
      <c r="E280" s="2" t="s">
        <v>547</v>
      </c>
      <c r="F280" s="2" t="s">
        <v>119</v>
      </c>
      <c r="G280" s="2" t="s">
        <v>250</v>
      </c>
      <c r="H280" s="23">
        <v>18000</v>
      </c>
      <c r="I280" s="2">
        <v>3</v>
      </c>
      <c r="J280" s="31">
        <v>10</v>
      </c>
      <c r="K280" s="7">
        <f t="shared" si="16"/>
        <v>54000</v>
      </c>
      <c r="L280" s="7">
        <f t="shared" si="17"/>
        <v>5400</v>
      </c>
      <c r="M280" s="7">
        <f t="shared" si="18"/>
        <v>48600</v>
      </c>
      <c r="N280" s="23">
        <v>0</v>
      </c>
      <c r="O280" s="7">
        <f t="shared" si="19"/>
        <v>48600</v>
      </c>
      <c r="P280" s="2" t="s">
        <v>35</v>
      </c>
      <c r="Q280" t="str">
        <f>_xlfn.XLOOKUP(B280,Status!$A$2:$A$1867,Status!$B$2:$B$1867)</f>
        <v>Completed</v>
      </c>
      <c r="R280" s="2" t="s">
        <v>30</v>
      </c>
      <c r="S280" s="8">
        <v>2</v>
      </c>
      <c r="T280" s="2" t="s">
        <v>37</v>
      </c>
      <c r="U280" s="31" t="str" cm="1">
        <f t="array" ref="U280">_xlfn.IFS(L280&lt;=5000,$Z$3,AND(L280&gt;5000,L280&lt;=15000),$Z$4,AND(L280&gt;15000,L280&lt;=30000),$Z$5,AND(L280&gt;30000,L280&lt;=50000),$Z$6,L280&gt;50000,$Z$7)</f>
        <v>Rendah</v>
      </c>
      <c r="V280" s="2"/>
    </row>
    <row r="281" spans="1:22" ht="15.75" customHeight="1" x14ac:dyDescent="0.25">
      <c r="A281" s="26"/>
      <c r="B281" s="2" t="s">
        <v>548</v>
      </c>
      <c r="C281" s="32">
        <v>45602.08697916667</v>
      </c>
      <c r="D281" s="53">
        <f>YEAR(Table1[[#This Row],[Order Date]])</f>
        <v>2024</v>
      </c>
      <c r="E281" s="2" t="s">
        <v>549</v>
      </c>
      <c r="F281" s="2" t="s">
        <v>107</v>
      </c>
      <c r="G281" s="2" t="s">
        <v>45</v>
      </c>
      <c r="H281" s="23">
        <v>40000</v>
      </c>
      <c r="I281" s="2">
        <v>2</v>
      </c>
      <c r="J281" s="31">
        <v>15</v>
      </c>
      <c r="K281" s="7">
        <f t="shared" si="16"/>
        <v>80000</v>
      </c>
      <c r="L281" s="7">
        <f t="shared" si="17"/>
        <v>12000</v>
      </c>
      <c r="M281" s="7">
        <f t="shared" si="18"/>
        <v>68000</v>
      </c>
      <c r="N281" s="23">
        <v>97000</v>
      </c>
      <c r="O281" s="7">
        <f t="shared" si="19"/>
        <v>165000</v>
      </c>
      <c r="P281" s="2" t="s">
        <v>29</v>
      </c>
      <c r="Q281" t="str">
        <f>_xlfn.XLOOKUP(B281,Status!$A$2:$A$1867,Status!$B$2:$B$1867)</f>
        <v>Cancelled</v>
      </c>
      <c r="R281" s="2" t="s">
        <v>36</v>
      </c>
      <c r="S281" s="8">
        <v>1</v>
      </c>
      <c r="T281" s="2" t="s">
        <v>24</v>
      </c>
      <c r="U281" s="31" t="str" cm="1">
        <f t="array" ref="U281">_xlfn.IFS(L281&lt;=5000,$Z$3,AND(L281&gt;5000,L281&lt;=15000),$Z$4,AND(L281&gt;15000,L281&lt;=30000),$Z$5,AND(L281&gt;30000,L281&lt;=50000),$Z$6,L281&gt;50000,$Z$7)</f>
        <v>Rendah</v>
      </c>
      <c r="V281" s="2"/>
    </row>
    <row r="282" spans="1:22" ht="15.75" customHeight="1" x14ac:dyDescent="0.25">
      <c r="A282" s="26"/>
      <c r="B282" s="2" t="s">
        <v>550</v>
      </c>
      <c r="C282" s="32">
        <v>45602.363530092603</v>
      </c>
      <c r="D282" s="53">
        <f>YEAR(Table1[[#This Row],[Order Date]])</f>
        <v>2024</v>
      </c>
      <c r="E282" s="2" t="s">
        <v>551</v>
      </c>
      <c r="F282" s="2" t="s">
        <v>262</v>
      </c>
      <c r="G282" s="2" t="s">
        <v>88</v>
      </c>
      <c r="H282" s="23">
        <v>14000</v>
      </c>
      <c r="I282" s="2">
        <v>1</v>
      </c>
      <c r="J282" s="31">
        <v>10</v>
      </c>
      <c r="K282" s="7">
        <f t="shared" si="16"/>
        <v>14000</v>
      </c>
      <c r="L282" s="7">
        <f t="shared" si="17"/>
        <v>1400</v>
      </c>
      <c r="M282" s="7">
        <f t="shared" si="18"/>
        <v>12600</v>
      </c>
      <c r="N282" s="23">
        <v>18000</v>
      </c>
      <c r="O282" s="7">
        <f t="shared" si="19"/>
        <v>30600</v>
      </c>
      <c r="P282" s="2" t="s">
        <v>22</v>
      </c>
      <c r="Q282" t="str">
        <f>_xlfn.XLOOKUP(B282,Status!$A$2:$A$1867,Status!$B$2:$B$1867)</f>
        <v>Cancelled</v>
      </c>
      <c r="R282" s="2" t="s">
        <v>23</v>
      </c>
      <c r="S282" s="8">
        <v>5</v>
      </c>
      <c r="T282" s="2" t="s">
        <v>37</v>
      </c>
      <c r="U282" s="31" t="str" cm="1">
        <f t="array" ref="U282">_xlfn.IFS(L282&lt;=5000,$Z$3,AND(L282&gt;5000,L282&lt;=15000),$Z$4,AND(L282&gt;15000,L282&lt;=30000),$Z$5,AND(L282&gt;30000,L282&lt;=50000),$Z$6,L282&gt;50000,$Z$7)</f>
        <v>Sangat Rendah</v>
      </c>
      <c r="V282" s="2"/>
    </row>
    <row r="283" spans="1:22" ht="15.75" customHeight="1" x14ac:dyDescent="0.25">
      <c r="A283" s="26"/>
      <c r="B283" s="2" t="s">
        <v>552</v>
      </c>
      <c r="C283" s="32">
        <v>45603.475717592592</v>
      </c>
      <c r="D283" s="53">
        <f>YEAR(Table1[[#This Row],[Order Date]])</f>
        <v>2024</v>
      </c>
      <c r="E283" s="2" t="s">
        <v>553</v>
      </c>
      <c r="F283" s="2" t="s">
        <v>107</v>
      </c>
      <c r="G283" s="2" t="s">
        <v>62</v>
      </c>
      <c r="H283" s="23">
        <v>50000</v>
      </c>
      <c r="I283" s="2">
        <v>5</v>
      </c>
      <c r="J283" s="31">
        <v>10</v>
      </c>
      <c r="K283" s="7">
        <f t="shared" si="16"/>
        <v>250000</v>
      </c>
      <c r="L283" s="7">
        <f t="shared" si="17"/>
        <v>25000</v>
      </c>
      <c r="M283" s="7">
        <f t="shared" si="18"/>
        <v>225000</v>
      </c>
      <c r="N283" s="23">
        <v>97000</v>
      </c>
      <c r="O283" s="7">
        <f t="shared" si="19"/>
        <v>322000</v>
      </c>
      <c r="P283" s="2" t="s">
        <v>29</v>
      </c>
      <c r="Q283" t="str">
        <f>_xlfn.XLOOKUP(B283,Status!$A$2:$A$1867,Status!$B$2:$B$1867)</f>
        <v>Completed</v>
      </c>
      <c r="R283" s="2" t="s">
        <v>46</v>
      </c>
      <c r="S283" s="8">
        <v>3</v>
      </c>
      <c r="T283" s="2" t="s">
        <v>24</v>
      </c>
      <c r="U283" s="31" t="str" cm="1">
        <f t="array" ref="U283">_xlfn.IFS(L283&lt;=5000,$Z$3,AND(L283&gt;5000,L283&lt;=15000),$Z$4,AND(L283&gt;15000,L283&lt;=30000),$Z$5,AND(L283&gt;30000,L283&lt;=50000),$Z$6,L283&gt;50000,$Z$7)</f>
        <v>Normal</v>
      </c>
      <c r="V283" s="2"/>
    </row>
    <row r="284" spans="1:22" ht="15.75" customHeight="1" x14ac:dyDescent="0.25">
      <c r="A284" s="26"/>
      <c r="B284" s="2" t="s">
        <v>554</v>
      </c>
      <c r="C284" s="32">
        <v>45603.967615740738</v>
      </c>
      <c r="D284" s="53">
        <f>YEAR(Table1[[#This Row],[Order Date]])</f>
        <v>2024</v>
      </c>
      <c r="E284" s="2" t="s">
        <v>453</v>
      </c>
      <c r="F284" s="2" t="s">
        <v>27</v>
      </c>
      <c r="G284" s="2" t="s">
        <v>186</v>
      </c>
      <c r="H284" s="23">
        <v>45000</v>
      </c>
      <c r="I284" s="2">
        <v>3</v>
      </c>
      <c r="J284" s="31">
        <v>0</v>
      </c>
      <c r="K284" s="7">
        <f t="shared" si="16"/>
        <v>135000</v>
      </c>
      <c r="L284" s="7">
        <f t="shared" si="17"/>
        <v>0</v>
      </c>
      <c r="M284" s="7">
        <f t="shared" si="18"/>
        <v>135000</v>
      </c>
      <c r="N284" s="23">
        <v>17000</v>
      </c>
      <c r="O284" s="7">
        <f t="shared" si="19"/>
        <v>152000</v>
      </c>
      <c r="P284" s="2" t="s">
        <v>29</v>
      </c>
      <c r="Q284" t="str">
        <f>_xlfn.XLOOKUP(B284,Status!$A$2:$A$1867,Status!$B$2:$B$1867)</f>
        <v>Completed</v>
      </c>
      <c r="R284" s="2" t="s">
        <v>23</v>
      </c>
      <c r="S284" s="8">
        <v>2</v>
      </c>
      <c r="T284" s="2" t="s">
        <v>37</v>
      </c>
      <c r="U284" s="31" t="str" cm="1">
        <f t="array" ref="U284">_xlfn.IFS(L284&lt;=5000,$Z$3,AND(L284&gt;5000,L284&lt;=15000),$Z$4,AND(L284&gt;15000,L284&lt;=30000),$Z$5,AND(L284&gt;30000,L284&lt;=50000),$Z$6,L284&gt;50000,$Z$7)</f>
        <v>Sangat Rendah</v>
      </c>
      <c r="V284" s="2"/>
    </row>
    <row r="285" spans="1:22" ht="15.75" customHeight="1" x14ac:dyDescent="0.25">
      <c r="A285" s="26"/>
      <c r="B285" s="2" t="s">
        <v>555</v>
      </c>
      <c r="C285" s="32">
        <v>45604.19804398148</v>
      </c>
      <c r="D285" s="53">
        <f>YEAR(Table1[[#This Row],[Order Date]])</f>
        <v>2024</v>
      </c>
      <c r="E285" s="2" t="s">
        <v>333</v>
      </c>
      <c r="F285" s="2" t="s">
        <v>107</v>
      </c>
      <c r="G285" s="2" t="s">
        <v>81</v>
      </c>
      <c r="H285" s="23">
        <v>17000</v>
      </c>
      <c r="I285" s="2">
        <v>1</v>
      </c>
      <c r="J285" s="31">
        <v>20</v>
      </c>
      <c r="K285" s="7">
        <f t="shared" si="16"/>
        <v>17000</v>
      </c>
      <c r="L285" s="7">
        <f t="shared" si="17"/>
        <v>3400</v>
      </c>
      <c r="M285" s="7">
        <f t="shared" si="18"/>
        <v>13600</v>
      </c>
      <c r="N285" s="23">
        <v>97000</v>
      </c>
      <c r="O285" s="7">
        <f t="shared" si="19"/>
        <v>110600</v>
      </c>
      <c r="P285" s="2" t="s">
        <v>22</v>
      </c>
      <c r="Q285" t="str">
        <f>_xlfn.XLOOKUP(B285,Status!$A$2:$A$1867,Status!$B$2:$B$1867)</f>
        <v>Completed</v>
      </c>
      <c r="R285" s="2" t="s">
        <v>82</v>
      </c>
      <c r="S285" s="8">
        <v>2</v>
      </c>
      <c r="T285" s="2" t="s">
        <v>37</v>
      </c>
      <c r="U285" s="31" t="str" cm="1">
        <f t="array" ref="U285">_xlfn.IFS(L285&lt;=5000,$Z$3,AND(L285&gt;5000,L285&lt;=15000),$Z$4,AND(L285&gt;15000,L285&lt;=30000),$Z$5,AND(L285&gt;30000,L285&lt;=50000),$Z$6,L285&gt;50000,$Z$7)</f>
        <v>Sangat Rendah</v>
      </c>
      <c r="V285" s="2"/>
    </row>
    <row r="286" spans="1:22" ht="15.75" customHeight="1" x14ac:dyDescent="0.25">
      <c r="A286" s="26"/>
      <c r="B286" s="2" t="s">
        <v>556</v>
      </c>
      <c r="C286" s="32">
        <v>45604.232210648152</v>
      </c>
      <c r="D286" s="53">
        <f>YEAR(Table1[[#This Row],[Order Date]])</f>
        <v>2024</v>
      </c>
      <c r="E286" s="2" t="s">
        <v>557</v>
      </c>
      <c r="F286" s="2" t="s">
        <v>173</v>
      </c>
      <c r="G286" s="2" t="s">
        <v>144</v>
      </c>
      <c r="H286" s="23">
        <v>18000</v>
      </c>
      <c r="I286" s="2">
        <v>5</v>
      </c>
      <c r="J286" s="31">
        <v>0</v>
      </c>
      <c r="K286" s="7">
        <f t="shared" si="16"/>
        <v>90000</v>
      </c>
      <c r="L286" s="7">
        <f t="shared" si="17"/>
        <v>0</v>
      </c>
      <c r="M286" s="7">
        <f t="shared" si="18"/>
        <v>90000</v>
      </c>
      <c r="N286" s="23">
        <v>49000</v>
      </c>
      <c r="O286" s="7">
        <f t="shared" si="19"/>
        <v>139000</v>
      </c>
      <c r="P286" s="2" t="s">
        <v>29</v>
      </c>
      <c r="Q286" t="str">
        <f>_xlfn.XLOOKUP(B286,Status!$A$2:$A$1867,Status!$B$2:$B$1867)</f>
        <v>Completed</v>
      </c>
      <c r="R286" s="2" t="s">
        <v>82</v>
      </c>
      <c r="S286" s="8">
        <v>5</v>
      </c>
      <c r="T286" s="2" t="s">
        <v>24</v>
      </c>
      <c r="U286" s="31" t="str" cm="1">
        <f t="array" ref="U286">_xlfn.IFS(L286&lt;=5000,$Z$3,AND(L286&gt;5000,L286&lt;=15000),$Z$4,AND(L286&gt;15000,L286&lt;=30000),$Z$5,AND(L286&gt;30000,L286&lt;=50000),$Z$6,L286&gt;50000,$Z$7)</f>
        <v>Sangat Rendah</v>
      </c>
      <c r="V286" s="2"/>
    </row>
    <row r="287" spans="1:22" ht="15.75" customHeight="1" x14ac:dyDescent="0.25">
      <c r="A287" s="26"/>
      <c r="B287" s="2" t="s">
        <v>558</v>
      </c>
      <c r="C287" s="32">
        <v>45604.992222222223</v>
      </c>
      <c r="D287" s="53">
        <f>YEAR(Table1[[#This Row],[Order Date]])</f>
        <v>2024</v>
      </c>
      <c r="E287" s="2" t="s">
        <v>488</v>
      </c>
      <c r="F287" s="2" t="s">
        <v>49</v>
      </c>
      <c r="G287" s="2" t="s">
        <v>34</v>
      </c>
      <c r="H287" s="23">
        <v>16000</v>
      </c>
      <c r="I287" s="2">
        <v>5</v>
      </c>
      <c r="J287" s="31">
        <v>10</v>
      </c>
      <c r="K287" s="7">
        <f t="shared" si="16"/>
        <v>80000</v>
      </c>
      <c r="L287" s="7">
        <f t="shared" si="17"/>
        <v>8000</v>
      </c>
      <c r="M287" s="7">
        <f t="shared" si="18"/>
        <v>72000</v>
      </c>
      <c r="N287" s="23">
        <v>43000</v>
      </c>
      <c r="O287" s="7">
        <f t="shared" si="19"/>
        <v>115000</v>
      </c>
      <c r="P287" s="2" t="s">
        <v>63</v>
      </c>
      <c r="Q287" t="str">
        <f>_xlfn.XLOOKUP(B287,Status!$A$2:$A$1867,Status!$B$2:$B$1867)</f>
        <v>Completed</v>
      </c>
      <c r="R287" s="2" t="s">
        <v>46</v>
      </c>
      <c r="S287" s="8">
        <v>2</v>
      </c>
      <c r="T287" s="2" t="s">
        <v>24</v>
      </c>
      <c r="U287" s="31" t="str" cm="1">
        <f t="array" ref="U287">_xlfn.IFS(L287&lt;=5000,$Z$3,AND(L287&gt;5000,L287&lt;=15000),$Z$4,AND(L287&gt;15000,L287&lt;=30000),$Z$5,AND(L287&gt;30000,L287&lt;=50000),$Z$6,L287&gt;50000,$Z$7)</f>
        <v>Rendah</v>
      </c>
      <c r="V287" s="2"/>
    </row>
    <row r="288" spans="1:22" ht="15.75" customHeight="1" x14ac:dyDescent="0.25">
      <c r="A288" s="26"/>
      <c r="B288" s="2" t="s">
        <v>559</v>
      </c>
      <c r="C288" s="32">
        <v>45605.157650462963</v>
      </c>
      <c r="D288" s="53">
        <f>YEAR(Table1[[#This Row],[Order Date]])</f>
        <v>2024</v>
      </c>
      <c r="E288" s="2" t="s">
        <v>547</v>
      </c>
      <c r="F288" s="2" t="s">
        <v>119</v>
      </c>
      <c r="G288" s="2" t="s">
        <v>54</v>
      </c>
      <c r="H288" s="23">
        <v>16000</v>
      </c>
      <c r="I288" s="2">
        <v>2</v>
      </c>
      <c r="J288" s="31">
        <v>20</v>
      </c>
      <c r="K288" s="7">
        <f t="shared" si="16"/>
        <v>32000</v>
      </c>
      <c r="L288" s="7">
        <f t="shared" si="17"/>
        <v>6400</v>
      </c>
      <c r="M288" s="7">
        <f t="shared" si="18"/>
        <v>25600</v>
      </c>
      <c r="N288" s="23">
        <v>0</v>
      </c>
      <c r="O288" s="7">
        <f t="shared" si="19"/>
        <v>25600</v>
      </c>
      <c r="P288" s="2" t="s">
        <v>22</v>
      </c>
      <c r="Q288" t="str">
        <f>_xlfn.XLOOKUP(B288,Status!$A$2:$A$1867,Status!$B$2:$B$1867)</f>
        <v>Completed</v>
      </c>
      <c r="R288" s="2" t="s">
        <v>23</v>
      </c>
      <c r="S288" s="8">
        <v>4</v>
      </c>
      <c r="T288" s="2" t="s">
        <v>37</v>
      </c>
      <c r="U288" s="31" t="str" cm="1">
        <f t="array" ref="U288">_xlfn.IFS(L288&lt;=5000,$Z$3,AND(L288&gt;5000,L288&lt;=15000),$Z$4,AND(L288&gt;15000,L288&lt;=30000),$Z$5,AND(L288&gt;30000,L288&lt;=50000),$Z$6,L288&gt;50000,$Z$7)</f>
        <v>Rendah</v>
      </c>
      <c r="V288" s="2"/>
    </row>
    <row r="289" spans="1:22" ht="15.75" customHeight="1" x14ac:dyDescent="0.25">
      <c r="A289" s="26"/>
      <c r="B289" s="2" t="s">
        <v>559</v>
      </c>
      <c r="C289" s="32">
        <v>45605.157650462963</v>
      </c>
      <c r="D289" s="53">
        <f>YEAR(Table1[[#This Row],[Order Date]])</f>
        <v>2024</v>
      </c>
      <c r="E289" s="2" t="s">
        <v>547</v>
      </c>
      <c r="F289" s="2" t="s">
        <v>119</v>
      </c>
      <c r="G289" s="2" t="s">
        <v>93</v>
      </c>
      <c r="H289" s="23">
        <v>25000</v>
      </c>
      <c r="I289" s="2">
        <v>2</v>
      </c>
      <c r="J289" s="31">
        <v>10</v>
      </c>
      <c r="K289" s="7">
        <f t="shared" si="16"/>
        <v>50000</v>
      </c>
      <c r="L289" s="7">
        <f t="shared" si="17"/>
        <v>5000</v>
      </c>
      <c r="M289" s="7">
        <f t="shared" si="18"/>
        <v>45000</v>
      </c>
      <c r="N289" s="23">
        <v>0</v>
      </c>
      <c r="O289" s="7">
        <f t="shared" si="19"/>
        <v>45000</v>
      </c>
      <c r="P289" s="2" t="s">
        <v>22</v>
      </c>
      <c r="Q289" t="str">
        <f>_xlfn.XLOOKUP(B289,Status!$A$2:$A$1867,Status!$B$2:$B$1867)</f>
        <v>Completed</v>
      </c>
      <c r="R289" s="2" t="s">
        <v>23</v>
      </c>
      <c r="S289" s="8">
        <v>4</v>
      </c>
      <c r="T289" s="2" t="s">
        <v>37</v>
      </c>
      <c r="U289" s="31" t="str" cm="1">
        <f t="array" ref="U289">_xlfn.IFS(L289&lt;=5000,$Z$3,AND(L289&gt;5000,L289&lt;=15000),$Z$4,AND(L289&gt;15000,L289&lt;=30000),$Z$5,AND(L289&gt;30000,L289&lt;=50000),$Z$6,L289&gt;50000,$Z$7)</f>
        <v>Sangat Rendah</v>
      </c>
      <c r="V289" s="2"/>
    </row>
    <row r="290" spans="1:22" ht="15.75" customHeight="1" x14ac:dyDescent="0.25">
      <c r="A290" s="26"/>
      <c r="B290" s="2" t="s">
        <v>560</v>
      </c>
      <c r="C290" s="32">
        <v>45605.213784722233</v>
      </c>
      <c r="D290" s="53">
        <f>YEAR(Table1[[#This Row],[Order Date]])</f>
        <v>2024</v>
      </c>
      <c r="E290" s="2" t="s">
        <v>201</v>
      </c>
      <c r="F290" s="2" t="s">
        <v>107</v>
      </c>
      <c r="G290" s="2" t="s">
        <v>62</v>
      </c>
      <c r="H290" s="23">
        <v>50000</v>
      </c>
      <c r="I290" s="2">
        <v>4</v>
      </c>
      <c r="J290" s="31">
        <v>20</v>
      </c>
      <c r="K290" s="7">
        <f t="shared" si="16"/>
        <v>200000</v>
      </c>
      <c r="L290" s="7">
        <f t="shared" si="17"/>
        <v>40000</v>
      </c>
      <c r="M290" s="7">
        <f t="shared" si="18"/>
        <v>160000</v>
      </c>
      <c r="N290" s="23">
        <v>97000</v>
      </c>
      <c r="O290" s="7">
        <f t="shared" si="19"/>
        <v>257000</v>
      </c>
      <c r="P290" s="2" t="s">
        <v>63</v>
      </c>
      <c r="Q290" t="str">
        <f>_xlfn.XLOOKUP(B290,Status!$A$2:$A$1867,Status!$B$2:$B$1867)</f>
        <v>Completed</v>
      </c>
      <c r="R290" s="2" t="s">
        <v>36</v>
      </c>
      <c r="S290" s="8">
        <v>5</v>
      </c>
      <c r="T290" s="2" t="s">
        <v>24</v>
      </c>
      <c r="U290" s="31" t="str" cm="1">
        <f t="array" ref="U290">_xlfn.IFS(L290&lt;=5000,$Z$3,AND(L290&gt;5000,L290&lt;=15000),$Z$4,AND(L290&gt;15000,L290&lt;=30000),$Z$5,AND(L290&gt;30000,L290&lt;=50000),$Z$6,L290&gt;50000,$Z$7)</f>
        <v>Tinggi</v>
      </c>
      <c r="V290" s="2"/>
    </row>
    <row r="291" spans="1:22" ht="15.75" customHeight="1" x14ac:dyDescent="0.25">
      <c r="A291" s="26"/>
      <c r="B291" s="2" t="s">
        <v>561</v>
      </c>
      <c r="C291" s="32">
        <v>45605.499409722222</v>
      </c>
      <c r="D291" s="53">
        <f>YEAR(Table1[[#This Row],[Order Date]])</f>
        <v>2024</v>
      </c>
      <c r="E291" s="2" t="s">
        <v>355</v>
      </c>
      <c r="F291" s="2" t="s">
        <v>116</v>
      </c>
      <c r="G291" s="2" t="s">
        <v>138</v>
      </c>
      <c r="H291" s="23">
        <v>17000</v>
      </c>
      <c r="I291" s="2">
        <v>5</v>
      </c>
      <c r="J291" s="31">
        <v>5</v>
      </c>
      <c r="K291" s="7">
        <f t="shared" si="16"/>
        <v>85000</v>
      </c>
      <c r="L291" s="7">
        <f t="shared" si="17"/>
        <v>4250</v>
      </c>
      <c r="M291" s="7">
        <f t="shared" si="18"/>
        <v>80750</v>
      </c>
      <c r="N291" s="23">
        <v>72000</v>
      </c>
      <c r="O291" s="7">
        <f t="shared" si="19"/>
        <v>152750</v>
      </c>
      <c r="P291" s="2" t="s">
        <v>63</v>
      </c>
      <c r="Q291" t="str">
        <f>_xlfn.XLOOKUP(B291,Status!$A$2:$A$1867,Status!$B$2:$B$1867)</f>
        <v>Completed</v>
      </c>
      <c r="R291" s="2" t="s">
        <v>23</v>
      </c>
      <c r="S291" s="8">
        <v>5</v>
      </c>
      <c r="T291" s="2" t="s">
        <v>24</v>
      </c>
      <c r="U291" s="31" t="str" cm="1">
        <f t="array" ref="U291">_xlfn.IFS(L291&lt;=5000,$Z$3,AND(L291&gt;5000,L291&lt;=15000),$Z$4,AND(L291&gt;15000,L291&lt;=30000),$Z$5,AND(L291&gt;30000,L291&lt;=50000),$Z$6,L291&gt;50000,$Z$7)</f>
        <v>Sangat Rendah</v>
      </c>
      <c r="V291" s="2"/>
    </row>
    <row r="292" spans="1:22" ht="15.75" customHeight="1" x14ac:dyDescent="0.25">
      <c r="A292" s="26"/>
      <c r="B292" s="2" t="s">
        <v>562</v>
      </c>
      <c r="C292" s="32">
        <v>45605.63989583333</v>
      </c>
      <c r="D292" s="53">
        <f>YEAR(Table1[[#This Row],[Order Date]])</f>
        <v>2024</v>
      </c>
      <c r="E292" s="2" t="s">
        <v>216</v>
      </c>
      <c r="F292" s="2" t="s">
        <v>143</v>
      </c>
      <c r="G292" s="2" t="s">
        <v>62</v>
      </c>
      <c r="H292" s="23">
        <v>50000</v>
      </c>
      <c r="I292" s="2">
        <v>3</v>
      </c>
      <c r="J292" s="31">
        <v>15</v>
      </c>
      <c r="K292" s="7">
        <f t="shared" si="16"/>
        <v>150000</v>
      </c>
      <c r="L292" s="7">
        <f t="shared" si="17"/>
        <v>22500</v>
      </c>
      <c r="M292" s="7">
        <f t="shared" si="18"/>
        <v>127500</v>
      </c>
      <c r="N292" s="23">
        <v>50000</v>
      </c>
      <c r="O292" s="7">
        <f t="shared" si="19"/>
        <v>177500</v>
      </c>
      <c r="P292" s="2" t="s">
        <v>63</v>
      </c>
      <c r="Q292" t="str">
        <f>_xlfn.XLOOKUP(B292,Status!$A$2:$A$1867,Status!$B$2:$B$1867)</f>
        <v>Completed</v>
      </c>
      <c r="R292" s="2" t="s">
        <v>82</v>
      </c>
      <c r="S292" s="8">
        <v>2</v>
      </c>
      <c r="T292" s="2" t="s">
        <v>24</v>
      </c>
      <c r="U292" s="31" t="str" cm="1">
        <f t="array" ref="U292">_xlfn.IFS(L292&lt;=5000,$Z$3,AND(L292&gt;5000,L292&lt;=15000),$Z$4,AND(L292&gt;15000,L292&lt;=30000),$Z$5,AND(L292&gt;30000,L292&lt;=50000),$Z$6,L292&gt;50000,$Z$7)</f>
        <v>Normal</v>
      </c>
      <c r="V292" s="2"/>
    </row>
    <row r="293" spans="1:22" ht="15.75" customHeight="1" x14ac:dyDescent="0.25">
      <c r="A293" s="26"/>
      <c r="B293" s="2" t="s">
        <v>563</v>
      </c>
      <c r="C293" s="32">
        <v>45605.801388888889</v>
      </c>
      <c r="D293" s="53">
        <f>YEAR(Table1[[#This Row],[Order Date]])</f>
        <v>2024</v>
      </c>
      <c r="E293" s="2" t="s">
        <v>150</v>
      </c>
      <c r="F293" s="2" t="s">
        <v>151</v>
      </c>
      <c r="G293" s="2" t="s">
        <v>67</v>
      </c>
      <c r="H293" s="23">
        <v>15000</v>
      </c>
      <c r="I293" s="2">
        <v>3</v>
      </c>
      <c r="J293" s="31">
        <v>10</v>
      </c>
      <c r="K293" s="7">
        <f t="shared" si="16"/>
        <v>45000</v>
      </c>
      <c r="L293" s="7">
        <f t="shared" si="17"/>
        <v>4500</v>
      </c>
      <c r="M293" s="7">
        <f t="shared" si="18"/>
        <v>40500</v>
      </c>
      <c r="N293" s="23">
        <v>55000</v>
      </c>
      <c r="O293" s="7">
        <f t="shared" si="19"/>
        <v>95500</v>
      </c>
      <c r="P293" s="2" t="s">
        <v>35</v>
      </c>
      <c r="Q293" t="str">
        <f>_xlfn.XLOOKUP(B293,Status!$A$2:$A$1867,Status!$B$2:$B$1867)</f>
        <v>Completed</v>
      </c>
      <c r="R293" s="2" t="s">
        <v>82</v>
      </c>
      <c r="S293" s="8">
        <v>1</v>
      </c>
      <c r="T293" s="2" t="s">
        <v>37</v>
      </c>
      <c r="U293" s="31" t="str" cm="1">
        <f t="array" ref="U293">_xlfn.IFS(L293&lt;=5000,$Z$3,AND(L293&gt;5000,L293&lt;=15000),$Z$4,AND(L293&gt;15000,L293&lt;=30000),$Z$5,AND(L293&gt;30000,L293&lt;=50000),$Z$6,L293&gt;50000,$Z$7)</f>
        <v>Sangat Rendah</v>
      </c>
      <c r="V293" s="2"/>
    </row>
    <row r="294" spans="1:22" ht="15.75" customHeight="1" x14ac:dyDescent="0.25">
      <c r="A294" s="26"/>
      <c r="B294" s="2" t="s">
        <v>564</v>
      </c>
      <c r="C294" s="32">
        <v>45606.352210648147</v>
      </c>
      <c r="D294" s="53">
        <f>YEAR(Table1[[#This Row],[Order Date]])</f>
        <v>2024</v>
      </c>
      <c r="E294" s="2" t="s">
        <v>565</v>
      </c>
      <c r="F294" s="2" t="s">
        <v>163</v>
      </c>
      <c r="G294" s="2" t="s">
        <v>174</v>
      </c>
      <c r="H294" s="23">
        <v>10000</v>
      </c>
      <c r="I294" s="2">
        <v>4</v>
      </c>
      <c r="J294" s="31">
        <v>20</v>
      </c>
      <c r="K294" s="7">
        <f t="shared" si="16"/>
        <v>40000</v>
      </c>
      <c r="L294" s="7">
        <f t="shared" si="17"/>
        <v>8000</v>
      </c>
      <c r="M294" s="7">
        <f t="shared" si="18"/>
        <v>32000</v>
      </c>
      <c r="N294" s="23">
        <v>50000</v>
      </c>
      <c r="O294" s="7">
        <f t="shared" si="19"/>
        <v>82000</v>
      </c>
      <c r="P294" s="2" t="s">
        <v>22</v>
      </c>
      <c r="Q294" t="str">
        <f>_xlfn.XLOOKUP(B294,Status!$A$2:$A$1867,Status!$B$2:$B$1867)</f>
        <v>Completed</v>
      </c>
      <c r="R294" s="2" t="s">
        <v>82</v>
      </c>
      <c r="S294" s="8">
        <v>2</v>
      </c>
      <c r="T294" s="2" t="s">
        <v>24</v>
      </c>
      <c r="U294" s="31" t="str" cm="1">
        <f t="array" ref="U294">_xlfn.IFS(L294&lt;=5000,$Z$3,AND(L294&gt;5000,L294&lt;=15000),$Z$4,AND(L294&gt;15000,L294&lt;=30000),$Z$5,AND(L294&gt;30000,L294&lt;=50000),$Z$6,L294&gt;50000,$Z$7)</f>
        <v>Rendah</v>
      </c>
      <c r="V294" s="2"/>
    </row>
    <row r="295" spans="1:22" ht="15.75" customHeight="1" x14ac:dyDescent="0.25">
      <c r="A295" s="26"/>
      <c r="B295" s="2" t="s">
        <v>566</v>
      </c>
      <c r="C295" s="32">
        <v>45606.393321759257</v>
      </c>
      <c r="D295" s="53">
        <f>YEAR(Table1[[#This Row],[Order Date]])</f>
        <v>2024</v>
      </c>
      <c r="E295" s="2" t="s">
        <v>502</v>
      </c>
      <c r="F295" s="2" t="s">
        <v>107</v>
      </c>
      <c r="G295" s="2" t="s">
        <v>93</v>
      </c>
      <c r="H295" s="23">
        <v>25000</v>
      </c>
      <c r="I295" s="2">
        <v>1</v>
      </c>
      <c r="J295" s="31">
        <v>0</v>
      </c>
      <c r="K295" s="7">
        <f t="shared" si="16"/>
        <v>25000</v>
      </c>
      <c r="L295" s="7">
        <f t="shared" si="17"/>
        <v>0</v>
      </c>
      <c r="M295" s="7">
        <f t="shared" si="18"/>
        <v>25000</v>
      </c>
      <c r="N295" s="23">
        <v>97000</v>
      </c>
      <c r="O295" s="7">
        <f t="shared" si="19"/>
        <v>122000</v>
      </c>
      <c r="P295" s="2" t="s">
        <v>63</v>
      </c>
      <c r="Q295" t="str">
        <f>_xlfn.XLOOKUP(B295,Status!$A$2:$A$1867,Status!$B$2:$B$1867)</f>
        <v>Completed</v>
      </c>
      <c r="R295" s="2" t="s">
        <v>36</v>
      </c>
      <c r="S295" s="8">
        <v>5</v>
      </c>
      <c r="T295" s="2" t="s">
        <v>24</v>
      </c>
      <c r="U295" s="31" t="str" cm="1">
        <f t="array" ref="U295">_xlfn.IFS(L295&lt;=5000,$Z$3,AND(L295&gt;5000,L295&lt;=15000),$Z$4,AND(L295&gt;15000,L295&lt;=30000),$Z$5,AND(L295&gt;30000,L295&lt;=50000),$Z$6,L295&gt;50000,$Z$7)</f>
        <v>Sangat Rendah</v>
      </c>
      <c r="V295" s="2"/>
    </row>
    <row r="296" spans="1:22" ht="15.75" customHeight="1" x14ac:dyDescent="0.25">
      <c r="A296" s="26"/>
      <c r="B296" s="2" t="s">
        <v>567</v>
      </c>
      <c r="C296" s="32">
        <v>45606.654351851852</v>
      </c>
      <c r="D296" s="53">
        <f>YEAR(Table1[[#This Row],[Order Date]])</f>
        <v>2024</v>
      </c>
      <c r="E296" s="2" t="s">
        <v>568</v>
      </c>
      <c r="F296" s="2" t="s">
        <v>435</v>
      </c>
      <c r="G296" s="2" t="s">
        <v>138</v>
      </c>
      <c r="H296" s="23">
        <v>17000</v>
      </c>
      <c r="I296" s="2">
        <v>1</v>
      </c>
      <c r="J296" s="31">
        <v>20</v>
      </c>
      <c r="K296" s="7">
        <f t="shared" si="16"/>
        <v>17000</v>
      </c>
      <c r="L296" s="7">
        <f t="shared" si="17"/>
        <v>3400</v>
      </c>
      <c r="M296" s="7">
        <f t="shared" si="18"/>
        <v>13600</v>
      </c>
      <c r="N296" s="23">
        <v>67000</v>
      </c>
      <c r="O296" s="7">
        <f t="shared" si="19"/>
        <v>80600</v>
      </c>
      <c r="P296" s="2" t="s">
        <v>29</v>
      </c>
      <c r="Q296" t="str">
        <f>_xlfn.XLOOKUP(B296,Status!$A$2:$A$1867,Status!$B$2:$B$1867)</f>
        <v>Completed</v>
      </c>
      <c r="R296" s="2" t="s">
        <v>46</v>
      </c>
      <c r="S296" s="8">
        <v>2</v>
      </c>
      <c r="T296" s="2" t="s">
        <v>24</v>
      </c>
      <c r="U296" s="31" t="str" cm="1">
        <f t="array" ref="U296">_xlfn.IFS(L296&lt;=5000,$Z$3,AND(L296&gt;5000,L296&lt;=15000),$Z$4,AND(L296&gt;15000,L296&lt;=30000),$Z$5,AND(L296&gt;30000,L296&lt;=50000),$Z$6,L296&gt;50000,$Z$7)</f>
        <v>Sangat Rendah</v>
      </c>
      <c r="V296" s="2"/>
    </row>
    <row r="297" spans="1:22" ht="15.75" customHeight="1" x14ac:dyDescent="0.25">
      <c r="A297" s="26"/>
      <c r="B297" s="2" t="s">
        <v>569</v>
      </c>
      <c r="C297" s="32">
        <v>45606.69021990741</v>
      </c>
      <c r="D297" s="53">
        <f>YEAR(Table1[[#This Row],[Order Date]])</f>
        <v>2024</v>
      </c>
      <c r="E297" s="2" t="s">
        <v>570</v>
      </c>
      <c r="F297" s="2" t="s">
        <v>80</v>
      </c>
      <c r="G297" s="2" t="s">
        <v>174</v>
      </c>
      <c r="H297" s="23">
        <v>10000</v>
      </c>
      <c r="I297" s="2">
        <v>1</v>
      </c>
      <c r="J297" s="31">
        <v>20</v>
      </c>
      <c r="K297" s="7">
        <f t="shared" si="16"/>
        <v>10000</v>
      </c>
      <c r="L297" s="7">
        <f t="shared" si="17"/>
        <v>2000</v>
      </c>
      <c r="M297" s="7">
        <f t="shared" si="18"/>
        <v>8000</v>
      </c>
      <c r="N297" s="23">
        <v>74000</v>
      </c>
      <c r="O297" s="7">
        <f t="shared" si="19"/>
        <v>82000</v>
      </c>
      <c r="P297" s="2" t="s">
        <v>63</v>
      </c>
      <c r="Q297" t="str">
        <f>_xlfn.XLOOKUP(B297,Status!$A$2:$A$1867,Status!$B$2:$B$1867)</f>
        <v>Completed</v>
      </c>
      <c r="R297" s="2" t="s">
        <v>30</v>
      </c>
      <c r="S297" s="8">
        <v>4</v>
      </c>
      <c r="T297" s="2" t="s">
        <v>24</v>
      </c>
      <c r="U297" s="31" t="str" cm="1">
        <f t="array" ref="U297">_xlfn.IFS(L297&lt;=5000,$Z$3,AND(L297&gt;5000,L297&lt;=15000),$Z$4,AND(L297&gt;15000,L297&lt;=30000),$Z$5,AND(L297&gt;30000,L297&lt;=50000),$Z$6,L297&gt;50000,$Z$7)</f>
        <v>Sangat Rendah</v>
      </c>
      <c r="V297" s="2"/>
    </row>
    <row r="298" spans="1:22" ht="15.75" customHeight="1" x14ac:dyDescent="0.25">
      <c r="A298" s="26"/>
      <c r="B298" s="2" t="s">
        <v>571</v>
      </c>
      <c r="C298" s="32">
        <v>45607.079050925917</v>
      </c>
      <c r="D298" s="53">
        <f>YEAR(Table1[[#This Row],[Order Date]])</f>
        <v>2024</v>
      </c>
      <c r="E298" s="2" t="s">
        <v>572</v>
      </c>
      <c r="F298" s="2" t="s">
        <v>33</v>
      </c>
      <c r="G298" s="2" t="s">
        <v>58</v>
      </c>
      <c r="H298" s="23">
        <v>16000</v>
      </c>
      <c r="I298" s="2">
        <v>3</v>
      </c>
      <c r="J298" s="31">
        <v>10</v>
      </c>
      <c r="K298" s="7">
        <f t="shared" si="16"/>
        <v>48000</v>
      </c>
      <c r="L298" s="7">
        <f t="shared" si="17"/>
        <v>4800</v>
      </c>
      <c r="M298" s="7">
        <f t="shared" si="18"/>
        <v>43200</v>
      </c>
      <c r="N298" s="23">
        <v>76000</v>
      </c>
      <c r="O298" s="7">
        <f t="shared" si="19"/>
        <v>119200</v>
      </c>
      <c r="P298" s="2" t="s">
        <v>29</v>
      </c>
      <c r="Q298" t="str">
        <f>_xlfn.XLOOKUP(B298,Status!$A$2:$A$1867,Status!$B$2:$B$1867)</f>
        <v>Returned</v>
      </c>
      <c r="R298" s="2" t="s">
        <v>46</v>
      </c>
      <c r="S298" s="8">
        <v>2</v>
      </c>
      <c r="T298" s="2" t="s">
        <v>24</v>
      </c>
      <c r="U298" s="31" t="str" cm="1">
        <f t="array" ref="U298">_xlfn.IFS(L298&lt;=5000,$Z$3,AND(L298&gt;5000,L298&lt;=15000),$Z$4,AND(L298&gt;15000,L298&lt;=30000),$Z$5,AND(L298&gt;30000,L298&lt;=50000),$Z$6,L298&gt;50000,$Z$7)</f>
        <v>Sangat Rendah</v>
      </c>
      <c r="V298" s="2"/>
    </row>
    <row r="299" spans="1:22" ht="15.75" customHeight="1" x14ac:dyDescent="0.25">
      <c r="A299" s="26"/>
      <c r="B299" s="2" t="s">
        <v>573</v>
      </c>
      <c r="C299" s="32">
        <v>45607.36209490741</v>
      </c>
      <c r="D299" s="53">
        <f>YEAR(Table1[[#This Row],[Order Date]])</f>
        <v>2024</v>
      </c>
      <c r="E299" s="2" t="s">
        <v>40</v>
      </c>
      <c r="F299" s="2" t="s">
        <v>27</v>
      </c>
      <c r="G299" s="2" t="s">
        <v>144</v>
      </c>
      <c r="H299" s="23">
        <v>18000</v>
      </c>
      <c r="I299" s="2">
        <v>2</v>
      </c>
      <c r="J299" s="31">
        <v>5</v>
      </c>
      <c r="K299" s="7">
        <f t="shared" si="16"/>
        <v>36000</v>
      </c>
      <c r="L299" s="7">
        <f t="shared" si="17"/>
        <v>1800</v>
      </c>
      <c r="M299" s="7">
        <f t="shared" si="18"/>
        <v>34200</v>
      </c>
      <c r="N299" s="23">
        <v>17000</v>
      </c>
      <c r="O299" s="7">
        <f t="shared" si="19"/>
        <v>51200</v>
      </c>
      <c r="P299" s="2" t="s">
        <v>29</v>
      </c>
      <c r="Q299" t="str">
        <f>_xlfn.XLOOKUP(B299,Status!$A$2:$A$1867,Status!$B$2:$B$1867)</f>
        <v>Cancelled</v>
      </c>
      <c r="R299" s="2" t="s">
        <v>46</v>
      </c>
      <c r="S299" s="8">
        <v>4</v>
      </c>
      <c r="T299" s="2" t="s">
        <v>24</v>
      </c>
      <c r="U299" s="31" t="str" cm="1">
        <f t="array" ref="U299">_xlfn.IFS(L299&lt;=5000,$Z$3,AND(L299&gt;5000,L299&lt;=15000),$Z$4,AND(L299&gt;15000,L299&lt;=30000),$Z$5,AND(L299&gt;30000,L299&lt;=50000),$Z$6,L299&gt;50000,$Z$7)</f>
        <v>Sangat Rendah</v>
      </c>
      <c r="V299" s="2"/>
    </row>
    <row r="300" spans="1:22" ht="15.75" customHeight="1" x14ac:dyDescent="0.25">
      <c r="A300" s="26"/>
      <c r="B300" s="2" t="s">
        <v>574</v>
      </c>
      <c r="C300" s="32">
        <v>45607.567719907413</v>
      </c>
      <c r="D300" s="53">
        <f>YEAR(Table1[[#This Row],[Order Date]])</f>
        <v>2024</v>
      </c>
      <c r="E300" s="2" t="s">
        <v>515</v>
      </c>
      <c r="F300" s="2" t="s">
        <v>182</v>
      </c>
      <c r="G300" s="2" t="s">
        <v>81</v>
      </c>
      <c r="H300" s="23">
        <v>17000</v>
      </c>
      <c r="I300" s="2">
        <v>3</v>
      </c>
      <c r="J300" s="31">
        <v>10</v>
      </c>
      <c r="K300" s="7">
        <f t="shared" si="16"/>
        <v>51000</v>
      </c>
      <c r="L300" s="7">
        <f t="shared" si="17"/>
        <v>5100</v>
      </c>
      <c r="M300" s="7">
        <f t="shared" si="18"/>
        <v>45900</v>
      </c>
      <c r="N300" s="23">
        <v>48000</v>
      </c>
      <c r="O300" s="7">
        <f t="shared" si="19"/>
        <v>93900</v>
      </c>
      <c r="P300" s="2" t="s">
        <v>35</v>
      </c>
      <c r="Q300" t="str">
        <f>_xlfn.XLOOKUP(B300,Status!$A$2:$A$1867,Status!$B$2:$B$1867)</f>
        <v>Completed</v>
      </c>
      <c r="R300" s="2" t="s">
        <v>36</v>
      </c>
      <c r="S300" s="8">
        <v>3</v>
      </c>
      <c r="T300" s="2" t="s">
        <v>24</v>
      </c>
      <c r="U300" s="31" t="str" cm="1">
        <f t="array" ref="U300">_xlfn.IFS(L300&lt;=5000,$Z$3,AND(L300&gt;5000,L300&lt;=15000),$Z$4,AND(L300&gt;15000,L300&lt;=30000),$Z$5,AND(L300&gt;30000,L300&lt;=50000),$Z$6,L300&gt;50000,$Z$7)</f>
        <v>Rendah</v>
      </c>
      <c r="V300" s="2"/>
    </row>
    <row r="301" spans="1:22" ht="15.75" customHeight="1" x14ac:dyDescent="0.25">
      <c r="A301" s="26"/>
      <c r="B301" s="2" t="s">
        <v>574</v>
      </c>
      <c r="C301" s="32">
        <v>45607.567719907413</v>
      </c>
      <c r="D301" s="53">
        <f>YEAR(Table1[[#This Row],[Order Date]])</f>
        <v>2024</v>
      </c>
      <c r="E301" s="2" t="s">
        <v>515</v>
      </c>
      <c r="F301" s="2" t="s">
        <v>182</v>
      </c>
      <c r="G301" s="2" t="s">
        <v>62</v>
      </c>
      <c r="H301" s="23">
        <v>50000</v>
      </c>
      <c r="I301" s="2">
        <v>1</v>
      </c>
      <c r="J301" s="31">
        <v>0</v>
      </c>
      <c r="K301" s="7">
        <f t="shared" si="16"/>
        <v>50000</v>
      </c>
      <c r="L301" s="7">
        <f t="shared" si="17"/>
        <v>0</v>
      </c>
      <c r="M301" s="7">
        <f t="shared" si="18"/>
        <v>50000</v>
      </c>
      <c r="N301" s="23">
        <v>0</v>
      </c>
      <c r="O301" s="7">
        <f t="shared" si="19"/>
        <v>50000</v>
      </c>
      <c r="P301" s="2" t="s">
        <v>35</v>
      </c>
      <c r="Q301" t="str">
        <f>_xlfn.XLOOKUP(B301,Status!$A$2:$A$1867,Status!$B$2:$B$1867)</f>
        <v>Completed</v>
      </c>
      <c r="R301" s="2" t="s">
        <v>36</v>
      </c>
      <c r="S301" s="8">
        <v>3</v>
      </c>
      <c r="T301" s="2" t="s">
        <v>24</v>
      </c>
      <c r="U301" s="31" t="str" cm="1">
        <f t="array" ref="U301">_xlfn.IFS(L301&lt;=5000,$Z$3,AND(L301&gt;5000,L301&lt;=15000),$Z$4,AND(L301&gt;15000,L301&lt;=30000),$Z$5,AND(L301&gt;30000,L301&lt;=50000),$Z$6,L301&gt;50000,$Z$7)</f>
        <v>Sangat Rendah</v>
      </c>
      <c r="V301" s="2"/>
    </row>
    <row r="302" spans="1:22" ht="15.75" customHeight="1" x14ac:dyDescent="0.25">
      <c r="A302" s="26"/>
      <c r="B302" s="2" t="s">
        <v>575</v>
      </c>
      <c r="C302" s="32">
        <v>45608.161423611113</v>
      </c>
      <c r="D302" s="53">
        <f>YEAR(Table1[[#This Row],[Order Date]])</f>
        <v>2024</v>
      </c>
      <c r="E302" s="2" t="s">
        <v>576</v>
      </c>
      <c r="F302" s="2" t="s">
        <v>57</v>
      </c>
      <c r="G302" s="2" t="s">
        <v>190</v>
      </c>
      <c r="H302" s="23">
        <v>35000</v>
      </c>
      <c r="I302" s="2">
        <v>3</v>
      </c>
      <c r="J302" s="31">
        <v>0</v>
      </c>
      <c r="K302" s="7">
        <f t="shared" si="16"/>
        <v>105000</v>
      </c>
      <c r="L302" s="7">
        <f t="shared" si="17"/>
        <v>0</v>
      </c>
      <c r="M302" s="7">
        <f t="shared" si="18"/>
        <v>105000</v>
      </c>
      <c r="N302" s="23">
        <v>80000</v>
      </c>
      <c r="O302" s="7">
        <f t="shared" si="19"/>
        <v>185000</v>
      </c>
      <c r="P302" s="2" t="s">
        <v>35</v>
      </c>
      <c r="Q302" t="str">
        <f>_xlfn.XLOOKUP(B302,Status!$A$2:$A$1867,Status!$B$2:$B$1867)</f>
        <v>Completed</v>
      </c>
      <c r="R302" s="2" t="s">
        <v>36</v>
      </c>
      <c r="S302" s="8">
        <v>1</v>
      </c>
      <c r="T302" s="2" t="s">
        <v>37</v>
      </c>
      <c r="U302" s="31" t="str" cm="1">
        <f t="array" ref="U302">_xlfn.IFS(L302&lt;=5000,$Z$3,AND(L302&gt;5000,L302&lt;=15000),$Z$4,AND(L302&gt;15000,L302&lt;=30000),$Z$5,AND(L302&gt;30000,L302&lt;=50000),$Z$6,L302&gt;50000,$Z$7)</f>
        <v>Sangat Rendah</v>
      </c>
      <c r="V302" s="2"/>
    </row>
    <row r="303" spans="1:22" ht="15.75" customHeight="1" x14ac:dyDescent="0.25">
      <c r="A303" s="26"/>
      <c r="B303" s="2" t="s">
        <v>577</v>
      </c>
      <c r="C303" s="32">
        <v>45608.472233796303</v>
      </c>
      <c r="D303" s="53">
        <f>YEAR(Table1[[#This Row],[Order Date]])</f>
        <v>2024</v>
      </c>
      <c r="E303" s="2" t="s">
        <v>455</v>
      </c>
      <c r="F303" s="2" t="s">
        <v>33</v>
      </c>
      <c r="G303" s="2" t="s">
        <v>62</v>
      </c>
      <c r="H303" s="23">
        <v>50000</v>
      </c>
      <c r="I303" s="2">
        <v>5</v>
      </c>
      <c r="J303" s="31">
        <v>15</v>
      </c>
      <c r="K303" s="7">
        <f t="shared" si="16"/>
        <v>250000</v>
      </c>
      <c r="L303" s="7">
        <f t="shared" si="17"/>
        <v>37500</v>
      </c>
      <c r="M303" s="7">
        <f t="shared" si="18"/>
        <v>212500</v>
      </c>
      <c r="N303" s="23">
        <v>76000</v>
      </c>
      <c r="O303" s="7">
        <f t="shared" si="19"/>
        <v>288500</v>
      </c>
      <c r="P303" s="2" t="s">
        <v>63</v>
      </c>
      <c r="Q303" t="str">
        <f>_xlfn.XLOOKUP(B303,Status!$A$2:$A$1867,Status!$B$2:$B$1867)</f>
        <v>Completed</v>
      </c>
      <c r="R303" s="2" t="s">
        <v>30</v>
      </c>
      <c r="S303" s="8">
        <v>2</v>
      </c>
      <c r="T303" s="2" t="s">
        <v>24</v>
      </c>
      <c r="U303" s="31" t="str" cm="1">
        <f t="array" ref="U303">_xlfn.IFS(L303&lt;=5000,$Z$3,AND(L303&gt;5000,L303&lt;=15000),$Z$4,AND(L303&gt;15000,L303&lt;=30000),$Z$5,AND(L303&gt;30000,L303&lt;=50000),$Z$6,L303&gt;50000,$Z$7)</f>
        <v>Tinggi</v>
      </c>
      <c r="V303" s="2"/>
    </row>
    <row r="304" spans="1:22" ht="15.75" customHeight="1" x14ac:dyDescent="0.25">
      <c r="A304" s="26"/>
      <c r="B304" s="2" t="s">
        <v>578</v>
      </c>
      <c r="C304" s="32">
        <v>45608.480902777781</v>
      </c>
      <c r="D304" s="53">
        <f>YEAR(Table1[[#This Row],[Order Date]])</f>
        <v>2024</v>
      </c>
      <c r="E304" s="2" t="s">
        <v>77</v>
      </c>
      <c r="F304" s="2" t="s">
        <v>61</v>
      </c>
      <c r="G304" s="2" t="s">
        <v>58</v>
      </c>
      <c r="H304" s="23">
        <v>16000</v>
      </c>
      <c r="I304" s="2">
        <v>1</v>
      </c>
      <c r="J304" s="31">
        <v>10</v>
      </c>
      <c r="K304" s="7">
        <f t="shared" si="16"/>
        <v>16000</v>
      </c>
      <c r="L304" s="7">
        <f t="shared" si="17"/>
        <v>1600</v>
      </c>
      <c r="M304" s="7">
        <f t="shared" si="18"/>
        <v>14400</v>
      </c>
      <c r="N304" s="23">
        <v>26000</v>
      </c>
      <c r="O304" s="7">
        <f t="shared" si="19"/>
        <v>40400</v>
      </c>
      <c r="P304" s="2" t="s">
        <v>35</v>
      </c>
      <c r="Q304" t="str">
        <f>_xlfn.XLOOKUP(B304,Status!$A$2:$A$1867,Status!$B$2:$B$1867)</f>
        <v>Completed</v>
      </c>
      <c r="R304" s="2" t="s">
        <v>46</v>
      </c>
      <c r="S304" s="8">
        <v>4</v>
      </c>
      <c r="T304" s="2" t="s">
        <v>24</v>
      </c>
      <c r="U304" s="31" t="str" cm="1">
        <f t="array" ref="U304">_xlfn.IFS(L304&lt;=5000,$Z$3,AND(L304&gt;5000,L304&lt;=15000),$Z$4,AND(L304&gt;15000,L304&lt;=30000),$Z$5,AND(L304&gt;30000,L304&lt;=50000),$Z$6,L304&gt;50000,$Z$7)</f>
        <v>Sangat Rendah</v>
      </c>
      <c r="V304" s="2"/>
    </row>
    <row r="305" spans="1:22" ht="15.75" customHeight="1" x14ac:dyDescent="0.25">
      <c r="A305" s="26"/>
      <c r="B305" s="2" t="s">
        <v>579</v>
      </c>
      <c r="C305" s="32">
        <v>45608.974733796298</v>
      </c>
      <c r="D305" s="53">
        <f>YEAR(Table1[[#This Row],[Order Date]])</f>
        <v>2024</v>
      </c>
      <c r="E305" s="2" t="s">
        <v>201</v>
      </c>
      <c r="F305" s="2" t="s">
        <v>107</v>
      </c>
      <c r="G305" s="2" t="s">
        <v>67</v>
      </c>
      <c r="H305" s="23">
        <v>15000</v>
      </c>
      <c r="I305" s="2">
        <v>3</v>
      </c>
      <c r="J305" s="31">
        <v>5</v>
      </c>
      <c r="K305" s="7">
        <f t="shared" si="16"/>
        <v>45000</v>
      </c>
      <c r="L305" s="7">
        <f t="shared" si="17"/>
        <v>2250</v>
      </c>
      <c r="M305" s="7">
        <f t="shared" si="18"/>
        <v>42750</v>
      </c>
      <c r="N305" s="23">
        <v>97000</v>
      </c>
      <c r="O305" s="7">
        <f t="shared" si="19"/>
        <v>139750</v>
      </c>
      <c r="P305" s="2" t="s">
        <v>35</v>
      </c>
      <c r="Q305" t="str">
        <f>_xlfn.XLOOKUP(B305,Status!$A$2:$A$1867,Status!$B$2:$B$1867)</f>
        <v>Completed</v>
      </c>
      <c r="R305" s="2" t="s">
        <v>82</v>
      </c>
      <c r="S305" s="8">
        <v>4</v>
      </c>
      <c r="T305" s="2" t="s">
        <v>24</v>
      </c>
      <c r="U305" s="31" t="str" cm="1">
        <f t="array" ref="U305">_xlfn.IFS(L305&lt;=5000,$Z$3,AND(L305&gt;5000,L305&lt;=15000),$Z$4,AND(L305&gt;15000,L305&lt;=30000),$Z$5,AND(L305&gt;30000,L305&lt;=50000),$Z$6,L305&gt;50000,$Z$7)</f>
        <v>Sangat Rendah</v>
      </c>
      <c r="V305" s="2"/>
    </row>
    <row r="306" spans="1:22" ht="15.75" customHeight="1" x14ac:dyDescent="0.25">
      <c r="A306" s="26"/>
      <c r="B306" s="2" t="s">
        <v>580</v>
      </c>
      <c r="C306" s="32">
        <v>45609.019490740742</v>
      </c>
      <c r="D306" s="53">
        <f>YEAR(Table1[[#This Row],[Order Date]])</f>
        <v>2024</v>
      </c>
      <c r="E306" s="2" t="s">
        <v>549</v>
      </c>
      <c r="F306" s="2" t="s">
        <v>107</v>
      </c>
      <c r="G306" s="2" t="s">
        <v>136</v>
      </c>
      <c r="H306" s="23">
        <v>12000</v>
      </c>
      <c r="I306" s="2">
        <v>1</v>
      </c>
      <c r="J306" s="31">
        <v>20</v>
      </c>
      <c r="K306" s="7">
        <f t="shared" si="16"/>
        <v>12000</v>
      </c>
      <c r="L306" s="7">
        <f t="shared" si="17"/>
        <v>2400</v>
      </c>
      <c r="M306" s="7">
        <f t="shared" si="18"/>
        <v>9600</v>
      </c>
      <c r="N306" s="23">
        <v>97000</v>
      </c>
      <c r="O306" s="7">
        <f t="shared" si="19"/>
        <v>106600</v>
      </c>
      <c r="P306" s="2" t="s">
        <v>63</v>
      </c>
      <c r="Q306" t="str">
        <f>_xlfn.XLOOKUP(B306,Status!$A$2:$A$1867,Status!$B$2:$B$1867)</f>
        <v>Completed</v>
      </c>
      <c r="R306" s="2" t="s">
        <v>82</v>
      </c>
      <c r="S306" s="8">
        <v>3</v>
      </c>
      <c r="T306" s="2" t="s">
        <v>24</v>
      </c>
      <c r="U306" s="31" t="str" cm="1">
        <f t="array" ref="U306">_xlfn.IFS(L306&lt;=5000,$Z$3,AND(L306&gt;5000,L306&lt;=15000),$Z$4,AND(L306&gt;15000,L306&lt;=30000),$Z$5,AND(L306&gt;30000,L306&lt;=50000),$Z$6,L306&gt;50000,$Z$7)</f>
        <v>Sangat Rendah</v>
      </c>
      <c r="V306" s="2"/>
    </row>
    <row r="307" spans="1:22" ht="15.75" customHeight="1" x14ac:dyDescent="0.25">
      <c r="A307" s="26"/>
      <c r="B307" s="2" t="s">
        <v>580</v>
      </c>
      <c r="C307" s="32">
        <v>45609.019490740742</v>
      </c>
      <c r="D307" s="53">
        <f>YEAR(Table1[[#This Row],[Order Date]])</f>
        <v>2024</v>
      </c>
      <c r="E307" s="2" t="s">
        <v>549</v>
      </c>
      <c r="F307" s="2" t="s">
        <v>107</v>
      </c>
      <c r="G307" s="2" t="s">
        <v>81</v>
      </c>
      <c r="H307" s="23">
        <v>17000</v>
      </c>
      <c r="I307" s="2">
        <v>5</v>
      </c>
      <c r="J307" s="31">
        <v>10</v>
      </c>
      <c r="K307" s="7">
        <f t="shared" si="16"/>
        <v>85000</v>
      </c>
      <c r="L307" s="7">
        <f t="shared" si="17"/>
        <v>8500</v>
      </c>
      <c r="M307" s="7">
        <f t="shared" si="18"/>
        <v>76500</v>
      </c>
      <c r="N307" s="23">
        <v>0</v>
      </c>
      <c r="O307" s="7">
        <f t="shared" si="19"/>
        <v>76500</v>
      </c>
      <c r="P307" s="2" t="s">
        <v>63</v>
      </c>
      <c r="Q307" t="str">
        <f>_xlfn.XLOOKUP(B307,Status!$A$2:$A$1867,Status!$B$2:$B$1867)</f>
        <v>Completed</v>
      </c>
      <c r="R307" s="2" t="s">
        <v>82</v>
      </c>
      <c r="S307" s="8">
        <v>3</v>
      </c>
      <c r="T307" s="2" t="s">
        <v>24</v>
      </c>
      <c r="U307" s="31" t="str" cm="1">
        <f t="array" ref="U307">_xlfn.IFS(L307&lt;=5000,$Z$3,AND(L307&gt;5000,L307&lt;=15000),$Z$4,AND(L307&gt;15000,L307&lt;=30000),$Z$5,AND(L307&gt;30000,L307&lt;=50000),$Z$6,L307&gt;50000,$Z$7)</f>
        <v>Rendah</v>
      </c>
      <c r="V307" s="2"/>
    </row>
    <row r="308" spans="1:22" ht="15.75" customHeight="1" x14ac:dyDescent="0.25">
      <c r="A308" s="26"/>
      <c r="B308" s="2" t="s">
        <v>581</v>
      </c>
      <c r="C308" s="32">
        <v>45609.193136574067</v>
      </c>
      <c r="D308" s="53">
        <f>YEAR(Table1[[#This Row],[Order Date]])</f>
        <v>2024</v>
      </c>
      <c r="E308" s="2" t="s">
        <v>582</v>
      </c>
      <c r="F308" s="2" t="s">
        <v>435</v>
      </c>
      <c r="G308" s="2" t="s">
        <v>123</v>
      </c>
      <c r="H308" s="23">
        <v>22000</v>
      </c>
      <c r="I308" s="2">
        <v>1</v>
      </c>
      <c r="J308" s="31">
        <v>15</v>
      </c>
      <c r="K308" s="7">
        <f t="shared" si="16"/>
        <v>22000</v>
      </c>
      <c r="L308" s="7">
        <f t="shared" si="17"/>
        <v>3300</v>
      </c>
      <c r="M308" s="7">
        <f t="shared" si="18"/>
        <v>18700</v>
      </c>
      <c r="N308" s="23">
        <v>67000</v>
      </c>
      <c r="O308" s="7">
        <f t="shared" si="19"/>
        <v>85700</v>
      </c>
      <c r="P308" s="2" t="s">
        <v>29</v>
      </c>
      <c r="Q308" t="str">
        <f>_xlfn.XLOOKUP(B308,Status!$A$2:$A$1867,Status!$B$2:$B$1867)</f>
        <v>Returned</v>
      </c>
      <c r="R308" s="2" t="s">
        <v>23</v>
      </c>
      <c r="S308" s="8">
        <v>2</v>
      </c>
      <c r="T308" s="2" t="s">
        <v>24</v>
      </c>
      <c r="U308" s="31" t="str" cm="1">
        <f t="array" ref="U308">_xlfn.IFS(L308&lt;=5000,$Z$3,AND(L308&gt;5000,L308&lt;=15000),$Z$4,AND(L308&gt;15000,L308&lt;=30000),$Z$5,AND(L308&gt;30000,L308&lt;=50000),$Z$6,L308&gt;50000,$Z$7)</f>
        <v>Sangat Rendah</v>
      </c>
      <c r="V308" s="2"/>
    </row>
    <row r="309" spans="1:22" ht="15.75" customHeight="1" x14ac:dyDescent="0.25">
      <c r="A309" s="26"/>
      <c r="B309" s="2" t="s">
        <v>583</v>
      </c>
      <c r="C309" s="32">
        <v>45609.333831018521</v>
      </c>
      <c r="D309" s="53">
        <f>YEAR(Table1[[#This Row],[Order Date]])</f>
        <v>2024</v>
      </c>
      <c r="E309" s="2" t="s">
        <v>584</v>
      </c>
      <c r="F309" s="2" t="s">
        <v>92</v>
      </c>
      <c r="G309" s="2" t="s">
        <v>28</v>
      </c>
      <c r="H309" s="23">
        <v>5000</v>
      </c>
      <c r="I309" s="2">
        <v>4</v>
      </c>
      <c r="J309" s="31">
        <v>0</v>
      </c>
      <c r="K309" s="7">
        <f t="shared" si="16"/>
        <v>20000</v>
      </c>
      <c r="L309" s="7">
        <f t="shared" si="17"/>
        <v>0</v>
      </c>
      <c r="M309" s="7">
        <f t="shared" si="18"/>
        <v>20000</v>
      </c>
      <c r="N309" s="23">
        <v>30000</v>
      </c>
      <c r="O309" s="7">
        <f t="shared" si="19"/>
        <v>50000</v>
      </c>
      <c r="P309" s="2" t="s">
        <v>22</v>
      </c>
      <c r="Q309" t="str">
        <f>_xlfn.XLOOKUP(B309,Status!$A$2:$A$1867,Status!$B$2:$B$1867)</f>
        <v>Returned</v>
      </c>
      <c r="R309" s="2" t="s">
        <v>82</v>
      </c>
      <c r="S309" s="8">
        <v>2</v>
      </c>
      <c r="T309" s="2" t="s">
        <v>24</v>
      </c>
      <c r="U309" s="31" t="str" cm="1">
        <f t="array" ref="U309">_xlfn.IFS(L309&lt;=5000,$Z$3,AND(L309&gt;5000,L309&lt;=15000),$Z$4,AND(L309&gt;15000,L309&lt;=30000),$Z$5,AND(L309&gt;30000,L309&lt;=50000),$Z$6,L309&gt;50000,$Z$7)</f>
        <v>Sangat Rendah</v>
      </c>
      <c r="V309" s="2"/>
    </row>
    <row r="310" spans="1:22" ht="15.75" customHeight="1" x14ac:dyDescent="0.25">
      <c r="A310" s="26"/>
      <c r="B310" s="2" t="s">
        <v>585</v>
      </c>
      <c r="C310" s="32">
        <v>45609.545034722221</v>
      </c>
      <c r="D310" s="53">
        <f>YEAR(Table1[[#This Row],[Order Date]])</f>
        <v>2024</v>
      </c>
      <c r="E310" s="2" t="s">
        <v>254</v>
      </c>
      <c r="F310" s="2" t="s">
        <v>61</v>
      </c>
      <c r="G310" s="2" t="s">
        <v>190</v>
      </c>
      <c r="H310" s="23">
        <v>35000</v>
      </c>
      <c r="I310" s="2">
        <v>2</v>
      </c>
      <c r="J310" s="31">
        <v>10</v>
      </c>
      <c r="K310" s="7">
        <f t="shared" si="16"/>
        <v>70000</v>
      </c>
      <c r="L310" s="7">
        <f t="shared" si="17"/>
        <v>7000</v>
      </c>
      <c r="M310" s="7">
        <f t="shared" si="18"/>
        <v>63000</v>
      </c>
      <c r="N310" s="23">
        <v>26000</v>
      </c>
      <c r="O310" s="7">
        <f t="shared" si="19"/>
        <v>89000</v>
      </c>
      <c r="P310" s="2" t="s">
        <v>29</v>
      </c>
      <c r="Q310" t="str">
        <f>_xlfn.XLOOKUP(B310,Status!$A$2:$A$1867,Status!$B$2:$B$1867)</f>
        <v>Returned</v>
      </c>
      <c r="R310" s="2" t="s">
        <v>36</v>
      </c>
      <c r="S310" s="8">
        <v>2</v>
      </c>
      <c r="T310" s="2" t="s">
        <v>24</v>
      </c>
      <c r="U310" s="31" t="str" cm="1">
        <f t="array" ref="U310">_xlfn.IFS(L310&lt;=5000,$Z$3,AND(L310&gt;5000,L310&lt;=15000),$Z$4,AND(L310&gt;15000,L310&lt;=30000),$Z$5,AND(L310&gt;30000,L310&lt;=50000),$Z$6,L310&gt;50000,$Z$7)</f>
        <v>Rendah</v>
      </c>
      <c r="V310" s="2"/>
    </row>
    <row r="311" spans="1:22" ht="15.75" customHeight="1" x14ac:dyDescent="0.25">
      <c r="A311" s="26"/>
      <c r="B311" s="2" t="s">
        <v>586</v>
      </c>
      <c r="C311" s="32">
        <v>45610.736064814817</v>
      </c>
      <c r="D311" s="53">
        <f>YEAR(Table1[[#This Row],[Order Date]])</f>
        <v>2024</v>
      </c>
      <c r="E311" s="2" t="s">
        <v>102</v>
      </c>
      <c r="F311" s="2" t="s">
        <v>103</v>
      </c>
      <c r="G311" s="2" t="s">
        <v>67</v>
      </c>
      <c r="H311" s="23">
        <v>15000</v>
      </c>
      <c r="I311" s="2">
        <v>4</v>
      </c>
      <c r="J311" s="31">
        <v>5</v>
      </c>
      <c r="K311" s="7">
        <f t="shared" si="16"/>
        <v>60000</v>
      </c>
      <c r="L311" s="7">
        <f t="shared" si="17"/>
        <v>3000</v>
      </c>
      <c r="M311" s="7">
        <f t="shared" si="18"/>
        <v>57000</v>
      </c>
      <c r="N311" s="23">
        <v>85000</v>
      </c>
      <c r="O311" s="7">
        <f t="shared" si="19"/>
        <v>142000</v>
      </c>
      <c r="P311" s="2" t="s">
        <v>63</v>
      </c>
      <c r="Q311" t="str">
        <f>_xlfn.XLOOKUP(B311,Status!$A$2:$A$1867,Status!$B$2:$B$1867)</f>
        <v>Completed</v>
      </c>
      <c r="R311" s="2" t="s">
        <v>82</v>
      </c>
      <c r="S311" s="8">
        <v>4</v>
      </c>
      <c r="T311" s="2" t="s">
        <v>24</v>
      </c>
      <c r="U311" s="31" t="str" cm="1">
        <f t="array" ref="U311">_xlfn.IFS(L311&lt;=5000,$Z$3,AND(L311&gt;5000,L311&lt;=15000),$Z$4,AND(L311&gt;15000,L311&lt;=30000),$Z$5,AND(L311&gt;30000,L311&lt;=50000),$Z$6,L311&gt;50000,$Z$7)</f>
        <v>Sangat Rendah</v>
      </c>
      <c r="V311" s="2"/>
    </row>
    <row r="312" spans="1:22" ht="15.75" customHeight="1" x14ac:dyDescent="0.25">
      <c r="A312" s="26"/>
      <c r="B312" s="2" t="s">
        <v>587</v>
      </c>
      <c r="C312" s="32">
        <v>45610.784502314818</v>
      </c>
      <c r="D312" s="53">
        <f>YEAR(Table1[[#This Row],[Order Date]])</f>
        <v>2024</v>
      </c>
      <c r="E312" s="2" t="s">
        <v>142</v>
      </c>
      <c r="F312" s="2" t="s">
        <v>143</v>
      </c>
      <c r="G312" s="2" t="s">
        <v>21</v>
      </c>
      <c r="H312" s="23">
        <v>45000</v>
      </c>
      <c r="I312" s="2">
        <v>2</v>
      </c>
      <c r="J312" s="31">
        <v>15</v>
      </c>
      <c r="K312" s="7">
        <f t="shared" si="16"/>
        <v>90000</v>
      </c>
      <c r="L312" s="7">
        <f t="shared" si="17"/>
        <v>13500</v>
      </c>
      <c r="M312" s="7">
        <f t="shared" si="18"/>
        <v>76500</v>
      </c>
      <c r="N312" s="23">
        <v>50000</v>
      </c>
      <c r="O312" s="7">
        <f t="shared" si="19"/>
        <v>126500</v>
      </c>
      <c r="P312" s="2" t="s">
        <v>35</v>
      </c>
      <c r="Q312" t="str">
        <f>_xlfn.XLOOKUP(B312,Status!$A$2:$A$1867,Status!$B$2:$B$1867)</f>
        <v>Completed</v>
      </c>
      <c r="R312" s="2" t="s">
        <v>30</v>
      </c>
      <c r="S312" s="8">
        <v>5</v>
      </c>
      <c r="T312" s="2" t="s">
        <v>24</v>
      </c>
      <c r="U312" s="31" t="str" cm="1">
        <f t="array" ref="U312">_xlfn.IFS(L312&lt;=5000,$Z$3,AND(L312&gt;5000,L312&lt;=15000),$Z$4,AND(L312&gt;15000,L312&lt;=30000),$Z$5,AND(L312&gt;30000,L312&lt;=50000),$Z$6,L312&gt;50000,$Z$7)</f>
        <v>Rendah</v>
      </c>
      <c r="V312" s="2"/>
    </row>
    <row r="313" spans="1:22" ht="15.75" customHeight="1" x14ac:dyDescent="0.25">
      <c r="A313" s="26"/>
      <c r="B313" s="2" t="s">
        <v>588</v>
      </c>
      <c r="C313" s="32">
        <v>45610.841840277782</v>
      </c>
      <c r="D313" s="53">
        <f>YEAR(Table1[[#This Row],[Order Date]])</f>
        <v>2024</v>
      </c>
      <c r="E313" s="2" t="s">
        <v>589</v>
      </c>
      <c r="F313" s="2" t="s">
        <v>262</v>
      </c>
      <c r="G313" s="2" t="s">
        <v>71</v>
      </c>
      <c r="H313" s="23">
        <v>40000</v>
      </c>
      <c r="I313" s="2">
        <v>2</v>
      </c>
      <c r="J313" s="31">
        <v>10</v>
      </c>
      <c r="K313" s="7">
        <f t="shared" si="16"/>
        <v>80000</v>
      </c>
      <c r="L313" s="7">
        <f t="shared" si="17"/>
        <v>8000</v>
      </c>
      <c r="M313" s="7">
        <f t="shared" si="18"/>
        <v>72000</v>
      </c>
      <c r="N313" s="23">
        <v>18000</v>
      </c>
      <c r="O313" s="7">
        <f t="shared" si="19"/>
        <v>90000</v>
      </c>
      <c r="P313" s="2" t="s">
        <v>29</v>
      </c>
      <c r="Q313" t="str">
        <f>_xlfn.XLOOKUP(B313,Status!$A$2:$A$1867,Status!$B$2:$B$1867)</f>
        <v>Completed</v>
      </c>
      <c r="R313" s="2" t="s">
        <v>36</v>
      </c>
      <c r="S313" s="8">
        <v>4</v>
      </c>
      <c r="T313" s="2" t="s">
        <v>37</v>
      </c>
      <c r="U313" s="31" t="str" cm="1">
        <f t="array" ref="U313">_xlfn.IFS(L313&lt;=5000,$Z$3,AND(L313&gt;5000,L313&lt;=15000),$Z$4,AND(L313&gt;15000,L313&lt;=30000),$Z$5,AND(L313&gt;30000,L313&lt;=50000),$Z$6,L313&gt;50000,$Z$7)</f>
        <v>Rendah</v>
      </c>
      <c r="V313" s="2"/>
    </row>
    <row r="314" spans="1:22" ht="15.75" customHeight="1" x14ac:dyDescent="0.25">
      <c r="A314" s="26"/>
      <c r="B314" s="2" t="s">
        <v>590</v>
      </c>
      <c r="C314" s="32">
        <v>45611.286041666674</v>
      </c>
      <c r="D314" s="53">
        <f>YEAR(Table1[[#This Row],[Order Date]])</f>
        <v>2024</v>
      </c>
      <c r="E314" s="2" t="s">
        <v>570</v>
      </c>
      <c r="F314" s="2" t="s">
        <v>80</v>
      </c>
      <c r="G314" s="2" t="s">
        <v>144</v>
      </c>
      <c r="H314" s="23">
        <v>18000</v>
      </c>
      <c r="I314" s="2">
        <v>1</v>
      </c>
      <c r="J314" s="31">
        <v>20</v>
      </c>
      <c r="K314" s="7">
        <f t="shared" si="16"/>
        <v>18000</v>
      </c>
      <c r="L314" s="7">
        <f t="shared" si="17"/>
        <v>3600</v>
      </c>
      <c r="M314" s="7">
        <f t="shared" si="18"/>
        <v>14400</v>
      </c>
      <c r="N314" s="23">
        <v>74000</v>
      </c>
      <c r="O314" s="7">
        <f t="shared" si="19"/>
        <v>88400</v>
      </c>
      <c r="P314" s="2" t="s">
        <v>29</v>
      </c>
      <c r="Q314" t="str">
        <f>_xlfn.XLOOKUP(B314,Status!$A$2:$A$1867,Status!$B$2:$B$1867)</f>
        <v>Completed</v>
      </c>
      <c r="R314" s="2" t="s">
        <v>23</v>
      </c>
      <c r="S314" s="8">
        <v>1</v>
      </c>
      <c r="T314" s="2" t="s">
        <v>24</v>
      </c>
      <c r="U314" s="31" t="str" cm="1">
        <f t="array" ref="U314">_xlfn.IFS(L314&lt;=5000,$Z$3,AND(L314&gt;5000,L314&lt;=15000),$Z$4,AND(L314&gt;15000,L314&lt;=30000),$Z$5,AND(L314&gt;30000,L314&lt;=50000),$Z$6,L314&gt;50000,$Z$7)</f>
        <v>Sangat Rendah</v>
      </c>
      <c r="V314" s="2"/>
    </row>
    <row r="315" spans="1:22" ht="15.75" customHeight="1" x14ac:dyDescent="0.25">
      <c r="A315" s="26"/>
      <c r="B315" s="2" t="s">
        <v>591</v>
      </c>
      <c r="C315" s="32">
        <v>45611.544317129628</v>
      </c>
      <c r="D315" s="53">
        <f>YEAR(Table1[[#This Row],[Order Date]])</f>
        <v>2024</v>
      </c>
      <c r="E315" s="2" t="s">
        <v>237</v>
      </c>
      <c r="F315" s="2" t="s">
        <v>238</v>
      </c>
      <c r="G315" s="2" t="s">
        <v>41</v>
      </c>
      <c r="H315" s="23">
        <v>4000</v>
      </c>
      <c r="I315" s="2">
        <v>1</v>
      </c>
      <c r="J315" s="31">
        <v>0</v>
      </c>
      <c r="K315" s="7">
        <f t="shared" si="16"/>
        <v>4000</v>
      </c>
      <c r="L315" s="7">
        <f t="shared" si="17"/>
        <v>0</v>
      </c>
      <c r="M315" s="7">
        <f t="shared" si="18"/>
        <v>4000</v>
      </c>
      <c r="N315" s="23">
        <v>28000</v>
      </c>
      <c r="O315" s="7">
        <f t="shared" si="19"/>
        <v>32000</v>
      </c>
      <c r="P315" s="2" t="s">
        <v>63</v>
      </c>
      <c r="Q315" t="str">
        <f>_xlfn.XLOOKUP(B315,Status!$A$2:$A$1867,Status!$B$2:$B$1867)</f>
        <v>Completed</v>
      </c>
      <c r="R315" s="2" t="s">
        <v>36</v>
      </c>
      <c r="S315" s="8">
        <v>4</v>
      </c>
      <c r="T315" s="2" t="s">
        <v>24</v>
      </c>
      <c r="U315" s="31" t="str" cm="1">
        <f t="array" ref="U315">_xlfn.IFS(L315&lt;=5000,$Z$3,AND(L315&gt;5000,L315&lt;=15000),$Z$4,AND(L315&gt;15000,L315&lt;=30000),$Z$5,AND(L315&gt;30000,L315&lt;=50000),$Z$6,L315&gt;50000,$Z$7)</f>
        <v>Sangat Rendah</v>
      </c>
      <c r="V315" s="2"/>
    </row>
    <row r="316" spans="1:22" ht="15.75" customHeight="1" x14ac:dyDescent="0.25">
      <c r="A316" s="26"/>
      <c r="B316" s="2" t="s">
        <v>592</v>
      </c>
      <c r="C316" s="32">
        <v>45611.797002314823</v>
      </c>
      <c r="D316" s="53">
        <f>YEAR(Table1[[#This Row],[Order Date]])</f>
        <v>2024</v>
      </c>
      <c r="E316" s="2" t="s">
        <v>593</v>
      </c>
      <c r="F316" s="2" t="s">
        <v>195</v>
      </c>
      <c r="G316" s="2" t="s">
        <v>144</v>
      </c>
      <c r="H316" s="23">
        <v>18000</v>
      </c>
      <c r="I316" s="2">
        <v>2</v>
      </c>
      <c r="J316" s="31">
        <v>5</v>
      </c>
      <c r="K316" s="7">
        <f t="shared" si="16"/>
        <v>36000</v>
      </c>
      <c r="L316" s="7">
        <f t="shared" si="17"/>
        <v>1800</v>
      </c>
      <c r="M316" s="7">
        <f t="shared" si="18"/>
        <v>34200</v>
      </c>
      <c r="N316" s="23">
        <v>87000</v>
      </c>
      <c r="O316" s="7">
        <f t="shared" si="19"/>
        <v>121200</v>
      </c>
      <c r="P316" s="2" t="s">
        <v>22</v>
      </c>
      <c r="Q316" t="str">
        <f>_xlfn.XLOOKUP(B316,Status!$A$2:$A$1867,Status!$B$2:$B$1867)</f>
        <v>Completed</v>
      </c>
      <c r="R316" s="2" t="s">
        <v>46</v>
      </c>
      <c r="S316" s="8">
        <v>4</v>
      </c>
      <c r="T316" s="2" t="s">
        <v>24</v>
      </c>
      <c r="U316" s="31" t="str" cm="1">
        <f t="array" ref="U316">_xlfn.IFS(L316&lt;=5000,$Z$3,AND(L316&gt;5000,L316&lt;=15000),$Z$4,AND(L316&gt;15000,L316&lt;=30000),$Z$5,AND(L316&gt;30000,L316&lt;=50000),$Z$6,L316&gt;50000,$Z$7)</f>
        <v>Sangat Rendah</v>
      </c>
      <c r="V316" s="2"/>
    </row>
    <row r="317" spans="1:22" ht="15.75" customHeight="1" x14ac:dyDescent="0.25">
      <c r="A317" s="26"/>
      <c r="B317" s="2" t="s">
        <v>594</v>
      </c>
      <c r="C317" s="32">
        <v>45612.002303240741</v>
      </c>
      <c r="D317" s="53">
        <f>YEAR(Table1[[#This Row],[Order Date]])</f>
        <v>2024</v>
      </c>
      <c r="E317" s="2" t="s">
        <v>106</v>
      </c>
      <c r="F317" s="2" t="s">
        <v>107</v>
      </c>
      <c r="G317" s="2" t="s">
        <v>123</v>
      </c>
      <c r="H317" s="23">
        <v>22000</v>
      </c>
      <c r="I317" s="2">
        <v>5</v>
      </c>
      <c r="J317" s="31">
        <v>5</v>
      </c>
      <c r="K317" s="7">
        <f t="shared" si="16"/>
        <v>110000</v>
      </c>
      <c r="L317" s="7">
        <f t="shared" si="17"/>
        <v>5500</v>
      </c>
      <c r="M317" s="7">
        <f t="shared" si="18"/>
        <v>104500</v>
      </c>
      <c r="N317" s="23">
        <v>97000</v>
      </c>
      <c r="O317" s="7">
        <f t="shared" si="19"/>
        <v>201500</v>
      </c>
      <c r="P317" s="2" t="s">
        <v>22</v>
      </c>
      <c r="Q317" t="str">
        <f>_xlfn.XLOOKUP(B317,Status!$A$2:$A$1867,Status!$B$2:$B$1867)</f>
        <v>Completed</v>
      </c>
      <c r="R317" s="2" t="s">
        <v>30</v>
      </c>
      <c r="S317" s="8">
        <v>4</v>
      </c>
      <c r="T317" s="2" t="s">
        <v>24</v>
      </c>
      <c r="U317" s="31" t="str" cm="1">
        <f t="array" ref="U317">_xlfn.IFS(L317&lt;=5000,$Z$3,AND(L317&gt;5000,L317&lt;=15000),$Z$4,AND(L317&gt;15000,L317&lt;=30000),$Z$5,AND(L317&gt;30000,L317&lt;=50000),$Z$6,L317&gt;50000,$Z$7)</f>
        <v>Rendah</v>
      </c>
      <c r="V317" s="2"/>
    </row>
    <row r="318" spans="1:22" ht="15.75" customHeight="1" x14ac:dyDescent="0.25">
      <c r="A318" s="26"/>
      <c r="B318" s="2" t="s">
        <v>595</v>
      </c>
      <c r="C318" s="32">
        <v>45612.389988425923</v>
      </c>
      <c r="D318" s="53">
        <f>YEAR(Table1[[#This Row],[Order Date]])</f>
        <v>2024</v>
      </c>
      <c r="E318" s="2" t="s">
        <v>596</v>
      </c>
      <c r="F318" s="2" t="s">
        <v>70</v>
      </c>
      <c r="G318" s="2" t="s">
        <v>34</v>
      </c>
      <c r="H318" s="23">
        <v>16000</v>
      </c>
      <c r="I318" s="2">
        <v>3</v>
      </c>
      <c r="J318" s="31">
        <v>20</v>
      </c>
      <c r="K318" s="7">
        <f t="shared" si="16"/>
        <v>48000</v>
      </c>
      <c r="L318" s="7">
        <f t="shared" si="17"/>
        <v>9600</v>
      </c>
      <c r="M318" s="7">
        <f t="shared" si="18"/>
        <v>38400</v>
      </c>
      <c r="N318" s="23">
        <v>89000</v>
      </c>
      <c r="O318" s="7">
        <f t="shared" si="19"/>
        <v>127400</v>
      </c>
      <c r="P318" s="2" t="s">
        <v>29</v>
      </c>
      <c r="Q318" t="str">
        <f>_xlfn.XLOOKUP(B318,Status!$A$2:$A$1867,Status!$B$2:$B$1867)</f>
        <v>Completed</v>
      </c>
      <c r="R318" s="2" t="s">
        <v>36</v>
      </c>
      <c r="S318" s="8">
        <v>3</v>
      </c>
      <c r="T318" s="2" t="s">
        <v>24</v>
      </c>
      <c r="U318" s="31" t="str" cm="1">
        <f t="array" ref="U318">_xlfn.IFS(L318&lt;=5000,$Z$3,AND(L318&gt;5000,L318&lt;=15000),$Z$4,AND(L318&gt;15000,L318&lt;=30000),$Z$5,AND(L318&gt;30000,L318&lt;=50000),$Z$6,L318&gt;50000,$Z$7)</f>
        <v>Rendah</v>
      </c>
      <c r="V318" s="2"/>
    </row>
    <row r="319" spans="1:22" ht="15.75" customHeight="1" x14ac:dyDescent="0.25">
      <c r="A319" s="26"/>
      <c r="B319" s="2" t="s">
        <v>597</v>
      </c>
      <c r="C319" s="32">
        <v>45612.498726851853</v>
      </c>
      <c r="D319" s="53">
        <f>YEAR(Table1[[#This Row],[Order Date]])</f>
        <v>2024</v>
      </c>
      <c r="E319" s="2" t="s">
        <v>598</v>
      </c>
      <c r="F319" s="2" t="s">
        <v>61</v>
      </c>
      <c r="G319" s="2" t="s">
        <v>190</v>
      </c>
      <c r="H319" s="23">
        <v>35000</v>
      </c>
      <c r="I319" s="2">
        <v>1</v>
      </c>
      <c r="J319" s="31">
        <v>5</v>
      </c>
      <c r="K319" s="7">
        <f t="shared" si="16"/>
        <v>35000</v>
      </c>
      <c r="L319" s="7">
        <f t="shared" si="17"/>
        <v>1750</v>
      </c>
      <c r="M319" s="7">
        <f t="shared" si="18"/>
        <v>33250</v>
      </c>
      <c r="N319" s="23">
        <v>26000</v>
      </c>
      <c r="O319" s="7">
        <f t="shared" si="19"/>
        <v>59250</v>
      </c>
      <c r="P319" s="2" t="s">
        <v>29</v>
      </c>
      <c r="Q319" t="str">
        <f>_xlfn.XLOOKUP(B319,Status!$A$2:$A$1867,Status!$B$2:$B$1867)</f>
        <v>Completed</v>
      </c>
      <c r="R319" s="2" t="s">
        <v>46</v>
      </c>
      <c r="S319" s="8">
        <v>4</v>
      </c>
      <c r="T319" s="2" t="s">
        <v>24</v>
      </c>
      <c r="U319" s="31" t="str" cm="1">
        <f t="array" ref="U319">_xlfn.IFS(L319&lt;=5000,$Z$3,AND(L319&gt;5000,L319&lt;=15000),$Z$4,AND(L319&gt;15000,L319&lt;=30000),$Z$5,AND(L319&gt;30000,L319&lt;=50000),$Z$6,L319&gt;50000,$Z$7)</f>
        <v>Sangat Rendah</v>
      </c>
      <c r="V319" s="2"/>
    </row>
    <row r="320" spans="1:22" ht="15.75" customHeight="1" x14ac:dyDescent="0.25">
      <c r="A320" s="26"/>
      <c r="B320" s="2" t="s">
        <v>599</v>
      </c>
      <c r="C320" s="32">
        <v>45612.743634259263</v>
      </c>
      <c r="D320" s="53">
        <f>YEAR(Table1[[#This Row],[Order Date]])</f>
        <v>2024</v>
      </c>
      <c r="E320" s="2" t="s">
        <v>443</v>
      </c>
      <c r="F320" s="2" t="s">
        <v>53</v>
      </c>
      <c r="G320" s="2" t="s">
        <v>54</v>
      </c>
      <c r="H320" s="23">
        <v>16000</v>
      </c>
      <c r="I320" s="2">
        <v>2</v>
      </c>
      <c r="J320" s="31">
        <v>5</v>
      </c>
      <c r="K320" s="7">
        <f t="shared" si="16"/>
        <v>32000</v>
      </c>
      <c r="L320" s="7">
        <f t="shared" si="17"/>
        <v>1600</v>
      </c>
      <c r="M320" s="7">
        <f t="shared" si="18"/>
        <v>30400</v>
      </c>
      <c r="N320" s="23">
        <v>18000</v>
      </c>
      <c r="O320" s="7">
        <f t="shared" si="19"/>
        <v>48400</v>
      </c>
      <c r="P320" s="2" t="s">
        <v>35</v>
      </c>
      <c r="Q320" t="str">
        <f>_xlfn.XLOOKUP(B320,Status!$A$2:$A$1867,Status!$B$2:$B$1867)</f>
        <v>Completed</v>
      </c>
      <c r="R320" s="2" t="s">
        <v>36</v>
      </c>
      <c r="S320" s="8">
        <v>2</v>
      </c>
      <c r="T320" s="2" t="s">
        <v>24</v>
      </c>
      <c r="U320" s="31" t="str" cm="1">
        <f t="array" ref="U320">_xlfn.IFS(L320&lt;=5000,$Z$3,AND(L320&gt;5000,L320&lt;=15000),$Z$4,AND(L320&gt;15000,L320&lt;=30000),$Z$5,AND(L320&gt;30000,L320&lt;=50000),$Z$6,L320&gt;50000,$Z$7)</f>
        <v>Sangat Rendah</v>
      </c>
      <c r="V320" s="2"/>
    </row>
    <row r="321" spans="1:22" ht="15.75" customHeight="1" x14ac:dyDescent="0.25">
      <c r="A321" s="26"/>
      <c r="B321" s="2" t="s">
        <v>600</v>
      </c>
      <c r="C321" s="32">
        <v>45612.747106481482</v>
      </c>
      <c r="D321" s="53">
        <f>YEAR(Table1[[#This Row],[Order Date]])</f>
        <v>2024</v>
      </c>
      <c r="E321" s="2" t="s">
        <v>601</v>
      </c>
      <c r="F321" s="2" t="s">
        <v>119</v>
      </c>
      <c r="G321" s="2" t="s">
        <v>93</v>
      </c>
      <c r="H321" s="23">
        <v>25000</v>
      </c>
      <c r="I321" s="2">
        <v>4</v>
      </c>
      <c r="J321" s="31">
        <v>0</v>
      </c>
      <c r="K321" s="7">
        <f t="shared" si="16"/>
        <v>100000</v>
      </c>
      <c r="L321" s="7">
        <f t="shared" si="17"/>
        <v>0</v>
      </c>
      <c r="M321" s="7">
        <f t="shared" si="18"/>
        <v>100000</v>
      </c>
      <c r="N321" s="23">
        <v>0</v>
      </c>
      <c r="O321" s="7">
        <f t="shared" si="19"/>
        <v>100000</v>
      </c>
      <c r="P321" s="2" t="s">
        <v>22</v>
      </c>
      <c r="Q321" t="str">
        <f>_xlfn.XLOOKUP(B321,Status!$A$2:$A$1867,Status!$B$2:$B$1867)</f>
        <v>Completed</v>
      </c>
      <c r="R321" s="2" t="s">
        <v>46</v>
      </c>
      <c r="S321" s="8">
        <v>3</v>
      </c>
      <c r="T321" s="2" t="s">
        <v>24</v>
      </c>
      <c r="U321" s="31" t="str" cm="1">
        <f t="array" ref="U321">_xlfn.IFS(L321&lt;=5000,$Z$3,AND(L321&gt;5000,L321&lt;=15000),$Z$4,AND(L321&gt;15000,L321&lt;=30000),$Z$5,AND(L321&gt;30000,L321&lt;=50000),$Z$6,L321&gt;50000,$Z$7)</f>
        <v>Sangat Rendah</v>
      </c>
      <c r="V321" s="2"/>
    </row>
    <row r="322" spans="1:22" ht="15.75" customHeight="1" x14ac:dyDescent="0.25">
      <c r="A322" s="26"/>
      <c r="B322" s="2" t="s">
        <v>602</v>
      </c>
      <c r="C322" s="32">
        <v>45612.995729166672</v>
      </c>
      <c r="D322" s="53">
        <f>YEAR(Table1[[#This Row],[Order Date]])</f>
        <v>2024</v>
      </c>
      <c r="E322" s="2" t="s">
        <v>603</v>
      </c>
      <c r="F322" s="2" t="s">
        <v>53</v>
      </c>
      <c r="G322" s="2" t="s">
        <v>34</v>
      </c>
      <c r="H322" s="23">
        <v>16000</v>
      </c>
      <c r="I322" s="2">
        <v>3</v>
      </c>
      <c r="J322" s="31">
        <v>20</v>
      </c>
      <c r="K322" s="7">
        <f t="shared" si="16"/>
        <v>48000</v>
      </c>
      <c r="L322" s="7">
        <f t="shared" si="17"/>
        <v>9600</v>
      </c>
      <c r="M322" s="7">
        <f t="shared" si="18"/>
        <v>38400</v>
      </c>
      <c r="N322" s="23">
        <v>18000</v>
      </c>
      <c r="O322" s="7">
        <f t="shared" si="19"/>
        <v>56400</v>
      </c>
      <c r="P322" s="2" t="s">
        <v>29</v>
      </c>
      <c r="Q322" t="str">
        <f>_xlfn.XLOOKUP(B322,Status!$A$2:$A$1867,Status!$B$2:$B$1867)</f>
        <v>Returned</v>
      </c>
      <c r="R322" s="2" t="s">
        <v>23</v>
      </c>
      <c r="S322" s="8">
        <v>1</v>
      </c>
      <c r="T322" s="2" t="s">
        <v>24</v>
      </c>
      <c r="U322" s="31" t="str" cm="1">
        <f t="array" ref="U322">_xlfn.IFS(L322&lt;=5000,$Z$3,AND(L322&gt;5000,L322&lt;=15000),$Z$4,AND(L322&gt;15000,L322&lt;=30000),$Z$5,AND(L322&gt;30000,L322&lt;=50000),$Z$6,L322&gt;50000,$Z$7)</f>
        <v>Rendah</v>
      </c>
      <c r="V322" s="2"/>
    </row>
    <row r="323" spans="1:22" ht="15.75" customHeight="1" x14ac:dyDescent="0.25">
      <c r="A323" s="26"/>
      <c r="B323" s="2" t="s">
        <v>604</v>
      </c>
      <c r="C323" s="32">
        <v>45613.129432870373</v>
      </c>
      <c r="D323" s="53">
        <f>YEAR(Table1[[#This Row],[Order Date]])</f>
        <v>2024</v>
      </c>
      <c r="E323" s="2" t="s">
        <v>605</v>
      </c>
      <c r="F323" s="2" t="s">
        <v>151</v>
      </c>
      <c r="G323" s="2" t="s">
        <v>75</v>
      </c>
      <c r="H323" s="23">
        <v>55000</v>
      </c>
      <c r="I323" s="2">
        <v>4</v>
      </c>
      <c r="J323" s="31">
        <v>20</v>
      </c>
      <c r="K323" s="7">
        <f t="shared" si="16"/>
        <v>220000</v>
      </c>
      <c r="L323" s="7">
        <f t="shared" si="17"/>
        <v>44000</v>
      </c>
      <c r="M323" s="7">
        <f t="shared" si="18"/>
        <v>176000</v>
      </c>
      <c r="N323" s="23">
        <v>55000</v>
      </c>
      <c r="O323" s="7">
        <f t="shared" si="19"/>
        <v>231000</v>
      </c>
      <c r="P323" s="2" t="s">
        <v>29</v>
      </c>
      <c r="Q323" t="str">
        <f>_xlfn.XLOOKUP(B323,Status!$A$2:$A$1867,Status!$B$2:$B$1867)</f>
        <v>Completed</v>
      </c>
      <c r="R323" s="2" t="s">
        <v>46</v>
      </c>
      <c r="S323" s="8">
        <v>2</v>
      </c>
      <c r="T323" s="2" t="s">
        <v>24</v>
      </c>
      <c r="U323" s="31" t="str" cm="1">
        <f t="array" ref="U323">_xlfn.IFS(L323&lt;=5000,$Z$3,AND(L323&gt;5000,L323&lt;=15000),$Z$4,AND(L323&gt;15000,L323&lt;=30000),$Z$5,AND(L323&gt;30000,L323&lt;=50000),$Z$6,L323&gt;50000,$Z$7)</f>
        <v>Tinggi</v>
      </c>
      <c r="V323" s="2"/>
    </row>
    <row r="324" spans="1:22" ht="15.75" customHeight="1" x14ac:dyDescent="0.25">
      <c r="A324" s="26"/>
      <c r="B324" s="2" t="s">
        <v>606</v>
      </c>
      <c r="C324" s="32">
        <v>45613.286724537043</v>
      </c>
      <c r="D324" s="53">
        <f>YEAR(Table1[[#This Row],[Order Date]])</f>
        <v>2024</v>
      </c>
      <c r="E324" s="2" t="s">
        <v>416</v>
      </c>
      <c r="F324" s="2" t="s">
        <v>131</v>
      </c>
      <c r="G324" s="2" t="s">
        <v>38</v>
      </c>
      <c r="H324" s="23">
        <v>28000</v>
      </c>
      <c r="I324" s="2">
        <v>5</v>
      </c>
      <c r="J324" s="31">
        <v>5</v>
      </c>
      <c r="K324" s="7">
        <f t="shared" ref="K324:K387" si="20">H324*I324</f>
        <v>140000</v>
      </c>
      <c r="L324" s="7">
        <f t="shared" ref="L324:L387" si="21">K324*(J324/100)</f>
        <v>7000</v>
      </c>
      <c r="M324" s="7">
        <f t="shared" ref="M324:M387" si="22">K324-L324</f>
        <v>133000</v>
      </c>
      <c r="N324" s="23">
        <v>59000</v>
      </c>
      <c r="O324" s="7">
        <f t="shared" ref="O324:O387" si="23">SUM(M324:N324)</f>
        <v>192000</v>
      </c>
      <c r="P324" s="2" t="s">
        <v>63</v>
      </c>
      <c r="Q324" t="str">
        <f>_xlfn.XLOOKUP(B324,Status!$A$2:$A$1867,Status!$B$2:$B$1867)</f>
        <v>Completed</v>
      </c>
      <c r="R324" s="2" t="s">
        <v>46</v>
      </c>
      <c r="S324" s="8">
        <v>1</v>
      </c>
      <c r="T324" s="2" t="s">
        <v>24</v>
      </c>
      <c r="U324" s="31" t="str" cm="1">
        <f t="array" ref="U324">_xlfn.IFS(L324&lt;=5000,$Z$3,AND(L324&gt;5000,L324&lt;=15000),$Z$4,AND(L324&gt;15000,L324&lt;=30000),$Z$5,AND(L324&gt;30000,L324&lt;=50000),$Z$6,L324&gt;50000,$Z$7)</f>
        <v>Rendah</v>
      </c>
      <c r="V324" s="2"/>
    </row>
    <row r="325" spans="1:22" ht="15.75" customHeight="1" x14ac:dyDescent="0.25">
      <c r="A325" s="26"/>
      <c r="B325" s="2" t="s">
        <v>607</v>
      </c>
      <c r="C325" s="32">
        <v>45613.345520833333</v>
      </c>
      <c r="D325" s="53">
        <f>YEAR(Table1[[#This Row],[Order Date]])</f>
        <v>2024</v>
      </c>
      <c r="E325" s="2" t="s">
        <v>48</v>
      </c>
      <c r="F325" s="2" t="s">
        <v>49</v>
      </c>
      <c r="G325" s="2" t="s">
        <v>136</v>
      </c>
      <c r="H325" s="23">
        <v>12000</v>
      </c>
      <c r="I325" s="2">
        <v>1</v>
      </c>
      <c r="J325" s="31">
        <v>0</v>
      </c>
      <c r="K325" s="7">
        <f t="shared" si="20"/>
        <v>12000</v>
      </c>
      <c r="L325" s="7">
        <f t="shared" si="21"/>
        <v>0</v>
      </c>
      <c r="M325" s="7">
        <f t="shared" si="22"/>
        <v>12000</v>
      </c>
      <c r="N325" s="23">
        <v>43000</v>
      </c>
      <c r="O325" s="7">
        <f t="shared" si="23"/>
        <v>55000</v>
      </c>
      <c r="P325" s="2" t="s">
        <v>22</v>
      </c>
      <c r="Q325" t="str">
        <f>_xlfn.XLOOKUP(B325,Status!$A$2:$A$1867,Status!$B$2:$B$1867)</f>
        <v>Completed</v>
      </c>
      <c r="R325" s="2" t="s">
        <v>30</v>
      </c>
      <c r="S325" s="8">
        <v>4</v>
      </c>
      <c r="T325" s="2" t="s">
        <v>24</v>
      </c>
      <c r="U325" s="31" t="str" cm="1">
        <f t="array" ref="U325">_xlfn.IFS(L325&lt;=5000,$Z$3,AND(L325&gt;5000,L325&lt;=15000),$Z$4,AND(L325&gt;15000,L325&lt;=30000),$Z$5,AND(L325&gt;30000,L325&lt;=50000),$Z$6,L325&gt;50000,$Z$7)</f>
        <v>Sangat Rendah</v>
      </c>
      <c r="V325" s="2"/>
    </row>
    <row r="326" spans="1:22" ht="15.75" customHeight="1" x14ac:dyDescent="0.25">
      <c r="A326" s="26"/>
      <c r="B326" s="2" t="s">
        <v>608</v>
      </c>
      <c r="C326" s="32">
        <v>45613.462488425917</v>
      </c>
      <c r="D326" s="53">
        <f>YEAR(Table1[[#This Row],[Order Date]])</f>
        <v>2024</v>
      </c>
      <c r="E326" s="2" t="s">
        <v>609</v>
      </c>
      <c r="F326" s="2" t="s">
        <v>80</v>
      </c>
      <c r="G326" s="2" t="s">
        <v>104</v>
      </c>
      <c r="H326" s="23">
        <v>30000</v>
      </c>
      <c r="I326" s="2">
        <v>2</v>
      </c>
      <c r="J326" s="31">
        <v>15</v>
      </c>
      <c r="K326" s="7">
        <f t="shared" si="20"/>
        <v>60000</v>
      </c>
      <c r="L326" s="7">
        <f t="shared" si="21"/>
        <v>9000</v>
      </c>
      <c r="M326" s="7">
        <f t="shared" si="22"/>
        <v>51000</v>
      </c>
      <c r="N326" s="23">
        <v>74000</v>
      </c>
      <c r="O326" s="7">
        <f t="shared" si="23"/>
        <v>125000</v>
      </c>
      <c r="P326" s="2" t="s">
        <v>63</v>
      </c>
      <c r="Q326" t="str">
        <f>_xlfn.XLOOKUP(B326,Status!$A$2:$A$1867,Status!$B$2:$B$1867)</f>
        <v>Completed</v>
      </c>
      <c r="R326" s="2" t="s">
        <v>82</v>
      </c>
      <c r="S326" s="8">
        <v>2</v>
      </c>
      <c r="T326" s="2" t="s">
        <v>24</v>
      </c>
      <c r="U326" s="31" t="str" cm="1">
        <f t="array" ref="U326">_xlfn.IFS(L326&lt;=5000,$Z$3,AND(L326&gt;5000,L326&lt;=15000),$Z$4,AND(L326&gt;15000,L326&lt;=30000),$Z$5,AND(L326&gt;30000,L326&lt;=50000),$Z$6,L326&gt;50000,$Z$7)</f>
        <v>Rendah</v>
      </c>
      <c r="V326" s="2"/>
    </row>
    <row r="327" spans="1:22" ht="15.75" customHeight="1" x14ac:dyDescent="0.25">
      <c r="A327" s="26"/>
      <c r="B327" s="2" t="s">
        <v>610</v>
      </c>
      <c r="C327" s="32">
        <v>45613.683703703697</v>
      </c>
      <c r="D327" s="53">
        <f>YEAR(Table1[[#This Row],[Order Date]])</f>
        <v>2024</v>
      </c>
      <c r="E327" s="2" t="s">
        <v>281</v>
      </c>
      <c r="F327" s="2" t="s">
        <v>151</v>
      </c>
      <c r="G327" s="2" t="s">
        <v>54</v>
      </c>
      <c r="H327" s="23">
        <v>16000</v>
      </c>
      <c r="I327" s="2">
        <v>4</v>
      </c>
      <c r="J327" s="31">
        <v>15</v>
      </c>
      <c r="K327" s="7">
        <f t="shared" si="20"/>
        <v>64000</v>
      </c>
      <c r="L327" s="7">
        <f t="shared" si="21"/>
        <v>9600</v>
      </c>
      <c r="M327" s="7">
        <f t="shared" si="22"/>
        <v>54400</v>
      </c>
      <c r="N327" s="23">
        <v>55000</v>
      </c>
      <c r="O327" s="7">
        <f t="shared" si="23"/>
        <v>109400</v>
      </c>
      <c r="P327" s="2" t="s">
        <v>29</v>
      </c>
      <c r="Q327" t="str">
        <f>_xlfn.XLOOKUP(B327,Status!$A$2:$A$1867,Status!$B$2:$B$1867)</f>
        <v>Completed</v>
      </c>
      <c r="R327" s="2" t="s">
        <v>36</v>
      </c>
      <c r="S327" s="8">
        <v>1</v>
      </c>
      <c r="T327" s="2" t="s">
        <v>24</v>
      </c>
      <c r="U327" s="31" t="str" cm="1">
        <f t="array" ref="U327">_xlfn.IFS(L327&lt;=5000,$Z$3,AND(L327&gt;5000,L327&lt;=15000),$Z$4,AND(L327&gt;15000,L327&lt;=30000),$Z$5,AND(L327&gt;30000,L327&lt;=50000),$Z$6,L327&gt;50000,$Z$7)</f>
        <v>Rendah</v>
      </c>
      <c r="V327" s="2"/>
    </row>
    <row r="328" spans="1:22" ht="15.75" customHeight="1" x14ac:dyDescent="0.25">
      <c r="A328" s="26"/>
      <c r="B328" s="2" t="s">
        <v>611</v>
      </c>
      <c r="C328" s="32">
        <v>45613.832777777781</v>
      </c>
      <c r="D328" s="53">
        <f>YEAR(Table1[[#This Row],[Order Date]])</f>
        <v>2024</v>
      </c>
      <c r="E328" s="2" t="s">
        <v>502</v>
      </c>
      <c r="F328" s="2" t="s">
        <v>107</v>
      </c>
      <c r="G328" s="2" t="s">
        <v>21</v>
      </c>
      <c r="H328" s="23">
        <v>45000</v>
      </c>
      <c r="I328" s="2">
        <v>2</v>
      </c>
      <c r="J328" s="31">
        <v>20</v>
      </c>
      <c r="K328" s="7">
        <f t="shared" si="20"/>
        <v>90000</v>
      </c>
      <c r="L328" s="7">
        <f t="shared" si="21"/>
        <v>18000</v>
      </c>
      <c r="M328" s="7">
        <f t="shared" si="22"/>
        <v>72000</v>
      </c>
      <c r="N328" s="23">
        <v>97000</v>
      </c>
      <c r="O328" s="7">
        <f t="shared" si="23"/>
        <v>169000</v>
      </c>
      <c r="P328" s="2" t="s">
        <v>35</v>
      </c>
      <c r="Q328" t="str">
        <f>_xlfn.XLOOKUP(B328,Status!$A$2:$A$1867,Status!$B$2:$B$1867)</f>
        <v>Completed</v>
      </c>
      <c r="R328" s="2" t="s">
        <v>23</v>
      </c>
      <c r="S328" s="8">
        <v>2</v>
      </c>
      <c r="T328" s="2" t="s">
        <v>24</v>
      </c>
      <c r="U328" s="31" t="str" cm="1">
        <f t="array" ref="U328">_xlfn.IFS(L328&lt;=5000,$Z$3,AND(L328&gt;5000,L328&lt;=15000),$Z$4,AND(L328&gt;15000,L328&lt;=30000),$Z$5,AND(L328&gt;30000,L328&lt;=50000),$Z$6,L328&gt;50000,$Z$7)</f>
        <v>Normal</v>
      </c>
      <c r="V328" s="2"/>
    </row>
    <row r="329" spans="1:22" ht="15.75" customHeight="1" x14ac:dyDescent="0.25">
      <c r="A329" s="26"/>
      <c r="B329" s="2" t="s">
        <v>611</v>
      </c>
      <c r="C329" s="32">
        <v>45613.832777777781</v>
      </c>
      <c r="D329" s="53">
        <f>YEAR(Table1[[#This Row],[Order Date]])</f>
        <v>2024</v>
      </c>
      <c r="E329" s="2" t="s">
        <v>502</v>
      </c>
      <c r="F329" s="2" t="s">
        <v>107</v>
      </c>
      <c r="G329" s="2" t="s">
        <v>81</v>
      </c>
      <c r="H329" s="23">
        <v>17000</v>
      </c>
      <c r="I329" s="2">
        <v>1</v>
      </c>
      <c r="J329" s="31">
        <v>5</v>
      </c>
      <c r="K329" s="7">
        <f t="shared" si="20"/>
        <v>17000</v>
      </c>
      <c r="L329" s="7">
        <f t="shared" si="21"/>
        <v>850</v>
      </c>
      <c r="M329" s="7">
        <f t="shared" si="22"/>
        <v>16150</v>
      </c>
      <c r="N329" s="23">
        <v>0</v>
      </c>
      <c r="O329" s="7">
        <f t="shared" si="23"/>
        <v>16150</v>
      </c>
      <c r="P329" s="2" t="s">
        <v>35</v>
      </c>
      <c r="Q329" t="str">
        <f>_xlfn.XLOOKUP(B329,Status!$A$2:$A$1867,Status!$B$2:$B$1867)</f>
        <v>Completed</v>
      </c>
      <c r="R329" s="2" t="s">
        <v>23</v>
      </c>
      <c r="S329" s="8">
        <v>2</v>
      </c>
      <c r="T329" s="2" t="s">
        <v>24</v>
      </c>
      <c r="U329" s="31" t="str" cm="1">
        <f t="array" ref="U329">_xlfn.IFS(L329&lt;=5000,$Z$3,AND(L329&gt;5000,L329&lt;=15000),$Z$4,AND(L329&gt;15000,L329&lt;=30000),$Z$5,AND(L329&gt;30000,L329&lt;=50000),$Z$6,L329&gt;50000,$Z$7)</f>
        <v>Sangat Rendah</v>
      </c>
      <c r="V329" s="2"/>
    </row>
    <row r="330" spans="1:22" ht="15.75" customHeight="1" x14ac:dyDescent="0.25">
      <c r="A330" s="26"/>
      <c r="B330" s="2" t="s">
        <v>612</v>
      </c>
      <c r="C330" s="32">
        <v>45614.040023148147</v>
      </c>
      <c r="D330" s="53">
        <f>YEAR(Table1[[#This Row],[Order Date]])</f>
        <v>2024</v>
      </c>
      <c r="E330" s="2" t="s">
        <v>613</v>
      </c>
      <c r="F330" s="2" t="s">
        <v>375</v>
      </c>
      <c r="G330" s="2" t="s">
        <v>38</v>
      </c>
      <c r="H330" s="23">
        <v>28000</v>
      </c>
      <c r="I330" s="2">
        <v>2</v>
      </c>
      <c r="J330" s="31">
        <v>10</v>
      </c>
      <c r="K330" s="7">
        <f t="shared" si="20"/>
        <v>56000</v>
      </c>
      <c r="L330" s="7">
        <f t="shared" si="21"/>
        <v>5600</v>
      </c>
      <c r="M330" s="7">
        <f t="shared" si="22"/>
        <v>50400</v>
      </c>
      <c r="N330" s="23">
        <v>21000</v>
      </c>
      <c r="O330" s="7">
        <f t="shared" si="23"/>
        <v>71400</v>
      </c>
      <c r="P330" s="2" t="s">
        <v>22</v>
      </c>
      <c r="Q330" t="str">
        <f>_xlfn.XLOOKUP(B330,Status!$A$2:$A$1867,Status!$B$2:$B$1867)</f>
        <v>Completed</v>
      </c>
      <c r="R330" s="2" t="s">
        <v>23</v>
      </c>
      <c r="S330" s="8">
        <v>1</v>
      </c>
      <c r="T330" s="2" t="s">
        <v>24</v>
      </c>
      <c r="U330" s="31" t="str" cm="1">
        <f t="array" ref="U330">_xlfn.IFS(L330&lt;=5000,$Z$3,AND(L330&gt;5000,L330&lt;=15000),$Z$4,AND(L330&gt;15000,L330&lt;=30000),$Z$5,AND(L330&gt;30000,L330&lt;=50000),$Z$6,L330&gt;50000,$Z$7)</f>
        <v>Rendah</v>
      </c>
      <c r="V330" s="2"/>
    </row>
    <row r="331" spans="1:22" ht="15.75" customHeight="1" x14ac:dyDescent="0.25">
      <c r="A331" s="26"/>
      <c r="B331" s="2" t="s">
        <v>614</v>
      </c>
      <c r="C331" s="32">
        <v>45614.308680555558</v>
      </c>
      <c r="D331" s="53">
        <f>YEAR(Table1[[#This Row],[Order Date]])</f>
        <v>2024</v>
      </c>
      <c r="E331" s="2" t="s">
        <v>615</v>
      </c>
      <c r="F331" s="2" t="s">
        <v>92</v>
      </c>
      <c r="G331" s="2" t="s">
        <v>67</v>
      </c>
      <c r="H331" s="23">
        <v>15000</v>
      </c>
      <c r="I331" s="2">
        <v>3</v>
      </c>
      <c r="J331" s="31">
        <v>15</v>
      </c>
      <c r="K331" s="7">
        <f t="shared" si="20"/>
        <v>45000</v>
      </c>
      <c r="L331" s="7">
        <f t="shared" si="21"/>
        <v>6750</v>
      </c>
      <c r="M331" s="7">
        <f t="shared" si="22"/>
        <v>38250</v>
      </c>
      <c r="N331" s="23">
        <v>30000</v>
      </c>
      <c r="O331" s="7">
        <f t="shared" si="23"/>
        <v>68250</v>
      </c>
      <c r="P331" s="2" t="s">
        <v>35</v>
      </c>
      <c r="Q331" t="str">
        <f>_xlfn.XLOOKUP(B331,Status!$A$2:$A$1867,Status!$B$2:$B$1867)</f>
        <v>Completed</v>
      </c>
      <c r="R331" s="2" t="s">
        <v>30</v>
      </c>
      <c r="S331" s="8">
        <v>4</v>
      </c>
      <c r="T331" s="2" t="s">
        <v>24</v>
      </c>
      <c r="U331" s="31" t="str" cm="1">
        <f t="array" ref="U331">_xlfn.IFS(L331&lt;=5000,$Z$3,AND(L331&gt;5000,L331&lt;=15000),$Z$4,AND(L331&gt;15000,L331&lt;=30000),$Z$5,AND(L331&gt;30000,L331&lt;=50000),$Z$6,L331&gt;50000,$Z$7)</f>
        <v>Rendah</v>
      </c>
      <c r="V331" s="2"/>
    </row>
    <row r="332" spans="1:22" ht="15.75" customHeight="1" x14ac:dyDescent="0.25">
      <c r="A332" s="26"/>
      <c r="B332" s="2" t="s">
        <v>616</v>
      </c>
      <c r="C332" s="32">
        <v>45614.526041666657</v>
      </c>
      <c r="D332" s="53">
        <f>YEAR(Table1[[#This Row],[Order Date]])</f>
        <v>2024</v>
      </c>
      <c r="E332" s="2" t="s">
        <v>582</v>
      </c>
      <c r="F332" s="2" t="s">
        <v>435</v>
      </c>
      <c r="G332" s="2" t="s">
        <v>85</v>
      </c>
      <c r="H332" s="23">
        <v>35000</v>
      </c>
      <c r="I332" s="2">
        <v>5</v>
      </c>
      <c r="J332" s="31">
        <v>0</v>
      </c>
      <c r="K332" s="7">
        <f t="shared" si="20"/>
        <v>175000</v>
      </c>
      <c r="L332" s="7">
        <f t="shared" si="21"/>
        <v>0</v>
      </c>
      <c r="M332" s="7">
        <f t="shared" si="22"/>
        <v>175000</v>
      </c>
      <c r="N332" s="23">
        <v>67000</v>
      </c>
      <c r="O332" s="7">
        <f t="shared" si="23"/>
        <v>242000</v>
      </c>
      <c r="P332" s="2" t="s">
        <v>29</v>
      </c>
      <c r="Q332" t="str">
        <f>_xlfn.XLOOKUP(B332,Status!$A$2:$A$1867,Status!$B$2:$B$1867)</f>
        <v>Returned</v>
      </c>
      <c r="R332" s="2" t="s">
        <v>82</v>
      </c>
      <c r="S332" s="8">
        <v>2</v>
      </c>
      <c r="T332" s="2" t="s">
        <v>24</v>
      </c>
      <c r="U332" s="31" t="str" cm="1">
        <f t="array" ref="U332">_xlfn.IFS(L332&lt;=5000,$Z$3,AND(L332&gt;5000,L332&lt;=15000),$Z$4,AND(L332&gt;15000,L332&lt;=30000),$Z$5,AND(L332&gt;30000,L332&lt;=50000),$Z$6,L332&gt;50000,$Z$7)</f>
        <v>Sangat Rendah</v>
      </c>
      <c r="V332" s="2"/>
    </row>
    <row r="333" spans="1:22" ht="15.75" customHeight="1" x14ac:dyDescent="0.25">
      <c r="A333" s="26"/>
      <c r="B333" s="2" t="s">
        <v>617</v>
      </c>
      <c r="C333" s="32">
        <v>45614.849224537043</v>
      </c>
      <c r="D333" s="53">
        <f>YEAR(Table1[[#This Row],[Order Date]])</f>
        <v>2024</v>
      </c>
      <c r="E333" s="2" t="s">
        <v>229</v>
      </c>
      <c r="F333" s="2" t="s">
        <v>195</v>
      </c>
      <c r="G333" s="2" t="s">
        <v>21</v>
      </c>
      <c r="H333" s="23">
        <v>45000</v>
      </c>
      <c r="I333" s="2">
        <v>3</v>
      </c>
      <c r="J333" s="31">
        <v>20</v>
      </c>
      <c r="K333" s="7">
        <f t="shared" si="20"/>
        <v>135000</v>
      </c>
      <c r="L333" s="7">
        <f t="shared" si="21"/>
        <v>27000</v>
      </c>
      <c r="M333" s="7">
        <f t="shared" si="22"/>
        <v>108000</v>
      </c>
      <c r="N333" s="23">
        <v>87000</v>
      </c>
      <c r="O333" s="7">
        <f t="shared" si="23"/>
        <v>195000</v>
      </c>
      <c r="P333" s="2" t="s">
        <v>22</v>
      </c>
      <c r="Q333" t="str">
        <f>_xlfn.XLOOKUP(B333,Status!$A$2:$A$1867,Status!$B$2:$B$1867)</f>
        <v>Completed</v>
      </c>
      <c r="R333" s="2" t="s">
        <v>82</v>
      </c>
      <c r="S333" s="8">
        <v>1</v>
      </c>
      <c r="T333" s="2" t="s">
        <v>24</v>
      </c>
      <c r="U333" s="31" t="str" cm="1">
        <f t="array" ref="U333">_xlfn.IFS(L333&lt;=5000,$Z$3,AND(L333&gt;5000,L333&lt;=15000),$Z$4,AND(L333&gt;15000,L333&lt;=30000),$Z$5,AND(L333&gt;30000,L333&lt;=50000),$Z$6,L333&gt;50000,$Z$7)</f>
        <v>Normal</v>
      </c>
      <c r="V333" s="2"/>
    </row>
    <row r="334" spans="1:22" ht="15.75" customHeight="1" x14ac:dyDescent="0.25">
      <c r="A334" s="26"/>
      <c r="B334" s="2" t="s">
        <v>618</v>
      </c>
      <c r="C334" s="32">
        <v>45615.017175925917</v>
      </c>
      <c r="D334" s="53">
        <f>YEAR(Table1[[#This Row],[Order Date]])</f>
        <v>2024</v>
      </c>
      <c r="E334" s="2" t="s">
        <v>619</v>
      </c>
      <c r="F334" s="2" t="s">
        <v>435</v>
      </c>
      <c r="G334" s="2" t="s">
        <v>186</v>
      </c>
      <c r="H334" s="23">
        <v>45000</v>
      </c>
      <c r="I334" s="2">
        <v>3</v>
      </c>
      <c r="J334" s="31">
        <v>20</v>
      </c>
      <c r="K334" s="7">
        <f t="shared" si="20"/>
        <v>135000</v>
      </c>
      <c r="L334" s="7">
        <f t="shared" si="21"/>
        <v>27000</v>
      </c>
      <c r="M334" s="7">
        <f t="shared" si="22"/>
        <v>108000</v>
      </c>
      <c r="N334" s="23">
        <v>67000</v>
      </c>
      <c r="O334" s="7">
        <f t="shared" si="23"/>
        <v>175000</v>
      </c>
      <c r="P334" s="2" t="s">
        <v>63</v>
      </c>
      <c r="Q334" t="str">
        <f>_xlfn.XLOOKUP(B334,Status!$A$2:$A$1867,Status!$B$2:$B$1867)</f>
        <v>Completed</v>
      </c>
      <c r="R334" s="2" t="s">
        <v>36</v>
      </c>
      <c r="S334" s="8">
        <v>2</v>
      </c>
      <c r="T334" s="2" t="s">
        <v>24</v>
      </c>
      <c r="U334" s="31" t="str" cm="1">
        <f t="array" ref="U334">_xlfn.IFS(L334&lt;=5000,$Z$3,AND(L334&gt;5000,L334&lt;=15000),$Z$4,AND(L334&gt;15000,L334&lt;=30000),$Z$5,AND(L334&gt;30000,L334&lt;=50000),$Z$6,L334&gt;50000,$Z$7)</f>
        <v>Normal</v>
      </c>
      <c r="V334" s="2"/>
    </row>
    <row r="335" spans="1:22" ht="15.75" customHeight="1" x14ac:dyDescent="0.25">
      <c r="A335" s="26"/>
      <c r="B335" s="2" t="s">
        <v>620</v>
      </c>
      <c r="C335" s="32">
        <v>45615.215370370373</v>
      </c>
      <c r="D335" s="53">
        <f>YEAR(Table1[[#This Row],[Order Date]])</f>
        <v>2024</v>
      </c>
      <c r="E335" s="2" t="s">
        <v>165</v>
      </c>
      <c r="F335" s="2" t="s">
        <v>143</v>
      </c>
      <c r="G335" s="2" t="s">
        <v>144</v>
      </c>
      <c r="H335" s="23">
        <v>18000</v>
      </c>
      <c r="I335" s="2">
        <v>2</v>
      </c>
      <c r="J335" s="31">
        <v>15</v>
      </c>
      <c r="K335" s="7">
        <f t="shared" si="20"/>
        <v>36000</v>
      </c>
      <c r="L335" s="7">
        <f t="shared" si="21"/>
        <v>5400</v>
      </c>
      <c r="M335" s="7">
        <f t="shared" si="22"/>
        <v>30600</v>
      </c>
      <c r="N335" s="23">
        <v>50000</v>
      </c>
      <c r="O335" s="7">
        <f t="shared" si="23"/>
        <v>80600</v>
      </c>
      <c r="P335" s="2" t="s">
        <v>63</v>
      </c>
      <c r="Q335" t="str">
        <f>_xlfn.XLOOKUP(B335,Status!$A$2:$A$1867,Status!$B$2:$B$1867)</f>
        <v>Completed</v>
      </c>
      <c r="R335" s="2" t="s">
        <v>30</v>
      </c>
      <c r="S335" s="8">
        <v>2</v>
      </c>
      <c r="T335" s="2" t="s">
        <v>24</v>
      </c>
      <c r="U335" s="31" t="str" cm="1">
        <f t="array" ref="U335">_xlfn.IFS(L335&lt;=5000,$Z$3,AND(L335&gt;5000,L335&lt;=15000),$Z$4,AND(L335&gt;15000,L335&lt;=30000),$Z$5,AND(L335&gt;30000,L335&lt;=50000),$Z$6,L335&gt;50000,$Z$7)</f>
        <v>Rendah</v>
      </c>
      <c r="V335" s="2"/>
    </row>
    <row r="336" spans="1:22" ht="15.75" customHeight="1" x14ac:dyDescent="0.25">
      <c r="A336" s="26"/>
      <c r="B336" s="2" t="s">
        <v>621</v>
      </c>
      <c r="C336" s="32">
        <v>45615.262997685182</v>
      </c>
      <c r="D336" s="53">
        <f>YEAR(Table1[[#This Row],[Order Date]])</f>
        <v>2024</v>
      </c>
      <c r="E336" s="2" t="s">
        <v>197</v>
      </c>
      <c r="F336" s="2" t="s">
        <v>119</v>
      </c>
      <c r="G336" s="2" t="s">
        <v>67</v>
      </c>
      <c r="H336" s="23">
        <v>15000</v>
      </c>
      <c r="I336" s="2">
        <v>3</v>
      </c>
      <c r="J336" s="31">
        <v>0</v>
      </c>
      <c r="K336" s="7">
        <f t="shared" si="20"/>
        <v>45000</v>
      </c>
      <c r="L336" s="7">
        <f t="shared" si="21"/>
        <v>0</v>
      </c>
      <c r="M336" s="7">
        <f t="shared" si="22"/>
        <v>45000</v>
      </c>
      <c r="N336" s="23">
        <v>0</v>
      </c>
      <c r="O336" s="7">
        <f t="shared" si="23"/>
        <v>45000</v>
      </c>
      <c r="P336" s="2" t="s">
        <v>29</v>
      </c>
      <c r="Q336" t="str">
        <f>_xlfn.XLOOKUP(B336,Status!$A$2:$A$1867,Status!$B$2:$B$1867)</f>
        <v>Completed</v>
      </c>
      <c r="R336" s="2" t="s">
        <v>46</v>
      </c>
      <c r="S336" s="8">
        <v>2</v>
      </c>
      <c r="T336" s="2" t="s">
        <v>37</v>
      </c>
      <c r="U336" s="31" t="str" cm="1">
        <f t="array" ref="U336">_xlfn.IFS(L336&lt;=5000,$Z$3,AND(L336&gt;5000,L336&lt;=15000),$Z$4,AND(L336&gt;15000,L336&lt;=30000),$Z$5,AND(L336&gt;30000,L336&lt;=50000),$Z$6,L336&gt;50000,$Z$7)</f>
        <v>Sangat Rendah</v>
      </c>
      <c r="V336" s="2"/>
    </row>
    <row r="337" spans="1:22" ht="15.75" customHeight="1" x14ac:dyDescent="0.25">
      <c r="A337" s="26"/>
      <c r="B337" s="2" t="s">
        <v>622</v>
      </c>
      <c r="C337" s="32">
        <v>45615.423321759263</v>
      </c>
      <c r="D337" s="53">
        <f>YEAR(Table1[[#This Row],[Order Date]])</f>
        <v>2024</v>
      </c>
      <c r="E337" s="2" t="s">
        <v>56</v>
      </c>
      <c r="F337" s="2" t="s">
        <v>57</v>
      </c>
      <c r="G337" s="2" t="s">
        <v>34</v>
      </c>
      <c r="H337" s="23">
        <v>16000</v>
      </c>
      <c r="I337" s="2">
        <v>1</v>
      </c>
      <c r="J337" s="31">
        <v>10</v>
      </c>
      <c r="K337" s="7">
        <f t="shared" si="20"/>
        <v>16000</v>
      </c>
      <c r="L337" s="7">
        <f t="shared" si="21"/>
        <v>1600</v>
      </c>
      <c r="M337" s="7">
        <f t="shared" si="22"/>
        <v>14400</v>
      </c>
      <c r="N337" s="23">
        <v>80000</v>
      </c>
      <c r="O337" s="7">
        <f t="shared" si="23"/>
        <v>94400</v>
      </c>
      <c r="P337" s="2" t="s">
        <v>29</v>
      </c>
      <c r="Q337" t="str">
        <f>_xlfn.XLOOKUP(B337,Status!$A$2:$A$1867,Status!$B$2:$B$1867)</f>
        <v>Completed</v>
      </c>
      <c r="R337" s="2" t="s">
        <v>82</v>
      </c>
      <c r="S337" s="8">
        <v>2</v>
      </c>
      <c r="T337" s="2" t="s">
        <v>24</v>
      </c>
      <c r="U337" s="31" t="str" cm="1">
        <f t="array" ref="U337">_xlfn.IFS(L337&lt;=5000,$Z$3,AND(L337&gt;5000,L337&lt;=15000),$Z$4,AND(L337&gt;15000,L337&lt;=30000),$Z$5,AND(L337&gt;30000,L337&lt;=50000),$Z$6,L337&gt;50000,$Z$7)</f>
        <v>Sangat Rendah</v>
      </c>
      <c r="V337" s="2"/>
    </row>
    <row r="338" spans="1:22" ht="15.75" customHeight="1" x14ac:dyDescent="0.25">
      <c r="A338" s="26"/>
      <c r="B338" s="2" t="s">
        <v>623</v>
      </c>
      <c r="C338" s="32">
        <v>45615.481932870367</v>
      </c>
      <c r="D338" s="53">
        <f>YEAR(Table1[[#This Row],[Order Date]])</f>
        <v>2024</v>
      </c>
      <c r="E338" s="2" t="s">
        <v>220</v>
      </c>
      <c r="F338" s="2" t="s">
        <v>53</v>
      </c>
      <c r="G338" s="2" t="s">
        <v>123</v>
      </c>
      <c r="H338" s="23">
        <v>22000</v>
      </c>
      <c r="I338" s="2">
        <v>5</v>
      </c>
      <c r="J338" s="31">
        <v>10</v>
      </c>
      <c r="K338" s="7">
        <f t="shared" si="20"/>
        <v>110000</v>
      </c>
      <c r="L338" s="7">
        <f t="shared" si="21"/>
        <v>11000</v>
      </c>
      <c r="M338" s="7">
        <f t="shared" si="22"/>
        <v>99000</v>
      </c>
      <c r="N338" s="23">
        <v>18000</v>
      </c>
      <c r="O338" s="7">
        <f t="shared" si="23"/>
        <v>117000</v>
      </c>
      <c r="P338" s="2" t="s">
        <v>29</v>
      </c>
      <c r="Q338" t="str">
        <f>_xlfn.XLOOKUP(B338,Status!$A$2:$A$1867,Status!$B$2:$B$1867)</f>
        <v>Completed</v>
      </c>
      <c r="R338" s="2" t="s">
        <v>82</v>
      </c>
      <c r="S338" s="8">
        <v>5</v>
      </c>
      <c r="T338" s="2" t="s">
        <v>24</v>
      </c>
      <c r="U338" s="31" t="str" cm="1">
        <f t="array" ref="U338">_xlfn.IFS(L338&lt;=5000,$Z$3,AND(L338&gt;5000,L338&lt;=15000),$Z$4,AND(L338&gt;15000,L338&lt;=30000),$Z$5,AND(L338&gt;30000,L338&lt;=50000),$Z$6,L338&gt;50000,$Z$7)</f>
        <v>Rendah</v>
      </c>
      <c r="V338" s="2"/>
    </row>
    <row r="339" spans="1:22" ht="15.75" customHeight="1" x14ac:dyDescent="0.25">
      <c r="A339" s="26"/>
      <c r="B339" s="2" t="s">
        <v>624</v>
      </c>
      <c r="C339" s="32">
        <v>45615.579155092593</v>
      </c>
      <c r="D339" s="53">
        <f>YEAR(Table1[[#This Row],[Order Date]])</f>
        <v>2024</v>
      </c>
      <c r="E339" s="2" t="s">
        <v>199</v>
      </c>
      <c r="F339" s="2" t="s">
        <v>143</v>
      </c>
      <c r="G339" s="2" t="s">
        <v>45</v>
      </c>
      <c r="H339" s="23">
        <v>40000</v>
      </c>
      <c r="I339" s="2">
        <v>5</v>
      </c>
      <c r="J339" s="31">
        <v>0</v>
      </c>
      <c r="K339" s="7">
        <f t="shared" si="20"/>
        <v>200000</v>
      </c>
      <c r="L339" s="7">
        <f t="shared" si="21"/>
        <v>0</v>
      </c>
      <c r="M339" s="7">
        <f t="shared" si="22"/>
        <v>200000</v>
      </c>
      <c r="N339" s="23">
        <v>50000</v>
      </c>
      <c r="O339" s="7">
        <f t="shared" si="23"/>
        <v>250000</v>
      </c>
      <c r="P339" s="2" t="s">
        <v>35</v>
      </c>
      <c r="Q339" t="str">
        <f>_xlfn.XLOOKUP(B339,Status!$A$2:$A$1867,Status!$B$2:$B$1867)</f>
        <v>Returned</v>
      </c>
      <c r="R339" s="2" t="s">
        <v>46</v>
      </c>
      <c r="S339" s="8">
        <v>5</v>
      </c>
      <c r="T339" s="2" t="s">
        <v>24</v>
      </c>
      <c r="U339" s="31" t="str" cm="1">
        <f t="array" ref="U339">_xlfn.IFS(L339&lt;=5000,$Z$3,AND(L339&gt;5000,L339&lt;=15000),$Z$4,AND(L339&gt;15000,L339&lt;=30000),$Z$5,AND(L339&gt;30000,L339&lt;=50000),$Z$6,L339&gt;50000,$Z$7)</f>
        <v>Sangat Rendah</v>
      </c>
      <c r="V339" s="2"/>
    </row>
    <row r="340" spans="1:22" ht="15.75" customHeight="1" x14ac:dyDescent="0.25">
      <c r="A340" s="26"/>
      <c r="B340" s="2" t="s">
        <v>625</v>
      </c>
      <c r="C340" s="32">
        <v>45616.226400462961</v>
      </c>
      <c r="D340" s="53">
        <f>YEAR(Table1[[#This Row],[Order Date]])</f>
        <v>2024</v>
      </c>
      <c r="E340" s="2" t="s">
        <v>626</v>
      </c>
      <c r="F340" s="2" t="s">
        <v>296</v>
      </c>
      <c r="G340" s="2" t="s">
        <v>81</v>
      </c>
      <c r="H340" s="23">
        <v>17000</v>
      </c>
      <c r="I340" s="2">
        <v>3</v>
      </c>
      <c r="J340" s="31">
        <v>5</v>
      </c>
      <c r="K340" s="7">
        <f t="shared" si="20"/>
        <v>51000</v>
      </c>
      <c r="L340" s="7">
        <f t="shared" si="21"/>
        <v>2550</v>
      </c>
      <c r="M340" s="7">
        <f t="shared" si="22"/>
        <v>48450</v>
      </c>
      <c r="N340" s="23">
        <v>79000</v>
      </c>
      <c r="O340" s="7">
        <f t="shared" si="23"/>
        <v>127450</v>
      </c>
      <c r="P340" s="2" t="s">
        <v>29</v>
      </c>
      <c r="Q340" t="str">
        <f>_xlfn.XLOOKUP(B340,Status!$A$2:$A$1867,Status!$B$2:$B$1867)</f>
        <v>Completed</v>
      </c>
      <c r="R340" s="2" t="s">
        <v>46</v>
      </c>
      <c r="S340" s="8">
        <v>1</v>
      </c>
      <c r="T340" s="2" t="s">
        <v>24</v>
      </c>
      <c r="U340" s="31" t="str" cm="1">
        <f t="array" ref="U340">_xlfn.IFS(L340&lt;=5000,$Z$3,AND(L340&gt;5000,L340&lt;=15000),$Z$4,AND(L340&gt;15000,L340&lt;=30000),$Z$5,AND(L340&gt;30000,L340&lt;=50000),$Z$6,L340&gt;50000,$Z$7)</f>
        <v>Sangat Rendah</v>
      </c>
      <c r="V340" s="2"/>
    </row>
    <row r="341" spans="1:22" ht="15.75" customHeight="1" x14ac:dyDescent="0.25">
      <c r="A341" s="26"/>
      <c r="B341" s="2" t="s">
        <v>627</v>
      </c>
      <c r="C341" s="32">
        <v>45616.279016203713</v>
      </c>
      <c r="D341" s="53">
        <f>YEAR(Table1[[#This Row],[Order Date]])</f>
        <v>2024</v>
      </c>
      <c r="E341" s="2" t="s">
        <v>510</v>
      </c>
      <c r="F341" s="2" t="s">
        <v>96</v>
      </c>
      <c r="G341" s="2" t="s">
        <v>45</v>
      </c>
      <c r="H341" s="23">
        <v>40000</v>
      </c>
      <c r="I341" s="2">
        <v>4</v>
      </c>
      <c r="J341" s="31">
        <v>10</v>
      </c>
      <c r="K341" s="7">
        <f t="shared" si="20"/>
        <v>160000</v>
      </c>
      <c r="L341" s="7">
        <f t="shared" si="21"/>
        <v>16000</v>
      </c>
      <c r="M341" s="7">
        <f t="shared" si="22"/>
        <v>144000</v>
      </c>
      <c r="N341" s="23">
        <v>49000</v>
      </c>
      <c r="O341" s="7">
        <f t="shared" si="23"/>
        <v>193000</v>
      </c>
      <c r="P341" s="2" t="s">
        <v>29</v>
      </c>
      <c r="Q341" t="str">
        <f>_xlfn.XLOOKUP(B341,Status!$A$2:$A$1867,Status!$B$2:$B$1867)</f>
        <v>Completed</v>
      </c>
      <c r="R341" s="2" t="s">
        <v>46</v>
      </c>
      <c r="S341" s="8">
        <v>4</v>
      </c>
      <c r="T341" s="2" t="s">
        <v>24</v>
      </c>
      <c r="U341" s="31" t="str" cm="1">
        <f t="array" ref="U341">_xlfn.IFS(L341&lt;=5000,$Z$3,AND(L341&gt;5000,L341&lt;=15000),$Z$4,AND(L341&gt;15000,L341&lt;=30000),$Z$5,AND(L341&gt;30000,L341&lt;=50000),$Z$6,L341&gt;50000,$Z$7)</f>
        <v>Normal</v>
      </c>
      <c r="V341" s="2"/>
    </row>
    <row r="342" spans="1:22" ht="15.75" customHeight="1" x14ac:dyDescent="0.25">
      <c r="A342" s="26"/>
      <c r="B342" s="2" t="s">
        <v>628</v>
      </c>
      <c r="C342" s="32">
        <v>45616.395312499997</v>
      </c>
      <c r="D342" s="53">
        <f>YEAR(Table1[[#This Row],[Order Date]])</f>
        <v>2024</v>
      </c>
      <c r="E342" s="2" t="s">
        <v>520</v>
      </c>
      <c r="F342" s="2" t="s">
        <v>103</v>
      </c>
      <c r="G342" s="2" t="s">
        <v>104</v>
      </c>
      <c r="H342" s="23">
        <v>30000</v>
      </c>
      <c r="I342" s="2">
        <v>2</v>
      </c>
      <c r="J342" s="31">
        <v>15</v>
      </c>
      <c r="K342" s="7">
        <f t="shared" si="20"/>
        <v>60000</v>
      </c>
      <c r="L342" s="7">
        <f t="shared" si="21"/>
        <v>9000</v>
      </c>
      <c r="M342" s="7">
        <f t="shared" si="22"/>
        <v>51000</v>
      </c>
      <c r="N342" s="23">
        <v>85000</v>
      </c>
      <c r="O342" s="7">
        <f t="shared" si="23"/>
        <v>136000</v>
      </c>
      <c r="P342" s="2" t="s">
        <v>35</v>
      </c>
      <c r="Q342" t="str">
        <f>_xlfn.XLOOKUP(B342,Status!$A$2:$A$1867,Status!$B$2:$B$1867)</f>
        <v>Completed</v>
      </c>
      <c r="R342" s="2" t="s">
        <v>46</v>
      </c>
      <c r="S342" s="8">
        <v>4</v>
      </c>
      <c r="T342" s="2" t="s">
        <v>24</v>
      </c>
      <c r="U342" s="31" t="str" cm="1">
        <f t="array" ref="U342">_xlfn.IFS(L342&lt;=5000,$Z$3,AND(L342&gt;5000,L342&lt;=15000),$Z$4,AND(L342&gt;15000,L342&lt;=30000),$Z$5,AND(L342&gt;30000,L342&lt;=50000),$Z$6,L342&gt;50000,$Z$7)</f>
        <v>Rendah</v>
      </c>
      <c r="V342" s="2"/>
    </row>
    <row r="343" spans="1:22" ht="15.75" customHeight="1" x14ac:dyDescent="0.25">
      <c r="A343" s="26"/>
      <c r="B343" s="2" t="s">
        <v>629</v>
      </c>
      <c r="C343" s="32">
        <v>45616.472708333327</v>
      </c>
      <c r="D343" s="53">
        <f>YEAR(Table1[[#This Row],[Order Date]])</f>
        <v>2024</v>
      </c>
      <c r="E343" s="2" t="s">
        <v>477</v>
      </c>
      <c r="F343" s="2" t="s">
        <v>182</v>
      </c>
      <c r="G343" s="2" t="s">
        <v>250</v>
      </c>
      <c r="H343" s="23">
        <v>18000</v>
      </c>
      <c r="I343" s="2">
        <v>2</v>
      </c>
      <c r="J343" s="31">
        <v>10</v>
      </c>
      <c r="K343" s="7">
        <f t="shared" si="20"/>
        <v>36000</v>
      </c>
      <c r="L343" s="7">
        <f t="shared" si="21"/>
        <v>3600</v>
      </c>
      <c r="M343" s="7">
        <f t="shared" si="22"/>
        <v>32400</v>
      </c>
      <c r="N343" s="23">
        <v>48000</v>
      </c>
      <c r="O343" s="7">
        <f t="shared" si="23"/>
        <v>80400</v>
      </c>
      <c r="P343" s="2" t="s">
        <v>29</v>
      </c>
      <c r="Q343" t="str">
        <f>_xlfn.XLOOKUP(B343,Status!$A$2:$A$1867,Status!$B$2:$B$1867)</f>
        <v>Completed</v>
      </c>
      <c r="R343" s="2" t="s">
        <v>23</v>
      </c>
      <c r="S343" s="8">
        <v>4</v>
      </c>
      <c r="T343" s="2" t="s">
        <v>24</v>
      </c>
      <c r="U343" s="31" t="str" cm="1">
        <f t="array" ref="U343">_xlfn.IFS(L343&lt;=5000,$Z$3,AND(L343&gt;5000,L343&lt;=15000),$Z$4,AND(L343&gt;15000,L343&lt;=30000),$Z$5,AND(L343&gt;30000,L343&lt;=50000),$Z$6,L343&gt;50000,$Z$7)</f>
        <v>Sangat Rendah</v>
      </c>
      <c r="V343" s="2"/>
    </row>
    <row r="344" spans="1:22" ht="15.75" customHeight="1" x14ac:dyDescent="0.25">
      <c r="A344" s="26"/>
      <c r="B344" s="2" t="s">
        <v>630</v>
      </c>
      <c r="C344" s="32">
        <v>45616.565740740742</v>
      </c>
      <c r="D344" s="53">
        <f>YEAR(Table1[[#This Row],[Order Date]])</f>
        <v>2024</v>
      </c>
      <c r="E344" s="2" t="s">
        <v>631</v>
      </c>
      <c r="F344" s="2" t="s">
        <v>20</v>
      </c>
      <c r="G344" s="2" t="s">
        <v>21</v>
      </c>
      <c r="H344" s="23">
        <v>45000</v>
      </c>
      <c r="I344" s="2">
        <v>1</v>
      </c>
      <c r="J344" s="31">
        <v>0</v>
      </c>
      <c r="K344" s="7">
        <f t="shared" si="20"/>
        <v>45000</v>
      </c>
      <c r="L344" s="7">
        <f t="shared" si="21"/>
        <v>0</v>
      </c>
      <c r="M344" s="7">
        <f t="shared" si="22"/>
        <v>45000</v>
      </c>
      <c r="N344" s="23">
        <v>15000</v>
      </c>
      <c r="O344" s="7">
        <f t="shared" si="23"/>
        <v>60000</v>
      </c>
      <c r="P344" s="2" t="s">
        <v>35</v>
      </c>
      <c r="Q344" t="str">
        <f>_xlfn.XLOOKUP(B344,Status!$A$2:$A$1867,Status!$B$2:$B$1867)</f>
        <v>Completed</v>
      </c>
      <c r="R344" s="2" t="s">
        <v>46</v>
      </c>
      <c r="S344" s="8">
        <v>3</v>
      </c>
      <c r="T344" s="2" t="s">
        <v>37</v>
      </c>
      <c r="U344" s="31" t="str" cm="1">
        <f t="array" ref="U344">_xlfn.IFS(L344&lt;=5000,$Z$3,AND(L344&gt;5000,L344&lt;=15000),$Z$4,AND(L344&gt;15000,L344&lt;=30000),$Z$5,AND(L344&gt;30000,L344&lt;=50000),$Z$6,L344&gt;50000,$Z$7)</f>
        <v>Sangat Rendah</v>
      </c>
      <c r="V344" s="2"/>
    </row>
    <row r="345" spans="1:22" ht="15.75" customHeight="1" x14ac:dyDescent="0.25">
      <c r="A345" s="26"/>
      <c r="B345" s="2" t="s">
        <v>632</v>
      </c>
      <c r="C345" s="32">
        <v>45616.811388888891</v>
      </c>
      <c r="D345" s="53">
        <f>YEAR(Table1[[#This Row],[Order Date]])</f>
        <v>2024</v>
      </c>
      <c r="E345" s="2" t="s">
        <v>65</v>
      </c>
      <c r="F345" s="2" t="s">
        <v>66</v>
      </c>
      <c r="G345" s="2" t="s">
        <v>45</v>
      </c>
      <c r="H345" s="23">
        <v>40000</v>
      </c>
      <c r="I345" s="2">
        <v>2</v>
      </c>
      <c r="J345" s="31">
        <v>5</v>
      </c>
      <c r="K345" s="7">
        <f t="shared" si="20"/>
        <v>80000</v>
      </c>
      <c r="L345" s="7">
        <f t="shared" si="21"/>
        <v>4000</v>
      </c>
      <c r="M345" s="7">
        <f t="shared" si="22"/>
        <v>76000</v>
      </c>
      <c r="N345" s="23">
        <v>59000</v>
      </c>
      <c r="O345" s="7">
        <f t="shared" si="23"/>
        <v>135000</v>
      </c>
      <c r="P345" s="2" t="s">
        <v>35</v>
      </c>
      <c r="Q345" t="str">
        <f>_xlfn.XLOOKUP(B345,Status!$A$2:$A$1867,Status!$B$2:$B$1867)</f>
        <v>Completed</v>
      </c>
      <c r="R345" s="2" t="s">
        <v>23</v>
      </c>
      <c r="S345" s="8">
        <v>3</v>
      </c>
      <c r="T345" s="2" t="s">
        <v>37</v>
      </c>
      <c r="U345" s="31" t="str" cm="1">
        <f t="array" ref="U345">_xlfn.IFS(L345&lt;=5000,$Z$3,AND(L345&gt;5000,L345&lt;=15000),$Z$4,AND(L345&gt;15000,L345&lt;=30000),$Z$5,AND(L345&gt;30000,L345&lt;=50000),$Z$6,L345&gt;50000,$Z$7)</f>
        <v>Sangat Rendah</v>
      </c>
      <c r="V345" s="2"/>
    </row>
    <row r="346" spans="1:22" ht="15.75" customHeight="1" x14ac:dyDescent="0.25">
      <c r="A346" s="26"/>
      <c r="B346" s="2" t="s">
        <v>633</v>
      </c>
      <c r="C346" s="32">
        <v>45617.048101851848</v>
      </c>
      <c r="D346" s="53">
        <f>YEAR(Table1[[#This Row],[Order Date]])</f>
        <v>2024</v>
      </c>
      <c r="E346" s="2" t="s">
        <v>252</v>
      </c>
      <c r="F346" s="2" t="s">
        <v>131</v>
      </c>
      <c r="G346" s="2" t="s">
        <v>67</v>
      </c>
      <c r="H346" s="23">
        <v>15000</v>
      </c>
      <c r="I346" s="2">
        <v>1</v>
      </c>
      <c r="J346" s="31">
        <v>10</v>
      </c>
      <c r="K346" s="7">
        <f t="shared" si="20"/>
        <v>15000</v>
      </c>
      <c r="L346" s="7">
        <f t="shared" si="21"/>
        <v>1500</v>
      </c>
      <c r="M346" s="7">
        <f t="shared" si="22"/>
        <v>13500</v>
      </c>
      <c r="N346" s="23">
        <v>59000</v>
      </c>
      <c r="O346" s="7">
        <f t="shared" si="23"/>
        <v>72500</v>
      </c>
      <c r="P346" s="2" t="s">
        <v>22</v>
      </c>
      <c r="Q346" t="str">
        <f>_xlfn.XLOOKUP(B346,Status!$A$2:$A$1867,Status!$B$2:$B$1867)</f>
        <v>Completed</v>
      </c>
      <c r="R346" s="2" t="s">
        <v>23</v>
      </c>
      <c r="S346" s="8">
        <v>4</v>
      </c>
      <c r="T346" s="2" t="s">
        <v>24</v>
      </c>
      <c r="U346" s="31" t="str" cm="1">
        <f t="array" ref="U346">_xlfn.IFS(L346&lt;=5000,$Z$3,AND(L346&gt;5000,L346&lt;=15000),$Z$4,AND(L346&gt;15000,L346&lt;=30000),$Z$5,AND(L346&gt;30000,L346&lt;=50000),$Z$6,L346&gt;50000,$Z$7)</f>
        <v>Sangat Rendah</v>
      </c>
      <c r="V346" s="2"/>
    </row>
    <row r="347" spans="1:22" ht="15.75" customHeight="1" x14ac:dyDescent="0.25">
      <c r="A347" s="26"/>
      <c r="B347" s="2" t="s">
        <v>634</v>
      </c>
      <c r="C347" s="32">
        <v>45617.547268518523</v>
      </c>
      <c r="D347" s="53">
        <f>YEAR(Table1[[#This Row],[Order Date]])</f>
        <v>2024</v>
      </c>
      <c r="E347" s="2" t="s">
        <v>635</v>
      </c>
      <c r="F347" s="2" t="s">
        <v>103</v>
      </c>
      <c r="G347" s="2" t="s">
        <v>41</v>
      </c>
      <c r="H347" s="23">
        <v>4000</v>
      </c>
      <c r="I347" s="2">
        <v>2</v>
      </c>
      <c r="J347" s="31">
        <v>0</v>
      </c>
      <c r="K347" s="7">
        <f t="shared" si="20"/>
        <v>8000</v>
      </c>
      <c r="L347" s="7">
        <f t="shared" si="21"/>
        <v>0</v>
      </c>
      <c r="M347" s="7">
        <f t="shared" si="22"/>
        <v>8000</v>
      </c>
      <c r="N347" s="23">
        <v>85000</v>
      </c>
      <c r="O347" s="7">
        <f t="shared" si="23"/>
        <v>93000</v>
      </c>
      <c r="P347" s="2" t="s">
        <v>22</v>
      </c>
      <c r="Q347" t="str">
        <f>_xlfn.XLOOKUP(B347,Status!$A$2:$A$1867,Status!$B$2:$B$1867)</f>
        <v>Completed</v>
      </c>
      <c r="R347" s="2" t="s">
        <v>46</v>
      </c>
      <c r="S347" s="8">
        <v>5</v>
      </c>
      <c r="T347" s="2" t="s">
        <v>24</v>
      </c>
      <c r="U347" s="31" t="str" cm="1">
        <f t="array" ref="U347">_xlfn.IFS(L347&lt;=5000,$Z$3,AND(L347&gt;5000,L347&lt;=15000),$Z$4,AND(L347&gt;15000,L347&lt;=30000),$Z$5,AND(L347&gt;30000,L347&lt;=50000),$Z$6,L347&gt;50000,$Z$7)</f>
        <v>Sangat Rendah</v>
      </c>
      <c r="V347" s="2"/>
    </row>
    <row r="348" spans="1:22" ht="15.75" customHeight="1" x14ac:dyDescent="0.25">
      <c r="A348" s="26"/>
      <c r="B348" s="2" t="s">
        <v>636</v>
      </c>
      <c r="C348" s="32">
        <v>45617.552997685183</v>
      </c>
      <c r="D348" s="53">
        <f>YEAR(Table1[[#This Row],[Order Date]])</f>
        <v>2024</v>
      </c>
      <c r="E348" s="2" t="s">
        <v>355</v>
      </c>
      <c r="F348" s="2" t="s">
        <v>116</v>
      </c>
      <c r="G348" s="2" t="s">
        <v>45</v>
      </c>
      <c r="H348" s="23">
        <v>40000</v>
      </c>
      <c r="I348" s="2">
        <v>5</v>
      </c>
      <c r="J348" s="31">
        <v>0</v>
      </c>
      <c r="K348" s="7">
        <f t="shared" si="20"/>
        <v>200000</v>
      </c>
      <c r="L348" s="7">
        <f t="shared" si="21"/>
        <v>0</v>
      </c>
      <c r="M348" s="7">
        <f t="shared" si="22"/>
        <v>200000</v>
      </c>
      <c r="N348" s="23">
        <v>72000</v>
      </c>
      <c r="O348" s="7">
        <f t="shared" si="23"/>
        <v>272000</v>
      </c>
      <c r="P348" s="2" t="s">
        <v>63</v>
      </c>
      <c r="Q348" t="str">
        <f>_xlfn.XLOOKUP(B348,Status!$A$2:$A$1867,Status!$B$2:$B$1867)</f>
        <v>Returned</v>
      </c>
      <c r="R348" s="2" t="s">
        <v>82</v>
      </c>
      <c r="S348" s="8">
        <v>2</v>
      </c>
      <c r="T348" s="2" t="s">
        <v>24</v>
      </c>
      <c r="U348" s="31" t="str" cm="1">
        <f t="array" ref="U348">_xlfn.IFS(L348&lt;=5000,$Z$3,AND(L348&gt;5000,L348&lt;=15000),$Z$4,AND(L348&gt;15000,L348&lt;=30000),$Z$5,AND(L348&gt;30000,L348&lt;=50000),$Z$6,L348&gt;50000,$Z$7)</f>
        <v>Sangat Rendah</v>
      </c>
      <c r="V348" s="2"/>
    </row>
    <row r="349" spans="1:22" ht="15.75" customHeight="1" x14ac:dyDescent="0.25">
      <c r="A349" s="26"/>
      <c r="B349" s="2" t="s">
        <v>637</v>
      </c>
      <c r="C349" s="32">
        <v>45617.958738425928</v>
      </c>
      <c r="D349" s="53">
        <f>YEAR(Table1[[#This Row],[Order Date]])</f>
        <v>2024</v>
      </c>
      <c r="E349" s="2" t="s">
        <v>638</v>
      </c>
      <c r="F349" s="2" t="s">
        <v>195</v>
      </c>
      <c r="G349" s="2" t="s">
        <v>34</v>
      </c>
      <c r="H349" s="23">
        <v>16000</v>
      </c>
      <c r="I349" s="2">
        <v>2</v>
      </c>
      <c r="J349" s="31">
        <v>10</v>
      </c>
      <c r="K349" s="7">
        <f t="shared" si="20"/>
        <v>32000</v>
      </c>
      <c r="L349" s="7">
        <f t="shared" si="21"/>
        <v>3200</v>
      </c>
      <c r="M349" s="7">
        <f t="shared" si="22"/>
        <v>28800</v>
      </c>
      <c r="N349" s="23">
        <v>87000</v>
      </c>
      <c r="O349" s="7">
        <f t="shared" si="23"/>
        <v>115800</v>
      </c>
      <c r="P349" s="2" t="s">
        <v>22</v>
      </c>
      <c r="Q349" t="str">
        <f>_xlfn.XLOOKUP(B349,Status!$A$2:$A$1867,Status!$B$2:$B$1867)</f>
        <v>Completed</v>
      </c>
      <c r="R349" s="2" t="s">
        <v>46</v>
      </c>
      <c r="S349" s="8">
        <v>5</v>
      </c>
      <c r="T349" s="2" t="s">
        <v>37</v>
      </c>
      <c r="U349" s="31" t="str" cm="1">
        <f t="array" ref="U349">_xlfn.IFS(L349&lt;=5000,$Z$3,AND(L349&gt;5000,L349&lt;=15000),$Z$4,AND(L349&gt;15000,L349&lt;=30000),$Z$5,AND(L349&gt;30000,L349&lt;=50000),$Z$6,L349&gt;50000,$Z$7)</f>
        <v>Sangat Rendah</v>
      </c>
      <c r="V349" s="2"/>
    </row>
    <row r="350" spans="1:22" ht="15.75" customHeight="1" x14ac:dyDescent="0.25">
      <c r="A350" s="26"/>
      <c r="B350" s="2" t="s">
        <v>639</v>
      </c>
      <c r="C350" s="32">
        <v>45618.118530092594</v>
      </c>
      <c r="D350" s="53">
        <f>YEAR(Table1[[#This Row],[Order Date]])</f>
        <v>2024</v>
      </c>
      <c r="E350" s="2" t="s">
        <v>523</v>
      </c>
      <c r="F350" s="2" t="s">
        <v>113</v>
      </c>
      <c r="G350" s="2" t="s">
        <v>67</v>
      </c>
      <c r="H350" s="23">
        <v>15000</v>
      </c>
      <c r="I350" s="2">
        <v>3</v>
      </c>
      <c r="J350" s="31">
        <v>0</v>
      </c>
      <c r="K350" s="7">
        <f t="shared" si="20"/>
        <v>45000</v>
      </c>
      <c r="L350" s="7">
        <f t="shared" si="21"/>
        <v>0</v>
      </c>
      <c r="M350" s="7">
        <f t="shared" si="22"/>
        <v>45000</v>
      </c>
      <c r="N350" s="23">
        <v>18000</v>
      </c>
      <c r="O350" s="7">
        <f t="shared" si="23"/>
        <v>63000</v>
      </c>
      <c r="P350" s="2" t="s">
        <v>63</v>
      </c>
      <c r="Q350" t="str">
        <f>_xlfn.XLOOKUP(B350,Status!$A$2:$A$1867,Status!$B$2:$B$1867)</f>
        <v>Completed</v>
      </c>
      <c r="R350" s="2" t="s">
        <v>46</v>
      </c>
      <c r="S350" s="8">
        <v>5</v>
      </c>
      <c r="T350" s="2" t="s">
        <v>24</v>
      </c>
      <c r="U350" s="31" t="str" cm="1">
        <f t="array" ref="U350">_xlfn.IFS(L350&lt;=5000,$Z$3,AND(L350&gt;5000,L350&lt;=15000),$Z$4,AND(L350&gt;15000,L350&lt;=30000),$Z$5,AND(L350&gt;30000,L350&lt;=50000),$Z$6,L350&gt;50000,$Z$7)</f>
        <v>Sangat Rendah</v>
      </c>
      <c r="V350" s="2"/>
    </row>
    <row r="351" spans="1:22" ht="15.75" customHeight="1" x14ac:dyDescent="0.25">
      <c r="A351" s="26"/>
      <c r="B351" s="2" t="s">
        <v>640</v>
      </c>
      <c r="C351" s="32">
        <v>45618.215092592603</v>
      </c>
      <c r="D351" s="53">
        <f>YEAR(Table1[[#This Row],[Order Date]])</f>
        <v>2024</v>
      </c>
      <c r="E351" s="2" t="s">
        <v>513</v>
      </c>
      <c r="F351" s="2" t="s">
        <v>182</v>
      </c>
      <c r="G351" s="2" t="s">
        <v>123</v>
      </c>
      <c r="H351" s="23">
        <v>22000</v>
      </c>
      <c r="I351" s="2">
        <v>5</v>
      </c>
      <c r="J351" s="31">
        <v>0</v>
      </c>
      <c r="K351" s="7">
        <f t="shared" si="20"/>
        <v>110000</v>
      </c>
      <c r="L351" s="7">
        <f t="shared" si="21"/>
        <v>0</v>
      </c>
      <c r="M351" s="7">
        <f t="shared" si="22"/>
        <v>110000</v>
      </c>
      <c r="N351" s="23">
        <v>48000</v>
      </c>
      <c r="O351" s="7">
        <f t="shared" si="23"/>
        <v>158000</v>
      </c>
      <c r="P351" s="2" t="s">
        <v>29</v>
      </c>
      <c r="Q351" t="str">
        <f>_xlfn.XLOOKUP(B351,Status!$A$2:$A$1867,Status!$B$2:$B$1867)</f>
        <v>Completed</v>
      </c>
      <c r="R351" s="2" t="s">
        <v>23</v>
      </c>
      <c r="S351" s="8">
        <v>1</v>
      </c>
      <c r="T351" s="2" t="s">
        <v>24</v>
      </c>
      <c r="U351" s="31" t="str" cm="1">
        <f t="array" ref="U351">_xlfn.IFS(L351&lt;=5000,$Z$3,AND(L351&gt;5000,L351&lt;=15000),$Z$4,AND(L351&gt;15000,L351&lt;=30000),$Z$5,AND(L351&gt;30000,L351&lt;=50000),$Z$6,L351&gt;50000,$Z$7)</f>
        <v>Sangat Rendah</v>
      </c>
      <c r="V351" s="2"/>
    </row>
    <row r="352" spans="1:22" ht="15.75" customHeight="1" x14ac:dyDescent="0.25">
      <c r="A352" s="26"/>
      <c r="B352" s="2" t="s">
        <v>641</v>
      </c>
      <c r="C352" s="32">
        <v>45618.394178240742</v>
      </c>
      <c r="D352" s="53">
        <f>YEAR(Table1[[#This Row],[Order Date]])</f>
        <v>2024</v>
      </c>
      <c r="E352" s="2" t="s">
        <v>642</v>
      </c>
      <c r="F352" s="2" t="s">
        <v>160</v>
      </c>
      <c r="G352" s="2" t="s">
        <v>75</v>
      </c>
      <c r="H352" s="23">
        <v>55000</v>
      </c>
      <c r="I352" s="2">
        <v>2</v>
      </c>
      <c r="J352" s="31">
        <v>5</v>
      </c>
      <c r="K352" s="7">
        <f t="shared" si="20"/>
        <v>110000</v>
      </c>
      <c r="L352" s="7">
        <f t="shared" si="21"/>
        <v>5500</v>
      </c>
      <c r="M352" s="7">
        <f t="shared" si="22"/>
        <v>104500</v>
      </c>
      <c r="N352" s="23">
        <v>68000</v>
      </c>
      <c r="O352" s="7">
        <f t="shared" si="23"/>
        <v>172500</v>
      </c>
      <c r="P352" s="2" t="s">
        <v>22</v>
      </c>
      <c r="Q352" t="str">
        <f>_xlfn.XLOOKUP(B352,Status!$A$2:$A$1867,Status!$B$2:$B$1867)</f>
        <v>Completed</v>
      </c>
      <c r="R352" s="2" t="s">
        <v>30</v>
      </c>
      <c r="S352" s="8">
        <v>2</v>
      </c>
      <c r="T352" s="2" t="s">
        <v>24</v>
      </c>
      <c r="U352" s="31" t="str" cm="1">
        <f t="array" ref="U352">_xlfn.IFS(L352&lt;=5000,$Z$3,AND(L352&gt;5000,L352&lt;=15000),$Z$4,AND(L352&gt;15000,L352&lt;=30000),$Z$5,AND(L352&gt;30000,L352&lt;=50000),$Z$6,L352&gt;50000,$Z$7)</f>
        <v>Rendah</v>
      </c>
      <c r="V352" s="2"/>
    </row>
    <row r="353" spans="1:22" ht="15.75" customHeight="1" x14ac:dyDescent="0.25">
      <c r="A353" s="26"/>
      <c r="B353" s="2" t="s">
        <v>643</v>
      </c>
      <c r="C353" s="32">
        <v>45618.446053240739</v>
      </c>
      <c r="D353" s="53">
        <f>YEAR(Table1[[#This Row],[Order Date]])</f>
        <v>2024</v>
      </c>
      <c r="E353" s="2" t="s">
        <v>644</v>
      </c>
      <c r="F353" s="2" t="s">
        <v>244</v>
      </c>
      <c r="G353" s="2" t="s">
        <v>186</v>
      </c>
      <c r="H353" s="23">
        <v>45000</v>
      </c>
      <c r="I353" s="2">
        <v>5</v>
      </c>
      <c r="J353" s="31">
        <v>15</v>
      </c>
      <c r="K353" s="7">
        <f t="shared" si="20"/>
        <v>225000</v>
      </c>
      <c r="L353" s="7">
        <f t="shared" si="21"/>
        <v>33750</v>
      </c>
      <c r="M353" s="7">
        <f t="shared" si="22"/>
        <v>191250</v>
      </c>
      <c r="N353" s="23">
        <v>80000</v>
      </c>
      <c r="O353" s="7">
        <f t="shared" si="23"/>
        <v>271250</v>
      </c>
      <c r="P353" s="2" t="s">
        <v>63</v>
      </c>
      <c r="Q353" t="str">
        <f>_xlfn.XLOOKUP(B353,Status!$A$2:$A$1867,Status!$B$2:$B$1867)</f>
        <v>Completed</v>
      </c>
      <c r="R353" s="2" t="s">
        <v>36</v>
      </c>
      <c r="S353" s="8">
        <v>2</v>
      </c>
      <c r="T353" s="2" t="s">
        <v>24</v>
      </c>
      <c r="U353" s="31" t="str" cm="1">
        <f t="array" ref="U353">_xlfn.IFS(L353&lt;=5000,$Z$3,AND(L353&gt;5000,L353&lt;=15000),$Z$4,AND(L353&gt;15000,L353&lt;=30000),$Z$5,AND(L353&gt;30000,L353&lt;=50000),$Z$6,L353&gt;50000,$Z$7)</f>
        <v>Tinggi</v>
      </c>
      <c r="V353" s="2"/>
    </row>
    <row r="354" spans="1:22" ht="15.75" customHeight="1" x14ac:dyDescent="0.25">
      <c r="A354" s="26"/>
      <c r="B354" s="2" t="s">
        <v>645</v>
      </c>
      <c r="C354" s="32">
        <v>45618.534259259257</v>
      </c>
      <c r="D354" s="53">
        <f>YEAR(Table1[[#This Row],[Order Date]])</f>
        <v>2024</v>
      </c>
      <c r="E354" s="2" t="s">
        <v>261</v>
      </c>
      <c r="F354" s="2" t="s">
        <v>262</v>
      </c>
      <c r="G354" s="2" t="s">
        <v>136</v>
      </c>
      <c r="H354" s="23">
        <v>12000</v>
      </c>
      <c r="I354" s="2">
        <v>5</v>
      </c>
      <c r="J354" s="31">
        <v>15</v>
      </c>
      <c r="K354" s="7">
        <f t="shared" si="20"/>
        <v>60000</v>
      </c>
      <c r="L354" s="7">
        <f t="shared" si="21"/>
        <v>9000</v>
      </c>
      <c r="M354" s="7">
        <f t="shared" si="22"/>
        <v>51000</v>
      </c>
      <c r="N354" s="23">
        <v>18000</v>
      </c>
      <c r="O354" s="7">
        <f t="shared" si="23"/>
        <v>69000</v>
      </c>
      <c r="P354" s="2" t="s">
        <v>29</v>
      </c>
      <c r="Q354" t="str">
        <f>_xlfn.XLOOKUP(B354,Status!$A$2:$A$1867,Status!$B$2:$B$1867)</f>
        <v>Completed</v>
      </c>
      <c r="R354" s="2" t="s">
        <v>23</v>
      </c>
      <c r="S354" s="8">
        <v>5</v>
      </c>
      <c r="T354" s="2" t="s">
        <v>24</v>
      </c>
      <c r="U354" s="31" t="str" cm="1">
        <f t="array" ref="U354">_xlfn.IFS(L354&lt;=5000,$Z$3,AND(L354&gt;5000,L354&lt;=15000),$Z$4,AND(L354&gt;15000,L354&lt;=30000),$Z$5,AND(L354&gt;30000,L354&lt;=50000),$Z$6,L354&gt;50000,$Z$7)</f>
        <v>Rendah</v>
      </c>
      <c r="V354" s="2"/>
    </row>
    <row r="355" spans="1:22" ht="15.75" customHeight="1" x14ac:dyDescent="0.25">
      <c r="A355" s="26"/>
      <c r="B355" s="2" t="s">
        <v>645</v>
      </c>
      <c r="C355" s="32">
        <v>45618.534259259257</v>
      </c>
      <c r="D355" s="53">
        <f>YEAR(Table1[[#This Row],[Order Date]])</f>
        <v>2024</v>
      </c>
      <c r="E355" s="2" t="s">
        <v>261</v>
      </c>
      <c r="F355" s="2" t="s">
        <v>262</v>
      </c>
      <c r="G355" s="2" t="s">
        <v>38</v>
      </c>
      <c r="H355" s="23">
        <v>28000</v>
      </c>
      <c r="I355" s="2">
        <v>2</v>
      </c>
      <c r="J355" s="31">
        <v>5</v>
      </c>
      <c r="K355" s="7">
        <f t="shared" si="20"/>
        <v>56000</v>
      </c>
      <c r="L355" s="7">
        <f t="shared" si="21"/>
        <v>2800</v>
      </c>
      <c r="M355" s="7">
        <f t="shared" si="22"/>
        <v>53200</v>
      </c>
      <c r="N355" s="23">
        <v>0</v>
      </c>
      <c r="O355" s="7">
        <f t="shared" si="23"/>
        <v>53200</v>
      </c>
      <c r="P355" s="2" t="s">
        <v>29</v>
      </c>
      <c r="Q355" t="str">
        <f>_xlfn.XLOOKUP(B355,Status!$A$2:$A$1867,Status!$B$2:$B$1867)</f>
        <v>Completed</v>
      </c>
      <c r="R355" s="2" t="s">
        <v>23</v>
      </c>
      <c r="S355" s="8">
        <v>5</v>
      </c>
      <c r="T355" s="2" t="s">
        <v>24</v>
      </c>
      <c r="U355" s="31" t="str" cm="1">
        <f t="array" ref="U355">_xlfn.IFS(L355&lt;=5000,$Z$3,AND(L355&gt;5000,L355&lt;=15000),$Z$4,AND(L355&gt;15000,L355&lt;=30000),$Z$5,AND(L355&gt;30000,L355&lt;=50000),$Z$6,L355&gt;50000,$Z$7)</f>
        <v>Sangat Rendah</v>
      </c>
      <c r="V355" s="2"/>
    </row>
    <row r="356" spans="1:22" ht="15.75" customHeight="1" x14ac:dyDescent="0.25">
      <c r="A356" s="26"/>
      <c r="B356" s="2" t="s">
        <v>646</v>
      </c>
      <c r="C356" s="32">
        <v>45618.840358796297</v>
      </c>
      <c r="D356" s="53">
        <f>YEAR(Table1[[#This Row],[Order Date]])</f>
        <v>2024</v>
      </c>
      <c r="E356" s="2" t="s">
        <v>551</v>
      </c>
      <c r="F356" s="2" t="s">
        <v>262</v>
      </c>
      <c r="G356" s="2" t="s">
        <v>50</v>
      </c>
      <c r="H356" s="23">
        <v>14000</v>
      </c>
      <c r="I356" s="2">
        <v>1</v>
      </c>
      <c r="J356" s="31">
        <v>15</v>
      </c>
      <c r="K356" s="7">
        <f t="shared" si="20"/>
        <v>14000</v>
      </c>
      <c r="L356" s="7">
        <f t="shared" si="21"/>
        <v>2100</v>
      </c>
      <c r="M356" s="7">
        <f t="shared" si="22"/>
        <v>11900</v>
      </c>
      <c r="N356" s="23">
        <v>18000</v>
      </c>
      <c r="O356" s="7">
        <f t="shared" si="23"/>
        <v>29900</v>
      </c>
      <c r="P356" s="2" t="s">
        <v>63</v>
      </c>
      <c r="Q356" t="str">
        <f>_xlfn.XLOOKUP(B356,Status!$A$2:$A$1867,Status!$B$2:$B$1867)</f>
        <v>Completed</v>
      </c>
      <c r="R356" s="2" t="s">
        <v>30</v>
      </c>
      <c r="S356" s="8">
        <v>5</v>
      </c>
      <c r="T356" s="2" t="s">
        <v>37</v>
      </c>
      <c r="U356" s="31" t="str" cm="1">
        <f t="array" ref="U356">_xlfn.IFS(L356&lt;=5000,$Z$3,AND(L356&gt;5000,L356&lt;=15000),$Z$4,AND(L356&gt;15000,L356&lt;=30000),$Z$5,AND(L356&gt;30000,L356&lt;=50000),$Z$6,L356&gt;50000,$Z$7)</f>
        <v>Sangat Rendah</v>
      </c>
      <c r="V356" s="2"/>
    </row>
    <row r="357" spans="1:22" ht="15.75" customHeight="1" x14ac:dyDescent="0.25">
      <c r="A357" s="26"/>
      <c r="B357" s="2" t="s">
        <v>647</v>
      </c>
      <c r="C357" s="32">
        <v>45618.88616898148</v>
      </c>
      <c r="D357" s="53">
        <f>YEAR(Table1[[#This Row],[Order Date]])</f>
        <v>2024</v>
      </c>
      <c r="E357" s="2" t="s">
        <v>615</v>
      </c>
      <c r="F357" s="2" t="s">
        <v>92</v>
      </c>
      <c r="G357" s="2" t="s">
        <v>104</v>
      </c>
      <c r="H357" s="23">
        <v>30000</v>
      </c>
      <c r="I357" s="2">
        <v>4</v>
      </c>
      <c r="J357" s="31">
        <v>15</v>
      </c>
      <c r="K357" s="7">
        <f t="shared" si="20"/>
        <v>120000</v>
      </c>
      <c r="L357" s="7">
        <f t="shared" si="21"/>
        <v>18000</v>
      </c>
      <c r="M357" s="7">
        <f t="shared" si="22"/>
        <v>102000</v>
      </c>
      <c r="N357" s="23">
        <v>30000</v>
      </c>
      <c r="O357" s="7">
        <f t="shared" si="23"/>
        <v>132000</v>
      </c>
      <c r="P357" s="2" t="s">
        <v>35</v>
      </c>
      <c r="Q357" t="str">
        <f>_xlfn.XLOOKUP(B357,Status!$A$2:$A$1867,Status!$B$2:$B$1867)</f>
        <v>Completed</v>
      </c>
      <c r="R357" s="2" t="s">
        <v>46</v>
      </c>
      <c r="S357" s="8">
        <v>2</v>
      </c>
      <c r="T357" s="2" t="s">
        <v>24</v>
      </c>
      <c r="U357" s="31" t="str" cm="1">
        <f t="array" ref="U357">_xlfn.IFS(L357&lt;=5000,$Z$3,AND(L357&gt;5000,L357&lt;=15000),$Z$4,AND(L357&gt;15000,L357&lt;=30000),$Z$5,AND(L357&gt;30000,L357&lt;=50000),$Z$6,L357&gt;50000,$Z$7)</f>
        <v>Normal</v>
      </c>
      <c r="V357" s="2"/>
    </row>
    <row r="358" spans="1:22" ht="15.75" customHeight="1" x14ac:dyDescent="0.25">
      <c r="A358" s="26"/>
      <c r="B358" s="2" t="s">
        <v>648</v>
      </c>
      <c r="C358" s="32">
        <v>45618.896921296298</v>
      </c>
      <c r="D358" s="53">
        <f>YEAR(Table1[[#This Row],[Order Date]])</f>
        <v>2024</v>
      </c>
      <c r="E358" s="2" t="s">
        <v>649</v>
      </c>
      <c r="F358" s="2" t="s">
        <v>177</v>
      </c>
      <c r="G358" s="2" t="s">
        <v>45</v>
      </c>
      <c r="H358" s="23">
        <v>40000</v>
      </c>
      <c r="I358" s="2">
        <v>3</v>
      </c>
      <c r="J358" s="31">
        <v>5</v>
      </c>
      <c r="K358" s="7">
        <f t="shared" si="20"/>
        <v>120000</v>
      </c>
      <c r="L358" s="7">
        <f t="shared" si="21"/>
        <v>6000</v>
      </c>
      <c r="M358" s="7">
        <f t="shared" si="22"/>
        <v>114000</v>
      </c>
      <c r="N358" s="23">
        <v>56000</v>
      </c>
      <c r="O358" s="7">
        <f t="shared" si="23"/>
        <v>170000</v>
      </c>
      <c r="P358" s="2" t="s">
        <v>22</v>
      </c>
      <c r="Q358" t="str">
        <f>_xlfn.XLOOKUP(B358,Status!$A$2:$A$1867,Status!$B$2:$B$1867)</f>
        <v>Completed</v>
      </c>
      <c r="R358" s="2" t="s">
        <v>46</v>
      </c>
      <c r="S358" s="8">
        <v>1</v>
      </c>
      <c r="T358" s="2" t="s">
        <v>24</v>
      </c>
      <c r="U358" s="31" t="str" cm="1">
        <f t="array" ref="U358">_xlfn.IFS(L358&lt;=5000,$Z$3,AND(L358&gt;5000,L358&lt;=15000),$Z$4,AND(L358&gt;15000,L358&lt;=30000),$Z$5,AND(L358&gt;30000,L358&lt;=50000),$Z$6,L358&gt;50000,$Z$7)</f>
        <v>Rendah</v>
      </c>
      <c r="V358" s="2"/>
    </row>
    <row r="359" spans="1:22" ht="15.75" customHeight="1" x14ac:dyDescent="0.25">
      <c r="A359" s="26"/>
      <c r="B359" s="2" t="s">
        <v>648</v>
      </c>
      <c r="C359" s="32">
        <v>45618.896921296298</v>
      </c>
      <c r="D359" s="53">
        <f>YEAR(Table1[[#This Row],[Order Date]])</f>
        <v>2024</v>
      </c>
      <c r="E359" s="2" t="s">
        <v>649</v>
      </c>
      <c r="F359" s="2" t="s">
        <v>177</v>
      </c>
      <c r="G359" s="2" t="s">
        <v>45</v>
      </c>
      <c r="H359" s="23">
        <v>40000</v>
      </c>
      <c r="I359" s="2">
        <v>3</v>
      </c>
      <c r="J359" s="31">
        <v>5</v>
      </c>
      <c r="K359" s="7">
        <f t="shared" si="20"/>
        <v>120000</v>
      </c>
      <c r="L359" s="7">
        <f t="shared" si="21"/>
        <v>6000</v>
      </c>
      <c r="M359" s="7">
        <f t="shared" si="22"/>
        <v>114000</v>
      </c>
      <c r="N359" s="23">
        <v>0</v>
      </c>
      <c r="O359" s="7">
        <f t="shared" si="23"/>
        <v>114000</v>
      </c>
      <c r="P359" s="2" t="s">
        <v>22</v>
      </c>
      <c r="Q359" t="str">
        <f>_xlfn.XLOOKUP(B359,Status!$A$2:$A$1867,Status!$B$2:$B$1867)</f>
        <v>Completed</v>
      </c>
      <c r="R359" s="2" t="s">
        <v>46</v>
      </c>
      <c r="S359" s="8">
        <v>1</v>
      </c>
      <c r="T359" s="2" t="s">
        <v>24</v>
      </c>
      <c r="U359" s="31" t="str" cm="1">
        <f t="array" ref="U359">_xlfn.IFS(L359&lt;=5000,$Z$3,AND(L359&gt;5000,L359&lt;=15000),$Z$4,AND(L359&gt;15000,L359&lt;=30000),$Z$5,AND(L359&gt;30000,L359&lt;=50000),$Z$6,L359&gt;50000,$Z$7)</f>
        <v>Rendah</v>
      </c>
      <c r="V359" s="2"/>
    </row>
    <row r="360" spans="1:22" ht="15.75" customHeight="1" x14ac:dyDescent="0.25">
      <c r="A360" s="26"/>
      <c r="B360" s="2" t="s">
        <v>650</v>
      </c>
      <c r="C360" s="32">
        <v>45618.925833333327</v>
      </c>
      <c r="D360" s="53">
        <f>YEAR(Table1[[#This Row],[Order Date]])</f>
        <v>2024</v>
      </c>
      <c r="E360" s="2" t="s">
        <v>651</v>
      </c>
      <c r="F360" s="2" t="s">
        <v>182</v>
      </c>
      <c r="G360" s="2" t="s">
        <v>88</v>
      </c>
      <c r="H360" s="23">
        <v>14000</v>
      </c>
      <c r="I360" s="2">
        <v>1</v>
      </c>
      <c r="J360" s="31">
        <v>15</v>
      </c>
      <c r="K360" s="7">
        <f t="shared" si="20"/>
        <v>14000</v>
      </c>
      <c r="L360" s="7">
        <f t="shared" si="21"/>
        <v>2100</v>
      </c>
      <c r="M360" s="7">
        <f t="shared" si="22"/>
        <v>11900</v>
      </c>
      <c r="N360" s="23">
        <v>48000</v>
      </c>
      <c r="O360" s="7">
        <f t="shared" si="23"/>
        <v>59900</v>
      </c>
      <c r="P360" s="2" t="s">
        <v>22</v>
      </c>
      <c r="Q360" t="str">
        <f>_xlfn.XLOOKUP(B360,Status!$A$2:$A$1867,Status!$B$2:$B$1867)</f>
        <v>Returned</v>
      </c>
      <c r="R360" s="2" t="s">
        <v>46</v>
      </c>
      <c r="S360" s="8">
        <v>1</v>
      </c>
      <c r="T360" s="2" t="s">
        <v>37</v>
      </c>
      <c r="U360" s="31" t="str" cm="1">
        <f t="array" ref="U360">_xlfn.IFS(L360&lt;=5000,$Z$3,AND(L360&gt;5000,L360&lt;=15000),$Z$4,AND(L360&gt;15000,L360&lt;=30000),$Z$5,AND(L360&gt;30000,L360&lt;=50000),$Z$6,L360&gt;50000,$Z$7)</f>
        <v>Sangat Rendah</v>
      </c>
      <c r="V360" s="2"/>
    </row>
    <row r="361" spans="1:22" ht="15.75" customHeight="1" x14ac:dyDescent="0.25">
      <c r="A361" s="26"/>
      <c r="B361" s="2" t="s">
        <v>652</v>
      </c>
      <c r="C361" s="32">
        <v>45619.086608796293</v>
      </c>
      <c r="D361" s="53">
        <f>YEAR(Table1[[#This Row],[Order Date]])</f>
        <v>2024</v>
      </c>
      <c r="E361" s="2" t="s">
        <v>439</v>
      </c>
      <c r="F361" s="2" t="s">
        <v>119</v>
      </c>
      <c r="G361" s="2" t="s">
        <v>186</v>
      </c>
      <c r="H361" s="23">
        <v>45000</v>
      </c>
      <c r="I361" s="2">
        <v>5</v>
      </c>
      <c r="J361" s="31">
        <v>5</v>
      </c>
      <c r="K361" s="7">
        <f t="shared" si="20"/>
        <v>225000</v>
      </c>
      <c r="L361" s="7">
        <f t="shared" si="21"/>
        <v>11250</v>
      </c>
      <c r="M361" s="7">
        <f t="shared" si="22"/>
        <v>213750</v>
      </c>
      <c r="N361" s="23">
        <v>0</v>
      </c>
      <c r="O361" s="7">
        <f t="shared" si="23"/>
        <v>213750</v>
      </c>
      <c r="P361" s="2" t="s">
        <v>35</v>
      </c>
      <c r="Q361" t="str">
        <f>_xlfn.XLOOKUP(B361,Status!$A$2:$A$1867,Status!$B$2:$B$1867)</f>
        <v>Completed</v>
      </c>
      <c r="R361" s="2" t="s">
        <v>82</v>
      </c>
      <c r="S361" s="8">
        <v>5</v>
      </c>
      <c r="T361" s="2" t="s">
        <v>37</v>
      </c>
      <c r="U361" s="31" t="str" cm="1">
        <f t="array" ref="U361">_xlfn.IFS(L361&lt;=5000,$Z$3,AND(L361&gt;5000,L361&lt;=15000),$Z$4,AND(L361&gt;15000,L361&lt;=30000),$Z$5,AND(L361&gt;30000,L361&lt;=50000),$Z$6,L361&gt;50000,$Z$7)</f>
        <v>Rendah</v>
      </c>
      <c r="V361" s="2"/>
    </row>
    <row r="362" spans="1:22" ht="15.75" customHeight="1" x14ac:dyDescent="0.25">
      <c r="A362" s="26"/>
      <c r="B362" s="2" t="s">
        <v>653</v>
      </c>
      <c r="C362" s="32">
        <v>45619.327951388892</v>
      </c>
      <c r="D362" s="53">
        <f>YEAR(Table1[[#This Row],[Order Date]])</f>
        <v>2024</v>
      </c>
      <c r="E362" s="2" t="s">
        <v>654</v>
      </c>
      <c r="F362" s="2" t="s">
        <v>375</v>
      </c>
      <c r="G362" s="2" t="s">
        <v>67</v>
      </c>
      <c r="H362" s="23">
        <v>15000</v>
      </c>
      <c r="I362" s="2">
        <v>2</v>
      </c>
      <c r="J362" s="31">
        <v>0</v>
      </c>
      <c r="K362" s="7">
        <f t="shared" si="20"/>
        <v>30000</v>
      </c>
      <c r="L362" s="7">
        <f t="shared" si="21"/>
        <v>0</v>
      </c>
      <c r="M362" s="7">
        <f t="shared" si="22"/>
        <v>30000</v>
      </c>
      <c r="N362" s="23">
        <v>21000</v>
      </c>
      <c r="O362" s="7">
        <f t="shared" si="23"/>
        <v>51000</v>
      </c>
      <c r="P362" s="2" t="s">
        <v>22</v>
      </c>
      <c r="Q362" t="str">
        <f>_xlfn.XLOOKUP(B362,Status!$A$2:$A$1867,Status!$B$2:$B$1867)</f>
        <v>Completed</v>
      </c>
      <c r="R362" s="2" t="s">
        <v>82</v>
      </c>
      <c r="S362" s="8">
        <v>1</v>
      </c>
      <c r="T362" s="2" t="s">
        <v>24</v>
      </c>
      <c r="U362" s="31" t="str" cm="1">
        <f t="array" ref="U362">_xlfn.IFS(L362&lt;=5000,$Z$3,AND(L362&gt;5000,L362&lt;=15000),$Z$4,AND(L362&gt;15000,L362&lt;=30000),$Z$5,AND(L362&gt;30000,L362&lt;=50000),$Z$6,L362&gt;50000,$Z$7)</f>
        <v>Sangat Rendah</v>
      </c>
      <c r="V362" s="2"/>
    </row>
    <row r="363" spans="1:22" ht="15.75" customHeight="1" x14ac:dyDescent="0.25">
      <c r="A363" s="26"/>
      <c r="B363" s="2" t="s">
        <v>655</v>
      </c>
      <c r="C363" s="32">
        <v>45619.772673611107</v>
      </c>
      <c r="D363" s="53">
        <f>YEAR(Table1[[#This Row],[Order Date]])</f>
        <v>2024</v>
      </c>
      <c r="E363" s="2" t="s">
        <v>656</v>
      </c>
      <c r="F363" s="2" t="s">
        <v>195</v>
      </c>
      <c r="G363" s="2" t="s">
        <v>45</v>
      </c>
      <c r="H363" s="23">
        <v>40000</v>
      </c>
      <c r="I363" s="2">
        <v>3</v>
      </c>
      <c r="J363" s="31">
        <v>0</v>
      </c>
      <c r="K363" s="7">
        <f t="shared" si="20"/>
        <v>120000</v>
      </c>
      <c r="L363" s="7">
        <f t="shared" si="21"/>
        <v>0</v>
      </c>
      <c r="M363" s="7">
        <f t="shared" si="22"/>
        <v>120000</v>
      </c>
      <c r="N363" s="23">
        <v>87000</v>
      </c>
      <c r="O363" s="7">
        <f t="shared" si="23"/>
        <v>207000</v>
      </c>
      <c r="P363" s="2" t="s">
        <v>63</v>
      </c>
      <c r="Q363" t="str">
        <f>_xlfn.XLOOKUP(B363,Status!$A$2:$A$1867,Status!$B$2:$B$1867)</f>
        <v>Completed</v>
      </c>
      <c r="R363" s="2" t="s">
        <v>46</v>
      </c>
      <c r="S363" s="8">
        <v>2</v>
      </c>
      <c r="T363" s="2" t="s">
        <v>37</v>
      </c>
      <c r="U363" s="31" t="str" cm="1">
        <f t="array" ref="U363">_xlfn.IFS(L363&lt;=5000,$Z$3,AND(L363&gt;5000,L363&lt;=15000),$Z$4,AND(L363&gt;15000,L363&lt;=30000),$Z$5,AND(L363&gt;30000,L363&lt;=50000),$Z$6,L363&gt;50000,$Z$7)</f>
        <v>Sangat Rendah</v>
      </c>
      <c r="V363" s="2"/>
    </row>
    <row r="364" spans="1:22" ht="15.75" customHeight="1" x14ac:dyDescent="0.25">
      <c r="A364" s="26"/>
      <c r="B364" s="2" t="s">
        <v>657</v>
      </c>
      <c r="C364" s="32">
        <v>45619.772916666669</v>
      </c>
      <c r="D364" s="53">
        <f>YEAR(Table1[[#This Row],[Order Date]])</f>
        <v>2024</v>
      </c>
      <c r="E364" s="2" t="s">
        <v>211</v>
      </c>
      <c r="F364" s="2" t="s">
        <v>49</v>
      </c>
      <c r="G364" s="2" t="s">
        <v>34</v>
      </c>
      <c r="H364" s="23">
        <v>16000</v>
      </c>
      <c r="I364" s="2">
        <v>3</v>
      </c>
      <c r="J364" s="31">
        <v>20</v>
      </c>
      <c r="K364" s="7">
        <f t="shared" si="20"/>
        <v>48000</v>
      </c>
      <c r="L364" s="7">
        <f t="shared" si="21"/>
        <v>9600</v>
      </c>
      <c r="M364" s="7">
        <f t="shared" si="22"/>
        <v>38400</v>
      </c>
      <c r="N364" s="23">
        <v>43000</v>
      </c>
      <c r="O364" s="7">
        <f t="shared" si="23"/>
        <v>81400</v>
      </c>
      <c r="P364" s="2" t="s">
        <v>22</v>
      </c>
      <c r="Q364" t="str">
        <f>_xlfn.XLOOKUP(B364,Status!$A$2:$A$1867,Status!$B$2:$B$1867)</f>
        <v>Completed</v>
      </c>
      <c r="R364" s="2" t="s">
        <v>46</v>
      </c>
      <c r="S364" s="8">
        <v>4</v>
      </c>
      <c r="T364" s="2" t="s">
        <v>24</v>
      </c>
      <c r="U364" s="31" t="str" cm="1">
        <f t="array" ref="U364">_xlfn.IFS(L364&lt;=5000,$Z$3,AND(L364&gt;5000,L364&lt;=15000),$Z$4,AND(L364&gt;15000,L364&lt;=30000),$Z$5,AND(L364&gt;30000,L364&lt;=50000),$Z$6,L364&gt;50000,$Z$7)</f>
        <v>Rendah</v>
      </c>
      <c r="V364" s="2"/>
    </row>
    <row r="365" spans="1:22" ht="15.75" customHeight="1" x14ac:dyDescent="0.25">
      <c r="A365" s="26"/>
      <c r="B365" s="2" t="s">
        <v>657</v>
      </c>
      <c r="C365" s="32">
        <v>45619.772916666669</v>
      </c>
      <c r="D365" s="53">
        <f>YEAR(Table1[[#This Row],[Order Date]])</f>
        <v>2024</v>
      </c>
      <c r="E365" s="2" t="s">
        <v>211</v>
      </c>
      <c r="F365" s="2" t="s">
        <v>49</v>
      </c>
      <c r="G365" s="2" t="s">
        <v>50</v>
      </c>
      <c r="H365" s="23">
        <v>14000</v>
      </c>
      <c r="I365" s="2">
        <v>2</v>
      </c>
      <c r="J365" s="31">
        <v>15</v>
      </c>
      <c r="K365" s="7">
        <f t="shared" si="20"/>
        <v>28000</v>
      </c>
      <c r="L365" s="7">
        <f t="shared" si="21"/>
        <v>4200</v>
      </c>
      <c r="M365" s="7">
        <f t="shared" si="22"/>
        <v>23800</v>
      </c>
      <c r="N365" s="23">
        <v>0</v>
      </c>
      <c r="O365" s="7">
        <f t="shared" si="23"/>
        <v>23800</v>
      </c>
      <c r="P365" s="2" t="s">
        <v>22</v>
      </c>
      <c r="Q365" t="str">
        <f>_xlfn.XLOOKUP(B365,Status!$A$2:$A$1867,Status!$B$2:$B$1867)</f>
        <v>Completed</v>
      </c>
      <c r="R365" s="2" t="s">
        <v>46</v>
      </c>
      <c r="S365" s="8">
        <v>4</v>
      </c>
      <c r="T365" s="2" t="s">
        <v>24</v>
      </c>
      <c r="U365" s="31" t="str" cm="1">
        <f t="array" ref="U365">_xlfn.IFS(L365&lt;=5000,$Z$3,AND(L365&gt;5000,L365&lt;=15000),$Z$4,AND(L365&gt;15000,L365&lt;=30000),$Z$5,AND(L365&gt;30000,L365&lt;=50000),$Z$6,L365&gt;50000,$Z$7)</f>
        <v>Sangat Rendah</v>
      </c>
      <c r="V365" s="2"/>
    </row>
    <row r="366" spans="1:22" ht="15.75" customHeight="1" x14ac:dyDescent="0.25">
      <c r="A366" s="26"/>
      <c r="B366" s="2" t="s">
        <v>658</v>
      </c>
      <c r="C366" s="32">
        <v>45620.43949074074</v>
      </c>
      <c r="D366" s="53">
        <f>YEAR(Table1[[#This Row],[Order Date]])</f>
        <v>2024</v>
      </c>
      <c r="E366" s="2" t="s">
        <v>391</v>
      </c>
      <c r="F366" s="2" t="s">
        <v>122</v>
      </c>
      <c r="G366" s="2" t="s">
        <v>28</v>
      </c>
      <c r="H366" s="23">
        <v>5000</v>
      </c>
      <c r="I366" s="2">
        <v>4</v>
      </c>
      <c r="J366" s="31">
        <v>5</v>
      </c>
      <c r="K366" s="7">
        <f t="shared" si="20"/>
        <v>20000</v>
      </c>
      <c r="L366" s="7">
        <f t="shared" si="21"/>
        <v>1000</v>
      </c>
      <c r="M366" s="7">
        <f t="shared" si="22"/>
        <v>19000</v>
      </c>
      <c r="N366" s="23">
        <v>78000</v>
      </c>
      <c r="O366" s="7">
        <f t="shared" si="23"/>
        <v>97000</v>
      </c>
      <c r="P366" s="2" t="s">
        <v>29</v>
      </c>
      <c r="Q366" t="str">
        <f>_xlfn.XLOOKUP(B366,Status!$A$2:$A$1867,Status!$B$2:$B$1867)</f>
        <v>Returned</v>
      </c>
      <c r="R366" s="2" t="s">
        <v>30</v>
      </c>
      <c r="S366" s="8">
        <v>5</v>
      </c>
      <c r="T366" s="2" t="s">
        <v>24</v>
      </c>
      <c r="U366" s="31" t="str" cm="1">
        <f t="array" ref="U366">_xlfn.IFS(L366&lt;=5000,$Z$3,AND(L366&gt;5000,L366&lt;=15000),$Z$4,AND(L366&gt;15000,L366&lt;=30000),$Z$5,AND(L366&gt;30000,L366&lt;=50000),$Z$6,L366&gt;50000,$Z$7)</f>
        <v>Sangat Rendah</v>
      </c>
      <c r="V366" s="2"/>
    </row>
    <row r="367" spans="1:22" ht="15.75" customHeight="1" x14ac:dyDescent="0.25">
      <c r="A367" s="26"/>
      <c r="B367" s="2" t="s">
        <v>659</v>
      </c>
      <c r="C367" s="32">
        <v>45620.572939814818</v>
      </c>
      <c r="D367" s="53">
        <f>YEAR(Table1[[#This Row],[Order Date]])</f>
        <v>2024</v>
      </c>
      <c r="E367" s="2" t="s">
        <v>194</v>
      </c>
      <c r="F367" s="2" t="s">
        <v>195</v>
      </c>
      <c r="G367" s="2" t="s">
        <v>21</v>
      </c>
      <c r="H367" s="23">
        <v>45000</v>
      </c>
      <c r="I367" s="2">
        <v>1</v>
      </c>
      <c r="J367" s="31">
        <v>20</v>
      </c>
      <c r="K367" s="7">
        <f t="shared" si="20"/>
        <v>45000</v>
      </c>
      <c r="L367" s="7">
        <f t="shared" si="21"/>
        <v>9000</v>
      </c>
      <c r="M367" s="7">
        <f t="shared" si="22"/>
        <v>36000</v>
      </c>
      <c r="N367" s="23">
        <v>87000</v>
      </c>
      <c r="O367" s="7">
        <f t="shared" si="23"/>
        <v>123000</v>
      </c>
      <c r="P367" s="2" t="s">
        <v>63</v>
      </c>
      <c r="Q367" t="str">
        <f>_xlfn.XLOOKUP(B367,Status!$A$2:$A$1867,Status!$B$2:$B$1867)</f>
        <v>Completed</v>
      </c>
      <c r="R367" s="2" t="s">
        <v>82</v>
      </c>
      <c r="S367" s="8">
        <v>4</v>
      </c>
      <c r="T367" s="2" t="s">
        <v>24</v>
      </c>
      <c r="U367" s="31" t="str" cm="1">
        <f t="array" ref="U367">_xlfn.IFS(L367&lt;=5000,$Z$3,AND(L367&gt;5000,L367&lt;=15000),$Z$4,AND(L367&gt;15000,L367&lt;=30000),$Z$5,AND(L367&gt;30000,L367&lt;=50000),$Z$6,L367&gt;50000,$Z$7)</f>
        <v>Rendah</v>
      </c>
      <c r="V367" s="2"/>
    </row>
    <row r="368" spans="1:22" ht="15.75" customHeight="1" x14ac:dyDescent="0.25">
      <c r="A368" s="26"/>
      <c r="B368" s="2" t="s">
        <v>660</v>
      </c>
      <c r="C368" s="32">
        <v>45620.671018518522</v>
      </c>
      <c r="D368" s="53">
        <f>YEAR(Table1[[#This Row],[Order Date]])</f>
        <v>2024</v>
      </c>
      <c r="E368" s="2" t="s">
        <v>661</v>
      </c>
      <c r="F368" s="2" t="s">
        <v>49</v>
      </c>
      <c r="G368" s="2" t="s">
        <v>34</v>
      </c>
      <c r="H368" s="23">
        <v>16000</v>
      </c>
      <c r="I368" s="2">
        <v>3</v>
      </c>
      <c r="J368" s="31">
        <v>5</v>
      </c>
      <c r="K368" s="7">
        <f t="shared" si="20"/>
        <v>48000</v>
      </c>
      <c r="L368" s="7">
        <f t="shared" si="21"/>
        <v>2400</v>
      </c>
      <c r="M368" s="7">
        <f t="shared" si="22"/>
        <v>45600</v>
      </c>
      <c r="N368" s="23">
        <v>43000</v>
      </c>
      <c r="O368" s="7">
        <f t="shared" si="23"/>
        <v>88600</v>
      </c>
      <c r="P368" s="2" t="s">
        <v>22</v>
      </c>
      <c r="Q368" t="str">
        <f>_xlfn.XLOOKUP(B368,Status!$A$2:$A$1867,Status!$B$2:$B$1867)</f>
        <v>Completed</v>
      </c>
      <c r="R368" s="2" t="s">
        <v>36</v>
      </c>
      <c r="S368" s="8">
        <v>3</v>
      </c>
      <c r="T368" s="2" t="s">
        <v>24</v>
      </c>
      <c r="U368" s="31" t="str" cm="1">
        <f t="array" ref="U368">_xlfn.IFS(L368&lt;=5000,$Z$3,AND(L368&gt;5000,L368&lt;=15000),$Z$4,AND(L368&gt;15000,L368&lt;=30000),$Z$5,AND(L368&gt;30000,L368&lt;=50000),$Z$6,L368&gt;50000,$Z$7)</f>
        <v>Sangat Rendah</v>
      </c>
      <c r="V368" s="2"/>
    </row>
    <row r="369" spans="1:22" ht="15.75" customHeight="1" x14ac:dyDescent="0.25">
      <c r="A369" s="26"/>
      <c r="B369" s="2" t="s">
        <v>660</v>
      </c>
      <c r="C369" s="32">
        <v>45620.671018518522</v>
      </c>
      <c r="D369" s="53">
        <f>YEAR(Table1[[#This Row],[Order Date]])</f>
        <v>2024</v>
      </c>
      <c r="E369" s="2" t="s">
        <v>661</v>
      </c>
      <c r="F369" s="2" t="s">
        <v>49</v>
      </c>
      <c r="G369" s="2" t="s">
        <v>136</v>
      </c>
      <c r="H369" s="23">
        <v>12000</v>
      </c>
      <c r="I369" s="2">
        <v>4</v>
      </c>
      <c r="J369" s="31">
        <v>0</v>
      </c>
      <c r="K369" s="7">
        <f t="shared" si="20"/>
        <v>48000</v>
      </c>
      <c r="L369" s="7">
        <f t="shared" si="21"/>
        <v>0</v>
      </c>
      <c r="M369" s="7">
        <f t="shared" si="22"/>
        <v>48000</v>
      </c>
      <c r="N369" s="23">
        <v>0</v>
      </c>
      <c r="O369" s="7">
        <f t="shared" si="23"/>
        <v>48000</v>
      </c>
      <c r="P369" s="2" t="s">
        <v>22</v>
      </c>
      <c r="Q369" t="str">
        <f>_xlfn.XLOOKUP(B369,Status!$A$2:$A$1867,Status!$B$2:$B$1867)</f>
        <v>Completed</v>
      </c>
      <c r="R369" s="2" t="s">
        <v>36</v>
      </c>
      <c r="S369" s="8">
        <v>3</v>
      </c>
      <c r="T369" s="2" t="s">
        <v>24</v>
      </c>
      <c r="U369" s="31" t="str" cm="1">
        <f t="array" ref="U369">_xlfn.IFS(L369&lt;=5000,$Z$3,AND(L369&gt;5000,L369&lt;=15000),$Z$4,AND(L369&gt;15000,L369&lt;=30000),$Z$5,AND(L369&gt;30000,L369&lt;=50000),$Z$6,L369&gt;50000,$Z$7)</f>
        <v>Sangat Rendah</v>
      </c>
      <c r="V369" s="2"/>
    </row>
    <row r="370" spans="1:22" ht="15.75" customHeight="1" x14ac:dyDescent="0.25">
      <c r="A370" s="26"/>
      <c r="B370" s="2" t="s">
        <v>662</v>
      </c>
      <c r="C370" s="32">
        <v>45620.862060185187</v>
      </c>
      <c r="D370" s="53">
        <f>YEAR(Table1[[#This Row],[Order Date]])</f>
        <v>2024</v>
      </c>
      <c r="E370" s="2" t="s">
        <v>254</v>
      </c>
      <c r="F370" s="2" t="s">
        <v>61</v>
      </c>
      <c r="G370" s="2" t="s">
        <v>62</v>
      </c>
      <c r="H370" s="23">
        <v>50000</v>
      </c>
      <c r="I370" s="2">
        <v>2</v>
      </c>
      <c r="J370" s="31">
        <v>15</v>
      </c>
      <c r="K370" s="7">
        <f t="shared" si="20"/>
        <v>100000</v>
      </c>
      <c r="L370" s="7">
        <f t="shared" si="21"/>
        <v>15000</v>
      </c>
      <c r="M370" s="7">
        <f t="shared" si="22"/>
        <v>85000</v>
      </c>
      <c r="N370" s="23">
        <v>26000</v>
      </c>
      <c r="O370" s="7">
        <f t="shared" si="23"/>
        <v>111000</v>
      </c>
      <c r="P370" s="2" t="s">
        <v>29</v>
      </c>
      <c r="Q370" t="str">
        <f>_xlfn.XLOOKUP(B370,Status!$A$2:$A$1867,Status!$B$2:$B$1867)</f>
        <v>Completed</v>
      </c>
      <c r="R370" s="2" t="s">
        <v>82</v>
      </c>
      <c r="S370" s="8">
        <v>1</v>
      </c>
      <c r="T370" s="2" t="s">
        <v>24</v>
      </c>
      <c r="U370" s="31" t="str" cm="1">
        <f t="array" ref="U370">_xlfn.IFS(L370&lt;=5000,$Z$3,AND(L370&gt;5000,L370&lt;=15000),$Z$4,AND(L370&gt;15000,L370&lt;=30000),$Z$5,AND(L370&gt;30000,L370&lt;=50000),$Z$6,L370&gt;50000,$Z$7)</f>
        <v>Rendah</v>
      </c>
      <c r="V370" s="2"/>
    </row>
    <row r="371" spans="1:22" ht="15.75" customHeight="1" x14ac:dyDescent="0.25">
      <c r="A371" s="26"/>
      <c r="B371" s="2" t="s">
        <v>663</v>
      </c>
      <c r="C371" s="32">
        <v>45621.116562499999</v>
      </c>
      <c r="D371" s="53">
        <f>YEAR(Table1[[#This Row],[Order Date]])</f>
        <v>2024</v>
      </c>
      <c r="E371" s="2" t="s">
        <v>258</v>
      </c>
      <c r="F371" s="2" t="s">
        <v>44</v>
      </c>
      <c r="G371" s="2" t="s">
        <v>54</v>
      </c>
      <c r="H371" s="23">
        <v>16000</v>
      </c>
      <c r="I371" s="2">
        <v>2</v>
      </c>
      <c r="J371" s="31">
        <v>5</v>
      </c>
      <c r="K371" s="7">
        <f t="shared" si="20"/>
        <v>32000</v>
      </c>
      <c r="L371" s="7">
        <f t="shared" si="21"/>
        <v>1600</v>
      </c>
      <c r="M371" s="7">
        <f t="shared" si="22"/>
        <v>30400</v>
      </c>
      <c r="N371" s="23">
        <v>93000</v>
      </c>
      <c r="O371" s="7">
        <f t="shared" si="23"/>
        <v>123400</v>
      </c>
      <c r="P371" s="2" t="s">
        <v>29</v>
      </c>
      <c r="Q371" t="str">
        <f>_xlfn.XLOOKUP(B371,Status!$A$2:$A$1867,Status!$B$2:$B$1867)</f>
        <v>Returned</v>
      </c>
      <c r="R371" s="2" t="s">
        <v>46</v>
      </c>
      <c r="S371" s="8">
        <v>1</v>
      </c>
      <c r="T371" s="2" t="s">
        <v>24</v>
      </c>
      <c r="U371" s="31" t="str" cm="1">
        <f t="array" ref="U371">_xlfn.IFS(L371&lt;=5000,$Z$3,AND(L371&gt;5000,L371&lt;=15000),$Z$4,AND(L371&gt;15000,L371&lt;=30000),$Z$5,AND(L371&gt;30000,L371&lt;=50000),$Z$6,L371&gt;50000,$Z$7)</f>
        <v>Sangat Rendah</v>
      </c>
      <c r="V371" s="2"/>
    </row>
    <row r="372" spans="1:22" ht="15.75" customHeight="1" x14ac:dyDescent="0.25">
      <c r="A372" s="26"/>
      <c r="B372" s="2" t="s">
        <v>664</v>
      </c>
      <c r="C372" s="32">
        <v>45621.266608796293</v>
      </c>
      <c r="D372" s="53">
        <f>YEAR(Table1[[#This Row],[Order Date]])</f>
        <v>2024</v>
      </c>
      <c r="E372" s="2" t="s">
        <v>353</v>
      </c>
      <c r="F372" s="2" t="s">
        <v>66</v>
      </c>
      <c r="G372" s="2" t="s">
        <v>71</v>
      </c>
      <c r="H372" s="23">
        <v>40000</v>
      </c>
      <c r="I372" s="2">
        <v>5</v>
      </c>
      <c r="J372" s="31">
        <v>5</v>
      </c>
      <c r="K372" s="7">
        <f t="shared" si="20"/>
        <v>200000</v>
      </c>
      <c r="L372" s="7">
        <f t="shared" si="21"/>
        <v>10000</v>
      </c>
      <c r="M372" s="7">
        <f t="shared" si="22"/>
        <v>190000</v>
      </c>
      <c r="N372" s="23">
        <v>59000</v>
      </c>
      <c r="O372" s="7">
        <f t="shared" si="23"/>
        <v>249000</v>
      </c>
      <c r="P372" s="2" t="s">
        <v>63</v>
      </c>
      <c r="Q372" t="str">
        <f>_xlfn.XLOOKUP(B372,Status!$A$2:$A$1867,Status!$B$2:$B$1867)</f>
        <v>Completed</v>
      </c>
      <c r="R372" s="2" t="s">
        <v>82</v>
      </c>
      <c r="S372" s="8">
        <v>3</v>
      </c>
      <c r="T372" s="2" t="s">
        <v>24</v>
      </c>
      <c r="U372" s="31" t="str" cm="1">
        <f t="array" ref="U372">_xlfn.IFS(L372&lt;=5000,$Z$3,AND(L372&gt;5000,L372&lt;=15000),$Z$4,AND(L372&gt;15000,L372&lt;=30000),$Z$5,AND(L372&gt;30000,L372&lt;=50000),$Z$6,L372&gt;50000,$Z$7)</f>
        <v>Rendah</v>
      </c>
      <c r="V372" s="2"/>
    </row>
    <row r="373" spans="1:22" ht="15.75" customHeight="1" x14ac:dyDescent="0.25">
      <c r="A373" s="26"/>
      <c r="B373" s="2" t="s">
        <v>665</v>
      </c>
      <c r="C373" s="32">
        <v>45621.36173611111</v>
      </c>
      <c r="D373" s="53">
        <f>YEAR(Table1[[#This Row],[Order Date]])</f>
        <v>2024</v>
      </c>
      <c r="E373" s="2" t="s">
        <v>666</v>
      </c>
      <c r="F373" s="2" t="s">
        <v>66</v>
      </c>
      <c r="G373" s="2" t="s">
        <v>136</v>
      </c>
      <c r="H373" s="23">
        <v>12000</v>
      </c>
      <c r="I373" s="2">
        <v>2</v>
      </c>
      <c r="J373" s="31">
        <v>20</v>
      </c>
      <c r="K373" s="7">
        <f t="shared" si="20"/>
        <v>24000</v>
      </c>
      <c r="L373" s="7">
        <f t="shared" si="21"/>
        <v>4800</v>
      </c>
      <c r="M373" s="7">
        <f t="shared" si="22"/>
        <v>19200</v>
      </c>
      <c r="N373" s="23">
        <v>59000</v>
      </c>
      <c r="O373" s="7">
        <f t="shared" si="23"/>
        <v>78200</v>
      </c>
      <c r="P373" s="2" t="s">
        <v>22</v>
      </c>
      <c r="Q373" t="str">
        <f>_xlfn.XLOOKUP(B373,Status!$A$2:$A$1867,Status!$B$2:$B$1867)</f>
        <v>Completed</v>
      </c>
      <c r="R373" s="2" t="s">
        <v>46</v>
      </c>
      <c r="S373" s="8">
        <v>1</v>
      </c>
      <c r="T373" s="2" t="s">
        <v>24</v>
      </c>
      <c r="U373" s="31" t="str" cm="1">
        <f t="array" ref="U373">_xlfn.IFS(L373&lt;=5000,$Z$3,AND(L373&gt;5000,L373&lt;=15000),$Z$4,AND(L373&gt;15000,L373&lt;=30000),$Z$5,AND(L373&gt;30000,L373&lt;=50000),$Z$6,L373&gt;50000,$Z$7)</f>
        <v>Sangat Rendah</v>
      </c>
      <c r="V373" s="2"/>
    </row>
    <row r="374" spans="1:22" ht="15.75" customHeight="1" x14ac:dyDescent="0.25">
      <c r="A374" s="26"/>
      <c r="B374" s="2" t="s">
        <v>665</v>
      </c>
      <c r="C374" s="32">
        <v>45621.36173611111</v>
      </c>
      <c r="D374" s="53">
        <f>YEAR(Table1[[#This Row],[Order Date]])</f>
        <v>2024</v>
      </c>
      <c r="E374" s="2" t="s">
        <v>666</v>
      </c>
      <c r="F374" s="2" t="s">
        <v>66</v>
      </c>
      <c r="G374" s="2" t="s">
        <v>50</v>
      </c>
      <c r="H374" s="23">
        <v>14000</v>
      </c>
      <c r="I374" s="2">
        <v>4</v>
      </c>
      <c r="J374" s="31">
        <v>0</v>
      </c>
      <c r="K374" s="7">
        <f t="shared" si="20"/>
        <v>56000</v>
      </c>
      <c r="L374" s="7">
        <f t="shared" si="21"/>
        <v>0</v>
      </c>
      <c r="M374" s="7">
        <f t="shared" si="22"/>
        <v>56000</v>
      </c>
      <c r="N374" s="23">
        <v>0</v>
      </c>
      <c r="O374" s="7">
        <f t="shared" si="23"/>
        <v>56000</v>
      </c>
      <c r="P374" s="2" t="s">
        <v>22</v>
      </c>
      <c r="Q374" t="str">
        <f>_xlfn.XLOOKUP(B374,Status!$A$2:$A$1867,Status!$B$2:$B$1867)</f>
        <v>Completed</v>
      </c>
      <c r="R374" s="2" t="s">
        <v>46</v>
      </c>
      <c r="S374" s="8">
        <v>1</v>
      </c>
      <c r="T374" s="2" t="s">
        <v>24</v>
      </c>
      <c r="U374" s="31" t="str" cm="1">
        <f t="array" ref="U374">_xlfn.IFS(L374&lt;=5000,$Z$3,AND(L374&gt;5000,L374&lt;=15000),$Z$4,AND(L374&gt;15000,L374&lt;=30000),$Z$5,AND(L374&gt;30000,L374&lt;=50000),$Z$6,L374&gt;50000,$Z$7)</f>
        <v>Sangat Rendah</v>
      </c>
      <c r="V374" s="2"/>
    </row>
    <row r="375" spans="1:22" ht="15.75" customHeight="1" x14ac:dyDescent="0.25">
      <c r="A375" s="26"/>
      <c r="B375" s="2" t="s">
        <v>667</v>
      </c>
      <c r="C375" s="32">
        <v>45621.43341435185</v>
      </c>
      <c r="D375" s="53">
        <f>YEAR(Table1[[#This Row],[Order Date]])</f>
        <v>2024</v>
      </c>
      <c r="E375" s="2" t="s">
        <v>289</v>
      </c>
      <c r="F375" s="2" t="s">
        <v>20</v>
      </c>
      <c r="G375" s="2" t="s">
        <v>250</v>
      </c>
      <c r="H375" s="23">
        <v>18000</v>
      </c>
      <c r="I375" s="2">
        <v>4</v>
      </c>
      <c r="J375" s="31">
        <v>15</v>
      </c>
      <c r="K375" s="7">
        <f t="shared" si="20"/>
        <v>72000</v>
      </c>
      <c r="L375" s="7">
        <f t="shared" si="21"/>
        <v>10800</v>
      </c>
      <c r="M375" s="7">
        <f t="shared" si="22"/>
        <v>61200</v>
      </c>
      <c r="N375" s="23">
        <v>15000</v>
      </c>
      <c r="O375" s="7">
        <f t="shared" si="23"/>
        <v>76200</v>
      </c>
      <c r="P375" s="2" t="s">
        <v>29</v>
      </c>
      <c r="Q375" t="str">
        <f>_xlfn.XLOOKUP(B375,Status!$A$2:$A$1867,Status!$B$2:$B$1867)</f>
        <v>Completed</v>
      </c>
      <c r="R375" s="2" t="s">
        <v>82</v>
      </c>
      <c r="S375" s="8">
        <v>3</v>
      </c>
      <c r="T375" s="2" t="s">
        <v>24</v>
      </c>
      <c r="U375" s="31" t="str" cm="1">
        <f t="array" ref="U375">_xlfn.IFS(L375&lt;=5000,$Z$3,AND(L375&gt;5000,L375&lt;=15000),$Z$4,AND(L375&gt;15000,L375&lt;=30000),$Z$5,AND(L375&gt;30000,L375&lt;=50000),$Z$6,L375&gt;50000,$Z$7)</f>
        <v>Rendah</v>
      </c>
      <c r="V375" s="2"/>
    </row>
    <row r="376" spans="1:22" ht="15.75" customHeight="1" x14ac:dyDescent="0.25">
      <c r="A376" s="26"/>
      <c r="B376" s="2" t="s">
        <v>668</v>
      </c>
      <c r="C376" s="32">
        <v>45621.628136574072</v>
      </c>
      <c r="D376" s="53">
        <f>YEAR(Table1[[#This Row],[Order Date]])</f>
        <v>2024</v>
      </c>
      <c r="E376" s="2" t="s">
        <v>669</v>
      </c>
      <c r="F376" s="2" t="s">
        <v>151</v>
      </c>
      <c r="G376" s="2" t="s">
        <v>62</v>
      </c>
      <c r="H376" s="23">
        <v>50000</v>
      </c>
      <c r="I376" s="2">
        <v>4</v>
      </c>
      <c r="J376" s="31">
        <v>5</v>
      </c>
      <c r="K376" s="7">
        <f t="shared" si="20"/>
        <v>200000</v>
      </c>
      <c r="L376" s="7">
        <f t="shared" si="21"/>
        <v>10000</v>
      </c>
      <c r="M376" s="7">
        <f t="shared" si="22"/>
        <v>190000</v>
      </c>
      <c r="N376" s="23">
        <v>55000</v>
      </c>
      <c r="O376" s="7">
        <f t="shared" si="23"/>
        <v>245000</v>
      </c>
      <c r="P376" s="2" t="s">
        <v>29</v>
      </c>
      <c r="Q376" t="str">
        <f>_xlfn.XLOOKUP(B376,Status!$A$2:$A$1867,Status!$B$2:$B$1867)</f>
        <v>Completed</v>
      </c>
      <c r="R376" s="2" t="s">
        <v>23</v>
      </c>
      <c r="S376" s="8">
        <v>3</v>
      </c>
      <c r="T376" s="2" t="s">
        <v>24</v>
      </c>
      <c r="U376" s="31" t="str" cm="1">
        <f t="array" ref="U376">_xlfn.IFS(L376&lt;=5000,$Z$3,AND(L376&gt;5000,L376&lt;=15000),$Z$4,AND(L376&gt;15000,L376&lt;=30000),$Z$5,AND(L376&gt;30000,L376&lt;=50000),$Z$6,L376&gt;50000,$Z$7)</f>
        <v>Rendah</v>
      </c>
      <c r="V376" s="2"/>
    </row>
    <row r="377" spans="1:22" ht="15.75" customHeight="1" x14ac:dyDescent="0.25">
      <c r="A377" s="26"/>
      <c r="B377" s="2" t="s">
        <v>670</v>
      </c>
      <c r="C377" s="32">
        <v>45621.71665509259</v>
      </c>
      <c r="D377" s="53">
        <f>YEAR(Table1[[#This Row],[Order Date]])</f>
        <v>2024</v>
      </c>
      <c r="E377" s="2" t="s">
        <v>671</v>
      </c>
      <c r="F377" s="2" t="s">
        <v>160</v>
      </c>
      <c r="G377" s="2" t="s">
        <v>58</v>
      </c>
      <c r="H377" s="23">
        <v>16000</v>
      </c>
      <c r="I377" s="2">
        <v>5</v>
      </c>
      <c r="J377" s="31">
        <v>0</v>
      </c>
      <c r="K377" s="7">
        <f t="shared" si="20"/>
        <v>80000</v>
      </c>
      <c r="L377" s="7">
        <f t="shared" si="21"/>
        <v>0</v>
      </c>
      <c r="M377" s="7">
        <f t="shared" si="22"/>
        <v>80000</v>
      </c>
      <c r="N377" s="23">
        <v>68000</v>
      </c>
      <c r="O377" s="7">
        <f t="shared" si="23"/>
        <v>148000</v>
      </c>
      <c r="P377" s="2" t="s">
        <v>35</v>
      </c>
      <c r="Q377" t="str">
        <f>_xlfn.XLOOKUP(B377,Status!$A$2:$A$1867,Status!$B$2:$B$1867)</f>
        <v>Returned</v>
      </c>
      <c r="R377" s="2" t="s">
        <v>36</v>
      </c>
      <c r="S377" s="8">
        <v>2</v>
      </c>
      <c r="T377" s="2" t="s">
        <v>24</v>
      </c>
      <c r="U377" s="31" t="str" cm="1">
        <f t="array" ref="U377">_xlfn.IFS(L377&lt;=5000,$Z$3,AND(L377&gt;5000,L377&lt;=15000),$Z$4,AND(L377&gt;15000,L377&lt;=30000),$Z$5,AND(L377&gt;30000,L377&lt;=50000),$Z$6,L377&gt;50000,$Z$7)</f>
        <v>Sangat Rendah</v>
      </c>
      <c r="V377" s="2"/>
    </row>
    <row r="378" spans="1:22" ht="15.75" customHeight="1" x14ac:dyDescent="0.25">
      <c r="A378" s="26"/>
      <c r="B378" s="2" t="s">
        <v>672</v>
      </c>
      <c r="C378" s="32">
        <v>45622.093738425923</v>
      </c>
      <c r="D378" s="53">
        <f>YEAR(Table1[[#This Row],[Order Date]])</f>
        <v>2024</v>
      </c>
      <c r="E378" s="2" t="s">
        <v>568</v>
      </c>
      <c r="F378" s="2" t="s">
        <v>435</v>
      </c>
      <c r="G378" s="2" t="s">
        <v>123</v>
      </c>
      <c r="H378" s="23">
        <v>22000</v>
      </c>
      <c r="I378" s="2">
        <v>3</v>
      </c>
      <c r="J378" s="31">
        <v>15</v>
      </c>
      <c r="K378" s="7">
        <f t="shared" si="20"/>
        <v>66000</v>
      </c>
      <c r="L378" s="7">
        <f t="shared" si="21"/>
        <v>9900</v>
      </c>
      <c r="M378" s="7">
        <f t="shared" si="22"/>
        <v>56100</v>
      </c>
      <c r="N378" s="23">
        <v>67000</v>
      </c>
      <c r="O378" s="7">
        <f t="shared" si="23"/>
        <v>123100</v>
      </c>
      <c r="P378" s="2" t="s">
        <v>29</v>
      </c>
      <c r="Q378" t="str">
        <f>_xlfn.XLOOKUP(B378,Status!$A$2:$A$1867,Status!$B$2:$B$1867)</f>
        <v>Completed</v>
      </c>
      <c r="R378" s="2" t="s">
        <v>82</v>
      </c>
      <c r="S378" s="8">
        <v>4</v>
      </c>
      <c r="T378" s="2" t="s">
        <v>24</v>
      </c>
      <c r="U378" s="31" t="str" cm="1">
        <f t="array" ref="U378">_xlfn.IFS(L378&lt;=5000,$Z$3,AND(L378&gt;5000,L378&lt;=15000),$Z$4,AND(L378&gt;15000,L378&lt;=30000),$Z$5,AND(L378&gt;30000,L378&lt;=50000),$Z$6,L378&gt;50000,$Z$7)</f>
        <v>Rendah</v>
      </c>
      <c r="V378" s="2"/>
    </row>
    <row r="379" spans="1:22" ht="15.75" customHeight="1" x14ac:dyDescent="0.25">
      <c r="A379" s="26"/>
      <c r="B379" s="2" t="s">
        <v>672</v>
      </c>
      <c r="C379" s="32">
        <v>45622.093738425923</v>
      </c>
      <c r="D379" s="53">
        <f>YEAR(Table1[[#This Row],[Order Date]])</f>
        <v>2024</v>
      </c>
      <c r="E379" s="2" t="s">
        <v>568</v>
      </c>
      <c r="F379" s="2" t="s">
        <v>435</v>
      </c>
      <c r="G379" s="2" t="s">
        <v>190</v>
      </c>
      <c r="H379" s="23">
        <v>35000</v>
      </c>
      <c r="I379" s="2">
        <v>1</v>
      </c>
      <c r="J379" s="31">
        <v>20</v>
      </c>
      <c r="K379" s="7">
        <f t="shared" si="20"/>
        <v>35000</v>
      </c>
      <c r="L379" s="7">
        <f t="shared" si="21"/>
        <v>7000</v>
      </c>
      <c r="M379" s="7">
        <f t="shared" si="22"/>
        <v>28000</v>
      </c>
      <c r="N379" s="23">
        <v>0</v>
      </c>
      <c r="O379" s="7">
        <f t="shared" si="23"/>
        <v>28000</v>
      </c>
      <c r="P379" s="2" t="s">
        <v>29</v>
      </c>
      <c r="Q379" t="str">
        <f>_xlfn.XLOOKUP(B379,Status!$A$2:$A$1867,Status!$B$2:$B$1867)</f>
        <v>Completed</v>
      </c>
      <c r="R379" s="2" t="s">
        <v>82</v>
      </c>
      <c r="S379" s="8">
        <v>4</v>
      </c>
      <c r="T379" s="2" t="s">
        <v>24</v>
      </c>
      <c r="U379" s="31" t="str" cm="1">
        <f t="array" ref="U379">_xlfn.IFS(L379&lt;=5000,$Z$3,AND(L379&gt;5000,L379&lt;=15000),$Z$4,AND(L379&gt;15000,L379&lt;=30000),$Z$5,AND(L379&gt;30000,L379&lt;=50000),$Z$6,L379&gt;50000,$Z$7)</f>
        <v>Rendah</v>
      </c>
      <c r="V379" s="2"/>
    </row>
    <row r="380" spans="1:22" ht="15.75" customHeight="1" x14ac:dyDescent="0.25">
      <c r="A380" s="26"/>
      <c r="B380" s="2" t="s">
        <v>673</v>
      </c>
      <c r="C380" s="32">
        <v>45622.118726851862</v>
      </c>
      <c r="D380" s="53">
        <f>YEAR(Table1[[#This Row],[Order Date]])</f>
        <v>2024</v>
      </c>
      <c r="E380" s="2" t="s">
        <v>416</v>
      </c>
      <c r="F380" s="2" t="s">
        <v>131</v>
      </c>
      <c r="G380" s="2" t="s">
        <v>190</v>
      </c>
      <c r="H380" s="23">
        <v>35000</v>
      </c>
      <c r="I380" s="2">
        <v>3</v>
      </c>
      <c r="J380" s="31">
        <v>20</v>
      </c>
      <c r="K380" s="7">
        <f t="shared" si="20"/>
        <v>105000</v>
      </c>
      <c r="L380" s="7">
        <f t="shared" si="21"/>
        <v>21000</v>
      </c>
      <c r="M380" s="7">
        <f t="shared" si="22"/>
        <v>84000</v>
      </c>
      <c r="N380" s="23">
        <v>59000</v>
      </c>
      <c r="O380" s="7">
        <f t="shared" si="23"/>
        <v>143000</v>
      </c>
      <c r="P380" s="2" t="s">
        <v>29</v>
      </c>
      <c r="Q380" t="str">
        <f>_xlfn.XLOOKUP(B380,Status!$A$2:$A$1867,Status!$B$2:$B$1867)</f>
        <v>Completed</v>
      </c>
      <c r="R380" s="2" t="s">
        <v>23</v>
      </c>
      <c r="S380" s="8">
        <v>3</v>
      </c>
      <c r="T380" s="2" t="s">
        <v>24</v>
      </c>
      <c r="U380" s="31" t="str" cm="1">
        <f t="array" ref="U380">_xlfn.IFS(L380&lt;=5000,$Z$3,AND(L380&gt;5000,L380&lt;=15000),$Z$4,AND(L380&gt;15000,L380&lt;=30000),$Z$5,AND(L380&gt;30000,L380&lt;=50000),$Z$6,L380&gt;50000,$Z$7)</f>
        <v>Normal</v>
      </c>
      <c r="V380" s="2"/>
    </row>
    <row r="381" spans="1:22" ht="15.75" customHeight="1" x14ac:dyDescent="0.25">
      <c r="A381" s="26"/>
      <c r="B381" s="2" t="s">
        <v>674</v>
      </c>
      <c r="C381" s="32">
        <v>45622.37572916667</v>
      </c>
      <c r="D381" s="53">
        <f>YEAR(Table1[[#This Row],[Order Date]])</f>
        <v>2024</v>
      </c>
      <c r="E381" s="2" t="s">
        <v>520</v>
      </c>
      <c r="F381" s="2" t="s">
        <v>103</v>
      </c>
      <c r="G381" s="2" t="s">
        <v>34</v>
      </c>
      <c r="H381" s="23">
        <v>16000</v>
      </c>
      <c r="I381" s="2">
        <v>3</v>
      </c>
      <c r="J381" s="31">
        <v>0</v>
      </c>
      <c r="K381" s="7">
        <f t="shared" si="20"/>
        <v>48000</v>
      </c>
      <c r="L381" s="7">
        <f t="shared" si="21"/>
        <v>0</v>
      </c>
      <c r="M381" s="7">
        <f t="shared" si="22"/>
        <v>48000</v>
      </c>
      <c r="N381" s="23">
        <v>85000</v>
      </c>
      <c r="O381" s="7">
        <f t="shared" si="23"/>
        <v>133000</v>
      </c>
      <c r="P381" s="2" t="s">
        <v>22</v>
      </c>
      <c r="Q381" t="str">
        <f>_xlfn.XLOOKUP(B381,Status!$A$2:$A$1867,Status!$B$2:$B$1867)</f>
        <v>Completed</v>
      </c>
      <c r="R381" s="2" t="s">
        <v>30</v>
      </c>
      <c r="S381" s="8">
        <v>5</v>
      </c>
      <c r="T381" s="2" t="s">
        <v>24</v>
      </c>
      <c r="U381" s="31" t="str" cm="1">
        <f t="array" ref="U381">_xlfn.IFS(L381&lt;=5000,$Z$3,AND(L381&gt;5000,L381&lt;=15000),$Z$4,AND(L381&gt;15000,L381&lt;=30000),$Z$5,AND(L381&gt;30000,L381&lt;=50000),$Z$6,L381&gt;50000,$Z$7)</f>
        <v>Sangat Rendah</v>
      </c>
      <c r="V381" s="2"/>
    </row>
    <row r="382" spans="1:22" ht="15.75" customHeight="1" x14ac:dyDescent="0.25">
      <c r="A382" s="26"/>
      <c r="B382" s="2" t="s">
        <v>675</v>
      </c>
      <c r="C382" s="32">
        <v>45622.427384259259</v>
      </c>
      <c r="D382" s="53">
        <f>YEAR(Table1[[#This Row],[Order Date]])</f>
        <v>2024</v>
      </c>
      <c r="E382" s="2" t="s">
        <v>429</v>
      </c>
      <c r="F382" s="2" t="s">
        <v>177</v>
      </c>
      <c r="G382" s="2" t="s">
        <v>138</v>
      </c>
      <c r="H382" s="23">
        <v>17000</v>
      </c>
      <c r="I382" s="2">
        <v>2</v>
      </c>
      <c r="J382" s="31">
        <v>15</v>
      </c>
      <c r="K382" s="7">
        <f t="shared" si="20"/>
        <v>34000</v>
      </c>
      <c r="L382" s="7">
        <f t="shared" si="21"/>
        <v>5100</v>
      </c>
      <c r="M382" s="7">
        <f t="shared" si="22"/>
        <v>28900</v>
      </c>
      <c r="N382" s="23">
        <v>56000</v>
      </c>
      <c r="O382" s="7">
        <f t="shared" si="23"/>
        <v>84900</v>
      </c>
      <c r="P382" s="2" t="s">
        <v>35</v>
      </c>
      <c r="Q382" t="str">
        <f>_xlfn.XLOOKUP(B382,Status!$A$2:$A$1867,Status!$B$2:$B$1867)</f>
        <v>Returned</v>
      </c>
      <c r="R382" s="2" t="s">
        <v>36</v>
      </c>
      <c r="S382" s="8">
        <v>3</v>
      </c>
      <c r="T382" s="2" t="s">
        <v>37</v>
      </c>
      <c r="U382" s="31" t="str" cm="1">
        <f t="array" ref="U382">_xlfn.IFS(L382&lt;=5000,$Z$3,AND(L382&gt;5000,L382&lt;=15000),$Z$4,AND(L382&gt;15000,L382&lt;=30000),$Z$5,AND(L382&gt;30000,L382&lt;=50000),$Z$6,L382&gt;50000,$Z$7)</f>
        <v>Rendah</v>
      </c>
      <c r="V382" s="2"/>
    </row>
    <row r="383" spans="1:22" ht="15.75" customHeight="1" x14ac:dyDescent="0.25">
      <c r="A383" s="26"/>
      <c r="B383" s="2" t="s">
        <v>676</v>
      </c>
      <c r="C383" s="32">
        <v>45622.655358796299</v>
      </c>
      <c r="D383" s="53">
        <f>YEAR(Table1[[#This Row],[Order Date]])</f>
        <v>2024</v>
      </c>
      <c r="E383" s="2" t="s">
        <v>342</v>
      </c>
      <c r="F383" s="2" t="s">
        <v>131</v>
      </c>
      <c r="G383" s="2" t="s">
        <v>41</v>
      </c>
      <c r="H383" s="23">
        <v>4000</v>
      </c>
      <c r="I383" s="2">
        <v>4</v>
      </c>
      <c r="J383" s="31">
        <v>20</v>
      </c>
      <c r="K383" s="7">
        <f t="shared" si="20"/>
        <v>16000</v>
      </c>
      <c r="L383" s="7">
        <f t="shared" si="21"/>
        <v>3200</v>
      </c>
      <c r="M383" s="7">
        <f t="shared" si="22"/>
        <v>12800</v>
      </c>
      <c r="N383" s="23">
        <v>59000</v>
      </c>
      <c r="O383" s="7">
        <f t="shared" si="23"/>
        <v>71800</v>
      </c>
      <c r="P383" s="2" t="s">
        <v>22</v>
      </c>
      <c r="Q383" t="str">
        <f>_xlfn.XLOOKUP(B383,Status!$A$2:$A$1867,Status!$B$2:$B$1867)</f>
        <v>Completed</v>
      </c>
      <c r="R383" s="2" t="s">
        <v>23</v>
      </c>
      <c r="S383" s="8">
        <v>5</v>
      </c>
      <c r="T383" s="2" t="s">
        <v>37</v>
      </c>
      <c r="U383" s="31" t="str" cm="1">
        <f t="array" ref="U383">_xlfn.IFS(L383&lt;=5000,$Z$3,AND(L383&gt;5000,L383&lt;=15000),$Z$4,AND(L383&gt;15000,L383&lt;=30000),$Z$5,AND(L383&gt;30000,L383&lt;=50000),$Z$6,L383&gt;50000,$Z$7)</f>
        <v>Sangat Rendah</v>
      </c>
      <c r="V383" s="2"/>
    </row>
    <row r="384" spans="1:22" ht="15.75" customHeight="1" x14ac:dyDescent="0.25">
      <c r="A384" s="26"/>
      <c r="B384" s="2" t="s">
        <v>677</v>
      </c>
      <c r="C384" s="32">
        <v>45622.663969907408</v>
      </c>
      <c r="D384" s="53">
        <f>YEAR(Table1[[#This Row],[Order Date]])</f>
        <v>2024</v>
      </c>
      <c r="E384" s="2" t="s">
        <v>402</v>
      </c>
      <c r="F384" s="2" t="s">
        <v>163</v>
      </c>
      <c r="G384" s="2" t="s">
        <v>144</v>
      </c>
      <c r="H384" s="23">
        <v>18000</v>
      </c>
      <c r="I384" s="2">
        <v>1</v>
      </c>
      <c r="J384" s="31">
        <v>15</v>
      </c>
      <c r="K384" s="7">
        <f t="shared" si="20"/>
        <v>18000</v>
      </c>
      <c r="L384" s="7">
        <f t="shared" si="21"/>
        <v>2700</v>
      </c>
      <c r="M384" s="7">
        <f t="shared" si="22"/>
        <v>15300</v>
      </c>
      <c r="N384" s="23">
        <v>50000</v>
      </c>
      <c r="O384" s="7">
        <f t="shared" si="23"/>
        <v>65300</v>
      </c>
      <c r="P384" s="2" t="s">
        <v>63</v>
      </c>
      <c r="Q384" t="str">
        <f>_xlfn.XLOOKUP(B384,Status!$A$2:$A$1867,Status!$B$2:$B$1867)</f>
        <v>Completed</v>
      </c>
      <c r="R384" s="2" t="s">
        <v>82</v>
      </c>
      <c r="S384" s="8">
        <v>4</v>
      </c>
      <c r="T384" s="2" t="s">
        <v>24</v>
      </c>
      <c r="U384" s="31" t="str" cm="1">
        <f t="array" ref="U384">_xlfn.IFS(L384&lt;=5000,$Z$3,AND(L384&gt;5000,L384&lt;=15000),$Z$4,AND(L384&gt;15000,L384&lt;=30000),$Z$5,AND(L384&gt;30000,L384&lt;=50000),$Z$6,L384&gt;50000,$Z$7)</f>
        <v>Sangat Rendah</v>
      </c>
      <c r="V384" s="2"/>
    </row>
    <row r="385" spans="1:22" ht="15.75" customHeight="1" x14ac:dyDescent="0.25">
      <c r="A385" s="26"/>
      <c r="B385" s="2" t="s">
        <v>678</v>
      </c>
      <c r="C385" s="32">
        <v>45622.683680555558</v>
      </c>
      <c r="D385" s="53">
        <f>YEAR(Table1[[#This Row],[Order Date]])</f>
        <v>2024</v>
      </c>
      <c r="E385" s="2" t="s">
        <v>601</v>
      </c>
      <c r="F385" s="2" t="s">
        <v>119</v>
      </c>
      <c r="G385" s="2" t="s">
        <v>75</v>
      </c>
      <c r="H385" s="23">
        <v>55000</v>
      </c>
      <c r="I385" s="2">
        <v>2</v>
      </c>
      <c r="J385" s="31">
        <v>10</v>
      </c>
      <c r="K385" s="7">
        <f t="shared" si="20"/>
        <v>110000</v>
      </c>
      <c r="L385" s="7">
        <f t="shared" si="21"/>
        <v>11000</v>
      </c>
      <c r="M385" s="7">
        <f t="shared" si="22"/>
        <v>99000</v>
      </c>
      <c r="N385" s="23">
        <v>0</v>
      </c>
      <c r="O385" s="7">
        <f t="shared" si="23"/>
        <v>99000</v>
      </c>
      <c r="P385" s="2" t="s">
        <v>35</v>
      </c>
      <c r="Q385" t="str">
        <f>_xlfn.XLOOKUP(B385,Status!$A$2:$A$1867,Status!$B$2:$B$1867)</f>
        <v>Completed</v>
      </c>
      <c r="R385" s="2" t="s">
        <v>30</v>
      </c>
      <c r="S385" s="8">
        <v>4</v>
      </c>
      <c r="T385" s="2" t="s">
        <v>24</v>
      </c>
      <c r="U385" s="31" t="str" cm="1">
        <f t="array" ref="U385">_xlfn.IFS(L385&lt;=5000,$Z$3,AND(L385&gt;5000,L385&lt;=15000),$Z$4,AND(L385&gt;15000,L385&lt;=30000),$Z$5,AND(L385&gt;30000,L385&lt;=50000),$Z$6,L385&gt;50000,$Z$7)</f>
        <v>Rendah</v>
      </c>
      <c r="V385" s="2"/>
    </row>
    <row r="386" spans="1:22" ht="15.75" customHeight="1" x14ac:dyDescent="0.25">
      <c r="A386" s="26"/>
      <c r="B386" s="2" t="s">
        <v>679</v>
      </c>
      <c r="C386" s="32">
        <v>45622.748402777783</v>
      </c>
      <c r="D386" s="53">
        <f>YEAR(Table1[[#This Row],[Order Date]])</f>
        <v>2024</v>
      </c>
      <c r="E386" s="2" t="s">
        <v>112</v>
      </c>
      <c r="F386" s="2" t="s">
        <v>113</v>
      </c>
      <c r="G386" s="2" t="s">
        <v>75</v>
      </c>
      <c r="H386" s="23">
        <v>55000</v>
      </c>
      <c r="I386" s="2">
        <v>4</v>
      </c>
      <c r="J386" s="31">
        <v>10</v>
      </c>
      <c r="K386" s="7">
        <f t="shared" si="20"/>
        <v>220000</v>
      </c>
      <c r="L386" s="7">
        <f t="shared" si="21"/>
        <v>22000</v>
      </c>
      <c r="M386" s="7">
        <f t="shared" si="22"/>
        <v>198000</v>
      </c>
      <c r="N386" s="23">
        <v>18000</v>
      </c>
      <c r="O386" s="7">
        <f t="shared" si="23"/>
        <v>216000</v>
      </c>
      <c r="P386" s="2" t="s">
        <v>35</v>
      </c>
      <c r="Q386" t="str">
        <f>_xlfn.XLOOKUP(B386,Status!$A$2:$A$1867,Status!$B$2:$B$1867)</f>
        <v>Completed</v>
      </c>
      <c r="R386" s="2" t="s">
        <v>30</v>
      </c>
      <c r="S386" s="8">
        <v>2</v>
      </c>
      <c r="T386" s="2" t="s">
        <v>24</v>
      </c>
      <c r="U386" s="31" t="str" cm="1">
        <f t="array" ref="U386">_xlfn.IFS(L386&lt;=5000,$Z$3,AND(L386&gt;5000,L386&lt;=15000),$Z$4,AND(L386&gt;15000,L386&lt;=30000),$Z$5,AND(L386&gt;30000,L386&lt;=50000),$Z$6,L386&gt;50000,$Z$7)</f>
        <v>Normal</v>
      </c>
      <c r="V386" s="2"/>
    </row>
    <row r="387" spans="1:22" ht="15.75" customHeight="1" x14ac:dyDescent="0.25">
      <c r="A387" s="26"/>
      <c r="B387" s="2" t="s">
        <v>680</v>
      </c>
      <c r="C387" s="32">
        <v>45622.824826388889</v>
      </c>
      <c r="D387" s="53">
        <f>YEAR(Table1[[#This Row],[Order Date]])</f>
        <v>2024</v>
      </c>
      <c r="E387" s="2" t="s">
        <v>681</v>
      </c>
      <c r="F387" s="2" t="s">
        <v>262</v>
      </c>
      <c r="G387" s="2" t="s">
        <v>34</v>
      </c>
      <c r="H387" s="23">
        <v>16000</v>
      </c>
      <c r="I387" s="2">
        <v>5</v>
      </c>
      <c r="J387" s="31">
        <v>5</v>
      </c>
      <c r="K387" s="7">
        <f t="shared" si="20"/>
        <v>80000</v>
      </c>
      <c r="L387" s="7">
        <f t="shared" si="21"/>
        <v>4000</v>
      </c>
      <c r="M387" s="7">
        <f t="shared" si="22"/>
        <v>76000</v>
      </c>
      <c r="N387" s="23">
        <v>18000</v>
      </c>
      <c r="O387" s="7">
        <f t="shared" si="23"/>
        <v>94000</v>
      </c>
      <c r="P387" s="2" t="s">
        <v>35</v>
      </c>
      <c r="Q387" t="str">
        <f>_xlfn.XLOOKUP(B387,Status!$A$2:$A$1867,Status!$B$2:$B$1867)</f>
        <v>Completed</v>
      </c>
      <c r="R387" s="2" t="s">
        <v>82</v>
      </c>
      <c r="S387" s="8">
        <v>5</v>
      </c>
      <c r="T387" s="2" t="s">
        <v>24</v>
      </c>
      <c r="U387" s="31" t="str" cm="1">
        <f t="array" ref="U387">_xlfn.IFS(L387&lt;=5000,$Z$3,AND(L387&gt;5000,L387&lt;=15000),$Z$4,AND(L387&gt;15000,L387&lt;=30000),$Z$5,AND(L387&gt;30000,L387&lt;=50000),$Z$6,L387&gt;50000,$Z$7)</f>
        <v>Sangat Rendah</v>
      </c>
      <c r="V387" s="2"/>
    </row>
    <row r="388" spans="1:22" ht="15.75" customHeight="1" x14ac:dyDescent="0.25">
      <c r="A388" s="26"/>
      <c r="B388" s="2" t="s">
        <v>682</v>
      </c>
      <c r="C388" s="32">
        <v>45623.118333333332</v>
      </c>
      <c r="D388" s="53">
        <f>YEAR(Table1[[#This Row],[Order Date]])</f>
        <v>2024</v>
      </c>
      <c r="E388" s="2" t="s">
        <v>683</v>
      </c>
      <c r="F388" s="2" t="s">
        <v>27</v>
      </c>
      <c r="G388" s="2" t="s">
        <v>186</v>
      </c>
      <c r="H388" s="23">
        <v>45000</v>
      </c>
      <c r="I388" s="2">
        <v>5</v>
      </c>
      <c r="J388" s="31">
        <v>15</v>
      </c>
      <c r="K388" s="7">
        <f t="shared" ref="K388:K451" si="24">H388*I388</f>
        <v>225000</v>
      </c>
      <c r="L388" s="7">
        <f t="shared" ref="L388:L451" si="25">K388*(J388/100)</f>
        <v>33750</v>
      </c>
      <c r="M388" s="7">
        <f t="shared" ref="M388:M451" si="26">K388-L388</f>
        <v>191250</v>
      </c>
      <c r="N388" s="23">
        <v>17000</v>
      </c>
      <c r="O388" s="7">
        <f t="shared" ref="O388:O451" si="27">SUM(M388:N388)</f>
        <v>208250</v>
      </c>
      <c r="P388" s="2" t="s">
        <v>35</v>
      </c>
      <c r="Q388" t="str">
        <f>_xlfn.XLOOKUP(B388,Status!$A$2:$A$1867,Status!$B$2:$B$1867)</f>
        <v>Returned</v>
      </c>
      <c r="R388" s="2" t="s">
        <v>30</v>
      </c>
      <c r="S388" s="8">
        <v>1</v>
      </c>
      <c r="T388" s="2" t="s">
        <v>37</v>
      </c>
      <c r="U388" s="31" t="str" cm="1">
        <f t="array" ref="U388">_xlfn.IFS(L388&lt;=5000,$Z$3,AND(L388&gt;5000,L388&lt;=15000),$Z$4,AND(L388&gt;15000,L388&lt;=30000),$Z$5,AND(L388&gt;30000,L388&lt;=50000),$Z$6,L388&gt;50000,$Z$7)</f>
        <v>Tinggi</v>
      </c>
      <c r="V388" s="2"/>
    </row>
    <row r="389" spans="1:22" ht="15.75" customHeight="1" x14ac:dyDescent="0.25">
      <c r="A389" s="26"/>
      <c r="B389" s="2" t="s">
        <v>684</v>
      </c>
      <c r="C389" s="32">
        <v>45623.428807870368</v>
      </c>
      <c r="D389" s="53">
        <f>YEAR(Table1[[#This Row],[Order Date]])</f>
        <v>2024</v>
      </c>
      <c r="E389" s="2" t="s">
        <v>402</v>
      </c>
      <c r="F389" s="2" t="s">
        <v>163</v>
      </c>
      <c r="G389" s="2" t="s">
        <v>81</v>
      </c>
      <c r="H389" s="23">
        <v>17000</v>
      </c>
      <c r="I389" s="2">
        <v>2</v>
      </c>
      <c r="J389" s="31">
        <v>15</v>
      </c>
      <c r="K389" s="7">
        <f t="shared" si="24"/>
        <v>34000</v>
      </c>
      <c r="L389" s="7">
        <f t="shared" si="25"/>
        <v>5100</v>
      </c>
      <c r="M389" s="7">
        <f t="shared" si="26"/>
        <v>28900</v>
      </c>
      <c r="N389" s="23">
        <v>50000</v>
      </c>
      <c r="O389" s="7">
        <f t="shared" si="27"/>
        <v>78900</v>
      </c>
      <c r="P389" s="2" t="s">
        <v>35</v>
      </c>
      <c r="Q389" t="str">
        <f>_xlfn.XLOOKUP(B389,Status!$A$2:$A$1867,Status!$B$2:$B$1867)</f>
        <v>Completed</v>
      </c>
      <c r="R389" s="2" t="s">
        <v>82</v>
      </c>
      <c r="S389" s="8">
        <v>3</v>
      </c>
      <c r="T389" s="2" t="s">
        <v>24</v>
      </c>
      <c r="U389" s="31" t="str" cm="1">
        <f t="array" ref="U389">_xlfn.IFS(L389&lt;=5000,$Z$3,AND(L389&gt;5000,L389&lt;=15000),$Z$4,AND(L389&gt;15000,L389&lt;=30000),$Z$5,AND(L389&gt;30000,L389&lt;=50000),$Z$6,L389&gt;50000,$Z$7)</f>
        <v>Rendah</v>
      </c>
      <c r="V389" s="2"/>
    </row>
    <row r="390" spans="1:22" ht="15.75" customHeight="1" x14ac:dyDescent="0.25">
      <c r="A390" s="26"/>
      <c r="B390" s="2" t="s">
        <v>685</v>
      </c>
      <c r="C390" s="32">
        <v>45623.495648148149</v>
      </c>
      <c r="D390" s="53">
        <f>YEAR(Table1[[#This Row],[Order Date]])</f>
        <v>2024</v>
      </c>
      <c r="E390" s="2" t="s">
        <v>495</v>
      </c>
      <c r="F390" s="2" t="s">
        <v>44</v>
      </c>
      <c r="G390" s="2" t="s">
        <v>21</v>
      </c>
      <c r="H390" s="23">
        <v>45000</v>
      </c>
      <c r="I390" s="2">
        <v>2</v>
      </c>
      <c r="J390" s="31">
        <v>20</v>
      </c>
      <c r="K390" s="7">
        <f t="shared" si="24"/>
        <v>90000</v>
      </c>
      <c r="L390" s="7">
        <f t="shared" si="25"/>
        <v>18000</v>
      </c>
      <c r="M390" s="7">
        <f t="shared" si="26"/>
        <v>72000</v>
      </c>
      <c r="N390" s="23">
        <v>93000</v>
      </c>
      <c r="O390" s="7">
        <f t="shared" si="27"/>
        <v>165000</v>
      </c>
      <c r="P390" s="2" t="s">
        <v>35</v>
      </c>
      <c r="Q390" t="str">
        <f>_xlfn.XLOOKUP(B390,Status!$A$2:$A$1867,Status!$B$2:$B$1867)</f>
        <v>Completed</v>
      </c>
      <c r="R390" s="2" t="s">
        <v>36</v>
      </c>
      <c r="S390" s="8">
        <v>3</v>
      </c>
      <c r="T390" s="2" t="s">
        <v>37</v>
      </c>
      <c r="U390" s="31" t="str" cm="1">
        <f t="array" ref="U390">_xlfn.IFS(L390&lt;=5000,$Z$3,AND(L390&gt;5000,L390&lt;=15000),$Z$4,AND(L390&gt;15000,L390&lt;=30000),$Z$5,AND(L390&gt;30000,L390&lt;=50000),$Z$6,L390&gt;50000,$Z$7)</f>
        <v>Normal</v>
      </c>
      <c r="V390" s="2"/>
    </row>
    <row r="391" spans="1:22" ht="15.75" customHeight="1" x14ac:dyDescent="0.25">
      <c r="A391" s="26"/>
      <c r="B391" s="2" t="s">
        <v>686</v>
      </c>
      <c r="C391" s="32">
        <v>45623.603171296287</v>
      </c>
      <c r="D391" s="53">
        <f>YEAR(Table1[[#This Row],[Order Date]])</f>
        <v>2024</v>
      </c>
      <c r="E391" s="2" t="s">
        <v>479</v>
      </c>
      <c r="F391" s="2" t="s">
        <v>107</v>
      </c>
      <c r="G391" s="2" t="s">
        <v>34</v>
      </c>
      <c r="H391" s="23">
        <v>16000</v>
      </c>
      <c r="I391" s="2">
        <v>4</v>
      </c>
      <c r="J391" s="31">
        <v>0</v>
      </c>
      <c r="K391" s="7">
        <f t="shared" si="24"/>
        <v>64000</v>
      </c>
      <c r="L391" s="7">
        <f t="shared" si="25"/>
        <v>0</v>
      </c>
      <c r="M391" s="7">
        <f t="shared" si="26"/>
        <v>64000</v>
      </c>
      <c r="N391" s="23">
        <v>97000</v>
      </c>
      <c r="O391" s="7">
        <f t="shared" si="27"/>
        <v>161000</v>
      </c>
      <c r="P391" s="2" t="s">
        <v>63</v>
      </c>
      <c r="Q391" t="str">
        <f>_xlfn.XLOOKUP(B391,Status!$A$2:$A$1867,Status!$B$2:$B$1867)</f>
        <v>Cancelled</v>
      </c>
      <c r="R391" s="2" t="s">
        <v>82</v>
      </c>
      <c r="S391" s="8">
        <v>2</v>
      </c>
      <c r="T391" s="2" t="s">
        <v>37</v>
      </c>
      <c r="U391" s="31" t="str" cm="1">
        <f t="array" ref="U391">_xlfn.IFS(L391&lt;=5000,$Z$3,AND(L391&gt;5000,L391&lt;=15000),$Z$4,AND(L391&gt;15000,L391&lt;=30000),$Z$5,AND(L391&gt;30000,L391&lt;=50000),$Z$6,L391&gt;50000,$Z$7)</f>
        <v>Sangat Rendah</v>
      </c>
      <c r="V391" s="2"/>
    </row>
    <row r="392" spans="1:22" ht="15.75" customHeight="1" x14ac:dyDescent="0.25">
      <c r="A392" s="26"/>
      <c r="B392" s="2" t="s">
        <v>687</v>
      </c>
      <c r="C392" s="32">
        <v>45623.647187499999</v>
      </c>
      <c r="D392" s="53">
        <f>YEAR(Table1[[#This Row],[Order Date]])</f>
        <v>2024</v>
      </c>
      <c r="E392" s="2" t="s">
        <v>688</v>
      </c>
      <c r="F392" s="2" t="s">
        <v>92</v>
      </c>
      <c r="G392" s="2" t="s">
        <v>81</v>
      </c>
      <c r="H392" s="23">
        <v>17000</v>
      </c>
      <c r="I392" s="2">
        <v>2</v>
      </c>
      <c r="J392" s="31">
        <v>20</v>
      </c>
      <c r="K392" s="7">
        <f t="shared" si="24"/>
        <v>34000</v>
      </c>
      <c r="L392" s="7">
        <f t="shared" si="25"/>
        <v>6800</v>
      </c>
      <c r="M392" s="7">
        <f t="shared" si="26"/>
        <v>27200</v>
      </c>
      <c r="N392" s="23">
        <v>30000</v>
      </c>
      <c r="O392" s="7">
        <f t="shared" si="27"/>
        <v>57200</v>
      </c>
      <c r="P392" s="2" t="s">
        <v>22</v>
      </c>
      <c r="Q392" t="str">
        <f>_xlfn.XLOOKUP(B392,Status!$A$2:$A$1867,Status!$B$2:$B$1867)</f>
        <v>Completed</v>
      </c>
      <c r="R392" s="2" t="s">
        <v>82</v>
      </c>
      <c r="S392" s="8">
        <v>3</v>
      </c>
      <c r="T392" s="2" t="s">
        <v>24</v>
      </c>
      <c r="U392" s="31" t="str" cm="1">
        <f t="array" ref="U392">_xlfn.IFS(L392&lt;=5000,$Z$3,AND(L392&gt;5000,L392&lt;=15000),$Z$4,AND(L392&gt;15000,L392&lt;=30000),$Z$5,AND(L392&gt;30000,L392&lt;=50000),$Z$6,L392&gt;50000,$Z$7)</f>
        <v>Rendah</v>
      </c>
      <c r="V392" s="2"/>
    </row>
    <row r="393" spans="1:22" ht="15.75" customHeight="1" x14ac:dyDescent="0.25">
      <c r="A393" s="26"/>
      <c r="B393" s="2" t="s">
        <v>689</v>
      </c>
      <c r="C393" s="32">
        <v>45623.852164351847</v>
      </c>
      <c r="D393" s="53">
        <f>YEAR(Table1[[#This Row],[Order Date]])</f>
        <v>2024</v>
      </c>
      <c r="E393" s="2" t="s">
        <v>690</v>
      </c>
      <c r="F393" s="2" t="s">
        <v>173</v>
      </c>
      <c r="G393" s="2" t="s">
        <v>88</v>
      </c>
      <c r="H393" s="23">
        <v>14000</v>
      </c>
      <c r="I393" s="2">
        <v>2</v>
      </c>
      <c r="J393" s="31">
        <v>20</v>
      </c>
      <c r="K393" s="7">
        <f t="shared" si="24"/>
        <v>28000</v>
      </c>
      <c r="L393" s="7">
        <f t="shared" si="25"/>
        <v>5600</v>
      </c>
      <c r="M393" s="7">
        <f t="shared" si="26"/>
        <v>22400</v>
      </c>
      <c r="N393" s="23">
        <v>49000</v>
      </c>
      <c r="O393" s="7">
        <f t="shared" si="27"/>
        <v>71400</v>
      </c>
      <c r="P393" s="2" t="s">
        <v>22</v>
      </c>
      <c r="Q393" t="str">
        <f>_xlfn.XLOOKUP(B393,Status!$A$2:$A$1867,Status!$B$2:$B$1867)</f>
        <v>Returned</v>
      </c>
      <c r="R393" s="2" t="s">
        <v>30</v>
      </c>
      <c r="S393" s="8">
        <v>3</v>
      </c>
      <c r="T393" s="2" t="s">
        <v>37</v>
      </c>
      <c r="U393" s="31" t="str" cm="1">
        <f t="array" ref="U393">_xlfn.IFS(L393&lt;=5000,$Z$3,AND(L393&gt;5000,L393&lt;=15000),$Z$4,AND(L393&gt;15000,L393&lt;=30000),$Z$5,AND(L393&gt;30000,L393&lt;=50000),$Z$6,L393&gt;50000,$Z$7)</f>
        <v>Rendah</v>
      </c>
      <c r="V393" s="2"/>
    </row>
    <row r="394" spans="1:22" ht="15.75" customHeight="1" x14ac:dyDescent="0.25">
      <c r="A394" s="26"/>
      <c r="B394" s="2" t="s">
        <v>691</v>
      </c>
      <c r="C394" s="32">
        <v>45623.93167824074</v>
      </c>
      <c r="D394" s="53">
        <f>YEAR(Table1[[#This Row],[Order Date]])</f>
        <v>2024</v>
      </c>
      <c r="E394" s="2" t="s">
        <v>681</v>
      </c>
      <c r="F394" s="2" t="s">
        <v>262</v>
      </c>
      <c r="G394" s="2" t="s">
        <v>186</v>
      </c>
      <c r="H394" s="23">
        <v>45000</v>
      </c>
      <c r="I394" s="2">
        <v>2</v>
      </c>
      <c r="J394" s="31">
        <v>5</v>
      </c>
      <c r="K394" s="7">
        <f t="shared" si="24"/>
        <v>90000</v>
      </c>
      <c r="L394" s="7">
        <f t="shared" si="25"/>
        <v>4500</v>
      </c>
      <c r="M394" s="7">
        <f t="shared" si="26"/>
        <v>85500</v>
      </c>
      <c r="N394" s="23">
        <v>18000</v>
      </c>
      <c r="O394" s="7">
        <f t="shared" si="27"/>
        <v>103500</v>
      </c>
      <c r="P394" s="2" t="s">
        <v>63</v>
      </c>
      <c r="Q394" t="str">
        <f>_xlfn.XLOOKUP(B394,Status!$A$2:$A$1867,Status!$B$2:$B$1867)</f>
        <v>Completed</v>
      </c>
      <c r="R394" s="2" t="s">
        <v>23</v>
      </c>
      <c r="S394" s="8">
        <v>4</v>
      </c>
      <c r="T394" s="2" t="s">
        <v>24</v>
      </c>
      <c r="U394" s="31" t="str" cm="1">
        <f t="array" ref="U394">_xlfn.IFS(L394&lt;=5000,$Z$3,AND(L394&gt;5000,L394&lt;=15000),$Z$4,AND(L394&gt;15000,L394&lt;=30000),$Z$5,AND(L394&gt;30000,L394&lt;=50000),$Z$6,L394&gt;50000,$Z$7)</f>
        <v>Sangat Rendah</v>
      </c>
      <c r="V394" s="2"/>
    </row>
    <row r="395" spans="1:22" ht="15.75" customHeight="1" x14ac:dyDescent="0.25">
      <c r="A395" s="26"/>
      <c r="B395" s="2" t="s">
        <v>692</v>
      </c>
      <c r="C395" s="32">
        <v>45624.106539351851</v>
      </c>
      <c r="D395" s="53">
        <f>YEAR(Table1[[#This Row],[Order Date]])</f>
        <v>2024</v>
      </c>
      <c r="E395" s="2" t="s">
        <v>693</v>
      </c>
      <c r="F395" s="2" t="s">
        <v>119</v>
      </c>
      <c r="G395" s="2" t="s">
        <v>104</v>
      </c>
      <c r="H395" s="23">
        <v>30000</v>
      </c>
      <c r="I395" s="2">
        <v>5</v>
      </c>
      <c r="J395" s="31">
        <v>10</v>
      </c>
      <c r="K395" s="7">
        <f t="shared" si="24"/>
        <v>150000</v>
      </c>
      <c r="L395" s="7">
        <f t="shared" si="25"/>
        <v>15000</v>
      </c>
      <c r="M395" s="7">
        <f t="shared" si="26"/>
        <v>135000</v>
      </c>
      <c r="N395" s="23">
        <v>0</v>
      </c>
      <c r="O395" s="7">
        <f t="shared" si="27"/>
        <v>135000</v>
      </c>
      <c r="P395" s="2" t="s">
        <v>29</v>
      </c>
      <c r="Q395" t="str">
        <f>_xlfn.XLOOKUP(B395,Status!$A$2:$A$1867,Status!$B$2:$B$1867)</f>
        <v>Returned</v>
      </c>
      <c r="R395" s="2" t="s">
        <v>23</v>
      </c>
      <c r="S395" s="8">
        <v>1</v>
      </c>
      <c r="T395" s="2" t="s">
        <v>24</v>
      </c>
      <c r="U395" s="31" t="str" cm="1">
        <f t="array" ref="U395">_xlfn.IFS(L395&lt;=5000,$Z$3,AND(L395&gt;5000,L395&lt;=15000),$Z$4,AND(L395&gt;15000,L395&lt;=30000),$Z$5,AND(L395&gt;30000,L395&lt;=50000),$Z$6,L395&gt;50000,$Z$7)</f>
        <v>Rendah</v>
      </c>
      <c r="V395" s="2"/>
    </row>
    <row r="396" spans="1:22" ht="15.75" customHeight="1" x14ac:dyDescent="0.25">
      <c r="A396" s="26"/>
      <c r="B396" s="2" t="s">
        <v>692</v>
      </c>
      <c r="C396" s="32">
        <v>45624.106539351851</v>
      </c>
      <c r="D396" s="53">
        <f>YEAR(Table1[[#This Row],[Order Date]])</f>
        <v>2024</v>
      </c>
      <c r="E396" s="2" t="s">
        <v>693</v>
      </c>
      <c r="F396" s="2" t="s">
        <v>119</v>
      </c>
      <c r="G396" s="2" t="s">
        <v>28</v>
      </c>
      <c r="H396" s="23">
        <v>5000</v>
      </c>
      <c r="I396" s="2">
        <v>1</v>
      </c>
      <c r="J396" s="31">
        <v>20</v>
      </c>
      <c r="K396" s="7">
        <f t="shared" si="24"/>
        <v>5000</v>
      </c>
      <c r="L396" s="7">
        <f t="shared" si="25"/>
        <v>1000</v>
      </c>
      <c r="M396" s="7">
        <f t="shared" si="26"/>
        <v>4000</v>
      </c>
      <c r="N396" s="23">
        <v>0</v>
      </c>
      <c r="O396" s="7">
        <f t="shared" si="27"/>
        <v>4000</v>
      </c>
      <c r="P396" s="2" t="s">
        <v>29</v>
      </c>
      <c r="Q396" t="str">
        <f>_xlfn.XLOOKUP(B396,Status!$A$2:$A$1867,Status!$B$2:$B$1867)</f>
        <v>Returned</v>
      </c>
      <c r="R396" s="2" t="s">
        <v>23</v>
      </c>
      <c r="S396" s="8">
        <v>1</v>
      </c>
      <c r="T396" s="2" t="s">
        <v>24</v>
      </c>
      <c r="U396" s="31" t="str" cm="1">
        <f t="array" ref="U396">_xlfn.IFS(L396&lt;=5000,$Z$3,AND(L396&gt;5000,L396&lt;=15000),$Z$4,AND(L396&gt;15000,L396&lt;=30000),$Z$5,AND(L396&gt;30000,L396&lt;=50000),$Z$6,L396&gt;50000,$Z$7)</f>
        <v>Sangat Rendah</v>
      </c>
      <c r="V396" s="2"/>
    </row>
    <row r="397" spans="1:22" ht="15.75" customHeight="1" x14ac:dyDescent="0.25">
      <c r="A397" s="26"/>
      <c r="B397" s="2" t="s">
        <v>694</v>
      </c>
      <c r="C397" s="32">
        <v>45624.178356481483</v>
      </c>
      <c r="D397" s="53">
        <f>YEAR(Table1[[#This Row],[Order Date]])</f>
        <v>2024</v>
      </c>
      <c r="E397" s="2" t="s">
        <v>695</v>
      </c>
      <c r="F397" s="2" t="s">
        <v>119</v>
      </c>
      <c r="G397" s="2" t="s">
        <v>138</v>
      </c>
      <c r="H397" s="23">
        <v>17000</v>
      </c>
      <c r="I397" s="2">
        <v>3</v>
      </c>
      <c r="J397" s="31">
        <v>5</v>
      </c>
      <c r="K397" s="7">
        <f t="shared" si="24"/>
        <v>51000</v>
      </c>
      <c r="L397" s="7">
        <f t="shared" si="25"/>
        <v>2550</v>
      </c>
      <c r="M397" s="7">
        <f t="shared" si="26"/>
        <v>48450</v>
      </c>
      <c r="N397" s="23">
        <v>0</v>
      </c>
      <c r="O397" s="7">
        <f t="shared" si="27"/>
        <v>48450</v>
      </c>
      <c r="P397" s="2" t="s">
        <v>29</v>
      </c>
      <c r="Q397" t="str">
        <f>_xlfn.XLOOKUP(B397,Status!$A$2:$A$1867,Status!$B$2:$B$1867)</f>
        <v>Completed</v>
      </c>
      <c r="R397" s="2" t="s">
        <v>82</v>
      </c>
      <c r="S397" s="8">
        <v>5</v>
      </c>
      <c r="T397" s="2" t="s">
        <v>24</v>
      </c>
      <c r="U397" s="31" t="str" cm="1">
        <f t="array" ref="U397">_xlfn.IFS(L397&lt;=5000,$Z$3,AND(L397&gt;5000,L397&lt;=15000),$Z$4,AND(L397&gt;15000,L397&lt;=30000),$Z$5,AND(L397&gt;30000,L397&lt;=50000),$Z$6,L397&gt;50000,$Z$7)</f>
        <v>Sangat Rendah</v>
      </c>
      <c r="V397" s="2"/>
    </row>
    <row r="398" spans="1:22" ht="15.75" customHeight="1" x14ac:dyDescent="0.25">
      <c r="A398" s="26"/>
      <c r="B398" s="2" t="s">
        <v>696</v>
      </c>
      <c r="C398" s="32">
        <v>45624.512974537043</v>
      </c>
      <c r="D398" s="53">
        <f>YEAR(Table1[[#This Row],[Order Date]])</f>
        <v>2024</v>
      </c>
      <c r="E398" s="2" t="s">
        <v>697</v>
      </c>
      <c r="F398" s="2" t="s">
        <v>143</v>
      </c>
      <c r="G398" s="2" t="s">
        <v>88</v>
      </c>
      <c r="H398" s="23">
        <v>14000</v>
      </c>
      <c r="I398" s="2">
        <v>4</v>
      </c>
      <c r="J398" s="31">
        <v>10</v>
      </c>
      <c r="K398" s="7">
        <f t="shared" si="24"/>
        <v>56000</v>
      </c>
      <c r="L398" s="7">
        <f t="shared" si="25"/>
        <v>5600</v>
      </c>
      <c r="M398" s="7">
        <f t="shared" si="26"/>
        <v>50400</v>
      </c>
      <c r="N398" s="23">
        <v>50000</v>
      </c>
      <c r="O398" s="7">
        <f t="shared" si="27"/>
        <v>100400</v>
      </c>
      <c r="P398" s="2" t="s">
        <v>22</v>
      </c>
      <c r="Q398" t="str">
        <f>_xlfn.XLOOKUP(B398,Status!$A$2:$A$1867,Status!$B$2:$B$1867)</f>
        <v>Completed</v>
      </c>
      <c r="R398" s="2" t="s">
        <v>46</v>
      </c>
      <c r="S398" s="8">
        <v>4</v>
      </c>
      <c r="T398" s="2" t="s">
        <v>37</v>
      </c>
      <c r="U398" s="31" t="str" cm="1">
        <f t="array" ref="U398">_xlfn.IFS(L398&lt;=5000,$Z$3,AND(L398&gt;5000,L398&lt;=15000),$Z$4,AND(L398&gt;15000,L398&lt;=30000),$Z$5,AND(L398&gt;30000,L398&lt;=50000),$Z$6,L398&gt;50000,$Z$7)</f>
        <v>Rendah</v>
      </c>
      <c r="V398" s="2"/>
    </row>
    <row r="399" spans="1:22" ht="15.75" customHeight="1" x14ac:dyDescent="0.25">
      <c r="A399" s="26"/>
      <c r="B399" s="2" t="s">
        <v>696</v>
      </c>
      <c r="C399" s="32">
        <v>45624.512974537043</v>
      </c>
      <c r="D399" s="53">
        <f>YEAR(Table1[[#This Row],[Order Date]])</f>
        <v>2024</v>
      </c>
      <c r="E399" s="2" t="s">
        <v>697</v>
      </c>
      <c r="F399" s="2" t="s">
        <v>143</v>
      </c>
      <c r="G399" s="2" t="s">
        <v>45</v>
      </c>
      <c r="H399" s="23">
        <v>40000</v>
      </c>
      <c r="I399" s="2">
        <v>2</v>
      </c>
      <c r="J399" s="31">
        <v>15</v>
      </c>
      <c r="K399" s="7">
        <f t="shared" si="24"/>
        <v>80000</v>
      </c>
      <c r="L399" s="7">
        <f t="shared" si="25"/>
        <v>12000</v>
      </c>
      <c r="M399" s="7">
        <f t="shared" si="26"/>
        <v>68000</v>
      </c>
      <c r="N399" s="23">
        <v>0</v>
      </c>
      <c r="O399" s="7">
        <f t="shared" si="27"/>
        <v>68000</v>
      </c>
      <c r="P399" s="2" t="s">
        <v>22</v>
      </c>
      <c r="Q399" t="str">
        <f>_xlfn.XLOOKUP(B399,Status!$A$2:$A$1867,Status!$B$2:$B$1867)</f>
        <v>Completed</v>
      </c>
      <c r="R399" s="2" t="s">
        <v>46</v>
      </c>
      <c r="S399" s="8">
        <v>4</v>
      </c>
      <c r="T399" s="2" t="s">
        <v>37</v>
      </c>
      <c r="U399" s="31" t="str" cm="1">
        <f t="array" ref="U399">_xlfn.IFS(L399&lt;=5000,$Z$3,AND(L399&gt;5000,L399&lt;=15000),$Z$4,AND(L399&gt;15000,L399&lt;=30000),$Z$5,AND(L399&gt;30000,L399&lt;=50000),$Z$6,L399&gt;50000,$Z$7)</f>
        <v>Rendah</v>
      </c>
      <c r="V399" s="2"/>
    </row>
    <row r="400" spans="1:22" ht="15.75" customHeight="1" x14ac:dyDescent="0.25">
      <c r="A400" s="26"/>
      <c r="B400" s="2" t="s">
        <v>698</v>
      </c>
      <c r="C400" s="32">
        <v>45624.686874999999</v>
      </c>
      <c r="D400" s="53">
        <f>YEAR(Table1[[#This Row],[Order Date]])</f>
        <v>2024</v>
      </c>
      <c r="E400" s="2" t="s">
        <v>699</v>
      </c>
      <c r="F400" s="2" t="s">
        <v>238</v>
      </c>
      <c r="G400" s="2" t="s">
        <v>174</v>
      </c>
      <c r="H400" s="23">
        <v>10000</v>
      </c>
      <c r="I400" s="2">
        <v>4</v>
      </c>
      <c r="J400" s="31">
        <v>0</v>
      </c>
      <c r="K400" s="7">
        <f t="shared" si="24"/>
        <v>40000</v>
      </c>
      <c r="L400" s="7">
        <f t="shared" si="25"/>
        <v>0</v>
      </c>
      <c r="M400" s="7">
        <f t="shared" si="26"/>
        <v>40000</v>
      </c>
      <c r="N400" s="23">
        <v>28000</v>
      </c>
      <c r="O400" s="7">
        <f t="shared" si="27"/>
        <v>68000</v>
      </c>
      <c r="P400" s="2" t="s">
        <v>35</v>
      </c>
      <c r="Q400" t="str">
        <f>_xlfn.XLOOKUP(B400,Status!$A$2:$A$1867,Status!$B$2:$B$1867)</f>
        <v>Returned</v>
      </c>
      <c r="R400" s="2" t="s">
        <v>82</v>
      </c>
      <c r="S400" s="8">
        <v>5</v>
      </c>
      <c r="T400" s="2" t="s">
        <v>37</v>
      </c>
      <c r="U400" s="31" t="str" cm="1">
        <f t="array" ref="U400">_xlfn.IFS(L400&lt;=5000,$Z$3,AND(L400&gt;5000,L400&lt;=15000),$Z$4,AND(L400&gt;15000,L400&lt;=30000),$Z$5,AND(L400&gt;30000,L400&lt;=50000),$Z$6,L400&gt;50000,$Z$7)</f>
        <v>Sangat Rendah</v>
      </c>
      <c r="V400" s="2"/>
    </row>
    <row r="401" spans="1:22" ht="15.75" customHeight="1" x14ac:dyDescent="0.25">
      <c r="A401" s="26"/>
      <c r="B401" s="2" t="s">
        <v>700</v>
      </c>
      <c r="C401" s="32">
        <v>45624.811597222222</v>
      </c>
      <c r="D401" s="53">
        <f>YEAR(Table1[[#This Row],[Order Date]])</f>
        <v>2024</v>
      </c>
      <c r="E401" s="2" t="s">
        <v>502</v>
      </c>
      <c r="F401" s="2" t="s">
        <v>107</v>
      </c>
      <c r="G401" s="2" t="s">
        <v>186</v>
      </c>
      <c r="H401" s="23">
        <v>45000</v>
      </c>
      <c r="I401" s="2">
        <v>4</v>
      </c>
      <c r="J401" s="31">
        <v>20</v>
      </c>
      <c r="K401" s="7">
        <f t="shared" si="24"/>
        <v>180000</v>
      </c>
      <c r="L401" s="7">
        <f t="shared" si="25"/>
        <v>36000</v>
      </c>
      <c r="M401" s="7">
        <f t="shared" si="26"/>
        <v>144000</v>
      </c>
      <c r="N401" s="23">
        <v>97000</v>
      </c>
      <c r="O401" s="7">
        <f t="shared" si="27"/>
        <v>241000</v>
      </c>
      <c r="P401" s="2" t="s">
        <v>63</v>
      </c>
      <c r="Q401" t="str">
        <f>_xlfn.XLOOKUP(B401,Status!$A$2:$A$1867,Status!$B$2:$B$1867)</f>
        <v>Completed</v>
      </c>
      <c r="R401" s="2" t="s">
        <v>23</v>
      </c>
      <c r="S401" s="8">
        <v>4</v>
      </c>
      <c r="T401" s="2" t="s">
        <v>24</v>
      </c>
      <c r="U401" s="31" t="str" cm="1">
        <f t="array" ref="U401">_xlfn.IFS(L401&lt;=5000,$Z$3,AND(L401&gt;5000,L401&lt;=15000),$Z$4,AND(L401&gt;15000,L401&lt;=30000),$Z$5,AND(L401&gt;30000,L401&lt;=50000),$Z$6,L401&gt;50000,$Z$7)</f>
        <v>Tinggi</v>
      </c>
      <c r="V401" s="2"/>
    </row>
    <row r="402" spans="1:22" ht="15.75" customHeight="1" x14ac:dyDescent="0.25">
      <c r="A402" s="26"/>
      <c r="B402" s="2" t="s">
        <v>701</v>
      </c>
      <c r="C402" s="32">
        <v>45625.003437500003</v>
      </c>
      <c r="D402" s="53">
        <f>YEAR(Table1[[#This Row],[Order Date]])</f>
        <v>2024</v>
      </c>
      <c r="E402" s="2" t="s">
        <v>593</v>
      </c>
      <c r="F402" s="2" t="s">
        <v>195</v>
      </c>
      <c r="G402" s="2" t="s">
        <v>75</v>
      </c>
      <c r="H402" s="23">
        <v>55000</v>
      </c>
      <c r="I402" s="2">
        <v>3</v>
      </c>
      <c r="J402" s="31">
        <v>5</v>
      </c>
      <c r="K402" s="7">
        <f t="shared" si="24"/>
        <v>165000</v>
      </c>
      <c r="L402" s="7">
        <f t="shared" si="25"/>
        <v>8250</v>
      </c>
      <c r="M402" s="7">
        <f t="shared" si="26"/>
        <v>156750</v>
      </c>
      <c r="N402" s="23">
        <v>87000</v>
      </c>
      <c r="O402" s="7">
        <f t="shared" si="27"/>
        <v>243750</v>
      </c>
      <c r="P402" s="2" t="s">
        <v>29</v>
      </c>
      <c r="Q402" t="str">
        <f>_xlfn.XLOOKUP(B402,Status!$A$2:$A$1867,Status!$B$2:$B$1867)</f>
        <v>Completed</v>
      </c>
      <c r="R402" s="2" t="s">
        <v>82</v>
      </c>
      <c r="S402" s="8">
        <v>2</v>
      </c>
      <c r="T402" s="2" t="s">
        <v>24</v>
      </c>
      <c r="U402" s="31" t="str" cm="1">
        <f t="array" ref="U402">_xlfn.IFS(L402&lt;=5000,$Z$3,AND(L402&gt;5000,L402&lt;=15000),$Z$4,AND(L402&gt;15000,L402&lt;=30000),$Z$5,AND(L402&gt;30000,L402&lt;=50000),$Z$6,L402&gt;50000,$Z$7)</f>
        <v>Rendah</v>
      </c>
      <c r="V402" s="2"/>
    </row>
    <row r="403" spans="1:22" ht="15.75" customHeight="1" x14ac:dyDescent="0.25">
      <c r="A403" s="26"/>
      <c r="B403" s="2" t="s">
        <v>702</v>
      </c>
      <c r="C403" s="32">
        <v>45625.054247685177</v>
      </c>
      <c r="D403" s="53">
        <f>YEAR(Table1[[#This Row],[Order Date]])</f>
        <v>2024</v>
      </c>
      <c r="E403" s="2" t="s">
        <v>703</v>
      </c>
      <c r="F403" s="2" t="s">
        <v>122</v>
      </c>
      <c r="G403" s="2" t="s">
        <v>41</v>
      </c>
      <c r="H403" s="23">
        <v>4000</v>
      </c>
      <c r="I403" s="2">
        <v>2</v>
      </c>
      <c r="J403" s="31">
        <v>5</v>
      </c>
      <c r="K403" s="7">
        <f t="shared" si="24"/>
        <v>8000</v>
      </c>
      <c r="L403" s="7">
        <f t="shared" si="25"/>
        <v>400</v>
      </c>
      <c r="M403" s="7">
        <f t="shared" si="26"/>
        <v>7600</v>
      </c>
      <c r="N403" s="23">
        <v>78000</v>
      </c>
      <c r="O403" s="7">
        <f t="shared" si="27"/>
        <v>85600</v>
      </c>
      <c r="P403" s="2" t="s">
        <v>22</v>
      </c>
      <c r="Q403" t="str">
        <f>_xlfn.XLOOKUP(B403,Status!$A$2:$A$1867,Status!$B$2:$B$1867)</f>
        <v>Completed</v>
      </c>
      <c r="R403" s="2" t="s">
        <v>82</v>
      </c>
      <c r="S403" s="8">
        <v>2</v>
      </c>
      <c r="T403" s="2" t="s">
        <v>24</v>
      </c>
      <c r="U403" s="31" t="str" cm="1">
        <f t="array" ref="U403">_xlfn.IFS(L403&lt;=5000,$Z$3,AND(L403&gt;5000,L403&lt;=15000),$Z$4,AND(L403&gt;15000,L403&lt;=30000),$Z$5,AND(L403&gt;30000,L403&lt;=50000),$Z$6,L403&gt;50000,$Z$7)</f>
        <v>Sangat Rendah</v>
      </c>
      <c r="V403" s="2"/>
    </row>
    <row r="404" spans="1:22" ht="15.75" customHeight="1" x14ac:dyDescent="0.25">
      <c r="A404" s="26"/>
      <c r="B404" s="2" t="s">
        <v>704</v>
      </c>
      <c r="C404" s="32">
        <v>45625.054560185177</v>
      </c>
      <c r="D404" s="53">
        <f>YEAR(Table1[[#This Row],[Order Date]])</f>
        <v>2024</v>
      </c>
      <c r="E404" s="2" t="s">
        <v>705</v>
      </c>
      <c r="F404" s="2" t="s">
        <v>189</v>
      </c>
      <c r="G404" s="2" t="s">
        <v>67</v>
      </c>
      <c r="H404" s="23">
        <v>15000</v>
      </c>
      <c r="I404" s="2">
        <v>2</v>
      </c>
      <c r="J404" s="31">
        <v>10</v>
      </c>
      <c r="K404" s="7">
        <f t="shared" si="24"/>
        <v>30000</v>
      </c>
      <c r="L404" s="7">
        <f t="shared" si="25"/>
        <v>3000</v>
      </c>
      <c r="M404" s="7">
        <f t="shared" si="26"/>
        <v>27000</v>
      </c>
      <c r="N404" s="23">
        <v>57000</v>
      </c>
      <c r="O404" s="7">
        <f t="shared" si="27"/>
        <v>84000</v>
      </c>
      <c r="P404" s="2" t="s">
        <v>35</v>
      </c>
      <c r="Q404" t="str">
        <f>_xlfn.XLOOKUP(B404,Status!$A$2:$A$1867,Status!$B$2:$B$1867)</f>
        <v>Completed</v>
      </c>
      <c r="R404" s="2" t="s">
        <v>23</v>
      </c>
      <c r="S404" s="8">
        <v>4</v>
      </c>
      <c r="T404" s="2" t="s">
        <v>24</v>
      </c>
      <c r="U404" s="31" t="str" cm="1">
        <f t="array" ref="U404">_xlfn.IFS(L404&lt;=5000,$Z$3,AND(L404&gt;5000,L404&lt;=15000),$Z$4,AND(L404&gt;15000,L404&lt;=30000),$Z$5,AND(L404&gt;30000,L404&lt;=50000),$Z$6,L404&gt;50000,$Z$7)</f>
        <v>Sangat Rendah</v>
      </c>
      <c r="V404" s="2"/>
    </row>
    <row r="405" spans="1:22" ht="15.75" customHeight="1" x14ac:dyDescent="0.25">
      <c r="A405" s="26"/>
      <c r="B405" s="2" t="s">
        <v>706</v>
      </c>
      <c r="C405" s="32">
        <v>45625.092488425929</v>
      </c>
      <c r="D405" s="53">
        <f>YEAR(Table1[[#This Row],[Order Date]])</f>
        <v>2024</v>
      </c>
      <c r="E405" s="2" t="s">
        <v>100</v>
      </c>
      <c r="F405" s="2" t="s">
        <v>66</v>
      </c>
      <c r="G405" s="2" t="s">
        <v>250</v>
      </c>
      <c r="H405" s="23">
        <v>18000</v>
      </c>
      <c r="I405" s="2">
        <v>4</v>
      </c>
      <c r="J405" s="31">
        <v>0</v>
      </c>
      <c r="K405" s="7">
        <f t="shared" si="24"/>
        <v>72000</v>
      </c>
      <c r="L405" s="7">
        <f t="shared" si="25"/>
        <v>0</v>
      </c>
      <c r="M405" s="7">
        <f t="shared" si="26"/>
        <v>72000</v>
      </c>
      <c r="N405" s="23">
        <v>59000</v>
      </c>
      <c r="O405" s="7">
        <f t="shared" si="27"/>
        <v>131000</v>
      </c>
      <c r="P405" s="2" t="s">
        <v>22</v>
      </c>
      <c r="Q405" t="str">
        <f>_xlfn.XLOOKUP(B405,Status!$A$2:$A$1867,Status!$B$2:$B$1867)</f>
        <v>Completed</v>
      </c>
      <c r="R405" s="2" t="s">
        <v>46</v>
      </c>
      <c r="S405" s="8">
        <v>5</v>
      </c>
      <c r="T405" s="2" t="s">
        <v>24</v>
      </c>
      <c r="U405" s="31" t="str" cm="1">
        <f t="array" ref="U405">_xlfn.IFS(L405&lt;=5000,$Z$3,AND(L405&gt;5000,L405&lt;=15000),$Z$4,AND(L405&gt;15000,L405&lt;=30000),$Z$5,AND(L405&gt;30000,L405&lt;=50000),$Z$6,L405&gt;50000,$Z$7)</f>
        <v>Sangat Rendah</v>
      </c>
      <c r="V405" s="2"/>
    </row>
    <row r="406" spans="1:22" ht="15.75" customHeight="1" x14ac:dyDescent="0.25">
      <c r="A406" s="26"/>
      <c r="B406" s="2" t="s">
        <v>707</v>
      </c>
      <c r="C406" s="32">
        <v>45625.140717592592</v>
      </c>
      <c r="D406" s="53">
        <f>YEAR(Table1[[#This Row],[Order Date]])</f>
        <v>2024</v>
      </c>
      <c r="E406" s="2" t="s">
        <v>708</v>
      </c>
      <c r="F406" s="2" t="s">
        <v>116</v>
      </c>
      <c r="G406" s="2" t="s">
        <v>104</v>
      </c>
      <c r="H406" s="23">
        <v>30000</v>
      </c>
      <c r="I406" s="2">
        <v>4</v>
      </c>
      <c r="J406" s="31">
        <v>20</v>
      </c>
      <c r="K406" s="7">
        <f t="shared" si="24"/>
        <v>120000</v>
      </c>
      <c r="L406" s="7">
        <f t="shared" si="25"/>
        <v>24000</v>
      </c>
      <c r="M406" s="7">
        <f t="shared" si="26"/>
        <v>96000</v>
      </c>
      <c r="N406" s="23">
        <v>72000</v>
      </c>
      <c r="O406" s="7">
        <f t="shared" si="27"/>
        <v>168000</v>
      </c>
      <c r="P406" s="2" t="s">
        <v>63</v>
      </c>
      <c r="Q406" t="str">
        <f>_xlfn.XLOOKUP(B406,Status!$A$2:$A$1867,Status!$B$2:$B$1867)</f>
        <v>Completed</v>
      </c>
      <c r="R406" s="2" t="s">
        <v>23</v>
      </c>
      <c r="S406" s="8">
        <v>4</v>
      </c>
      <c r="T406" s="2" t="s">
        <v>24</v>
      </c>
      <c r="U406" s="31" t="str" cm="1">
        <f t="array" ref="U406">_xlfn.IFS(L406&lt;=5000,$Z$3,AND(L406&gt;5000,L406&lt;=15000),$Z$4,AND(L406&gt;15000,L406&lt;=30000),$Z$5,AND(L406&gt;30000,L406&lt;=50000),$Z$6,L406&gt;50000,$Z$7)</f>
        <v>Normal</v>
      </c>
      <c r="V406" s="2"/>
    </row>
    <row r="407" spans="1:22" ht="15.75" customHeight="1" x14ac:dyDescent="0.25">
      <c r="A407" s="26"/>
      <c r="B407" s="2" t="s">
        <v>709</v>
      </c>
      <c r="C407" s="32">
        <v>45625.605902777781</v>
      </c>
      <c r="D407" s="53">
        <f>YEAR(Table1[[#This Row],[Order Date]])</f>
        <v>2024</v>
      </c>
      <c r="E407" s="2" t="s">
        <v>100</v>
      </c>
      <c r="F407" s="2" t="s">
        <v>66</v>
      </c>
      <c r="G407" s="2" t="s">
        <v>190</v>
      </c>
      <c r="H407" s="23">
        <v>35000</v>
      </c>
      <c r="I407" s="2">
        <v>2</v>
      </c>
      <c r="J407" s="31">
        <v>20</v>
      </c>
      <c r="K407" s="7">
        <f t="shared" si="24"/>
        <v>70000</v>
      </c>
      <c r="L407" s="7">
        <f t="shared" si="25"/>
        <v>14000</v>
      </c>
      <c r="M407" s="7">
        <f t="shared" si="26"/>
        <v>56000</v>
      </c>
      <c r="N407" s="23">
        <v>59000</v>
      </c>
      <c r="O407" s="7">
        <f t="shared" si="27"/>
        <v>115000</v>
      </c>
      <c r="P407" s="2" t="s">
        <v>35</v>
      </c>
      <c r="Q407" t="str">
        <f>_xlfn.XLOOKUP(B407,Status!$A$2:$A$1867,Status!$B$2:$B$1867)</f>
        <v>Completed</v>
      </c>
      <c r="R407" s="2" t="s">
        <v>30</v>
      </c>
      <c r="S407" s="8">
        <v>3</v>
      </c>
      <c r="T407" s="2" t="s">
        <v>24</v>
      </c>
      <c r="U407" s="31" t="str" cm="1">
        <f t="array" ref="U407">_xlfn.IFS(L407&lt;=5000,$Z$3,AND(L407&gt;5000,L407&lt;=15000),$Z$4,AND(L407&gt;15000,L407&lt;=30000),$Z$5,AND(L407&gt;30000,L407&lt;=50000),$Z$6,L407&gt;50000,$Z$7)</f>
        <v>Rendah</v>
      </c>
      <c r="V407" s="2"/>
    </row>
    <row r="408" spans="1:22" ht="15.75" customHeight="1" x14ac:dyDescent="0.25">
      <c r="A408" s="26"/>
      <c r="B408" s="2" t="s">
        <v>710</v>
      </c>
      <c r="C408" s="32">
        <v>45625.796550925923</v>
      </c>
      <c r="D408" s="53">
        <f>YEAR(Table1[[#This Row],[Order Date]])</f>
        <v>2024</v>
      </c>
      <c r="E408" s="2" t="s">
        <v>711</v>
      </c>
      <c r="F408" s="2" t="s">
        <v>177</v>
      </c>
      <c r="G408" s="2" t="s">
        <v>21</v>
      </c>
      <c r="H408" s="23">
        <v>45000</v>
      </c>
      <c r="I408" s="2">
        <v>4</v>
      </c>
      <c r="J408" s="31">
        <v>10</v>
      </c>
      <c r="K408" s="7">
        <f t="shared" si="24"/>
        <v>180000</v>
      </c>
      <c r="L408" s="7">
        <f t="shared" si="25"/>
        <v>18000</v>
      </c>
      <c r="M408" s="7">
        <f t="shared" si="26"/>
        <v>162000</v>
      </c>
      <c r="N408" s="23">
        <v>56000</v>
      </c>
      <c r="O408" s="7">
        <f t="shared" si="27"/>
        <v>218000</v>
      </c>
      <c r="P408" s="2" t="s">
        <v>22</v>
      </c>
      <c r="Q408" t="str">
        <f>_xlfn.XLOOKUP(B408,Status!$A$2:$A$1867,Status!$B$2:$B$1867)</f>
        <v>Completed</v>
      </c>
      <c r="R408" s="2" t="s">
        <v>23</v>
      </c>
      <c r="S408" s="8">
        <v>5</v>
      </c>
      <c r="T408" s="2" t="s">
        <v>24</v>
      </c>
      <c r="U408" s="31" t="str" cm="1">
        <f t="array" ref="U408">_xlfn.IFS(L408&lt;=5000,$Z$3,AND(L408&gt;5000,L408&lt;=15000),$Z$4,AND(L408&gt;15000,L408&lt;=30000),$Z$5,AND(L408&gt;30000,L408&lt;=50000),$Z$6,L408&gt;50000,$Z$7)</f>
        <v>Normal</v>
      </c>
      <c r="V408" s="2"/>
    </row>
    <row r="409" spans="1:22" ht="15.75" customHeight="1" x14ac:dyDescent="0.25">
      <c r="A409" s="26"/>
      <c r="B409" s="2" t="s">
        <v>712</v>
      </c>
      <c r="C409" s="32">
        <v>45625.893275462957</v>
      </c>
      <c r="D409" s="53">
        <f>YEAR(Table1[[#This Row],[Order Date]])</f>
        <v>2024</v>
      </c>
      <c r="E409" s="2" t="s">
        <v>323</v>
      </c>
      <c r="F409" s="2" t="s">
        <v>103</v>
      </c>
      <c r="G409" s="2" t="s">
        <v>250</v>
      </c>
      <c r="H409" s="23">
        <v>18000</v>
      </c>
      <c r="I409" s="2">
        <v>1</v>
      </c>
      <c r="J409" s="31">
        <v>0</v>
      </c>
      <c r="K409" s="7">
        <f t="shared" si="24"/>
        <v>18000</v>
      </c>
      <c r="L409" s="7">
        <f t="shared" si="25"/>
        <v>0</v>
      </c>
      <c r="M409" s="7">
        <f t="shared" si="26"/>
        <v>18000</v>
      </c>
      <c r="N409" s="23">
        <v>85000</v>
      </c>
      <c r="O409" s="7">
        <f t="shared" si="27"/>
        <v>103000</v>
      </c>
      <c r="P409" s="2" t="s">
        <v>22</v>
      </c>
      <c r="Q409" t="str">
        <f>_xlfn.XLOOKUP(B409,Status!$A$2:$A$1867,Status!$B$2:$B$1867)</f>
        <v>Returned</v>
      </c>
      <c r="R409" s="2" t="s">
        <v>30</v>
      </c>
      <c r="S409" s="8">
        <v>3</v>
      </c>
      <c r="T409" s="2" t="s">
        <v>24</v>
      </c>
      <c r="U409" s="31" t="str" cm="1">
        <f t="array" ref="U409">_xlfn.IFS(L409&lt;=5000,$Z$3,AND(L409&gt;5000,L409&lt;=15000),$Z$4,AND(L409&gt;15000,L409&lt;=30000),$Z$5,AND(L409&gt;30000,L409&lt;=50000),$Z$6,L409&gt;50000,$Z$7)</f>
        <v>Sangat Rendah</v>
      </c>
      <c r="V409" s="2"/>
    </row>
    <row r="410" spans="1:22" ht="15.75" customHeight="1" x14ac:dyDescent="0.25">
      <c r="A410" s="26"/>
      <c r="B410" s="2" t="s">
        <v>713</v>
      </c>
      <c r="C410" s="32">
        <v>45626.462916666656</v>
      </c>
      <c r="D410" s="53">
        <f>YEAR(Table1[[#This Row],[Order Date]])</f>
        <v>2024</v>
      </c>
      <c r="E410" s="2" t="s">
        <v>714</v>
      </c>
      <c r="F410" s="2" t="s">
        <v>262</v>
      </c>
      <c r="G410" s="2" t="s">
        <v>62</v>
      </c>
      <c r="H410" s="23">
        <v>50000</v>
      </c>
      <c r="I410" s="2">
        <v>4</v>
      </c>
      <c r="J410" s="31">
        <v>10</v>
      </c>
      <c r="K410" s="7">
        <f t="shared" si="24"/>
        <v>200000</v>
      </c>
      <c r="L410" s="7">
        <f t="shared" si="25"/>
        <v>20000</v>
      </c>
      <c r="M410" s="7">
        <f t="shared" si="26"/>
        <v>180000</v>
      </c>
      <c r="N410" s="23">
        <v>18000</v>
      </c>
      <c r="O410" s="7">
        <f t="shared" si="27"/>
        <v>198000</v>
      </c>
      <c r="P410" s="2" t="s">
        <v>29</v>
      </c>
      <c r="Q410" t="str">
        <f>_xlfn.XLOOKUP(B410,Status!$A$2:$A$1867,Status!$B$2:$B$1867)</f>
        <v>Completed</v>
      </c>
      <c r="R410" s="2" t="s">
        <v>46</v>
      </c>
      <c r="S410" s="8">
        <v>4</v>
      </c>
      <c r="T410" s="2" t="s">
        <v>24</v>
      </c>
      <c r="U410" s="31" t="str" cm="1">
        <f t="array" ref="U410">_xlfn.IFS(L410&lt;=5000,$Z$3,AND(L410&gt;5000,L410&lt;=15000),$Z$4,AND(L410&gt;15000,L410&lt;=30000),$Z$5,AND(L410&gt;30000,L410&lt;=50000),$Z$6,L410&gt;50000,$Z$7)</f>
        <v>Normal</v>
      </c>
      <c r="V410" s="2"/>
    </row>
    <row r="411" spans="1:22" ht="15.75" customHeight="1" x14ac:dyDescent="0.25">
      <c r="A411" s="26"/>
      <c r="B411" s="2" t="s">
        <v>713</v>
      </c>
      <c r="C411" s="32">
        <v>45626.462916666656</v>
      </c>
      <c r="D411" s="53">
        <f>YEAR(Table1[[#This Row],[Order Date]])</f>
        <v>2024</v>
      </c>
      <c r="E411" s="2" t="s">
        <v>714</v>
      </c>
      <c r="F411" s="2" t="s">
        <v>262</v>
      </c>
      <c r="G411" s="2" t="s">
        <v>144</v>
      </c>
      <c r="H411" s="23">
        <v>18000</v>
      </c>
      <c r="I411" s="2">
        <v>1</v>
      </c>
      <c r="J411" s="31">
        <v>0</v>
      </c>
      <c r="K411" s="7">
        <f t="shared" si="24"/>
        <v>18000</v>
      </c>
      <c r="L411" s="7">
        <f t="shared" si="25"/>
        <v>0</v>
      </c>
      <c r="M411" s="7">
        <f t="shared" si="26"/>
        <v>18000</v>
      </c>
      <c r="N411" s="23">
        <v>0</v>
      </c>
      <c r="O411" s="7">
        <f t="shared" si="27"/>
        <v>18000</v>
      </c>
      <c r="P411" s="2" t="s">
        <v>29</v>
      </c>
      <c r="Q411" t="str">
        <f>_xlfn.XLOOKUP(B411,Status!$A$2:$A$1867,Status!$B$2:$B$1867)</f>
        <v>Completed</v>
      </c>
      <c r="R411" s="2" t="s">
        <v>46</v>
      </c>
      <c r="S411" s="8">
        <v>4</v>
      </c>
      <c r="T411" s="2" t="s">
        <v>24</v>
      </c>
      <c r="U411" s="31" t="str" cm="1">
        <f t="array" ref="U411">_xlfn.IFS(L411&lt;=5000,$Z$3,AND(L411&gt;5000,L411&lt;=15000),$Z$4,AND(L411&gt;15000,L411&lt;=30000),$Z$5,AND(L411&gt;30000,L411&lt;=50000),$Z$6,L411&gt;50000,$Z$7)</f>
        <v>Sangat Rendah</v>
      </c>
      <c r="V411" s="2"/>
    </row>
    <row r="412" spans="1:22" ht="15.75" customHeight="1" x14ac:dyDescent="0.25">
      <c r="A412" s="26"/>
      <c r="B412" s="2" t="s">
        <v>715</v>
      </c>
      <c r="C412" s="32">
        <v>45626.525057870371</v>
      </c>
      <c r="D412" s="53">
        <f>YEAR(Table1[[#This Row],[Order Date]])</f>
        <v>2024</v>
      </c>
      <c r="E412" s="2" t="s">
        <v>716</v>
      </c>
      <c r="F412" s="2" t="s">
        <v>66</v>
      </c>
      <c r="G412" s="2" t="s">
        <v>71</v>
      </c>
      <c r="H412" s="23">
        <v>40000</v>
      </c>
      <c r="I412" s="2">
        <v>2</v>
      </c>
      <c r="J412" s="31">
        <v>10</v>
      </c>
      <c r="K412" s="7">
        <f t="shared" si="24"/>
        <v>80000</v>
      </c>
      <c r="L412" s="7">
        <f t="shared" si="25"/>
        <v>8000</v>
      </c>
      <c r="M412" s="7">
        <f t="shared" si="26"/>
        <v>72000</v>
      </c>
      <c r="N412" s="23">
        <v>59000</v>
      </c>
      <c r="O412" s="7">
        <f t="shared" si="27"/>
        <v>131000</v>
      </c>
      <c r="P412" s="2" t="s">
        <v>29</v>
      </c>
      <c r="Q412" t="str">
        <f>_xlfn.XLOOKUP(B412,Status!$A$2:$A$1867,Status!$B$2:$B$1867)</f>
        <v>Completed</v>
      </c>
      <c r="R412" s="2" t="s">
        <v>82</v>
      </c>
      <c r="S412" s="8">
        <v>4</v>
      </c>
      <c r="T412" s="2" t="s">
        <v>24</v>
      </c>
      <c r="U412" s="31" t="str" cm="1">
        <f t="array" ref="U412">_xlfn.IFS(L412&lt;=5000,$Z$3,AND(L412&gt;5000,L412&lt;=15000),$Z$4,AND(L412&gt;15000,L412&lt;=30000),$Z$5,AND(L412&gt;30000,L412&lt;=50000),$Z$6,L412&gt;50000,$Z$7)</f>
        <v>Rendah</v>
      </c>
      <c r="V412" s="2"/>
    </row>
    <row r="413" spans="1:22" ht="15.75" customHeight="1" x14ac:dyDescent="0.25">
      <c r="A413" s="26"/>
      <c r="B413" s="2" t="s">
        <v>717</v>
      </c>
      <c r="C413" s="32">
        <v>45626.606817129628</v>
      </c>
      <c r="D413" s="53">
        <f>YEAR(Table1[[#This Row],[Order Date]])</f>
        <v>2024</v>
      </c>
      <c r="E413" s="2" t="s">
        <v>461</v>
      </c>
      <c r="F413" s="2" t="s">
        <v>92</v>
      </c>
      <c r="G413" s="2" t="s">
        <v>34</v>
      </c>
      <c r="H413" s="23">
        <v>16000</v>
      </c>
      <c r="I413" s="2">
        <v>3</v>
      </c>
      <c r="J413" s="31">
        <v>0</v>
      </c>
      <c r="K413" s="7">
        <f t="shared" si="24"/>
        <v>48000</v>
      </c>
      <c r="L413" s="7">
        <f t="shared" si="25"/>
        <v>0</v>
      </c>
      <c r="M413" s="7">
        <f t="shared" si="26"/>
        <v>48000</v>
      </c>
      <c r="N413" s="23">
        <v>30000</v>
      </c>
      <c r="O413" s="7">
        <f t="shared" si="27"/>
        <v>78000</v>
      </c>
      <c r="P413" s="2" t="s">
        <v>35</v>
      </c>
      <c r="Q413" t="str">
        <f>_xlfn.XLOOKUP(B413,Status!$A$2:$A$1867,Status!$B$2:$B$1867)</f>
        <v>Completed</v>
      </c>
      <c r="R413" s="2" t="s">
        <v>82</v>
      </c>
      <c r="S413" s="8">
        <v>4</v>
      </c>
      <c r="T413" s="2" t="s">
        <v>37</v>
      </c>
      <c r="U413" s="31" t="str" cm="1">
        <f t="array" ref="U413">_xlfn.IFS(L413&lt;=5000,$Z$3,AND(L413&gt;5000,L413&lt;=15000),$Z$4,AND(L413&gt;15000,L413&lt;=30000),$Z$5,AND(L413&gt;30000,L413&lt;=50000),$Z$6,L413&gt;50000,$Z$7)</f>
        <v>Sangat Rendah</v>
      </c>
      <c r="V413" s="2"/>
    </row>
    <row r="414" spans="1:22" ht="15.75" customHeight="1" x14ac:dyDescent="0.25">
      <c r="A414" s="26"/>
      <c r="B414" s="2" t="s">
        <v>718</v>
      </c>
      <c r="C414" s="32">
        <v>45626.795601851853</v>
      </c>
      <c r="D414" s="53">
        <f>YEAR(Table1[[#This Row],[Order Date]])</f>
        <v>2024</v>
      </c>
      <c r="E414" s="2" t="s">
        <v>416</v>
      </c>
      <c r="F414" s="2" t="s">
        <v>131</v>
      </c>
      <c r="G414" s="2" t="s">
        <v>190</v>
      </c>
      <c r="H414" s="23">
        <v>35000</v>
      </c>
      <c r="I414" s="2">
        <v>3</v>
      </c>
      <c r="J414" s="31">
        <v>15</v>
      </c>
      <c r="K414" s="7">
        <f t="shared" si="24"/>
        <v>105000</v>
      </c>
      <c r="L414" s="7">
        <f t="shared" si="25"/>
        <v>15750</v>
      </c>
      <c r="M414" s="7">
        <f t="shared" si="26"/>
        <v>89250</v>
      </c>
      <c r="N414" s="23">
        <v>59000</v>
      </c>
      <c r="O414" s="7">
        <f t="shared" si="27"/>
        <v>148250</v>
      </c>
      <c r="P414" s="2" t="s">
        <v>63</v>
      </c>
      <c r="Q414" t="str">
        <f>_xlfn.XLOOKUP(B414,Status!$A$2:$A$1867,Status!$B$2:$B$1867)</f>
        <v>Cancelled</v>
      </c>
      <c r="R414" s="2" t="s">
        <v>46</v>
      </c>
      <c r="S414" s="8">
        <v>5</v>
      </c>
      <c r="T414" s="2" t="s">
        <v>24</v>
      </c>
      <c r="U414" s="31" t="str" cm="1">
        <f t="array" ref="U414">_xlfn.IFS(L414&lt;=5000,$Z$3,AND(L414&gt;5000,L414&lt;=15000),$Z$4,AND(L414&gt;15000,L414&lt;=30000),$Z$5,AND(L414&gt;30000,L414&lt;=50000),$Z$6,L414&gt;50000,$Z$7)</f>
        <v>Normal</v>
      </c>
      <c r="V414" s="2"/>
    </row>
    <row r="415" spans="1:22" ht="15.75" customHeight="1" x14ac:dyDescent="0.25">
      <c r="A415" s="26"/>
      <c r="B415" s="2" t="s">
        <v>719</v>
      </c>
      <c r="C415" s="32">
        <v>45627.091238425928</v>
      </c>
      <c r="D415" s="53">
        <f>YEAR(Table1[[#This Row],[Order Date]])</f>
        <v>2024</v>
      </c>
      <c r="E415" s="2" t="s">
        <v>355</v>
      </c>
      <c r="F415" s="2" t="s">
        <v>116</v>
      </c>
      <c r="G415" s="2" t="s">
        <v>136</v>
      </c>
      <c r="H415" s="23">
        <v>12000</v>
      </c>
      <c r="I415" s="2">
        <v>3</v>
      </c>
      <c r="J415" s="31">
        <v>20</v>
      </c>
      <c r="K415" s="7">
        <f t="shared" si="24"/>
        <v>36000</v>
      </c>
      <c r="L415" s="7">
        <f t="shared" si="25"/>
        <v>7200</v>
      </c>
      <c r="M415" s="7">
        <f t="shared" si="26"/>
        <v>28800</v>
      </c>
      <c r="N415" s="23">
        <v>72000</v>
      </c>
      <c r="O415" s="7">
        <f t="shared" si="27"/>
        <v>100800</v>
      </c>
      <c r="P415" s="2" t="s">
        <v>29</v>
      </c>
      <c r="Q415" t="str">
        <f>_xlfn.XLOOKUP(B415,Status!$A$2:$A$1867,Status!$B$2:$B$1867)</f>
        <v>Completed</v>
      </c>
      <c r="R415" s="2" t="s">
        <v>46</v>
      </c>
      <c r="S415" s="8">
        <v>2</v>
      </c>
      <c r="T415" s="2" t="s">
        <v>24</v>
      </c>
      <c r="U415" s="31" t="str" cm="1">
        <f t="array" ref="U415">_xlfn.IFS(L415&lt;=5000,$Z$3,AND(L415&gt;5000,L415&lt;=15000),$Z$4,AND(L415&gt;15000,L415&lt;=30000),$Z$5,AND(L415&gt;30000,L415&lt;=50000),$Z$6,L415&gt;50000,$Z$7)</f>
        <v>Rendah</v>
      </c>
      <c r="V415" s="2"/>
    </row>
    <row r="416" spans="1:22" ht="15.75" customHeight="1" x14ac:dyDescent="0.25">
      <c r="A416" s="26"/>
      <c r="B416" s="2" t="s">
        <v>720</v>
      </c>
      <c r="C416" s="32">
        <v>45627.266261574077</v>
      </c>
      <c r="D416" s="53">
        <f>YEAR(Table1[[#This Row],[Order Date]])</f>
        <v>2024</v>
      </c>
      <c r="E416" s="2" t="s">
        <v>269</v>
      </c>
      <c r="F416" s="2" t="s">
        <v>173</v>
      </c>
      <c r="G416" s="2" t="s">
        <v>28</v>
      </c>
      <c r="H416" s="23">
        <v>5000</v>
      </c>
      <c r="I416" s="2">
        <v>2</v>
      </c>
      <c r="J416" s="31">
        <v>15</v>
      </c>
      <c r="K416" s="7">
        <f t="shared" si="24"/>
        <v>10000</v>
      </c>
      <c r="L416" s="7">
        <f t="shared" si="25"/>
        <v>1500</v>
      </c>
      <c r="M416" s="7">
        <f t="shared" si="26"/>
        <v>8500</v>
      </c>
      <c r="N416" s="23">
        <v>49000</v>
      </c>
      <c r="O416" s="7">
        <f t="shared" si="27"/>
        <v>57500</v>
      </c>
      <c r="P416" s="2" t="s">
        <v>29</v>
      </c>
      <c r="Q416" t="str">
        <f>_xlfn.XLOOKUP(B416,Status!$A$2:$A$1867,Status!$B$2:$B$1867)</f>
        <v>Completed</v>
      </c>
      <c r="R416" s="2" t="s">
        <v>46</v>
      </c>
      <c r="S416" s="8">
        <v>4</v>
      </c>
      <c r="T416" s="2" t="s">
        <v>37</v>
      </c>
      <c r="U416" s="31" t="str" cm="1">
        <f t="array" ref="U416">_xlfn.IFS(L416&lt;=5000,$Z$3,AND(L416&gt;5000,L416&lt;=15000),$Z$4,AND(L416&gt;15000,L416&lt;=30000),$Z$5,AND(L416&gt;30000,L416&lt;=50000),$Z$6,L416&gt;50000,$Z$7)</f>
        <v>Sangat Rendah</v>
      </c>
      <c r="V416" s="2"/>
    </row>
    <row r="417" spans="1:22" ht="15.75" customHeight="1" x14ac:dyDescent="0.25">
      <c r="A417" s="26"/>
      <c r="B417" s="2" t="s">
        <v>721</v>
      </c>
      <c r="C417" s="32">
        <v>45627.554027777784</v>
      </c>
      <c r="D417" s="53">
        <f>YEAR(Table1[[#This Row],[Order Date]])</f>
        <v>2024</v>
      </c>
      <c r="E417" s="2" t="s">
        <v>722</v>
      </c>
      <c r="F417" s="2" t="s">
        <v>57</v>
      </c>
      <c r="G417" s="2" t="s">
        <v>138</v>
      </c>
      <c r="H417" s="23">
        <v>17000</v>
      </c>
      <c r="I417" s="2">
        <v>1</v>
      </c>
      <c r="J417" s="31">
        <v>0</v>
      </c>
      <c r="K417" s="7">
        <f t="shared" si="24"/>
        <v>17000</v>
      </c>
      <c r="L417" s="7">
        <f t="shared" si="25"/>
        <v>0</v>
      </c>
      <c r="M417" s="7">
        <f t="shared" si="26"/>
        <v>17000</v>
      </c>
      <c r="N417" s="23">
        <v>80000</v>
      </c>
      <c r="O417" s="7">
        <f t="shared" si="27"/>
        <v>97000</v>
      </c>
      <c r="P417" s="2" t="s">
        <v>35</v>
      </c>
      <c r="Q417" t="str">
        <f>_xlfn.XLOOKUP(B417,Status!$A$2:$A$1867,Status!$B$2:$B$1867)</f>
        <v>Completed</v>
      </c>
      <c r="R417" s="2" t="s">
        <v>82</v>
      </c>
      <c r="S417" s="8">
        <v>1</v>
      </c>
      <c r="T417" s="2" t="s">
        <v>24</v>
      </c>
      <c r="U417" s="31" t="str" cm="1">
        <f t="array" ref="U417">_xlfn.IFS(L417&lt;=5000,$Z$3,AND(L417&gt;5000,L417&lt;=15000),$Z$4,AND(L417&gt;15000,L417&lt;=30000),$Z$5,AND(L417&gt;30000,L417&lt;=50000),$Z$6,L417&gt;50000,$Z$7)</f>
        <v>Sangat Rendah</v>
      </c>
      <c r="V417" s="2"/>
    </row>
    <row r="418" spans="1:22" ht="15.75" customHeight="1" x14ac:dyDescent="0.25">
      <c r="A418" s="26"/>
      <c r="B418" s="2" t="s">
        <v>723</v>
      </c>
      <c r="C418" s="32">
        <v>45627.61445601852</v>
      </c>
      <c r="D418" s="53">
        <f>YEAR(Table1[[#This Row],[Order Date]])</f>
        <v>2024</v>
      </c>
      <c r="E418" s="2" t="s">
        <v>724</v>
      </c>
      <c r="F418" s="2" t="s">
        <v>53</v>
      </c>
      <c r="G418" s="2" t="s">
        <v>75</v>
      </c>
      <c r="H418" s="23">
        <v>55000</v>
      </c>
      <c r="I418" s="2">
        <v>3</v>
      </c>
      <c r="J418" s="31">
        <v>0</v>
      </c>
      <c r="K418" s="7">
        <f t="shared" si="24"/>
        <v>165000</v>
      </c>
      <c r="L418" s="7">
        <f t="shared" si="25"/>
        <v>0</v>
      </c>
      <c r="M418" s="7">
        <f t="shared" si="26"/>
        <v>165000</v>
      </c>
      <c r="N418" s="23">
        <v>18000</v>
      </c>
      <c r="O418" s="7">
        <f t="shared" si="27"/>
        <v>183000</v>
      </c>
      <c r="P418" s="2" t="s">
        <v>22</v>
      </c>
      <c r="Q418" t="str">
        <f>_xlfn.XLOOKUP(B418,Status!$A$2:$A$1867,Status!$B$2:$B$1867)</f>
        <v>Returned</v>
      </c>
      <c r="R418" s="2" t="s">
        <v>36</v>
      </c>
      <c r="S418" s="8">
        <v>3</v>
      </c>
      <c r="T418" s="2" t="s">
        <v>24</v>
      </c>
      <c r="U418" s="31" t="str" cm="1">
        <f t="array" ref="U418">_xlfn.IFS(L418&lt;=5000,$Z$3,AND(L418&gt;5000,L418&lt;=15000),$Z$4,AND(L418&gt;15000,L418&lt;=30000),$Z$5,AND(L418&gt;30000,L418&lt;=50000),$Z$6,L418&gt;50000,$Z$7)</f>
        <v>Sangat Rendah</v>
      </c>
      <c r="V418" s="2"/>
    </row>
    <row r="419" spans="1:22" ht="15.75" customHeight="1" x14ac:dyDescent="0.25">
      <c r="A419" s="26"/>
      <c r="B419" s="2" t="s">
        <v>725</v>
      </c>
      <c r="C419" s="32">
        <v>45627.638541666667</v>
      </c>
      <c r="D419" s="53">
        <f>YEAR(Table1[[#This Row],[Order Date]])</f>
        <v>2024</v>
      </c>
      <c r="E419" s="2" t="s">
        <v>726</v>
      </c>
      <c r="F419" s="2" t="s">
        <v>53</v>
      </c>
      <c r="G419" s="2" t="s">
        <v>75</v>
      </c>
      <c r="H419" s="23">
        <v>55000</v>
      </c>
      <c r="I419" s="2">
        <v>1</v>
      </c>
      <c r="J419" s="31">
        <v>0</v>
      </c>
      <c r="K419" s="7">
        <f t="shared" si="24"/>
        <v>55000</v>
      </c>
      <c r="L419" s="7">
        <f t="shared" si="25"/>
        <v>0</v>
      </c>
      <c r="M419" s="7">
        <f t="shared" si="26"/>
        <v>55000</v>
      </c>
      <c r="N419" s="23">
        <v>18000</v>
      </c>
      <c r="O419" s="7">
        <f t="shared" si="27"/>
        <v>73000</v>
      </c>
      <c r="P419" s="2" t="s">
        <v>63</v>
      </c>
      <c r="Q419" t="str">
        <f>_xlfn.XLOOKUP(B419,Status!$A$2:$A$1867,Status!$B$2:$B$1867)</f>
        <v>Completed</v>
      </c>
      <c r="R419" s="2" t="s">
        <v>36</v>
      </c>
      <c r="S419" s="8">
        <v>4</v>
      </c>
      <c r="T419" s="2" t="s">
        <v>37</v>
      </c>
      <c r="U419" s="31" t="str" cm="1">
        <f t="array" ref="U419">_xlfn.IFS(L419&lt;=5000,$Z$3,AND(L419&gt;5000,L419&lt;=15000),$Z$4,AND(L419&gt;15000,L419&lt;=30000),$Z$5,AND(L419&gt;30000,L419&lt;=50000),$Z$6,L419&gt;50000,$Z$7)</f>
        <v>Sangat Rendah</v>
      </c>
      <c r="V419" s="2"/>
    </row>
    <row r="420" spans="1:22" ht="15.75" customHeight="1" x14ac:dyDescent="0.25">
      <c r="A420" s="26"/>
      <c r="B420" s="2" t="s">
        <v>727</v>
      </c>
      <c r="C420" s="32">
        <v>45627.976539351846</v>
      </c>
      <c r="D420" s="53">
        <f>YEAR(Table1[[#This Row],[Order Date]])</f>
        <v>2024</v>
      </c>
      <c r="E420" s="2" t="s">
        <v>410</v>
      </c>
      <c r="F420" s="2" t="s">
        <v>151</v>
      </c>
      <c r="G420" s="2" t="s">
        <v>38</v>
      </c>
      <c r="H420" s="23">
        <v>28000</v>
      </c>
      <c r="I420" s="2">
        <v>3</v>
      </c>
      <c r="J420" s="31">
        <v>10</v>
      </c>
      <c r="K420" s="7">
        <f t="shared" si="24"/>
        <v>84000</v>
      </c>
      <c r="L420" s="7">
        <f t="shared" si="25"/>
        <v>8400</v>
      </c>
      <c r="M420" s="7">
        <f t="shared" si="26"/>
        <v>75600</v>
      </c>
      <c r="N420" s="23">
        <v>55000</v>
      </c>
      <c r="O420" s="7">
        <f t="shared" si="27"/>
        <v>130600</v>
      </c>
      <c r="P420" s="2" t="s">
        <v>22</v>
      </c>
      <c r="Q420" t="str">
        <f>_xlfn.XLOOKUP(B420,Status!$A$2:$A$1867,Status!$B$2:$B$1867)</f>
        <v>Completed</v>
      </c>
      <c r="R420" s="2" t="s">
        <v>82</v>
      </c>
      <c r="S420" s="8">
        <v>5</v>
      </c>
      <c r="T420" s="2" t="s">
        <v>24</v>
      </c>
      <c r="U420" s="31" t="str" cm="1">
        <f t="array" ref="U420">_xlfn.IFS(L420&lt;=5000,$Z$3,AND(L420&gt;5000,L420&lt;=15000),$Z$4,AND(L420&gt;15000,L420&lt;=30000),$Z$5,AND(L420&gt;30000,L420&lt;=50000),$Z$6,L420&gt;50000,$Z$7)</f>
        <v>Rendah</v>
      </c>
      <c r="V420" s="2"/>
    </row>
    <row r="421" spans="1:22" ht="15.75" customHeight="1" x14ac:dyDescent="0.25">
      <c r="A421" s="26"/>
      <c r="B421" s="2" t="s">
        <v>728</v>
      </c>
      <c r="C421" s="32">
        <v>45628.068935185183</v>
      </c>
      <c r="D421" s="53">
        <f>YEAR(Table1[[#This Row],[Order Date]])</f>
        <v>2024</v>
      </c>
      <c r="E421" s="2" t="s">
        <v>729</v>
      </c>
      <c r="F421" s="2" t="s">
        <v>74</v>
      </c>
      <c r="G421" s="2" t="s">
        <v>58</v>
      </c>
      <c r="H421" s="23">
        <v>16000</v>
      </c>
      <c r="I421" s="2">
        <v>3</v>
      </c>
      <c r="J421" s="31">
        <v>10</v>
      </c>
      <c r="K421" s="7">
        <f t="shared" si="24"/>
        <v>48000</v>
      </c>
      <c r="L421" s="7">
        <f t="shared" si="25"/>
        <v>4800</v>
      </c>
      <c r="M421" s="7">
        <f t="shared" si="26"/>
        <v>43200</v>
      </c>
      <c r="N421" s="23">
        <v>87000</v>
      </c>
      <c r="O421" s="7">
        <f t="shared" si="27"/>
        <v>130200</v>
      </c>
      <c r="P421" s="2" t="s">
        <v>63</v>
      </c>
      <c r="Q421" t="str">
        <f>_xlfn.XLOOKUP(B421,Status!$A$2:$A$1867,Status!$B$2:$B$1867)</f>
        <v>Completed</v>
      </c>
      <c r="R421" s="2" t="s">
        <v>30</v>
      </c>
      <c r="S421" s="8">
        <v>5</v>
      </c>
      <c r="T421" s="2" t="s">
        <v>24</v>
      </c>
      <c r="U421" s="31" t="str" cm="1">
        <f t="array" ref="U421">_xlfn.IFS(L421&lt;=5000,$Z$3,AND(L421&gt;5000,L421&lt;=15000),$Z$4,AND(L421&gt;15000,L421&lt;=30000),$Z$5,AND(L421&gt;30000,L421&lt;=50000),$Z$6,L421&gt;50000,$Z$7)</f>
        <v>Sangat Rendah</v>
      </c>
      <c r="V421" s="2"/>
    </row>
    <row r="422" spans="1:22" ht="15.75" customHeight="1" x14ac:dyDescent="0.25">
      <c r="A422" s="26"/>
      <c r="B422" s="2" t="s">
        <v>730</v>
      </c>
      <c r="C422" s="32">
        <v>45628.098298611112</v>
      </c>
      <c r="D422" s="53">
        <f>YEAR(Table1[[#This Row],[Order Date]])</f>
        <v>2024</v>
      </c>
      <c r="E422" s="2" t="s">
        <v>455</v>
      </c>
      <c r="F422" s="2" t="s">
        <v>33</v>
      </c>
      <c r="G422" s="2" t="s">
        <v>174</v>
      </c>
      <c r="H422" s="23">
        <v>10000</v>
      </c>
      <c r="I422" s="2">
        <v>5</v>
      </c>
      <c r="J422" s="31">
        <v>0</v>
      </c>
      <c r="K422" s="7">
        <f t="shared" si="24"/>
        <v>50000</v>
      </c>
      <c r="L422" s="7">
        <f t="shared" si="25"/>
        <v>0</v>
      </c>
      <c r="M422" s="7">
        <f t="shared" si="26"/>
        <v>50000</v>
      </c>
      <c r="N422" s="23">
        <v>76000</v>
      </c>
      <c r="O422" s="7">
        <f t="shared" si="27"/>
        <v>126000</v>
      </c>
      <c r="P422" s="2" t="s">
        <v>35</v>
      </c>
      <c r="Q422" t="str">
        <f>_xlfn.XLOOKUP(B422,Status!$A$2:$A$1867,Status!$B$2:$B$1867)</f>
        <v>Completed</v>
      </c>
      <c r="R422" s="2" t="s">
        <v>46</v>
      </c>
      <c r="S422" s="8">
        <v>1</v>
      </c>
      <c r="T422" s="2" t="s">
        <v>24</v>
      </c>
      <c r="U422" s="31" t="str" cm="1">
        <f t="array" ref="U422">_xlfn.IFS(L422&lt;=5000,$Z$3,AND(L422&gt;5000,L422&lt;=15000),$Z$4,AND(L422&gt;15000,L422&lt;=30000),$Z$5,AND(L422&gt;30000,L422&lt;=50000),$Z$6,L422&gt;50000,$Z$7)</f>
        <v>Sangat Rendah</v>
      </c>
      <c r="V422" s="2"/>
    </row>
    <row r="423" spans="1:22" ht="15.75" customHeight="1" x14ac:dyDescent="0.25">
      <c r="A423" s="26"/>
      <c r="B423" s="2" t="s">
        <v>731</v>
      </c>
      <c r="C423" s="32">
        <v>45628.253842592603</v>
      </c>
      <c r="D423" s="53">
        <f>YEAR(Table1[[#This Row],[Order Date]])</f>
        <v>2024</v>
      </c>
      <c r="E423" s="2" t="s">
        <v>732</v>
      </c>
      <c r="F423" s="2" t="s">
        <v>170</v>
      </c>
      <c r="G423" s="2" t="s">
        <v>54</v>
      </c>
      <c r="H423" s="23">
        <v>16000</v>
      </c>
      <c r="I423" s="2">
        <v>4</v>
      </c>
      <c r="J423" s="31">
        <v>5</v>
      </c>
      <c r="K423" s="7">
        <f t="shared" si="24"/>
        <v>64000</v>
      </c>
      <c r="L423" s="7">
        <f t="shared" si="25"/>
        <v>3200</v>
      </c>
      <c r="M423" s="7">
        <f t="shared" si="26"/>
        <v>60800</v>
      </c>
      <c r="N423" s="23">
        <v>46000</v>
      </c>
      <c r="O423" s="7">
        <f t="shared" si="27"/>
        <v>106800</v>
      </c>
      <c r="P423" s="2" t="s">
        <v>35</v>
      </c>
      <c r="Q423" t="str">
        <f>_xlfn.XLOOKUP(B423,Status!$A$2:$A$1867,Status!$B$2:$B$1867)</f>
        <v>Completed</v>
      </c>
      <c r="R423" s="2" t="s">
        <v>82</v>
      </c>
      <c r="S423" s="8">
        <v>1</v>
      </c>
      <c r="T423" s="2" t="s">
        <v>24</v>
      </c>
      <c r="U423" s="31" t="str" cm="1">
        <f t="array" ref="U423">_xlfn.IFS(L423&lt;=5000,$Z$3,AND(L423&gt;5000,L423&lt;=15000),$Z$4,AND(L423&gt;15000,L423&lt;=30000),$Z$5,AND(L423&gt;30000,L423&lt;=50000),$Z$6,L423&gt;50000,$Z$7)</f>
        <v>Sangat Rendah</v>
      </c>
      <c r="V423" s="2"/>
    </row>
    <row r="424" spans="1:22" ht="15.75" customHeight="1" x14ac:dyDescent="0.25">
      <c r="A424" s="26"/>
      <c r="B424" s="2" t="s">
        <v>733</v>
      </c>
      <c r="C424" s="32">
        <v>45628.472118055557</v>
      </c>
      <c r="D424" s="53">
        <f>YEAR(Table1[[#This Row],[Order Date]])</f>
        <v>2024</v>
      </c>
      <c r="E424" s="2" t="s">
        <v>77</v>
      </c>
      <c r="F424" s="2" t="s">
        <v>61</v>
      </c>
      <c r="G424" s="2" t="s">
        <v>28</v>
      </c>
      <c r="H424" s="23">
        <v>5000</v>
      </c>
      <c r="I424" s="2">
        <v>1</v>
      </c>
      <c r="J424" s="31">
        <v>0</v>
      </c>
      <c r="K424" s="7">
        <f t="shared" si="24"/>
        <v>5000</v>
      </c>
      <c r="L424" s="7">
        <f t="shared" si="25"/>
        <v>0</v>
      </c>
      <c r="M424" s="7">
        <f t="shared" si="26"/>
        <v>5000</v>
      </c>
      <c r="N424" s="23">
        <v>26000</v>
      </c>
      <c r="O424" s="7">
        <f t="shared" si="27"/>
        <v>31000</v>
      </c>
      <c r="P424" s="2" t="s">
        <v>35</v>
      </c>
      <c r="Q424" t="str">
        <f>_xlfn.XLOOKUP(B424,Status!$A$2:$A$1867,Status!$B$2:$B$1867)</f>
        <v>Completed</v>
      </c>
      <c r="R424" s="2" t="s">
        <v>36</v>
      </c>
      <c r="S424" s="8">
        <v>4</v>
      </c>
      <c r="T424" s="2" t="s">
        <v>24</v>
      </c>
      <c r="U424" s="31" t="str" cm="1">
        <f t="array" ref="U424">_xlfn.IFS(L424&lt;=5000,$Z$3,AND(L424&gt;5000,L424&lt;=15000),$Z$4,AND(L424&gt;15000,L424&lt;=30000),$Z$5,AND(L424&gt;30000,L424&lt;=50000),$Z$6,L424&gt;50000,$Z$7)</f>
        <v>Sangat Rendah</v>
      </c>
      <c r="V424" s="2"/>
    </row>
    <row r="425" spans="1:22" ht="15.75" customHeight="1" x14ac:dyDescent="0.25">
      <c r="A425" s="26"/>
      <c r="B425" s="2" t="s">
        <v>734</v>
      </c>
      <c r="C425" s="32">
        <v>45628.478425925918</v>
      </c>
      <c r="D425" s="53">
        <f>YEAR(Table1[[#This Row],[Order Date]])</f>
        <v>2024</v>
      </c>
      <c r="E425" s="2" t="s">
        <v>644</v>
      </c>
      <c r="F425" s="2" t="s">
        <v>244</v>
      </c>
      <c r="G425" s="2" t="s">
        <v>93</v>
      </c>
      <c r="H425" s="23">
        <v>25000</v>
      </c>
      <c r="I425" s="2">
        <v>1</v>
      </c>
      <c r="J425" s="31">
        <v>10</v>
      </c>
      <c r="K425" s="7">
        <f t="shared" si="24"/>
        <v>25000</v>
      </c>
      <c r="L425" s="7">
        <f t="shared" si="25"/>
        <v>2500</v>
      </c>
      <c r="M425" s="7">
        <f t="shared" si="26"/>
        <v>22500</v>
      </c>
      <c r="N425" s="23">
        <v>80000</v>
      </c>
      <c r="O425" s="7">
        <f t="shared" si="27"/>
        <v>102500</v>
      </c>
      <c r="P425" s="2" t="s">
        <v>35</v>
      </c>
      <c r="Q425" t="str">
        <f>_xlfn.XLOOKUP(B425,Status!$A$2:$A$1867,Status!$B$2:$B$1867)</f>
        <v>Cancelled</v>
      </c>
      <c r="R425" s="2" t="s">
        <v>46</v>
      </c>
      <c r="S425" s="8">
        <v>4</v>
      </c>
      <c r="T425" s="2" t="s">
        <v>24</v>
      </c>
      <c r="U425" s="31" t="str" cm="1">
        <f t="array" ref="U425">_xlfn.IFS(L425&lt;=5000,$Z$3,AND(L425&gt;5000,L425&lt;=15000),$Z$4,AND(L425&gt;15000,L425&lt;=30000),$Z$5,AND(L425&gt;30000,L425&lt;=50000),$Z$6,L425&gt;50000,$Z$7)</f>
        <v>Sangat Rendah</v>
      </c>
      <c r="V425" s="2"/>
    </row>
    <row r="426" spans="1:22" ht="15.75" customHeight="1" x14ac:dyDescent="0.25">
      <c r="A426" s="26"/>
      <c r="B426" s="2" t="s">
        <v>735</v>
      </c>
      <c r="C426" s="32">
        <v>45628.526504629634</v>
      </c>
      <c r="D426" s="53">
        <f>YEAR(Table1[[#This Row],[Order Date]])</f>
        <v>2024</v>
      </c>
      <c r="E426" s="2" t="s">
        <v>229</v>
      </c>
      <c r="F426" s="2" t="s">
        <v>195</v>
      </c>
      <c r="G426" s="2" t="s">
        <v>186</v>
      </c>
      <c r="H426" s="23">
        <v>45000</v>
      </c>
      <c r="I426" s="2">
        <v>2</v>
      </c>
      <c r="J426" s="31">
        <v>10</v>
      </c>
      <c r="K426" s="7">
        <f t="shared" si="24"/>
        <v>90000</v>
      </c>
      <c r="L426" s="7">
        <f t="shared" si="25"/>
        <v>9000</v>
      </c>
      <c r="M426" s="7">
        <f t="shared" si="26"/>
        <v>81000</v>
      </c>
      <c r="N426" s="23">
        <v>87000</v>
      </c>
      <c r="O426" s="7">
        <f t="shared" si="27"/>
        <v>168000</v>
      </c>
      <c r="P426" s="2" t="s">
        <v>29</v>
      </c>
      <c r="Q426" t="str">
        <f>_xlfn.XLOOKUP(B426,Status!$A$2:$A$1867,Status!$B$2:$B$1867)</f>
        <v>Completed</v>
      </c>
      <c r="R426" s="2" t="s">
        <v>36</v>
      </c>
      <c r="S426" s="8">
        <v>5</v>
      </c>
      <c r="T426" s="2" t="s">
        <v>24</v>
      </c>
      <c r="U426" s="31" t="str" cm="1">
        <f t="array" ref="U426">_xlfn.IFS(L426&lt;=5000,$Z$3,AND(L426&gt;5000,L426&lt;=15000),$Z$4,AND(L426&gt;15000,L426&lt;=30000),$Z$5,AND(L426&gt;30000,L426&lt;=50000),$Z$6,L426&gt;50000,$Z$7)</f>
        <v>Rendah</v>
      </c>
      <c r="V426" s="2"/>
    </row>
    <row r="427" spans="1:22" ht="15.75" customHeight="1" x14ac:dyDescent="0.25">
      <c r="A427" s="26"/>
      <c r="B427" s="2" t="s">
        <v>736</v>
      </c>
      <c r="C427" s="32">
        <v>45628.564050925917</v>
      </c>
      <c r="D427" s="53">
        <f>YEAR(Table1[[#This Row],[Order Date]])</f>
        <v>2024</v>
      </c>
      <c r="E427" s="2" t="s">
        <v>254</v>
      </c>
      <c r="F427" s="2" t="s">
        <v>61</v>
      </c>
      <c r="G427" s="2" t="s">
        <v>50</v>
      </c>
      <c r="H427" s="23">
        <v>14000</v>
      </c>
      <c r="I427" s="2">
        <v>5</v>
      </c>
      <c r="J427" s="31">
        <v>0</v>
      </c>
      <c r="K427" s="7">
        <f t="shared" si="24"/>
        <v>70000</v>
      </c>
      <c r="L427" s="7">
        <f t="shared" si="25"/>
        <v>0</v>
      </c>
      <c r="M427" s="7">
        <f t="shared" si="26"/>
        <v>70000</v>
      </c>
      <c r="N427" s="23">
        <v>26000</v>
      </c>
      <c r="O427" s="7">
        <f t="shared" si="27"/>
        <v>96000</v>
      </c>
      <c r="P427" s="2" t="s">
        <v>63</v>
      </c>
      <c r="Q427" t="str">
        <f>_xlfn.XLOOKUP(B427,Status!$A$2:$A$1867,Status!$B$2:$B$1867)</f>
        <v>Completed</v>
      </c>
      <c r="R427" s="2" t="s">
        <v>46</v>
      </c>
      <c r="S427" s="8">
        <v>5</v>
      </c>
      <c r="T427" s="2" t="s">
        <v>24</v>
      </c>
      <c r="U427" s="31" t="str" cm="1">
        <f t="array" ref="U427">_xlfn.IFS(L427&lt;=5000,$Z$3,AND(L427&gt;5000,L427&lt;=15000),$Z$4,AND(L427&gt;15000,L427&lt;=30000),$Z$5,AND(L427&gt;30000,L427&lt;=50000),$Z$6,L427&gt;50000,$Z$7)</f>
        <v>Sangat Rendah</v>
      </c>
      <c r="V427" s="2"/>
    </row>
    <row r="428" spans="1:22" ht="15.75" customHeight="1" x14ac:dyDescent="0.25">
      <c r="A428" s="26"/>
      <c r="B428" s="2" t="s">
        <v>737</v>
      </c>
      <c r="C428" s="32">
        <v>45628.596377314818</v>
      </c>
      <c r="D428" s="53">
        <f>YEAR(Table1[[#This Row],[Order Date]])</f>
        <v>2024</v>
      </c>
      <c r="E428" s="2" t="s">
        <v>570</v>
      </c>
      <c r="F428" s="2" t="s">
        <v>80</v>
      </c>
      <c r="G428" s="2" t="s">
        <v>54</v>
      </c>
      <c r="H428" s="23">
        <v>16000</v>
      </c>
      <c r="I428" s="2">
        <v>3</v>
      </c>
      <c r="J428" s="31">
        <v>20</v>
      </c>
      <c r="K428" s="7">
        <f t="shared" si="24"/>
        <v>48000</v>
      </c>
      <c r="L428" s="7">
        <f t="shared" si="25"/>
        <v>9600</v>
      </c>
      <c r="M428" s="7">
        <f t="shared" si="26"/>
        <v>38400</v>
      </c>
      <c r="N428" s="23">
        <v>74000</v>
      </c>
      <c r="O428" s="7">
        <f t="shared" si="27"/>
        <v>112400</v>
      </c>
      <c r="P428" s="2" t="s">
        <v>35</v>
      </c>
      <c r="Q428" t="str">
        <f>_xlfn.XLOOKUP(B428,Status!$A$2:$A$1867,Status!$B$2:$B$1867)</f>
        <v>Cancelled</v>
      </c>
      <c r="R428" s="2" t="s">
        <v>36</v>
      </c>
      <c r="S428" s="8">
        <v>5</v>
      </c>
      <c r="T428" s="2" t="s">
        <v>24</v>
      </c>
      <c r="U428" s="31" t="str" cm="1">
        <f t="array" ref="U428">_xlfn.IFS(L428&lt;=5000,$Z$3,AND(L428&gt;5000,L428&lt;=15000),$Z$4,AND(L428&gt;15000,L428&lt;=30000),$Z$5,AND(L428&gt;30000,L428&lt;=50000),$Z$6,L428&gt;50000,$Z$7)</f>
        <v>Rendah</v>
      </c>
      <c r="V428" s="2"/>
    </row>
    <row r="429" spans="1:22" ht="15.75" customHeight="1" x14ac:dyDescent="0.25">
      <c r="A429" s="26"/>
      <c r="B429" s="2" t="s">
        <v>738</v>
      </c>
      <c r="C429" s="32">
        <v>45629.14199074074</v>
      </c>
      <c r="D429" s="53">
        <f>YEAR(Table1[[#This Row],[Order Date]])</f>
        <v>2024</v>
      </c>
      <c r="E429" s="2" t="s">
        <v>739</v>
      </c>
      <c r="F429" s="2" t="s">
        <v>177</v>
      </c>
      <c r="G429" s="2" t="s">
        <v>34</v>
      </c>
      <c r="H429" s="23">
        <v>16000</v>
      </c>
      <c r="I429" s="2">
        <v>1</v>
      </c>
      <c r="J429" s="31">
        <v>0</v>
      </c>
      <c r="K429" s="7">
        <f t="shared" si="24"/>
        <v>16000</v>
      </c>
      <c r="L429" s="7">
        <f t="shared" si="25"/>
        <v>0</v>
      </c>
      <c r="M429" s="7">
        <f t="shared" si="26"/>
        <v>16000</v>
      </c>
      <c r="N429" s="23">
        <v>56000</v>
      </c>
      <c r="O429" s="7">
        <f t="shared" si="27"/>
        <v>72000</v>
      </c>
      <c r="P429" s="2" t="s">
        <v>29</v>
      </c>
      <c r="Q429" t="str">
        <f>_xlfn.XLOOKUP(B429,Status!$A$2:$A$1867,Status!$B$2:$B$1867)</f>
        <v>Returned</v>
      </c>
      <c r="R429" s="2" t="s">
        <v>30</v>
      </c>
      <c r="S429" s="8">
        <v>5</v>
      </c>
      <c r="T429" s="2" t="s">
        <v>24</v>
      </c>
      <c r="U429" s="31" t="str" cm="1">
        <f t="array" ref="U429">_xlfn.IFS(L429&lt;=5000,$Z$3,AND(L429&gt;5000,L429&lt;=15000),$Z$4,AND(L429&gt;15000,L429&lt;=30000),$Z$5,AND(L429&gt;30000,L429&lt;=50000),$Z$6,L429&gt;50000,$Z$7)</f>
        <v>Sangat Rendah</v>
      </c>
      <c r="V429" s="2"/>
    </row>
    <row r="430" spans="1:22" ht="15.75" customHeight="1" x14ac:dyDescent="0.25">
      <c r="A430" s="26"/>
      <c r="B430" s="2" t="s">
        <v>740</v>
      </c>
      <c r="C430" s="32">
        <v>45629.167129629634</v>
      </c>
      <c r="D430" s="53">
        <f>YEAR(Table1[[#This Row],[Order Date]])</f>
        <v>2024</v>
      </c>
      <c r="E430" s="2" t="s">
        <v>741</v>
      </c>
      <c r="F430" s="2" t="s">
        <v>189</v>
      </c>
      <c r="G430" s="2" t="s">
        <v>71</v>
      </c>
      <c r="H430" s="23">
        <v>40000</v>
      </c>
      <c r="I430" s="2">
        <v>5</v>
      </c>
      <c r="J430" s="31">
        <v>15</v>
      </c>
      <c r="K430" s="7">
        <f t="shared" si="24"/>
        <v>200000</v>
      </c>
      <c r="L430" s="7">
        <f t="shared" si="25"/>
        <v>30000</v>
      </c>
      <c r="M430" s="7">
        <f t="shared" si="26"/>
        <v>170000</v>
      </c>
      <c r="N430" s="23">
        <v>57000</v>
      </c>
      <c r="O430" s="7">
        <f t="shared" si="27"/>
        <v>227000</v>
      </c>
      <c r="P430" s="2" t="s">
        <v>22</v>
      </c>
      <c r="Q430" t="str">
        <f>_xlfn.XLOOKUP(B430,Status!$A$2:$A$1867,Status!$B$2:$B$1867)</f>
        <v>Returned</v>
      </c>
      <c r="R430" s="2" t="s">
        <v>36</v>
      </c>
      <c r="S430" s="8">
        <v>4</v>
      </c>
      <c r="T430" s="2" t="s">
        <v>24</v>
      </c>
      <c r="U430" s="31" t="str" cm="1">
        <f t="array" ref="U430">_xlfn.IFS(L430&lt;=5000,$Z$3,AND(L430&gt;5000,L430&lt;=15000),$Z$4,AND(L430&gt;15000,L430&lt;=30000),$Z$5,AND(L430&gt;30000,L430&lt;=50000),$Z$6,L430&gt;50000,$Z$7)</f>
        <v>Normal</v>
      </c>
      <c r="V430" s="2"/>
    </row>
    <row r="431" spans="1:22" ht="15.75" customHeight="1" x14ac:dyDescent="0.25">
      <c r="A431" s="26"/>
      <c r="B431" s="2" t="s">
        <v>742</v>
      </c>
      <c r="C431" s="32">
        <v>45629.321921296287</v>
      </c>
      <c r="D431" s="53">
        <f>YEAR(Table1[[#This Row],[Order Date]])</f>
        <v>2024</v>
      </c>
      <c r="E431" s="2" t="s">
        <v>323</v>
      </c>
      <c r="F431" s="2" t="s">
        <v>103</v>
      </c>
      <c r="G431" s="2" t="s">
        <v>123</v>
      </c>
      <c r="H431" s="23">
        <v>22000</v>
      </c>
      <c r="I431" s="2">
        <v>2</v>
      </c>
      <c r="J431" s="31">
        <v>0</v>
      </c>
      <c r="K431" s="7">
        <f t="shared" si="24"/>
        <v>44000</v>
      </c>
      <c r="L431" s="7">
        <f t="shared" si="25"/>
        <v>0</v>
      </c>
      <c r="M431" s="7">
        <f t="shared" si="26"/>
        <v>44000</v>
      </c>
      <c r="N431" s="23">
        <v>85000</v>
      </c>
      <c r="O431" s="7">
        <f t="shared" si="27"/>
        <v>129000</v>
      </c>
      <c r="P431" s="2" t="s">
        <v>29</v>
      </c>
      <c r="Q431" t="str">
        <f>_xlfn.XLOOKUP(B431,Status!$A$2:$A$1867,Status!$B$2:$B$1867)</f>
        <v>Completed</v>
      </c>
      <c r="R431" s="2" t="s">
        <v>23</v>
      </c>
      <c r="S431" s="8">
        <v>4</v>
      </c>
      <c r="T431" s="2" t="s">
        <v>24</v>
      </c>
      <c r="U431" s="31" t="str" cm="1">
        <f t="array" ref="U431">_xlfn.IFS(L431&lt;=5000,$Z$3,AND(L431&gt;5000,L431&lt;=15000),$Z$4,AND(L431&gt;15000,L431&lt;=30000),$Z$5,AND(L431&gt;30000,L431&lt;=50000),$Z$6,L431&gt;50000,$Z$7)</f>
        <v>Sangat Rendah</v>
      </c>
      <c r="V431" s="2"/>
    </row>
    <row r="432" spans="1:22" ht="15.75" customHeight="1" x14ac:dyDescent="0.25">
      <c r="A432" s="26"/>
      <c r="B432" s="2" t="s">
        <v>742</v>
      </c>
      <c r="C432" s="32">
        <v>45629.321921296287</v>
      </c>
      <c r="D432" s="53">
        <f>YEAR(Table1[[#This Row],[Order Date]])</f>
        <v>2024</v>
      </c>
      <c r="E432" s="2" t="s">
        <v>323</v>
      </c>
      <c r="F432" s="2" t="s">
        <v>103</v>
      </c>
      <c r="G432" s="2" t="s">
        <v>136</v>
      </c>
      <c r="H432" s="23">
        <v>12000</v>
      </c>
      <c r="I432" s="2">
        <v>3</v>
      </c>
      <c r="J432" s="31">
        <v>20</v>
      </c>
      <c r="K432" s="7">
        <f t="shared" si="24"/>
        <v>36000</v>
      </c>
      <c r="L432" s="7">
        <f t="shared" si="25"/>
        <v>7200</v>
      </c>
      <c r="M432" s="7">
        <f t="shared" si="26"/>
        <v>28800</v>
      </c>
      <c r="N432" s="23">
        <v>0</v>
      </c>
      <c r="O432" s="7">
        <f t="shared" si="27"/>
        <v>28800</v>
      </c>
      <c r="P432" s="2" t="s">
        <v>29</v>
      </c>
      <c r="Q432" t="str">
        <f>_xlfn.XLOOKUP(B432,Status!$A$2:$A$1867,Status!$B$2:$B$1867)</f>
        <v>Completed</v>
      </c>
      <c r="R432" s="2" t="s">
        <v>23</v>
      </c>
      <c r="S432" s="8">
        <v>4</v>
      </c>
      <c r="T432" s="2" t="s">
        <v>24</v>
      </c>
      <c r="U432" s="31" t="str" cm="1">
        <f t="array" ref="U432">_xlfn.IFS(L432&lt;=5000,$Z$3,AND(L432&gt;5000,L432&lt;=15000),$Z$4,AND(L432&gt;15000,L432&lt;=30000),$Z$5,AND(L432&gt;30000,L432&lt;=50000),$Z$6,L432&gt;50000,$Z$7)</f>
        <v>Rendah</v>
      </c>
      <c r="V432" s="2"/>
    </row>
    <row r="433" spans="1:22" ht="15.75" customHeight="1" x14ac:dyDescent="0.25">
      <c r="A433" s="26"/>
      <c r="B433" s="2" t="s">
        <v>743</v>
      </c>
      <c r="C433" s="32">
        <v>45629.390451388892</v>
      </c>
      <c r="D433" s="53">
        <f>YEAR(Table1[[#This Row],[Order Date]])</f>
        <v>2024</v>
      </c>
      <c r="E433" s="2" t="s">
        <v>744</v>
      </c>
      <c r="F433" s="2" t="s">
        <v>375</v>
      </c>
      <c r="G433" s="2" t="s">
        <v>85</v>
      </c>
      <c r="H433" s="23">
        <v>35000</v>
      </c>
      <c r="I433" s="2">
        <v>2</v>
      </c>
      <c r="J433" s="31">
        <v>0</v>
      </c>
      <c r="K433" s="7">
        <f t="shared" si="24"/>
        <v>70000</v>
      </c>
      <c r="L433" s="7">
        <f t="shared" si="25"/>
        <v>0</v>
      </c>
      <c r="M433" s="7">
        <f t="shared" si="26"/>
        <v>70000</v>
      </c>
      <c r="N433" s="23">
        <v>21000</v>
      </c>
      <c r="O433" s="7">
        <f t="shared" si="27"/>
        <v>91000</v>
      </c>
      <c r="P433" s="2" t="s">
        <v>35</v>
      </c>
      <c r="Q433" t="str">
        <f>_xlfn.XLOOKUP(B433,Status!$A$2:$A$1867,Status!$B$2:$B$1867)</f>
        <v>Completed</v>
      </c>
      <c r="R433" s="2" t="s">
        <v>30</v>
      </c>
      <c r="S433" s="8">
        <v>1</v>
      </c>
      <c r="T433" s="2" t="s">
        <v>24</v>
      </c>
      <c r="U433" s="31" t="str" cm="1">
        <f t="array" ref="U433">_xlfn.IFS(L433&lt;=5000,$Z$3,AND(L433&gt;5000,L433&lt;=15000),$Z$4,AND(L433&gt;15000,L433&lt;=30000),$Z$5,AND(L433&gt;30000,L433&lt;=50000),$Z$6,L433&gt;50000,$Z$7)</f>
        <v>Sangat Rendah</v>
      </c>
      <c r="V433" s="2"/>
    </row>
    <row r="434" spans="1:22" ht="15.75" customHeight="1" x14ac:dyDescent="0.25">
      <c r="A434" s="26"/>
      <c r="B434" s="2" t="s">
        <v>745</v>
      </c>
      <c r="C434" s="32">
        <v>45629.426365740743</v>
      </c>
      <c r="D434" s="53">
        <f>YEAR(Table1[[#This Row],[Order Date]])</f>
        <v>2024</v>
      </c>
      <c r="E434" s="2" t="s">
        <v>549</v>
      </c>
      <c r="F434" s="2" t="s">
        <v>107</v>
      </c>
      <c r="G434" s="2" t="s">
        <v>71</v>
      </c>
      <c r="H434" s="23">
        <v>40000</v>
      </c>
      <c r="I434" s="2">
        <v>3</v>
      </c>
      <c r="J434" s="31">
        <v>0</v>
      </c>
      <c r="K434" s="7">
        <f t="shared" si="24"/>
        <v>120000</v>
      </c>
      <c r="L434" s="7">
        <f t="shared" si="25"/>
        <v>0</v>
      </c>
      <c r="M434" s="7">
        <f t="shared" si="26"/>
        <v>120000</v>
      </c>
      <c r="N434" s="23">
        <v>97000</v>
      </c>
      <c r="O434" s="7">
        <f t="shared" si="27"/>
        <v>217000</v>
      </c>
      <c r="P434" s="2" t="s">
        <v>22</v>
      </c>
      <c r="Q434" t="str">
        <f>_xlfn.XLOOKUP(B434,Status!$A$2:$A$1867,Status!$B$2:$B$1867)</f>
        <v>Completed</v>
      </c>
      <c r="R434" s="2" t="s">
        <v>82</v>
      </c>
      <c r="S434" s="8">
        <v>5</v>
      </c>
      <c r="T434" s="2" t="s">
        <v>24</v>
      </c>
      <c r="U434" s="31" t="str" cm="1">
        <f t="array" ref="U434">_xlfn.IFS(L434&lt;=5000,$Z$3,AND(L434&gt;5000,L434&lt;=15000),$Z$4,AND(L434&gt;15000,L434&lt;=30000),$Z$5,AND(L434&gt;30000,L434&lt;=50000),$Z$6,L434&gt;50000,$Z$7)</f>
        <v>Sangat Rendah</v>
      </c>
      <c r="V434" s="2"/>
    </row>
    <row r="435" spans="1:22" ht="15.75" customHeight="1" x14ac:dyDescent="0.25">
      <c r="A435" s="26"/>
      <c r="B435" s="2" t="s">
        <v>746</v>
      </c>
      <c r="C435" s="32">
        <v>45629.528148148151</v>
      </c>
      <c r="D435" s="53">
        <f>YEAR(Table1[[#This Row],[Order Date]])</f>
        <v>2024</v>
      </c>
      <c r="E435" s="2" t="s">
        <v>56</v>
      </c>
      <c r="F435" s="2" t="s">
        <v>57</v>
      </c>
      <c r="G435" s="2" t="s">
        <v>50</v>
      </c>
      <c r="H435" s="23">
        <v>14000</v>
      </c>
      <c r="I435" s="2">
        <v>1</v>
      </c>
      <c r="J435" s="31">
        <v>5</v>
      </c>
      <c r="K435" s="7">
        <f t="shared" si="24"/>
        <v>14000</v>
      </c>
      <c r="L435" s="7">
        <f t="shared" si="25"/>
        <v>700</v>
      </c>
      <c r="M435" s="7">
        <f t="shared" si="26"/>
        <v>13300</v>
      </c>
      <c r="N435" s="23">
        <v>80000</v>
      </c>
      <c r="O435" s="7">
        <f t="shared" si="27"/>
        <v>93300</v>
      </c>
      <c r="P435" s="2" t="s">
        <v>63</v>
      </c>
      <c r="Q435" t="str">
        <f>_xlfn.XLOOKUP(B435,Status!$A$2:$A$1867,Status!$B$2:$B$1867)</f>
        <v>Completed</v>
      </c>
      <c r="R435" s="2" t="s">
        <v>82</v>
      </c>
      <c r="S435" s="8">
        <v>4</v>
      </c>
      <c r="T435" s="2" t="s">
        <v>24</v>
      </c>
      <c r="U435" s="31" t="str" cm="1">
        <f t="array" ref="U435">_xlfn.IFS(L435&lt;=5000,$Z$3,AND(L435&gt;5000,L435&lt;=15000),$Z$4,AND(L435&gt;15000,L435&lt;=30000),$Z$5,AND(L435&gt;30000,L435&lt;=50000),$Z$6,L435&gt;50000,$Z$7)</f>
        <v>Sangat Rendah</v>
      </c>
      <c r="V435" s="2"/>
    </row>
    <row r="436" spans="1:22" ht="15.75" customHeight="1" x14ac:dyDescent="0.25">
      <c r="A436" s="26"/>
      <c r="B436" s="2" t="s">
        <v>747</v>
      </c>
      <c r="C436" s="32">
        <v>45629.953587962962</v>
      </c>
      <c r="D436" s="53">
        <f>YEAR(Table1[[#This Row],[Order Date]])</f>
        <v>2024</v>
      </c>
      <c r="E436" s="2" t="s">
        <v>748</v>
      </c>
      <c r="F436" s="2" t="s">
        <v>160</v>
      </c>
      <c r="G436" s="2" t="s">
        <v>50</v>
      </c>
      <c r="H436" s="23">
        <v>14000</v>
      </c>
      <c r="I436" s="2">
        <v>4</v>
      </c>
      <c r="J436" s="31">
        <v>0</v>
      </c>
      <c r="K436" s="7">
        <f t="shared" si="24"/>
        <v>56000</v>
      </c>
      <c r="L436" s="7">
        <f t="shared" si="25"/>
        <v>0</v>
      </c>
      <c r="M436" s="7">
        <f t="shared" si="26"/>
        <v>56000</v>
      </c>
      <c r="N436" s="23">
        <v>68000</v>
      </c>
      <c r="O436" s="7">
        <f t="shared" si="27"/>
        <v>124000</v>
      </c>
      <c r="P436" s="2" t="s">
        <v>63</v>
      </c>
      <c r="Q436" t="str">
        <f>_xlfn.XLOOKUP(B436,Status!$A$2:$A$1867,Status!$B$2:$B$1867)</f>
        <v>Completed</v>
      </c>
      <c r="R436" s="2" t="s">
        <v>82</v>
      </c>
      <c r="S436" s="8">
        <v>1</v>
      </c>
      <c r="T436" s="2" t="s">
        <v>24</v>
      </c>
      <c r="U436" s="31" t="str" cm="1">
        <f t="array" ref="U436">_xlfn.IFS(L436&lt;=5000,$Z$3,AND(L436&gt;5000,L436&lt;=15000),$Z$4,AND(L436&gt;15000,L436&lt;=30000),$Z$5,AND(L436&gt;30000,L436&lt;=50000),$Z$6,L436&gt;50000,$Z$7)</f>
        <v>Sangat Rendah</v>
      </c>
      <c r="V436" s="2"/>
    </row>
    <row r="437" spans="1:22" ht="15.75" customHeight="1" x14ac:dyDescent="0.25">
      <c r="A437" s="26"/>
      <c r="B437" s="2" t="s">
        <v>749</v>
      </c>
      <c r="C437" s="32">
        <v>45630.617152777777</v>
      </c>
      <c r="D437" s="53">
        <f>YEAR(Table1[[#This Row],[Order Date]])</f>
        <v>2024</v>
      </c>
      <c r="E437" s="2" t="s">
        <v>133</v>
      </c>
      <c r="F437" s="2" t="s">
        <v>33</v>
      </c>
      <c r="G437" s="2" t="s">
        <v>186</v>
      </c>
      <c r="H437" s="23">
        <v>45000</v>
      </c>
      <c r="I437" s="2">
        <v>2</v>
      </c>
      <c r="J437" s="31">
        <v>15</v>
      </c>
      <c r="K437" s="7">
        <f t="shared" si="24"/>
        <v>90000</v>
      </c>
      <c r="L437" s="7">
        <f t="shared" si="25"/>
        <v>13500</v>
      </c>
      <c r="M437" s="7">
        <f t="shared" si="26"/>
        <v>76500</v>
      </c>
      <c r="N437" s="23">
        <v>76000</v>
      </c>
      <c r="O437" s="7">
        <f t="shared" si="27"/>
        <v>152500</v>
      </c>
      <c r="P437" s="2" t="s">
        <v>63</v>
      </c>
      <c r="Q437" t="str">
        <f>_xlfn.XLOOKUP(B437,Status!$A$2:$A$1867,Status!$B$2:$B$1867)</f>
        <v>Returned</v>
      </c>
      <c r="R437" s="2" t="s">
        <v>36</v>
      </c>
      <c r="S437" s="8">
        <v>4</v>
      </c>
      <c r="T437" s="2" t="s">
        <v>24</v>
      </c>
      <c r="U437" s="31" t="str" cm="1">
        <f t="array" ref="U437">_xlfn.IFS(L437&lt;=5000,$Z$3,AND(L437&gt;5000,L437&lt;=15000),$Z$4,AND(L437&gt;15000,L437&lt;=30000),$Z$5,AND(L437&gt;30000,L437&lt;=50000),$Z$6,L437&gt;50000,$Z$7)</f>
        <v>Rendah</v>
      </c>
      <c r="V437" s="2"/>
    </row>
    <row r="438" spans="1:22" ht="15.75" customHeight="1" x14ac:dyDescent="0.25">
      <c r="A438" s="26"/>
      <c r="B438" s="2" t="s">
        <v>750</v>
      </c>
      <c r="C438" s="32">
        <v>45631.069363425922</v>
      </c>
      <c r="D438" s="53">
        <f>YEAR(Table1[[#This Row],[Order Date]])</f>
        <v>2024</v>
      </c>
      <c r="E438" s="2" t="s">
        <v>751</v>
      </c>
      <c r="F438" s="2" t="s">
        <v>80</v>
      </c>
      <c r="G438" s="2" t="s">
        <v>123</v>
      </c>
      <c r="H438" s="23">
        <v>22000</v>
      </c>
      <c r="I438" s="2">
        <v>5</v>
      </c>
      <c r="J438" s="31">
        <v>20</v>
      </c>
      <c r="K438" s="7">
        <f t="shared" si="24"/>
        <v>110000</v>
      </c>
      <c r="L438" s="7">
        <f t="shared" si="25"/>
        <v>22000</v>
      </c>
      <c r="M438" s="7">
        <f t="shared" si="26"/>
        <v>88000</v>
      </c>
      <c r="N438" s="23">
        <v>74000</v>
      </c>
      <c r="O438" s="7">
        <f t="shared" si="27"/>
        <v>162000</v>
      </c>
      <c r="P438" s="2" t="s">
        <v>63</v>
      </c>
      <c r="Q438" t="str">
        <f>_xlfn.XLOOKUP(B438,Status!$A$2:$A$1867,Status!$B$2:$B$1867)</f>
        <v>Completed</v>
      </c>
      <c r="R438" s="2" t="s">
        <v>82</v>
      </c>
      <c r="S438" s="8">
        <v>4</v>
      </c>
      <c r="T438" s="2" t="s">
        <v>24</v>
      </c>
      <c r="U438" s="31" t="str" cm="1">
        <f t="array" ref="U438">_xlfn.IFS(L438&lt;=5000,$Z$3,AND(L438&gt;5000,L438&lt;=15000),$Z$4,AND(L438&gt;15000,L438&lt;=30000),$Z$5,AND(L438&gt;30000,L438&lt;=50000),$Z$6,L438&gt;50000,$Z$7)</f>
        <v>Normal</v>
      </c>
      <c r="V438" s="2"/>
    </row>
    <row r="439" spans="1:22" ht="15.75" customHeight="1" x14ac:dyDescent="0.25">
      <c r="A439" s="26"/>
      <c r="B439" s="2" t="s">
        <v>752</v>
      </c>
      <c r="C439" s="32">
        <v>45631.320868055547</v>
      </c>
      <c r="D439" s="53">
        <f>YEAR(Table1[[#This Row],[Order Date]])</f>
        <v>2024</v>
      </c>
      <c r="E439" s="2" t="s">
        <v>459</v>
      </c>
      <c r="F439" s="2" t="s">
        <v>61</v>
      </c>
      <c r="G439" s="2" t="s">
        <v>110</v>
      </c>
      <c r="H439" s="23">
        <v>6000</v>
      </c>
      <c r="I439" s="2">
        <v>2</v>
      </c>
      <c r="J439" s="31">
        <v>0</v>
      </c>
      <c r="K439" s="7">
        <f t="shared" si="24"/>
        <v>12000</v>
      </c>
      <c r="L439" s="7">
        <f t="shared" si="25"/>
        <v>0</v>
      </c>
      <c r="M439" s="7">
        <f t="shared" si="26"/>
        <v>12000</v>
      </c>
      <c r="N439" s="23">
        <v>26000</v>
      </c>
      <c r="O439" s="7">
        <f t="shared" si="27"/>
        <v>38000</v>
      </c>
      <c r="P439" s="2" t="s">
        <v>29</v>
      </c>
      <c r="Q439" t="str">
        <f>_xlfn.XLOOKUP(B439,Status!$A$2:$A$1867,Status!$B$2:$B$1867)</f>
        <v>Completed</v>
      </c>
      <c r="R439" s="2" t="s">
        <v>46</v>
      </c>
      <c r="S439" s="8">
        <v>1</v>
      </c>
      <c r="T439" s="2" t="s">
        <v>24</v>
      </c>
      <c r="U439" s="31" t="str" cm="1">
        <f t="array" ref="U439">_xlfn.IFS(L439&lt;=5000,$Z$3,AND(L439&gt;5000,L439&lt;=15000),$Z$4,AND(L439&gt;15000,L439&lt;=30000),$Z$5,AND(L439&gt;30000,L439&lt;=50000),$Z$6,L439&gt;50000,$Z$7)</f>
        <v>Sangat Rendah</v>
      </c>
      <c r="V439" s="2"/>
    </row>
    <row r="440" spans="1:22" ht="15.75" customHeight="1" x14ac:dyDescent="0.25">
      <c r="A440" s="26"/>
      <c r="B440" s="2" t="s">
        <v>753</v>
      </c>
      <c r="C440" s="32">
        <v>45631.402430555558</v>
      </c>
      <c r="D440" s="53">
        <f>YEAR(Table1[[#This Row],[Order Date]])</f>
        <v>2024</v>
      </c>
      <c r="E440" s="2" t="s">
        <v>754</v>
      </c>
      <c r="F440" s="2" t="s">
        <v>238</v>
      </c>
      <c r="G440" s="2" t="s">
        <v>250</v>
      </c>
      <c r="H440" s="23">
        <v>18000</v>
      </c>
      <c r="I440" s="2">
        <v>2</v>
      </c>
      <c r="J440" s="31">
        <v>5</v>
      </c>
      <c r="K440" s="7">
        <f t="shared" si="24"/>
        <v>36000</v>
      </c>
      <c r="L440" s="7">
        <f t="shared" si="25"/>
        <v>1800</v>
      </c>
      <c r="M440" s="7">
        <f t="shared" si="26"/>
        <v>34200</v>
      </c>
      <c r="N440" s="23">
        <v>28000</v>
      </c>
      <c r="O440" s="7">
        <f t="shared" si="27"/>
        <v>62200</v>
      </c>
      <c r="P440" s="2" t="s">
        <v>63</v>
      </c>
      <c r="Q440" t="str">
        <f>_xlfn.XLOOKUP(B440,Status!$A$2:$A$1867,Status!$B$2:$B$1867)</f>
        <v>Completed</v>
      </c>
      <c r="R440" s="2" t="s">
        <v>82</v>
      </c>
      <c r="S440" s="8">
        <v>3</v>
      </c>
      <c r="T440" s="2" t="s">
        <v>37</v>
      </c>
      <c r="U440" s="31" t="str" cm="1">
        <f t="array" ref="U440">_xlfn.IFS(L440&lt;=5000,$Z$3,AND(L440&gt;5000,L440&lt;=15000),$Z$4,AND(L440&gt;15000,L440&lt;=30000),$Z$5,AND(L440&gt;30000,L440&lt;=50000),$Z$6,L440&gt;50000,$Z$7)</f>
        <v>Sangat Rendah</v>
      </c>
      <c r="V440" s="2"/>
    </row>
    <row r="441" spans="1:22" ht="15.75" customHeight="1" x14ac:dyDescent="0.25">
      <c r="A441" s="26"/>
      <c r="B441" s="2" t="s">
        <v>753</v>
      </c>
      <c r="C441" s="32">
        <v>45631.402430555558</v>
      </c>
      <c r="D441" s="53">
        <f>YEAR(Table1[[#This Row],[Order Date]])</f>
        <v>2024</v>
      </c>
      <c r="E441" s="2" t="s">
        <v>754</v>
      </c>
      <c r="F441" s="2" t="s">
        <v>238</v>
      </c>
      <c r="G441" s="2" t="s">
        <v>144</v>
      </c>
      <c r="H441" s="23">
        <v>18000</v>
      </c>
      <c r="I441" s="2">
        <v>2</v>
      </c>
      <c r="J441" s="31">
        <v>20</v>
      </c>
      <c r="K441" s="7">
        <f t="shared" si="24"/>
        <v>36000</v>
      </c>
      <c r="L441" s="7">
        <f t="shared" si="25"/>
        <v>7200</v>
      </c>
      <c r="M441" s="7">
        <f t="shared" si="26"/>
        <v>28800</v>
      </c>
      <c r="N441" s="23">
        <v>0</v>
      </c>
      <c r="O441" s="7">
        <f t="shared" si="27"/>
        <v>28800</v>
      </c>
      <c r="P441" s="2" t="s">
        <v>63</v>
      </c>
      <c r="Q441" t="str">
        <f>_xlfn.XLOOKUP(B441,Status!$A$2:$A$1867,Status!$B$2:$B$1867)</f>
        <v>Completed</v>
      </c>
      <c r="R441" s="2" t="s">
        <v>82</v>
      </c>
      <c r="S441" s="8">
        <v>3</v>
      </c>
      <c r="T441" s="2" t="s">
        <v>37</v>
      </c>
      <c r="U441" s="31" t="str" cm="1">
        <f t="array" ref="U441">_xlfn.IFS(L441&lt;=5000,$Z$3,AND(L441&gt;5000,L441&lt;=15000),$Z$4,AND(L441&gt;15000,L441&lt;=30000),$Z$5,AND(L441&gt;30000,L441&lt;=50000),$Z$6,L441&gt;50000,$Z$7)</f>
        <v>Rendah</v>
      </c>
      <c r="V441" s="2"/>
    </row>
    <row r="442" spans="1:22" ht="15.75" customHeight="1" x14ac:dyDescent="0.25">
      <c r="A442" s="26"/>
      <c r="B442" s="2" t="s">
        <v>755</v>
      </c>
      <c r="C442" s="32">
        <v>45631.572511574072</v>
      </c>
      <c r="D442" s="53">
        <f>YEAR(Table1[[#This Row],[Order Date]])</f>
        <v>2024</v>
      </c>
      <c r="E442" s="2" t="s">
        <v>439</v>
      </c>
      <c r="F442" s="2" t="s">
        <v>119</v>
      </c>
      <c r="G442" s="2" t="s">
        <v>138</v>
      </c>
      <c r="H442" s="23">
        <v>17000</v>
      </c>
      <c r="I442" s="2">
        <v>3</v>
      </c>
      <c r="J442" s="31">
        <v>20</v>
      </c>
      <c r="K442" s="7">
        <f t="shared" si="24"/>
        <v>51000</v>
      </c>
      <c r="L442" s="7">
        <f t="shared" si="25"/>
        <v>10200</v>
      </c>
      <c r="M442" s="7">
        <f t="shared" si="26"/>
        <v>40800</v>
      </c>
      <c r="N442" s="23">
        <v>0</v>
      </c>
      <c r="O442" s="7">
        <f t="shared" si="27"/>
        <v>40800</v>
      </c>
      <c r="P442" s="2" t="s">
        <v>35</v>
      </c>
      <c r="Q442" t="str">
        <f>_xlfn.XLOOKUP(B442,Status!$A$2:$A$1867,Status!$B$2:$B$1867)</f>
        <v>Completed</v>
      </c>
      <c r="R442" s="2" t="s">
        <v>46</v>
      </c>
      <c r="S442" s="8">
        <v>4</v>
      </c>
      <c r="T442" s="2" t="s">
        <v>37</v>
      </c>
      <c r="U442" s="31" t="str" cm="1">
        <f t="array" ref="U442">_xlfn.IFS(L442&lt;=5000,$Z$3,AND(L442&gt;5000,L442&lt;=15000),$Z$4,AND(L442&gt;15000,L442&lt;=30000),$Z$5,AND(L442&gt;30000,L442&lt;=50000),$Z$6,L442&gt;50000,$Z$7)</f>
        <v>Rendah</v>
      </c>
      <c r="V442" s="2"/>
    </row>
    <row r="443" spans="1:22" ht="15.75" customHeight="1" x14ac:dyDescent="0.25">
      <c r="A443" s="26"/>
      <c r="B443" s="2" t="s">
        <v>756</v>
      </c>
      <c r="C443" s="32">
        <v>45631.768067129633</v>
      </c>
      <c r="D443" s="53">
        <f>YEAR(Table1[[#This Row],[Order Date]])</f>
        <v>2024</v>
      </c>
      <c r="E443" s="2" t="s">
        <v>570</v>
      </c>
      <c r="F443" s="2" t="s">
        <v>80</v>
      </c>
      <c r="G443" s="2" t="s">
        <v>136</v>
      </c>
      <c r="H443" s="23">
        <v>12000</v>
      </c>
      <c r="I443" s="2">
        <v>4</v>
      </c>
      <c r="J443" s="31">
        <v>20</v>
      </c>
      <c r="K443" s="7">
        <f t="shared" si="24"/>
        <v>48000</v>
      </c>
      <c r="L443" s="7">
        <f t="shared" si="25"/>
        <v>9600</v>
      </c>
      <c r="M443" s="7">
        <f t="shared" si="26"/>
        <v>38400</v>
      </c>
      <c r="N443" s="23">
        <v>74000</v>
      </c>
      <c r="O443" s="7">
        <f t="shared" si="27"/>
        <v>112400</v>
      </c>
      <c r="P443" s="2" t="s">
        <v>29</v>
      </c>
      <c r="Q443" t="str">
        <f>_xlfn.XLOOKUP(B443,Status!$A$2:$A$1867,Status!$B$2:$B$1867)</f>
        <v>Completed</v>
      </c>
      <c r="R443" s="2" t="s">
        <v>46</v>
      </c>
      <c r="S443" s="8">
        <v>2</v>
      </c>
      <c r="T443" s="2" t="s">
        <v>24</v>
      </c>
      <c r="U443" s="31" t="str" cm="1">
        <f t="array" ref="U443">_xlfn.IFS(L443&lt;=5000,$Z$3,AND(L443&gt;5000,L443&lt;=15000),$Z$4,AND(L443&gt;15000,L443&lt;=30000),$Z$5,AND(L443&gt;30000,L443&lt;=50000),$Z$6,L443&gt;50000,$Z$7)</f>
        <v>Rendah</v>
      </c>
      <c r="V443" s="2"/>
    </row>
    <row r="444" spans="1:22" ht="15.75" customHeight="1" x14ac:dyDescent="0.25">
      <c r="A444" s="26"/>
      <c r="B444" s="2" t="s">
        <v>757</v>
      </c>
      <c r="C444" s="32">
        <v>45631.862500000003</v>
      </c>
      <c r="D444" s="53">
        <f>YEAR(Table1[[#This Row],[Order Date]])</f>
        <v>2024</v>
      </c>
      <c r="E444" s="2" t="s">
        <v>758</v>
      </c>
      <c r="F444" s="2" t="s">
        <v>238</v>
      </c>
      <c r="G444" s="2" t="s">
        <v>75</v>
      </c>
      <c r="H444" s="23">
        <v>55000</v>
      </c>
      <c r="I444" s="2">
        <v>1</v>
      </c>
      <c r="J444" s="31">
        <v>15</v>
      </c>
      <c r="K444" s="7">
        <f t="shared" si="24"/>
        <v>55000</v>
      </c>
      <c r="L444" s="7">
        <f t="shared" si="25"/>
        <v>8250</v>
      </c>
      <c r="M444" s="7">
        <f t="shared" si="26"/>
        <v>46750</v>
      </c>
      <c r="N444" s="23">
        <v>28000</v>
      </c>
      <c r="O444" s="7">
        <f t="shared" si="27"/>
        <v>74750</v>
      </c>
      <c r="P444" s="2" t="s">
        <v>63</v>
      </c>
      <c r="Q444" t="str">
        <f>_xlfn.XLOOKUP(B444,Status!$A$2:$A$1867,Status!$B$2:$B$1867)</f>
        <v>Cancelled</v>
      </c>
      <c r="R444" s="2" t="s">
        <v>30</v>
      </c>
      <c r="S444" s="8">
        <v>5</v>
      </c>
      <c r="T444" s="2" t="s">
        <v>24</v>
      </c>
      <c r="U444" s="31" t="str" cm="1">
        <f t="array" ref="U444">_xlfn.IFS(L444&lt;=5000,$Z$3,AND(L444&gt;5000,L444&lt;=15000),$Z$4,AND(L444&gt;15000,L444&lt;=30000),$Z$5,AND(L444&gt;30000,L444&lt;=50000),$Z$6,L444&gt;50000,$Z$7)</f>
        <v>Rendah</v>
      </c>
      <c r="V444" s="2"/>
    </row>
    <row r="445" spans="1:22" ht="15.75" customHeight="1" x14ac:dyDescent="0.25">
      <c r="A445" s="26"/>
      <c r="B445" s="2" t="s">
        <v>759</v>
      </c>
      <c r="C445" s="32">
        <v>45632.22550925926</v>
      </c>
      <c r="D445" s="53">
        <f>YEAR(Table1[[#This Row],[Order Date]])</f>
        <v>2024</v>
      </c>
      <c r="E445" s="2" t="s">
        <v>699</v>
      </c>
      <c r="F445" s="2" t="s">
        <v>238</v>
      </c>
      <c r="G445" s="2" t="s">
        <v>85</v>
      </c>
      <c r="H445" s="23">
        <v>35000</v>
      </c>
      <c r="I445" s="2">
        <v>4</v>
      </c>
      <c r="J445" s="31">
        <v>5</v>
      </c>
      <c r="K445" s="7">
        <f t="shared" si="24"/>
        <v>140000</v>
      </c>
      <c r="L445" s="7">
        <f t="shared" si="25"/>
        <v>7000</v>
      </c>
      <c r="M445" s="7">
        <f t="shared" si="26"/>
        <v>133000</v>
      </c>
      <c r="N445" s="23">
        <v>28000</v>
      </c>
      <c r="O445" s="7">
        <f t="shared" si="27"/>
        <v>161000</v>
      </c>
      <c r="P445" s="2" t="s">
        <v>22</v>
      </c>
      <c r="Q445" t="str">
        <f>_xlfn.XLOOKUP(B445,Status!$A$2:$A$1867,Status!$B$2:$B$1867)</f>
        <v>Completed</v>
      </c>
      <c r="R445" s="2" t="s">
        <v>23</v>
      </c>
      <c r="S445" s="8">
        <v>1</v>
      </c>
      <c r="T445" s="2" t="s">
        <v>37</v>
      </c>
      <c r="U445" s="31" t="str" cm="1">
        <f t="array" ref="U445">_xlfn.IFS(L445&lt;=5000,$Z$3,AND(L445&gt;5000,L445&lt;=15000),$Z$4,AND(L445&gt;15000,L445&lt;=30000),$Z$5,AND(L445&gt;30000,L445&lt;=50000),$Z$6,L445&gt;50000,$Z$7)</f>
        <v>Rendah</v>
      </c>
      <c r="V445" s="2"/>
    </row>
    <row r="446" spans="1:22" ht="15.75" customHeight="1" x14ac:dyDescent="0.25">
      <c r="A446" s="26"/>
      <c r="B446" s="2" t="s">
        <v>760</v>
      </c>
      <c r="C446" s="32">
        <v>45632.448240740741</v>
      </c>
      <c r="D446" s="53">
        <f>YEAR(Table1[[#This Row],[Order Date]])</f>
        <v>2024</v>
      </c>
      <c r="E446" s="2" t="s">
        <v>32</v>
      </c>
      <c r="F446" s="2" t="s">
        <v>33</v>
      </c>
      <c r="G446" s="2" t="s">
        <v>45</v>
      </c>
      <c r="H446" s="23">
        <v>40000</v>
      </c>
      <c r="I446" s="2">
        <v>2</v>
      </c>
      <c r="J446" s="31">
        <v>20</v>
      </c>
      <c r="K446" s="7">
        <f t="shared" si="24"/>
        <v>80000</v>
      </c>
      <c r="L446" s="7">
        <f t="shared" si="25"/>
        <v>16000</v>
      </c>
      <c r="M446" s="7">
        <f t="shared" si="26"/>
        <v>64000</v>
      </c>
      <c r="N446" s="23">
        <v>76000</v>
      </c>
      <c r="O446" s="7">
        <f t="shared" si="27"/>
        <v>140000</v>
      </c>
      <c r="P446" s="2" t="s">
        <v>29</v>
      </c>
      <c r="Q446" t="str">
        <f>_xlfn.XLOOKUP(B446,Status!$A$2:$A$1867,Status!$B$2:$B$1867)</f>
        <v>Completed</v>
      </c>
      <c r="R446" s="2" t="s">
        <v>30</v>
      </c>
      <c r="S446" s="8">
        <v>5</v>
      </c>
      <c r="T446" s="2" t="s">
        <v>37</v>
      </c>
      <c r="U446" s="31" t="str" cm="1">
        <f t="array" ref="U446">_xlfn.IFS(L446&lt;=5000,$Z$3,AND(L446&gt;5000,L446&lt;=15000),$Z$4,AND(L446&gt;15000,L446&lt;=30000),$Z$5,AND(L446&gt;30000,L446&lt;=50000),$Z$6,L446&gt;50000,$Z$7)</f>
        <v>Normal</v>
      </c>
      <c r="V446" s="2"/>
    </row>
    <row r="447" spans="1:22" ht="15.75" customHeight="1" x14ac:dyDescent="0.25">
      <c r="A447" s="26"/>
      <c r="B447" s="2" t="s">
        <v>761</v>
      </c>
      <c r="C447" s="32">
        <v>45633.222604166673</v>
      </c>
      <c r="D447" s="53">
        <f>YEAR(Table1[[#This Row],[Order Date]])</f>
        <v>2024</v>
      </c>
      <c r="E447" s="2" t="s">
        <v>488</v>
      </c>
      <c r="F447" s="2" t="s">
        <v>49</v>
      </c>
      <c r="G447" s="2" t="s">
        <v>28</v>
      </c>
      <c r="H447" s="23">
        <v>5000</v>
      </c>
      <c r="I447" s="2">
        <v>4</v>
      </c>
      <c r="J447" s="31">
        <v>5</v>
      </c>
      <c r="K447" s="7">
        <f t="shared" si="24"/>
        <v>20000</v>
      </c>
      <c r="L447" s="7">
        <f t="shared" si="25"/>
        <v>1000</v>
      </c>
      <c r="M447" s="7">
        <f t="shared" si="26"/>
        <v>19000</v>
      </c>
      <c r="N447" s="23">
        <v>43000</v>
      </c>
      <c r="O447" s="7">
        <f t="shared" si="27"/>
        <v>62000</v>
      </c>
      <c r="P447" s="2" t="s">
        <v>63</v>
      </c>
      <c r="Q447" t="str">
        <f>_xlfn.XLOOKUP(B447,Status!$A$2:$A$1867,Status!$B$2:$B$1867)</f>
        <v>Completed</v>
      </c>
      <c r="R447" s="2" t="s">
        <v>36</v>
      </c>
      <c r="S447" s="8">
        <v>3</v>
      </c>
      <c r="T447" s="2" t="s">
        <v>24</v>
      </c>
      <c r="U447" s="31" t="str" cm="1">
        <f t="array" ref="U447">_xlfn.IFS(L447&lt;=5000,$Z$3,AND(L447&gt;5000,L447&lt;=15000),$Z$4,AND(L447&gt;15000,L447&lt;=30000),$Z$5,AND(L447&gt;30000,L447&lt;=50000),$Z$6,L447&gt;50000,$Z$7)</f>
        <v>Sangat Rendah</v>
      </c>
      <c r="V447" s="2"/>
    </row>
    <row r="448" spans="1:22" ht="15.75" customHeight="1" x14ac:dyDescent="0.25">
      <c r="A448" s="26"/>
      <c r="B448" s="2" t="s">
        <v>762</v>
      </c>
      <c r="C448" s="32">
        <v>45633.321956018517</v>
      </c>
      <c r="D448" s="53">
        <f>YEAR(Table1[[#This Row],[Order Date]])</f>
        <v>2024</v>
      </c>
      <c r="E448" s="2" t="s">
        <v>763</v>
      </c>
      <c r="F448" s="2" t="s">
        <v>74</v>
      </c>
      <c r="G448" s="2" t="s">
        <v>138</v>
      </c>
      <c r="H448" s="23">
        <v>17000</v>
      </c>
      <c r="I448" s="2">
        <v>4</v>
      </c>
      <c r="J448" s="31">
        <v>5</v>
      </c>
      <c r="K448" s="7">
        <f t="shared" si="24"/>
        <v>68000</v>
      </c>
      <c r="L448" s="7">
        <f t="shared" si="25"/>
        <v>3400</v>
      </c>
      <c r="M448" s="7">
        <f t="shared" si="26"/>
        <v>64600</v>
      </c>
      <c r="N448" s="23">
        <v>87000</v>
      </c>
      <c r="O448" s="7">
        <f t="shared" si="27"/>
        <v>151600</v>
      </c>
      <c r="P448" s="2" t="s">
        <v>22</v>
      </c>
      <c r="Q448" t="str">
        <f>_xlfn.XLOOKUP(B448,Status!$A$2:$A$1867,Status!$B$2:$B$1867)</f>
        <v>Completed</v>
      </c>
      <c r="R448" s="2" t="s">
        <v>46</v>
      </c>
      <c r="S448" s="8">
        <v>1</v>
      </c>
      <c r="T448" s="2" t="s">
        <v>24</v>
      </c>
      <c r="U448" s="31" t="str" cm="1">
        <f t="array" ref="U448">_xlfn.IFS(L448&lt;=5000,$Z$3,AND(L448&gt;5000,L448&lt;=15000),$Z$4,AND(L448&gt;15000,L448&lt;=30000),$Z$5,AND(L448&gt;30000,L448&lt;=50000),$Z$6,L448&gt;50000,$Z$7)</f>
        <v>Sangat Rendah</v>
      </c>
      <c r="V448" s="2"/>
    </row>
    <row r="449" spans="1:22" ht="15.75" customHeight="1" x14ac:dyDescent="0.25">
      <c r="A449" s="26"/>
      <c r="B449" s="2" t="s">
        <v>764</v>
      </c>
      <c r="C449" s="32">
        <v>45633.470682870371</v>
      </c>
      <c r="D449" s="53">
        <f>YEAR(Table1[[#This Row],[Order Date]])</f>
        <v>2024</v>
      </c>
      <c r="E449" s="2" t="s">
        <v>613</v>
      </c>
      <c r="F449" s="2" t="s">
        <v>375</v>
      </c>
      <c r="G449" s="2" t="s">
        <v>93</v>
      </c>
      <c r="H449" s="23">
        <v>25000</v>
      </c>
      <c r="I449" s="2">
        <v>2</v>
      </c>
      <c r="J449" s="31">
        <v>5</v>
      </c>
      <c r="K449" s="7">
        <f t="shared" si="24"/>
        <v>50000</v>
      </c>
      <c r="L449" s="7">
        <f t="shared" si="25"/>
        <v>2500</v>
      </c>
      <c r="M449" s="7">
        <f t="shared" si="26"/>
        <v>47500</v>
      </c>
      <c r="N449" s="23">
        <v>21000</v>
      </c>
      <c r="O449" s="7">
        <f t="shared" si="27"/>
        <v>68500</v>
      </c>
      <c r="P449" s="2" t="s">
        <v>63</v>
      </c>
      <c r="Q449" t="str">
        <f>_xlfn.XLOOKUP(B449,Status!$A$2:$A$1867,Status!$B$2:$B$1867)</f>
        <v>Completed</v>
      </c>
      <c r="R449" s="2" t="s">
        <v>82</v>
      </c>
      <c r="S449" s="8">
        <v>5</v>
      </c>
      <c r="T449" s="2" t="s">
        <v>24</v>
      </c>
      <c r="U449" s="31" t="str" cm="1">
        <f t="array" ref="U449">_xlfn.IFS(L449&lt;=5000,$Z$3,AND(L449&gt;5000,L449&lt;=15000),$Z$4,AND(L449&gt;15000,L449&lt;=30000),$Z$5,AND(L449&gt;30000,L449&lt;=50000),$Z$6,L449&gt;50000,$Z$7)</f>
        <v>Sangat Rendah</v>
      </c>
      <c r="V449" s="2"/>
    </row>
    <row r="450" spans="1:22" ht="15.75" customHeight="1" x14ac:dyDescent="0.25">
      <c r="A450" s="26"/>
      <c r="B450" s="2" t="s">
        <v>765</v>
      </c>
      <c r="C450" s="32">
        <v>45633.724930555552</v>
      </c>
      <c r="D450" s="53">
        <f>YEAR(Table1[[#This Row],[Order Date]])</f>
        <v>2024</v>
      </c>
      <c r="E450" s="2" t="s">
        <v>368</v>
      </c>
      <c r="F450" s="2" t="s">
        <v>113</v>
      </c>
      <c r="G450" s="2" t="s">
        <v>28</v>
      </c>
      <c r="H450" s="23">
        <v>5000</v>
      </c>
      <c r="I450" s="2">
        <v>3</v>
      </c>
      <c r="J450" s="31">
        <v>20</v>
      </c>
      <c r="K450" s="7">
        <f t="shared" si="24"/>
        <v>15000</v>
      </c>
      <c r="L450" s="7">
        <f t="shared" si="25"/>
        <v>3000</v>
      </c>
      <c r="M450" s="7">
        <f t="shared" si="26"/>
        <v>12000</v>
      </c>
      <c r="N450" s="23">
        <v>18000</v>
      </c>
      <c r="O450" s="7">
        <f t="shared" si="27"/>
        <v>30000</v>
      </c>
      <c r="P450" s="2" t="s">
        <v>35</v>
      </c>
      <c r="Q450" t="str">
        <f>_xlfn.XLOOKUP(B450,Status!$A$2:$A$1867,Status!$B$2:$B$1867)</f>
        <v>Cancelled</v>
      </c>
      <c r="R450" s="2" t="s">
        <v>82</v>
      </c>
      <c r="S450" s="8">
        <v>4</v>
      </c>
      <c r="T450" s="2" t="s">
        <v>37</v>
      </c>
      <c r="U450" s="31" t="str" cm="1">
        <f t="array" ref="U450">_xlfn.IFS(L450&lt;=5000,$Z$3,AND(L450&gt;5000,L450&lt;=15000),$Z$4,AND(L450&gt;15000,L450&lt;=30000),$Z$5,AND(L450&gt;30000,L450&lt;=50000),$Z$6,L450&gt;50000,$Z$7)</f>
        <v>Sangat Rendah</v>
      </c>
      <c r="V450" s="2"/>
    </row>
    <row r="451" spans="1:22" ht="15.75" customHeight="1" x14ac:dyDescent="0.25">
      <c r="A451" s="26"/>
      <c r="B451" s="2" t="s">
        <v>766</v>
      </c>
      <c r="C451" s="32">
        <v>45634.066932870373</v>
      </c>
      <c r="D451" s="53">
        <f>YEAR(Table1[[#This Row],[Order Date]])</f>
        <v>2024</v>
      </c>
      <c r="E451" s="2" t="s">
        <v>626</v>
      </c>
      <c r="F451" s="2" t="s">
        <v>296</v>
      </c>
      <c r="G451" s="2" t="s">
        <v>21</v>
      </c>
      <c r="H451" s="23">
        <v>45000</v>
      </c>
      <c r="I451" s="2">
        <v>3</v>
      </c>
      <c r="J451" s="31">
        <v>20</v>
      </c>
      <c r="K451" s="7">
        <f t="shared" si="24"/>
        <v>135000</v>
      </c>
      <c r="L451" s="7">
        <f t="shared" si="25"/>
        <v>27000</v>
      </c>
      <c r="M451" s="7">
        <f t="shared" si="26"/>
        <v>108000</v>
      </c>
      <c r="N451" s="23">
        <v>79000</v>
      </c>
      <c r="O451" s="7">
        <f t="shared" si="27"/>
        <v>187000</v>
      </c>
      <c r="P451" s="2" t="s">
        <v>35</v>
      </c>
      <c r="Q451" t="str">
        <f>_xlfn.XLOOKUP(B451,Status!$A$2:$A$1867,Status!$B$2:$B$1867)</f>
        <v>Returned</v>
      </c>
      <c r="R451" s="2" t="s">
        <v>46</v>
      </c>
      <c r="S451" s="8">
        <v>5</v>
      </c>
      <c r="T451" s="2" t="s">
        <v>24</v>
      </c>
      <c r="U451" s="31" t="str" cm="1">
        <f t="array" ref="U451">_xlfn.IFS(L451&lt;=5000,$Z$3,AND(L451&gt;5000,L451&lt;=15000),$Z$4,AND(L451&gt;15000,L451&lt;=30000),$Z$5,AND(L451&gt;30000,L451&lt;=50000),$Z$6,L451&gt;50000,$Z$7)</f>
        <v>Normal</v>
      </c>
      <c r="V451" s="2"/>
    </row>
    <row r="452" spans="1:22" ht="15.75" customHeight="1" x14ac:dyDescent="0.25">
      <c r="A452" s="26"/>
      <c r="B452" s="2" t="s">
        <v>767</v>
      </c>
      <c r="C452" s="32">
        <v>45634.884618055563</v>
      </c>
      <c r="D452" s="53">
        <f>YEAR(Table1[[#This Row],[Order Date]])</f>
        <v>2024</v>
      </c>
      <c r="E452" s="2" t="s">
        <v>91</v>
      </c>
      <c r="F452" s="2" t="s">
        <v>92</v>
      </c>
      <c r="G452" s="2" t="s">
        <v>110</v>
      </c>
      <c r="H452" s="23">
        <v>6000</v>
      </c>
      <c r="I452" s="2">
        <v>4</v>
      </c>
      <c r="J452" s="31">
        <v>10</v>
      </c>
      <c r="K452" s="7">
        <f t="shared" ref="K452:K515" si="28">H452*I452</f>
        <v>24000</v>
      </c>
      <c r="L452" s="7">
        <f t="shared" ref="L452:L515" si="29">K452*(J452/100)</f>
        <v>2400</v>
      </c>
      <c r="M452" s="7">
        <f t="shared" ref="M452:M515" si="30">K452-L452</f>
        <v>21600</v>
      </c>
      <c r="N452" s="23">
        <v>30000</v>
      </c>
      <c r="O452" s="7">
        <f t="shared" ref="O452:O515" si="31">SUM(M452:N452)</f>
        <v>51600</v>
      </c>
      <c r="P452" s="2" t="s">
        <v>35</v>
      </c>
      <c r="Q452" t="str">
        <f>_xlfn.XLOOKUP(B452,Status!$A$2:$A$1867,Status!$B$2:$B$1867)</f>
        <v>Returned</v>
      </c>
      <c r="R452" s="2" t="s">
        <v>23</v>
      </c>
      <c r="S452" s="8">
        <v>2</v>
      </c>
      <c r="T452" s="2" t="s">
        <v>24</v>
      </c>
      <c r="U452" s="31" t="str" cm="1">
        <f t="array" ref="U452">_xlfn.IFS(L452&lt;=5000,$Z$3,AND(L452&gt;5000,L452&lt;=15000),$Z$4,AND(L452&gt;15000,L452&lt;=30000),$Z$5,AND(L452&gt;30000,L452&lt;=50000),$Z$6,L452&gt;50000,$Z$7)</f>
        <v>Sangat Rendah</v>
      </c>
      <c r="V452" s="2"/>
    </row>
    <row r="453" spans="1:22" ht="15.75" customHeight="1" x14ac:dyDescent="0.25">
      <c r="A453" s="26"/>
      <c r="B453" s="2" t="s">
        <v>768</v>
      </c>
      <c r="C453" s="32">
        <v>45635.087650462963</v>
      </c>
      <c r="D453" s="53">
        <f>YEAR(Table1[[#This Row],[Order Date]])</f>
        <v>2024</v>
      </c>
      <c r="E453" s="2" t="s">
        <v>410</v>
      </c>
      <c r="F453" s="2" t="s">
        <v>151</v>
      </c>
      <c r="G453" s="2" t="s">
        <v>88</v>
      </c>
      <c r="H453" s="23">
        <v>14000</v>
      </c>
      <c r="I453" s="2">
        <v>5</v>
      </c>
      <c r="J453" s="31">
        <v>10</v>
      </c>
      <c r="K453" s="7">
        <f t="shared" si="28"/>
        <v>70000</v>
      </c>
      <c r="L453" s="7">
        <f t="shared" si="29"/>
        <v>7000</v>
      </c>
      <c r="M453" s="7">
        <f t="shared" si="30"/>
        <v>63000</v>
      </c>
      <c r="N453" s="23">
        <v>55000</v>
      </c>
      <c r="O453" s="7">
        <f t="shared" si="31"/>
        <v>118000</v>
      </c>
      <c r="P453" s="2" t="s">
        <v>35</v>
      </c>
      <c r="Q453" t="str">
        <f>_xlfn.XLOOKUP(B453,Status!$A$2:$A$1867,Status!$B$2:$B$1867)</f>
        <v>Completed</v>
      </c>
      <c r="R453" s="2" t="s">
        <v>36</v>
      </c>
      <c r="S453" s="8">
        <v>2</v>
      </c>
      <c r="T453" s="2" t="s">
        <v>24</v>
      </c>
      <c r="U453" s="31" t="str" cm="1">
        <f t="array" ref="U453">_xlfn.IFS(L453&lt;=5000,$Z$3,AND(L453&gt;5000,L453&lt;=15000),$Z$4,AND(L453&gt;15000,L453&lt;=30000),$Z$5,AND(L453&gt;30000,L453&lt;=50000),$Z$6,L453&gt;50000,$Z$7)</f>
        <v>Rendah</v>
      </c>
      <c r="V453" s="2"/>
    </row>
    <row r="454" spans="1:22" ht="15.75" customHeight="1" x14ac:dyDescent="0.25">
      <c r="A454" s="26"/>
      <c r="B454" s="2" t="s">
        <v>769</v>
      </c>
      <c r="C454" s="32">
        <v>45635.399953703702</v>
      </c>
      <c r="D454" s="53">
        <f>YEAR(Table1[[#This Row],[Order Date]])</f>
        <v>2024</v>
      </c>
      <c r="E454" s="2" t="s">
        <v>355</v>
      </c>
      <c r="F454" s="2" t="s">
        <v>116</v>
      </c>
      <c r="G454" s="2" t="s">
        <v>54</v>
      </c>
      <c r="H454" s="23">
        <v>16000</v>
      </c>
      <c r="I454" s="2">
        <v>4</v>
      </c>
      <c r="J454" s="31">
        <v>15</v>
      </c>
      <c r="K454" s="7">
        <f t="shared" si="28"/>
        <v>64000</v>
      </c>
      <c r="L454" s="7">
        <f t="shared" si="29"/>
        <v>9600</v>
      </c>
      <c r="M454" s="7">
        <f t="shared" si="30"/>
        <v>54400</v>
      </c>
      <c r="N454" s="23">
        <v>72000</v>
      </c>
      <c r="O454" s="7">
        <f t="shared" si="31"/>
        <v>126400</v>
      </c>
      <c r="P454" s="2" t="s">
        <v>22</v>
      </c>
      <c r="Q454" t="str">
        <f>_xlfn.XLOOKUP(B454,Status!$A$2:$A$1867,Status!$B$2:$B$1867)</f>
        <v>Returned</v>
      </c>
      <c r="R454" s="2" t="s">
        <v>46</v>
      </c>
      <c r="S454" s="8">
        <v>5</v>
      </c>
      <c r="T454" s="2" t="s">
        <v>24</v>
      </c>
      <c r="U454" s="31" t="str" cm="1">
        <f t="array" ref="U454">_xlfn.IFS(L454&lt;=5000,$Z$3,AND(L454&gt;5000,L454&lt;=15000),$Z$4,AND(L454&gt;15000,L454&lt;=30000),$Z$5,AND(L454&gt;30000,L454&lt;=50000),$Z$6,L454&gt;50000,$Z$7)</f>
        <v>Rendah</v>
      </c>
      <c r="V454" s="2"/>
    </row>
    <row r="455" spans="1:22" ht="15.75" customHeight="1" x14ac:dyDescent="0.25">
      <c r="A455" s="26"/>
      <c r="B455" s="2" t="s">
        <v>770</v>
      </c>
      <c r="C455" s="32">
        <v>45635.575624999998</v>
      </c>
      <c r="D455" s="53">
        <f>YEAR(Table1[[#This Row],[Order Date]])</f>
        <v>2024</v>
      </c>
      <c r="E455" s="2" t="s">
        <v>565</v>
      </c>
      <c r="F455" s="2" t="s">
        <v>163</v>
      </c>
      <c r="G455" s="2" t="s">
        <v>123</v>
      </c>
      <c r="H455" s="23">
        <v>22000</v>
      </c>
      <c r="I455" s="2">
        <v>3</v>
      </c>
      <c r="J455" s="31">
        <v>10</v>
      </c>
      <c r="K455" s="7">
        <f t="shared" si="28"/>
        <v>66000</v>
      </c>
      <c r="L455" s="7">
        <f t="shared" si="29"/>
        <v>6600</v>
      </c>
      <c r="M455" s="7">
        <f t="shared" si="30"/>
        <v>59400</v>
      </c>
      <c r="N455" s="23">
        <v>50000</v>
      </c>
      <c r="O455" s="7">
        <f t="shared" si="31"/>
        <v>109400</v>
      </c>
      <c r="P455" s="2" t="s">
        <v>22</v>
      </c>
      <c r="Q455" t="str">
        <f>_xlfn.XLOOKUP(B455,Status!$A$2:$A$1867,Status!$B$2:$B$1867)</f>
        <v>Completed</v>
      </c>
      <c r="R455" s="2" t="s">
        <v>23</v>
      </c>
      <c r="S455" s="8">
        <v>5</v>
      </c>
      <c r="T455" s="2" t="s">
        <v>24</v>
      </c>
      <c r="U455" s="31" t="str" cm="1">
        <f t="array" ref="U455">_xlfn.IFS(L455&lt;=5000,$Z$3,AND(L455&gt;5000,L455&lt;=15000),$Z$4,AND(L455&gt;15000,L455&lt;=30000),$Z$5,AND(L455&gt;30000,L455&lt;=50000),$Z$6,L455&gt;50000,$Z$7)</f>
        <v>Rendah</v>
      </c>
      <c r="V455" s="2"/>
    </row>
    <row r="456" spans="1:22" ht="15.75" customHeight="1" x14ac:dyDescent="0.25">
      <c r="A456" s="26"/>
      <c r="B456" s="2" t="s">
        <v>771</v>
      </c>
      <c r="C456" s="32">
        <v>45635.641793981478</v>
      </c>
      <c r="D456" s="53">
        <f>YEAR(Table1[[#This Row],[Order Date]])</f>
        <v>2024</v>
      </c>
      <c r="E456" s="2" t="s">
        <v>772</v>
      </c>
      <c r="F456" s="2" t="s">
        <v>113</v>
      </c>
      <c r="G456" s="2" t="s">
        <v>81</v>
      </c>
      <c r="H456" s="23">
        <v>17000</v>
      </c>
      <c r="I456" s="2">
        <v>5</v>
      </c>
      <c r="J456" s="31">
        <v>20</v>
      </c>
      <c r="K456" s="7">
        <f t="shared" si="28"/>
        <v>85000</v>
      </c>
      <c r="L456" s="7">
        <f t="shared" si="29"/>
        <v>17000</v>
      </c>
      <c r="M456" s="7">
        <f t="shared" si="30"/>
        <v>68000</v>
      </c>
      <c r="N456" s="23">
        <v>18000</v>
      </c>
      <c r="O456" s="7">
        <f t="shared" si="31"/>
        <v>86000</v>
      </c>
      <c r="P456" s="2" t="s">
        <v>29</v>
      </c>
      <c r="Q456" t="str">
        <f>_xlfn.XLOOKUP(B456,Status!$A$2:$A$1867,Status!$B$2:$B$1867)</f>
        <v>Completed</v>
      </c>
      <c r="R456" s="2" t="s">
        <v>23</v>
      </c>
      <c r="S456" s="8">
        <v>1</v>
      </c>
      <c r="T456" s="2" t="s">
        <v>24</v>
      </c>
      <c r="U456" s="31" t="str" cm="1">
        <f t="array" ref="U456">_xlfn.IFS(L456&lt;=5000,$Z$3,AND(L456&gt;5000,L456&lt;=15000),$Z$4,AND(L456&gt;15000,L456&lt;=30000),$Z$5,AND(L456&gt;30000,L456&lt;=50000),$Z$6,L456&gt;50000,$Z$7)</f>
        <v>Normal</v>
      </c>
      <c r="V456" s="2"/>
    </row>
    <row r="457" spans="1:22" ht="15.75" customHeight="1" x14ac:dyDescent="0.25">
      <c r="A457" s="26"/>
      <c r="B457" s="2" t="s">
        <v>773</v>
      </c>
      <c r="C457" s="32">
        <v>45635.762002314812</v>
      </c>
      <c r="D457" s="53">
        <f>YEAR(Table1[[#This Row],[Order Date]])</f>
        <v>2024</v>
      </c>
      <c r="E457" s="2" t="s">
        <v>774</v>
      </c>
      <c r="F457" s="2" t="s">
        <v>262</v>
      </c>
      <c r="G457" s="2" t="s">
        <v>144</v>
      </c>
      <c r="H457" s="23">
        <v>18000</v>
      </c>
      <c r="I457" s="2">
        <v>1</v>
      </c>
      <c r="J457" s="31">
        <v>5</v>
      </c>
      <c r="K457" s="7">
        <f t="shared" si="28"/>
        <v>18000</v>
      </c>
      <c r="L457" s="7">
        <f t="shared" si="29"/>
        <v>900</v>
      </c>
      <c r="M457" s="7">
        <f t="shared" si="30"/>
        <v>17100</v>
      </c>
      <c r="N457" s="23">
        <v>18000</v>
      </c>
      <c r="O457" s="7">
        <f t="shared" si="31"/>
        <v>35100</v>
      </c>
      <c r="P457" s="2" t="s">
        <v>22</v>
      </c>
      <c r="Q457" t="str">
        <f>_xlfn.XLOOKUP(B457,Status!$A$2:$A$1867,Status!$B$2:$B$1867)</f>
        <v>Completed</v>
      </c>
      <c r="R457" s="2" t="s">
        <v>82</v>
      </c>
      <c r="S457" s="8">
        <v>3</v>
      </c>
      <c r="T457" s="2" t="s">
        <v>24</v>
      </c>
      <c r="U457" s="31" t="str" cm="1">
        <f t="array" ref="U457">_xlfn.IFS(L457&lt;=5000,$Z$3,AND(L457&gt;5000,L457&lt;=15000),$Z$4,AND(L457&gt;15000,L457&lt;=30000),$Z$5,AND(L457&gt;30000,L457&lt;=50000),$Z$6,L457&gt;50000,$Z$7)</f>
        <v>Sangat Rendah</v>
      </c>
      <c r="V457" s="2"/>
    </row>
    <row r="458" spans="1:22" ht="15.75" customHeight="1" x14ac:dyDescent="0.25">
      <c r="A458" s="26"/>
      <c r="B458" s="2" t="s">
        <v>775</v>
      </c>
      <c r="C458" s="32">
        <v>45636.287418981483</v>
      </c>
      <c r="D458" s="53">
        <f>YEAR(Table1[[#This Row],[Order Date]])</f>
        <v>2024</v>
      </c>
      <c r="E458" s="2" t="s">
        <v>776</v>
      </c>
      <c r="F458" s="2" t="s">
        <v>103</v>
      </c>
      <c r="G458" s="2" t="s">
        <v>75</v>
      </c>
      <c r="H458" s="23">
        <v>55000</v>
      </c>
      <c r="I458" s="2">
        <v>4</v>
      </c>
      <c r="J458" s="31">
        <v>10</v>
      </c>
      <c r="K458" s="7">
        <f t="shared" si="28"/>
        <v>220000</v>
      </c>
      <c r="L458" s="7">
        <f t="shared" si="29"/>
        <v>22000</v>
      </c>
      <c r="M458" s="7">
        <f t="shared" si="30"/>
        <v>198000</v>
      </c>
      <c r="N458" s="23">
        <v>85000</v>
      </c>
      <c r="O458" s="7">
        <f t="shared" si="31"/>
        <v>283000</v>
      </c>
      <c r="P458" s="2" t="s">
        <v>63</v>
      </c>
      <c r="Q458" t="str">
        <f>_xlfn.XLOOKUP(B458,Status!$A$2:$A$1867,Status!$B$2:$B$1867)</f>
        <v>Completed</v>
      </c>
      <c r="R458" s="2" t="s">
        <v>30</v>
      </c>
      <c r="S458" s="8">
        <v>2</v>
      </c>
      <c r="T458" s="2" t="s">
        <v>24</v>
      </c>
      <c r="U458" s="31" t="str" cm="1">
        <f t="array" ref="U458">_xlfn.IFS(L458&lt;=5000,$Z$3,AND(L458&gt;5000,L458&lt;=15000),$Z$4,AND(L458&gt;15000,L458&lt;=30000),$Z$5,AND(L458&gt;30000,L458&lt;=50000),$Z$6,L458&gt;50000,$Z$7)</f>
        <v>Normal</v>
      </c>
      <c r="V458" s="2"/>
    </row>
    <row r="459" spans="1:22" ht="15.75" customHeight="1" x14ac:dyDescent="0.25">
      <c r="A459" s="26"/>
      <c r="B459" s="2" t="s">
        <v>777</v>
      </c>
      <c r="C459" s="32">
        <v>45636.340405092589</v>
      </c>
      <c r="D459" s="53">
        <f>YEAR(Table1[[#This Row],[Order Date]])</f>
        <v>2024</v>
      </c>
      <c r="E459" s="2" t="s">
        <v>277</v>
      </c>
      <c r="F459" s="2" t="s">
        <v>119</v>
      </c>
      <c r="G459" s="2" t="s">
        <v>250</v>
      </c>
      <c r="H459" s="23">
        <v>18000</v>
      </c>
      <c r="I459" s="2">
        <v>2</v>
      </c>
      <c r="J459" s="31">
        <v>10</v>
      </c>
      <c r="K459" s="7">
        <f t="shared" si="28"/>
        <v>36000</v>
      </c>
      <c r="L459" s="7">
        <f t="shared" si="29"/>
        <v>3600</v>
      </c>
      <c r="M459" s="7">
        <f t="shared" si="30"/>
        <v>32400</v>
      </c>
      <c r="N459" s="23">
        <v>0</v>
      </c>
      <c r="O459" s="7">
        <f t="shared" si="31"/>
        <v>32400</v>
      </c>
      <c r="P459" s="2" t="s">
        <v>35</v>
      </c>
      <c r="Q459" t="str">
        <f>_xlfn.XLOOKUP(B459,Status!$A$2:$A$1867,Status!$B$2:$B$1867)</f>
        <v>Completed</v>
      </c>
      <c r="R459" s="2" t="s">
        <v>46</v>
      </c>
      <c r="S459" s="8">
        <v>2</v>
      </c>
      <c r="T459" s="2" t="s">
        <v>24</v>
      </c>
      <c r="U459" s="31" t="str" cm="1">
        <f t="array" ref="U459">_xlfn.IFS(L459&lt;=5000,$Z$3,AND(L459&gt;5000,L459&lt;=15000),$Z$4,AND(L459&gt;15000,L459&lt;=30000),$Z$5,AND(L459&gt;30000,L459&lt;=50000),$Z$6,L459&gt;50000,$Z$7)</f>
        <v>Sangat Rendah</v>
      </c>
      <c r="V459" s="2"/>
    </row>
    <row r="460" spans="1:22" ht="15.75" customHeight="1" x14ac:dyDescent="0.25">
      <c r="A460" s="26"/>
      <c r="B460" s="2" t="s">
        <v>778</v>
      </c>
      <c r="C460" s="32">
        <v>45636.710740740738</v>
      </c>
      <c r="D460" s="53">
        <f>YEAR(Table1[[#This Row],[Order Date]])</f>
        <v>2024</v>
      </c>
      <c r="E460" s="2" t="s">
        <v>739</v>
      </c>
      <c r="F460" s="2" t="s">
        <v>177</v>
      </c>
      <c r="G460" s="2" t="s">
        <v>45</v>
      </c>
      <c r="H460" s="23">
        <v>40000</v>
      </c>
      <c r="I460" s="2">
        <v>5</v>
      </c>
      <c r="J460" s="31">
        <v>15</v>
      </c>
      <c r="K460" s="7">
        <f t="shared" si="28"/>
        <v>200000</v>
      </c>
      <c r="L460" s="7">
        <f t="shared" si="29"/>
        <v>30000</v>
      </c>
      <c r="M460" s="7">
        <f t="shared" si="30"/>
        <v>170000</v>
      </c>
      <c r="N460" s="23">
        <v>56000</v>
      </c>
      <c r="O460" s="7">
        <f t="shared" si="31"/>
        <v>226000</v>
      </c>
      <c r="P460" s="2" t="s">
        <v>63</v>
      </c>
      <c r="Q460" t="str">
        <f>_xlfn.XLOOKUP(B460,Status!$A$2:$A$1867,Status!$B$2:$B$1867)</f>
        <v>Completed</v>
      </c>
      <c r="R460" s="2" t="s">
        <v>82</v>
      </c>
      <c r="S460" s="8">
        <v>4</v>
      </c>
      <c r="T460" s="2" t="s">
        <v>24</v>
      </c>
      <c r="U460" s="31" t="str" cm="1">
        <f t="array" ref="U460">_xlfn.IFS(L460&lt;=5000,$Z$3,AND(L460&gt;5000,L460&lt;=15000),$Z$4,AND(L460&gt;15000,L460&lt;=30000),$Z$5,AND(L460&gt;30000,L460&lt;=50000),$Z$6,L460&gt;50000,$Z$7)</f>
        <v>Normal</v>
      </c>
      <c r="V460" s="2"/>
    </row>
    <row r="461" spans="1:22" ht="15.75" customHeight="1" x14ac:dyDescent="0.25">
      <c r="A461" s="26"/>
      <c r="B461" s="2" t="s">
        <v>779</v>
      </c>
      <c r="C461" s="32">
        <v>45637.073472222219</v>
      </c>
      <c r="D461" s="53">
        <f>YEAR(Table1[[#This Row],[Order Date]])</f>
        <v>2024</v>
      </c>
      <c r="E461" s="2" t="s">
        <v>780</v>
      </c>
      <c r="F461" s="2" t="s">
        <v>113</v>
      </c>
      <c r="G461" s="2" t="s">
        <v>50</v>
      </c>
      <c r="H461" s="23">
        <v>14000</v>
      </c>
      <c r="I461" s="2">
        <v>1</v>
      </c>
      <c r="J461" s="31">
        <v>20</v>
      </c>
      <c r="K461" s="7">
        <f t="shared" si="28"/>
        <v>14000</v>
      </c>
      <c r="L461" s="7">
        <f t="shared" si="29"/>
        <v>2800</v>
      </c>
      <c r="M461" s="7">
        <f t="shared" si="30"/>
        <v>11200</v>
      </c>
      <c r="N461" s="23">
        <v>18000</v>
      </c>
      <c r="O461" s="7">
        <f t="shared" si="31"/>
        <v>29200</v>
      </c>
      <c r="P461" s="2" t="s">
        <v>63</v>
      </c>
      <c r="Q461" t="str">
        <f>_xlfn.XLOOKUP(B461,Status!$A$2:$A$1867,Status!$B$2:$B$1867)</f>
        <v>Completed</v>
      </c>
      <c r="R461" s="2" t="s">
        <v>46</v>
      </c>
      <c r="S461" s="8">
        <v>2</v>
      </c>
      <c r="T461" s="2" t="s">
        <v>24</v>
      </c>
      <c r="U461" s="31" t="str" cm="1">
        <f t="array" ref="U461">_xlfn.IFS(L461&lt;=5000,$Z$3,AND(L461&gt;5000,L461&lt;=15000),$Z$4,AND(L461&gt;15000,L461&lt;=30000),$Z$5,AND(L461&gt;30000,L461&lt;=50000),$Z$6,L461&gt;50000,$Z$7)</f>
        <v>Sangat Rendah</v>
      </c>
      <c r="V461" s="2"/>
    </row>
    <row r="462" spans="1:22" ht="15.75" customHeight="1" x14ac:dyDescent="0.25">
      <c r="A462" s="26"/>
      <c r="B462" s="2" t="s">
        <v>781</v>
      </c>
      <c r="C462" s="32">
        <v>45637.589143518519</v>
      </c>
      <c r="D462" s="53">
        <f>YEAR(Table1[[#This Row],[Order Date]])</f>
        <v>2024</v>
      </c>
      <c r="E462" s="2" t="s">
        <v>782</v>
      </c>
      <c r="F462" s="2" t="s">
        <v>177</v>
      </c>
      <c r="G462" s="2" t="s">
        <v>88</v>
      </c>
      <c r="H462" s="23">
        <v>14000</v>
      </c>
      <c r="I462" s="2">
        <v>1</v>
      </c>
      <c r="J462" s="31">
        <v>5</v>
      </c>
      <c r="K462" s="7">
        <f t="shared" si="28"/>
        <v>14000</v>
      </c>
      <c r="L462" s="7">
        <f t="shared" si="29"/>
        <v>700</v>
      </c>
      <c r="M462" s="7">
        <f t="shared" si="30"/>
        <v>13300</v>
      </c>
      <c r="N462" s="23">
        <v>56000</v>
      </c>
      <c r="O462" s="7">
        <f t="shared" si="31"/>
        <v>69300</v>
      </c>
      <c r="P462" s="2" t="s">
        <v>35</v>
      </c>
      <c r="Q462" t="str">
        <f>_xlfn.XLOOKUP(B462,Status!$A$2:$A$1867,Status!$B$2:$B$1867)</f>
        <v>Completed</v>
      </c>
      <c r="R462" s="2" t="s">
        <v>23</v>
      </c>
      <c r="S462" s="8">
        <v>1</v>
      </c>
      <c r="T462" s="2" t="s">
        <v>24</v>
      </c>
      <c r="U462" s="31" t="str" cm="1">
        <f t="array" ref="U462">_xlfn.IFS(L462&lt;=5000,$Z$3,AND(L462&gt;5000,L462&lt;=15000),$Z$4,AND(L462&gt;15000,L462&lt;=30000),$Z$5,AND(L462&gt;30000,L462&lt;=50000),$Z$6,L462&gt;50000,$Z$7)</f>
        <v>Sangat Rendah</v>
      </c>
      <c r="V462" s="2"/>
    </row>
    <row r="463" spans="1:22" ht="15.75" customHeight="1" x14ac:dyDescent="0.25">
      <c r="A463" s="26"/>
      <c r="B463" s="2" t="s">
        <v>783</v>
      </c>
      <c r="C463" s="32">
        <v>45638.143275462957</v>
      </c>
      <c r="D463" s="53">
        <f>YEAR(Table1[[#This Row],[Order Date]])</f>
        <v>2024</v>
      </c>
      <c r="E463" s="2" t="s">
        <v>784</v>
      </c>
      <c r="F463" s="2" t="s">
        <v>116</v>
      </c>
      <c r="G463" s="2" t="s">
        <v>21</v>
      </c>
      <c r="H463" s="23">
        <v>45000</v>
      </c>
      <c r="I463" s="2">
        <v>2</v>
      </c>
      <c r="J463" s="31">
        <v>10</v>
      </c>
      <c r="K463" s="7">
        <f t="shared" si="28"/>
        <v>90000</v>
      </c>
      <c r="L463" s="7">
        <f t="shared" si="29"/>
        <v>9000</v>
      </c>
      <c r="M463" s="7">
        <f t="shared" si="30"/>
        <v>81000</v>
      </c>
      <c r="N463" s="23">
        <v>72000</v>
      </c>
      <c r="O463" s="7">
        <f t="shared" si="31"/>
        <v>153000</v>
      </c>
      <c r="P463" s="2" t="s">
        <v>35</v>
      </c>
      <c r="Q463" t="str">
        <f>_xlfn.XLOOKUP(B463,Status!$A$2:$A$1867,Status!$B$2:$B$1867)</f>
        <v>Returned</v>
      </c>
      <c r="R463" s="2" t="s">
        <v>46</v>
      </c>
      <c r="S463" s="8">
        <v>1</v>
      </c>
      <c r="T463" s="2" t="s">
        <v>24</v>
      </c>
      <c r="U463" s="31" t="str" cm="1">
        <f t="array" ref="U463">_xlfn.IFS(L463&lt;=5000,$Z$3,AND(L463&gt;5000,L463&lt;=15000),$Z$4,AND(L463&gt;15000,L463&lt;=30000),$Z$5,AND(L463&gt;30000,L463&lt;=50000),$Z$6,L463&gt;50000,$Z$7)</f>
        <v>Rendah</v>
      </c>
      <c r="V463" s="2"/>
    </row>
    <row r="464" spans="1:22" ht="15.75" customHeight="1" x14ac:dyDescent="0.25">
      <c r="A464" s="26"/>
      <c r="B464" s="2" t="s">
        <v>785</v>
      </c>
      <c r="C464" s="32">
        <v>45638.296215277784</v>
      </c>
      <c r="D464" s="53">
        <f>YEAR(Table1[[#This Row],[Order Date]])</f>
        <v>2024</v>
      </c>
      <c r="E464" s="2" t="s">
        <v>786</v>
      </c>
      <c r="F464" s="2" t="s">
        <v>107</v>
      </c>
      <c r="G464" s="2" t="s">
        <v>54</v>
      </c>
      <c r="H464" s="23">
        <v>16000</v>
      </c>
      <c r="I464" s="2">
        <v>2</v>
      </c>
      <c r="J464" s="31">
        <v>5</v>
      </c>
      <c r="K464" s="7">
        <f t="shared" si="28"/>
        <v>32000</v>
      </c>
      <c r="L464" s="7">
        <f t="shared" si="29"/>
        <v>1600</v>
      </c>
      <c r="M464" s="7">
        <f t="shared" si="30"/>
        <v>30400</v>
      </c>
      <c r="N464" s="23">
        <v>97000</v>
      </c>
      <c r="O464" s="7">
        <f t="shared" si="31"/>
        <v>127400</v>
      </c>
      <c r="P464" s="2" t="s">
        <v>22</v>
      </c>
      <c r="Q464" t="str">
        <f>_xlfn.XLOOKUP(B464,Status!$A$2:$A$1867,Status!$B$2:$B$1867)</f>
        <v>Completed</v>
      </c>
      <c r="R464" s="2" t="s">
        <v>82</v>
      </c>
      <c r="S464" s="8">
        <v>5</v>
      </c>
      <c r="T464" s="2" t="s">
        <v>24</v>
      </c>
      <c r="U464" s="31" t="str" cm="1">
        <f t="array" ref="U464">_xlfn.IFS(L464&lt;=5000,$Z$3,AND(L464&gt;5000,L464&lt;=15000),$Z$4,AND(L464&gt;15000,L464&lt;=30000),$Z$5,AND(L464&gt;30000,L464&lt;=50000),$Z$6,L464&gt;50000,$Z$7)</f>
        <v>Sangat Rendah</v>
      </c>
      <c r="V464" s="2"/>
    </row>
    <row r="465" spans="1:22" ht="15.75" customHeight="1" x14ac:dyDescent="0.25">
      <c r="A465" s="26"/>
      <c r="B465" s="2" t="s">
        <v>787</v>
      </c>
      <c r="C465" s="32">
        <v>45638.342916666668</v>
      </c>
      <c r="D465" s="53">
        <f>YEAR(Table1[[#This Row],[Order Date]])</f>
        <v>2024</v>
      </c>
      <c r="E465" s="2" t="s">
        <v>412</v>
      </c>
      <c r="F465" s="2" t="s">
        <v>70</v>
      </c>
      <c r="G465" s="2" t="s">
        <v>38</v>
      </c>
      <c r="H465" s="23">
        <v>28000</v>
      </c>
      <c r="I465" s="2">
        <v>3</v>
      </c>
      <c r="J465" s="31">
        <v>20</v>
      </c>
      <c r="K465" s="7">
        <f t="shared" si="28"/>
        <v>84000</v>
      </c>
      <c r="L465" s="7">
        <f t="shared" si="29"/>
        <v>16800</v>
      </c>
      <c r="M465" s="7">
        <f t="shared" si="30"/>
        <v>67200</v>
      </c>
      <c r="N465" s="23">
        <v>89000</v>
      </c>
      <c r="O465" s="7">
        <f t="shared" si="31"/>
        <v>156200</v>
      </c>
      <c r="P465" s="2" t="s">
        <v>63</v>
      </c>
      <c r="Q465" t="str">
        <f>_xlfn.XLOOKUP(B465,Status!$A$2:$A$1867,Status!$B$2:$B$1867)</f>
        <v>Cancelled</v>
      </c>
      <c r="R465" s="2" t="s">
        <v>23</v>
      </c>
      <c r="S465" s="8">
        <v>2</v>
      </c>
      <c r="T465" s="2" t="s">
        <v>24</v>
      </c>
      <c r="U465" s="31" t="str" cm="1">
        <f t="array" ref="U465">_xlfn.IFS(L465&lt;=5000,$Z$3,AND(L465&gt;5000,L465&lt;=15000),$Z$4,AND(L465&gt;15000,L465&lt;=30000),$Z$5,AND(L465&gt;30000,L465&lt;=50000),$Z$6,L465&gt;50000,$Z$7)</f>
        <v>Normal</v>
      </c>
      <c r="V465" s="2"/>
    </row>
    <row r="466" spans="1:22" ht="15.75" customHeight="1" x14ac:dyDescent="0.25">
      <c r="A466" s="26"/>
      <c r="B466" s="2" t="s">
        <v>788</v>
      </c>
      <c r="C466" s="32">
        <v>45638.383379629631</v>
      </c>
      <c r="D466" s="53">
        <f>YEAR(Table1[[#This Row],[Order Date]])</f>
        <v>2024</v>
      </c>
      <c r="E466" s="2" t="s">
        <v>318</v>
      </c>
      <c r="F466" s="2" t="s">
        <v>244</v>
      </c>
      <c r="G466" s="2" t="s">
        <v>50</v>
      </c>
      <c r="H466" s="23">
        <v>14000</v>
      </c>
      <c r="I466" s="2">
        <v>5</v>
      </c>
      <c r="J466" s="31">
        <v>20</v>
      </c>
      <c r="K466" s="7">
        <f t="shared" si="28"/>
        <v>70000</v>
      </c>
      <c r="L466" s="7">
        <f t="shared" si="29"/>
        <v>14000</v>
      </c>
      <c r="M466" s="7">
        <f t="shared" si="30"/>
        <v>56000</v>
      </c>
      <c r="N466" s="23">
        <v>80000</v>
      </c>
      <c r="O466" s="7">
        <f t="shared" si="31"/>
        <v>136000</v>
      </c>
      <c r="P466" s="2" t="s">
        <v>22</v>
      </c>
      <c r="Q466" t="str">
        <f>_xlfn.XLOOKUP(B466,Status!$A$2:$A$1867,Status!$B$2:$B$1867)</f>
        <v>Returned</v>
      </c>
      <c r="R466" s="2" t="s">
        <v>46</v>
      </c>
      <c r="S466" s="8">
        <v>5</v>
      </c>
      <c r="T466" s="2" t="s">
        <v>37</v>
      </c>
      <c r="U466" s="31" t="str" cm="1">
        <f t="array" ref="U466">_xlfn.IFS(L466&lt;=5000,$Z$3,AND(L466&gt;5000,L466&lt;=15000),$Z$4,AND(L466&gt;15000,L466&lt;=30000),$Z$5,AND(L466&gt;30000,L466&lt;=50000),$Z$6,L466&gt;50000,$Z$7)</f>
        <v>Rendah</v>
      </c>
      <c r="V466" s="2"/>
    </row>
    <row r="467" spans="1:22" ht="15.75" customHeight="1" x14ac:dyDescent="0.25">
      <c r="A467" s="26"/>
      <c r="B467" s="2" t="s">
        <v>789</v>
      </c>
      <c r="C467" s="32">
        <v>45638.577847222223</v>
      </c>
      <c r="D467" s="53">
        <f>YEAR(Table1[[#This Row],[Order Date]])</f>
        <v>2024</v>
      </c>
      <c r="E467" s="2" t="s">
        <v>115</v>
      </c>
      <c r="F467" s="2" t="s">
        <v>116</v>
      </c>
      <c r="G467" s="2" t="s">
        <v>54</v>
      </c>
      <c r="H467" s="23">
        <v>16000</v>
      </c>
      <c r="I467" s="2">
        <v>1</v>
      </c>
      <c r="J467" s="31">
        <v>5</v>
      </c>
      <c r="K467" s="7">
        <f t="shared" si="28"/>
        <v>16000</v>
      </c>
      <c r="L467" s="7">
        <f t="shared" si="29"/>
        <v>800</v>
      </c>
      <c r="M467" s="7">
        <f t="shared" si="30"/>
        <v>15200</v>
      </c>
      <c r="N467" s="23">
        <v>72000</v>
      </c>
      <c r="O467" s="7">
        <f t="shared" si="31"/>
        <v>87200</v>
      </c>
      <c r="P467" s="2" t="s">
        <v>29</v>
      </c>
      <c r="Q467" t="str">
        <f>_xlfn.XLOOKUP(B467,Status!$A$2:$A$1867,Status!$B$2:$B$1867)</f>
        <v>Completed</v>
      </c>
      <c r="R467" s="2" t="s">
        <v>30</v>
      </c>
      <c r="S467" s="8">
        <v>3</v>
      </c>
      <c r="T467" s="2" t="s">
        <v>24</v>
      </c>
      <c r="U467" s="31" t="str" cm="1">
        <f t="array" ref="U467">_xlfn.IFS(L467&lt;=5000,$Z$3,AND(L467&gt;5000,L467&lt;=15000),$Z$4,AND(L467&gt;15000,L467&lt;=30000),$Z$5,AND(L467&gt;30000,L467&lt;=50000),$Z$6,L467&gt;50000,$Z$7)</f>
        <v>Sangat Rendah</v>
      </c>
      <c r="V467" s="2"/>
    </row>
    <row r="468" spans="1:22" ht="15.75" customHeight="1" x14ac:dyDescent="0.25">
      <c r="A468" s="26"/>
      <c r="B468" s="2" t="s">
        <v>790</v>
      </c>
      <c r="C468" s="32">
        <v>45638.803784722222</v>
      </c>
      <c r="D468" s="53">
        <f>YEAR(Table1[[#This Row],[Order Date]])</f>
        <v>2024</v>
      </c>
      <c r="E468" s="2" t="s">
        <v>118</v>
      </c>
      <c r="F468" s="2" t="s">
        <v>119</v>
      </c>
      <c r="G468" s="2" t="s">
        <v>104</v>
      </c>
      <c r="H468" s="23">
        <v>30000</v>
      </c>
      <c r="I468" s="2">
        <v>1</v>
      </c>
      <c r="J468" s="31">
        <v>15</v>
      </c>
      <c r="K468" s="7">
        <f t="shared" si="28"/>
        <v>30000</v>
      </c>
      <c r="L468" s="7">
        <f t="shared" si="29"/>
        <v>4500</v>
      </c>
      <c r="M468" s="7">
        <f t="shared" si="30"/>
        <v>25500</v>
      </c>
      <c r="N468" s="23">
        <v>0</v>
      </c>
      <c r="O468" s="7">
        <f t="shared" si="31"/>
        <v>25500</v>
      </c>
      <c r="P468" s="2" t="s">
        <v>35</v>
      </c>
      <c r="Q468" t="str">
        <f>_xlfn.XLOOKUP(B468,Status!$A$2:$A$1867,Status!$B$2:$B$1867)</f>
        <v>Completed</v>
      </c>
      <c r="R468" s="2" t="s">
        <v>46</v>
      </c>
      <c r="S468" s="8">
        <v>4</v>
      </c>
      <c r="T468" s="2" t="s">
        <v>24</v>
      </c>
      <c r="U468" s="31" t="str" cm="1">
        <f t="array" ref="U468">_xlfn.IFS(L468&lt;=5000,$Z$3,AND(L468&gt;5000,L468&lt;=15000),$Z$4,AND(L468&gt;15000,L468&lt;=30000),$Z$5,AND(L468&gt;30000,L468&lt;=50000),$Z$6,L468&gt;50000,$Z$7)</f>
        <v>Sangat Rendah</v>
      </c>
      <c r="V468" s="2"/>
    </row>
    <row r="469" spans="1:22" ht="15.75" customHeight="1" x14ac:dyDescent="0.25">
      <c r="A469" s="26"/>
      <c r="B469" s="2" t="s">
        <v>791</v>
      </c>
      <c r="C469" s="32">
        <v>45638.838831018518</v>
      </c>
      <c r="D469" s="53">
        <f>YEAR(Table1[[#This Row],[Order Date]])</f>
        <v>2024</v>
      </c>
      <c r="E469" s="2" t="s">
        <v>227</v>
      </c>
      <c r="F469" s="2" t="s">
        <v>70</v>
      </c>
      <c r="G469" s="2" t="s">
        <v>123</v>
      </c>
      <c r="H469" s="23">
        <v>22000</v>
      </c>
      <c r="I469" s="2">
        <v>1</v>
      </c>
      <c r="J469" s="31">
        <v>20</v>
      </c>
      <c r="K469" s="7">
        <f t="shared" si="28"/>
        <v>22000</v>
      </c>
      <c r="L469" s="7">
        <f t="shared" si="29"/>
        <v>4400</v>
      </c>
      <c r="M469" s="7">
        <f t="shared" si="30"/>
        <v>17600</v>
      </c>
      <c r="N469" s="23">
        <v>89000</v>
      </c>
      <c r="O469" s="7">
        <f t="shared" si="31"/>
        <v>106600</v>
      </c>
      <c r="P469" s="2" t="s">
        <v>35</v>
      </c>
      <c r="Q469" t="str">
        <f>_xlfn.XLOOKUP(B469,Status!$A$2:$A$1867,Status!$B$2:$B$1867)</f>
        <v>Completed</v>
      </c>
      <c r="R469" s="2" t="s">
        <v>46</v>
      </c>
      <c r="S469" s="8">
        <v>2</v>
      </c>
      <c r="T469" s="2" t="s">
        <v>24</v>
      </c>
      <c r="U469" s="31" t="str" cm="1">
        <f t="array" ref="U469">_xlfn.IFS(L469&lt;=5000,$Z$3,AND(L469&gt;5000,L469&lt;=15000),$Z$4,AND(L469&gt;15000,L469&lt;=30000),$Z$5,AND(L469&gt;30000,L469&lt;=50000),$Z$6,L469&gt;50000,$Z$7)</f>
        <v>Sangat Rendah</v>
      </c>
      <c r="V469" s="2"/>
    </row>
    <row r="470" spans="1:22" ht="15.75" customHeight="1" x14ac:dyDescent="0.25">
      <c r="A470" s="26"/>
      <c r="B470" s="2" t="s">
        <v>792</v>
      </c>
      <c r="C470" s="32">
        <v>45638.972013888888</v>
      </c>
      <c r="D470" s="53">
        <f>YEAR(Table1[[#This Row],[Order Date]])</f>
        <v>2024</v>
      </c>
      <c r="E470" s="2" t="s">
        <v>361</v>
      </c>
      <c r="F470" s="2" t="s">
        <v>70</v>
      </c>
      <c r="G470" s="2" t="s">
        <v>88</v>
      </c>
      <c r="H470" s="23">
        <v>14000</v>
      </c>
      <c r="I470" s="2">
        <v>4</v>
      </c>
      <c r="J470" s="31">
        <v>20</v>
      </c>
      <c r="K470" s="7">
        <f t="shared" si="28"/>
        <v>56000</v>
      </c>
      <c r="L470" s="7">
        <f t="shared" si="29"/>
        <v>11200</v>
      </c>
      <c r="M470" s="7">
        <f t="shared" si="30"/>
        <v>44800</v>
      </c>
      <c r="N470" s="23">
        <v>89000</v>
      </c>
      <c r="O470" s="7">
        <f t="shared" si="31"/>
        <v>133800</v>
      </c>
      <c r="P470" s="2" t="s">
        <v>22</v>
      </c>
      <c r="Q470" t="str">
        <f>_xlfn.XLOOKUP(B470,Status!$A$2:$A$1867,Status!$B$2:$B$1867)</f>
        <v>Completed</v>
      </c>
      <c r="R470" s="2" t="s">
        <v>36</v>
      </c>
      <c r="S470" s="8">
        <v>2</v>
      </c>
      <c r="T470" s="2" t="s">
        <v>37</v>
      </c>
      <c r="U470" s="31" t="str" cm="1">
        <f t="array" ref="U470">_xlfn.IFS(L470&lt;=5000,$Z$3,AND(L470&gt;5000,L470&lt;=15000),$Z$4,AND(L470&gt;15000,L470&lt;=30000),$Z$5,AND(L470&gt;30000,L470&lt;=50000),$Z$6,L470&gt;50000,$Z$7)</f>
        <v>Rendah</v>
      </c>
      <c r="V470" s="2"/>
    </row>
    <row r="471" spans="1:22" ht="15.75" customHeight="1" x14ac:dyDescent="0.25">
      <c r="A471" s="26"/>
      <c r="B471" s="2" t="s">
        <v>793</v>
      </c>
      <c r="C471" s="32">
        <v>45639.236122685194</v>
      </c>
      <c r="D471" s="53">
        <f>YEAR(Table1[[#This Row],[Order Date]])</f>
        <v>2024</v>
      </c>
      <c r="E471" s="2" t="s">
        <v>794</v>
      </c>
      <c r="F471" s="2" t="s">
        <v>61</v>
      </c>
      <c r="G471" s="2" t="s">
        <v>75</v>
      </c>
      <c r="H471" s="23">
        <v>55000</v>
      </c>
      <c r="I471" s="2">
        <v>2</v>
      </c>
      <c r="J471" s="31">
        <v>5</v>
      </c>
      <c r="K471" s="7">
        <f t="shared" si="28"/>
        <v>110000</v>
      </c>
      <c r="L471" s="7">
        <f t="shared" si="29"/>
        <v>5500</v>
      </c>
      <c r="M471" s="7">
        <f t="shared" si="30"/>
        <v>104500</v>
      </c>
      <c r="N471" s="23">
        <v>26000</v>
      </c>
      <c r="O471" s="7">
        <f t="shared" si="31"/>
        <v>130500</v>
      </c>
      <c r="P471" s="2" t="s">
        <v>29</v>
      </c>
      <c r="Q471" t="str">
        <f>_xlfn.XLOOKUP(B471,Status!$A$2:$A$1867,Status!$B$2:$B$1867)</f>
        <v>Completed</v>
      </c>
      <c r="R471" s="2" t="s">
        <v>46</v>
      </c>
      <c r="S471" s="8">
        <v>4</v>
      </c>
      <c r="T471" s="2" t="s">
        <v>37</v>
      </c>
      <c r="U471" s="31" t="str" cm="1">
        <f t="array" ref="U471">_xlfn.IFS(L471&lt;=5000,$Z$3,AND(L471&gt;5000,L471&lt;=15000),$Z$4,AND(L471&gt;15000,L471&lt;=30000),$Z$5,AND(L471&gt;30000,L471&lt;=50000),$Z$6,L471&gt;50000,$Z$7)</f>
        <v>Rendah</v>
      </c>
      <c r="V471" s="2"/>
    </row>
    <row r="472" spans="1:22" ht="15.75" customHeight="1" x14ac:dyDescent="0.25">
      <c r="A472" s="26"/>
      <c r="B472" s="2" t="s">
        <v>795</v>
      </c>
      <c r="C472" s="32">
        <v>45639.284942129627</v>
      </c>
      <c r="D472" s="53">
        <f>YEAR(Table1[[#This Row],[Order Date]])</f>
        <v>2024</v>
      </c>
      <c r="E472" s="2" t="s">
        <v>796</v>
      </c>
      <c r="F472" s="2" t="s">
        <v>119</v>
      </c>
      <c r="G472" s="2" t="s">
        <v>28</v>
      </c>
      <c r="H472" s="23">
        <v>5000</v>
      </c>
      <c r="I472" s="2">
        <v>4</v>
      </c>
      <c r="J472" s="31">
        <v>0</v>
      </c>
      <c r="K472" s="7">
        <f t="shared" si="28"/>
        <v>20000</v>
      </c>
      <c r="L472" s="7">
        <f t="shared" si="29"/>
        <v>0</v>
      </c>
      <c r="M472" s="7">
        <f t="shared" si="30"/>
        <v>20000</v>
      </c>
      <c r="N472" s="23">
        <v>0</v>
      </c>
      <c r="O472" s="7">
        <f t="shared" si="31"/>
        <v>20000</v>
      </c>
      <c r="P472" s="2" t="s">
        <v>22</v>
      </c>
      <c r="Q472" t="str">
        <f>_xlfn.XLOOKUP(B472,Status!$A$2:$A$1867,Status!$B$2:$B$1867)</f>
        <v>Completed</v>
      </c>
      <c r="R472" s="2" t="s">
        <v>82</v>
      </c>
      <c r="S472" s="8">
        <v>4</v>
      </c>
      <c r="T472" s="2" t="s">
        <v>24</v>
      </c>
      <c r="U472" s="31" t="str" cm="1">
        <f t="array" ref="U472">_xlfn.IFS(L472&lt;=5000,$Z$3,AND(L472&gt;5000,L472&lt;=15000),$Z$4,AND(L472&gt;15000,L472&lt;=30000),$Z$5,AND(L472&gt;30000,L472&lt;=50000),$Z$6,L472&gt;50000,$Z$7)</f>
        <v>Sangat Rendah</v>
      </c>
      <c r="V472" s="2"/>
    </row>
    <row r="473" spans="1:22" ht="15.75" customHeight="1" x14ac:dyDescent="0.25">
      <c r="A473" s="26"/>
      <c r="B473" s="2" t="s">
        <v>797</v>
      </c>
      <c r="C473" s="32">
        <v>45639.31113425926</v>
      </c>
      <c r="D473" s="53">
        <f>YEAR(Table1[[#This Row],[Order Date]])</f>
        <v>2024</v>
      </c>
      <c r="E473" s="2" t="s">
        <v>412</v>
      </c>
      <c r="F473" s="2" t="s">
        <v>70</v>
      </c>
      <c r="G473" s="2" t="s">
        <v>136</v>
      </c>
      <c r="H473" s="23">
        <v>12000</v>
      </c>
      <c r="I473" s="2">
        <v>2</v>
      </c>
      <c r="J473" s="31">
        <v>10</v>
      </c>
      <c r="K473" s="7">
        <f t="shared" si="28"/>
        <v>24000</v>
      </c>
      <c r="L473" s="7">
        <f t="shared" si="29"/>
        <v>2400</v>
      </c>
      <c r="M473" s="7">
        <f t="shared" si="30"/>
        <v>21600</v>
      </c>
      <c r="N473" s="23">
        <v>89000</v>
      </c>
      <c r="O473" s="7">
        <f t="shared" si="31"/>
        <v>110600</v>
      </c>
      <c r="P473" s="2" t="s">
        <v>63</v>
      </c>
      <c r="Q473" t="str">
        <f>_xlfn.XLOOKUP(B473,Status!$A$2:$A$1867,Status!$B$2:$B$1867)</f>
        <v>Completed</v>
      </c>
      <c r="R473" s="2" t="s">
        <v>46</v>
      </c>
      <c r="S473" s="8">
        <v>5</v>
      </c>
      <c r="T473" s="2" t="s">
        <v>24</v>
      </c>
      <c r="U473" s="31" t="str" cm="1">
        <f t="array" ref="U473">_xlfn.IFS(L473&lt;=5000,$Z$3,AND(L473&gt;5000,L473&lt;=15000),$Z$4,AND(L473&gt;15000,L473&lt;=30000),$Z$5,AND(L473&gt;30000,L473&lt;=50000),$Z$6,L473&gt;50000,$Z$7)</f>
        <v>Sangat Rendah</v>
      </c>
      <c r="V473" s="2"/>
    </row>
    <row r="474" spans="1:22" ht="15.75" customHeight="1" x14ac:dyDescent="0.25">
      <c r="A474" s="26"/>
      <c r="B474" s="2" t="s">
        <v>798</v>
      </c>
      <c r="C474" s="32">
        <v>45639.444768518522</v>
      </c>
      <c r="D474" s="53">
        <f>YEAR(Table1[[#This Row],[Order Date]])</f>
        <v>2024</v>
      </c>
      <c r="E474" s="2" t="s">
        <v>446</v>
      </c>
      <c r="F474" s="2" t="s">
        <v>296</v>
      </c>
      <c r="G474" s="2" t="s">
        <v>62</v>
      </c>
      <c r="H474" s="23">
        <v>50000</v>
      </c>
      <c r="I474" s="2">
        <v>2</v>
      </c>
      <c r="J474" s="31">
        <v>15</v>
      </c>
      <c r="K474" s="7">
        <f t="shared" si="28"/>
        <v>100000</v>
      </c>
      <c r="L474" s="7">
        <f t="shared" si="29"/>
        <v>15000</v>
      </c>
      <c r="M474" s="7">
        <f t="shared" si="30"/>
        <v>85000</v>
      </c>
      <c r="N474" s="23">
        <v>79000</v>
      </c>
      <c r="O474" s="7">
        <f t="shared" si="31"/>
        <v>164000</v>
      </c>
      <c r="P474" s="2" t="s">
        <v>63</v>
      </c>
      <c r="Q474" t="str">
        <f>_xlfn.XLOOKUP(B474,Status!$A$2:$A$1867,Status!$B$2:$B$1867)</f>
        <v>Completed</v>
      </c>
      <c r="R474" s="2" t="s">
        <v>82</v>
      </c>
      <c r="S474" s="8">
        <v>1</v>
      </c>
      <c r="T474" s="2" t="s">
        <v>37</v>
      </c>
      <c r="U474" s="31" t="str" cm="1">
        <f t="array" ref="U474">_xlfn.IFS(L474&lt;=5000,$Z$3,AND(L474&gt;5000,L474&lt;=15000),$Z$4,AND(L474&gt;15000,L474&lt;=30000),$Z$5,AND(L474&gt;30000,L474&lt;=50000),$Z$6,L474&gt;50000,$Z$7)</f>
        <v>Rendah</v>
      </c>
      <c r="V474" s="2"/>
    </row>
    <row r="475" spans="1:22" ht="15.75" customHeight="1" x14ac:dyDescent="0.25">
      <c r="A475" s="26"/>
      <c r="B475" s="2" t="s">
        <v>799</v>
      </c>
      <c r="C475" s="32">
        <v>45639.711747685193</v>
      </c>
      <c r="D475" s="53">
        <f>YEAR(Table1[[#This Row],[Order Date]])</f>
        <v>2024</v>
      </c>
      <c r="E475" s="2" t="s">
        <v>557</v>
      </c>
      <c r="F475" s="2" t="s">
        <v>173</v>
      </c>
      <c r="G475" s="2" t="s">
        <v>50</v>
      </c>
      <c r="H475" s="23">
        <v>14000</v>
      </c>
      <c r="I475" s="2">
        <v>5</v>
      </c>
      <c r="J475" s="31">
        <v>15</v>
      </c>
      <c r="K475" s="7">
        <f t="shared" si="28"/>
        <v>70000</v>
      </c>
      <c r="L475" s="7">
        <f t="shared" si="29"/>
        <v>10500</v>
      </c>
      <c r="M475" s="7">
        <f t="shared" si="30"/>
        <v>59500</v>
      </c>
      <c r="N475" s="23">
        <v>49000</v>
      </c>
      <c r="O475" s="7">
        <f t="shared" si="31"/>
        <v>108500</v>
      </c>
      <c r="P475" s="2" t="s">
        <v>22</v>
      </c>
      <c r="Q475" t="str">
        <f>_xlfn.XLOOKUP(B475,Status!$A$2:$A$1867,Status!$B$2:$B$1867)</f>
        <v>Completed</v>
      </c>
      <c r="R475" s="2" t="s">
        <v>30</v>
      </c>
      <c r="S475" s="8">
        <v>4</v>
      </c>
      <c r="T475" s="2" t="s">
        <v>24</v>
      </c>
      <c r="U475" s="31" t="str" cm="1">
        <f t="array" ref="U475">_xlfn.IFS(L475&lt;=5000,$Z$3,AND(L475&gt;5000,L475&lt;=15000),$Z$4,AND(L475&gt;15000,L475&lt;=30000),$Z$5,AND(L475&gt;30000,L475&lt;=50000),$Z$6,L475&gt;50000,$Z$7)</f>
        <v>Rendah</v>
      </c>
      <c r="V475" s="2"/>
    </row>
    <row r="476" spans="1:22" ht="15.75" customHeight="1" x14ac:dyDescent="0.25">
      <c r="A476" s="26"/>
      <c r="B476" s="2" t="s">
        <v>800</v>
      </c>
      <c r="C476" s="32">
        <v>45640.079641203702</v>
      </c>
      <c r="D476" s="53">
        <f>YEAR(Table1[[#This Row],[Order Date]])</f>
        <v>2024</v>
      </c>
      <c r="E476" s="2" t="s">
        <v>19</v>
      </c>
      <c r="F476" s="2" t="s">
        <v>20</v>
      </c>
      <c r="G476" s="2" t="s">
        <v>138</v>
      </c>
      <c r="H476" s="23">
        <v>17000</v>
      </c>
      <c r="I476" s="2">
        <v>3</v>
      </c>
      <c r="J476" s="31">
        <v>20</v>
      </c>
      <c r="K476" s="7">
        <f t="shared" si="28"/>
        <v>51000</v>
      </c>
      <c r="L476" s="7">
        <f t="shared" si="29"/>
        <v>10200</v>
      </c>
      <c r="M476" s="7">
        <f t="shared" si="30"/>
        <v>40800</v>
      </c>
      <c r="N476" s="23">
        <v>15000</v>
      </c>
      <c r="O476" s="7">
        <f t="shared" si="31"/>
        <v>55800</v>
      </c>
      <c r="P476" s="2" t="s">
        <v>35</v>
      </c>
      <c r="Q476" t="str">
        <f>_xlfn.XLOOKUP(B476,Status!$A$2:$A$1867,Status!$B$2:$B$1867)</f>
        <v>Completed</v>
      </c>
      <c r="R476" s="2" t="s">
        <v>36</v>
      </c>
      <c r="S476" s="8">
        <v>4</v>
      </c>
      <c r="T476" s="2" t="s">
        <v>24</v>
      </c>
      <c r="U476" s="31" t="str" cm="1">
        <f t="array" ref="U476">_xlfn.IFS(L476&lt;=5000,$Z$3,AND(L476&gt;5000,L476&lt;=15000),$Z$4,AND(L476&gt;15000,L476&lt;=30000),$Z$5,AND(L476&gt;30000,L476&lt;=50000),$Z$6,L476&gt;50000,$Z$7)</f>
        <v>Rendah</v>
      </c>
      <c r="V476" s="2"/>
    </row>
    <row r="477" spans="1:22" ht="15.75" customHeight="1" x14ac:dyDescent="0.25">
      <c r="A477" s="26"/>
      <c r="B477" s="2" t="s">
        <v>800</v>
      </c>
      <c r="C477" s="32">
        <v>45640.079641203702</v>
      </c>
      <c r="D477" s="53">
        <f>YEAR(Table1[[#This Row],[Order Date]])</f>
        <v>2024</v>
      </c>
      <c r="E477" s="2" t="s">
        <v>19</v>
      </c>
      <c r="F477" s="2" t="s">
        <v>20</v>
      </c>
      <c r="G477" s="2" t="s">
        <v>54</v>
      </c>
      <c r="H477" s="23">
        <v>16000</v>
      </c>
      <c r="I477" s="2">
        <v>4</v>
      </c>
      <c r="J477" s="31">
        <v>5</v>
      </c>
      <c r="K477" s="7">
        <f t="shared" si="28"/>
        <v>64000</v>
      </c>
      <c r="L477" s="7">
        <f t="shared" si="29"/>
        <v>3200</v>
      </c>
      <c r="M477" s="7">
        <f t="shared" si="30"/>
        <v>60800</v>
      </c>
      <c r="N477" s="23">
        <v>0</v>
      </c>
      <c r="O477" s="7">
        <f t="shared" si="31"/>
        <v>60800</v>
      </c>
      <c r="P477" s="2" t="s">
        <v>35</v>
      </c>
      <c r="Q477" t="str">
        <f>_xlfn.XLOOKUP(B477,Status!$A$2:$A$1867,Status!$B$2:$B$1867)</f>
        <v>Completed</v>
      </c>
      <c r="R477" s="2" t="s">
        <v>36</v>
      </c>
      <c r="S477" s="8">
        <v>4</v>
      </c>
      <c r="T477" s="2" t="s">
        <v>24</v>
      </c>
      <c r="U477" s="31" t="str" cm="1">
        <f t="array" ref="U477">_xlfn.IFS(L477&lt;=5000,$Z$3,AND(L477&gt;5000,L477&lt;=15000),$Z$4,AND(L477&gt;15000,L477&lt;=30000),$Z$5,AND(L477&gt;30000,L477&lt;=50000),$Z$6,L477&gt;50000,$Z$7)</f>
        <v>Sangat Rendah</v>
      </c>
      <c r="V477" s="2"/>
    </row>
    <row r="478" spans="1:22" ht="15.75" customHeight="1" x14ac:dyDescent="0.25">
      <c r="A478" s="26"/>
      <c r="B478" s="2" t="s">
        <v>801</v>
      </c>
      <c r="C478" s="32">
        <v>45640.598009259258</v>
      </c>
      <c r="D478" s="53">
        <f>YEAR(Table1[[#This Row],[Order Date]])</f>
        <v>2024</v>
      </c>
      <c r="E478" s="2" t="s">
        <v>802</v>
      </c>
      <c r="F478" s="2" t="s">
        <v>126</v>
      </c>
      <c r="G478" s="2" t="s">
        <v>28</v>
      </c>
      <c r="H478" s="23">
        <v>5000</v>
      </c>
      <c r="I478" s="2">
        <v>3</v>
      </c>
      <c r="J478" s="31">
        <v>20</v>
      </c>
      <c r="K478" s="7">
        <f t="shared" si="28"/>
        <v>15000</v>
      </c>
      <c r="L478" s="7">
        <f t="shared" si="29"/>
        <v>3000</v>
      </c>
      <c r="M478" s="7">
        <f t="shared" si="30"/>
        <v>12000</v>
      </c>
      <c r="N478" s="23">
        <v>84000</v>
      </c>
      <c r="O478" s="7">
        <f t="shared" si="31"/>
        <v>96000</v>
      </c>
      <c r="P478" s="2" t="s">
        <v>22</v>
      </c>
      <c r="Q478" t="str">
        <f>_xlfn.XLOOKUP(B478,Status!$A$2:$A$1867,Status!$B$2:$B$1867)</f>
        <v>Completed</v>
      </c>
      <c r="R478" s="2" t="s">
        <v>46</v>
      </c>
      <c r="S478" s="8">
        <v>4</v>
      </c>
      <c r="T478" s="2" t="s">
        <v>24</v>
      </c>
      <c r="U478" s="31" t="str" cm="1">
        <f t="array" ref="U478">_xlfn.IFS(L478&lt;=5000,$Z$3,AND(L478&gt;5000,L478&lt;=15000),$Z$4,AND(L478&gt;15000,L478&lt;=30000),$Z$5,AND(L478&gt;30000,L478&lt;=50000),$Z$6,L478&gt;50000,$Z$7)</f>
        <v>Sangat Rendah</v>
      </c>
      <c r="V478" s="2"/>
    </row>
    <row r="479" spans="1:22" ht="15.75" customHeight="1" x14ac:dyDescent="0.25">
      <c r="A479" s="26"/>
      <c r="B479" s="2" t="s">
        <v>803</v>
      </c>
      <c r="C479" s="32">
        <v>45641.33452546296</v>
      </c>
      <c r="D479" s="53">
        <f>YEAR(Table1[[#This Row],[Order Date]])</f>
        <v>2024</v>
      </c>
      <c r="E479" s="2" t="s">
        <v>804</v>
      </c>
      <c r="F479" s="2" t="s">
        <v>49</v>
      </c>
      <c r="G479" s="2" t="s">
        <v>71</v>
      </c>
      <c r="H479" s="23">
        <v>40000</v>
      </c>
      <c r="I479" s="2">
        <v>2</v>
      </c>
      <c r="J479" s="31">
        <v>5</v>
      </c>
      <c r="K479" s="7">
        <f t="shared" si="28"/>
        <v>80000</v>
      </c>
      <c r="L479" s="7">
        <f t="shared" si="29"/>
        <v>4000</v>
      </c>
      <c r="M479" s="7">
        <f t="shared" si="30"/>
        <v>76000</v>
      </c>
      <c r="N479" s="23">
        <v>43000</v>
      </c>
      <c r="O479" s="7">
        <f t="shared" si="31"/>
        <v>119000</v>
      </c>
      <c r="P479" s="2" t="s">
        <v>29</v>
      </c>
      <c r="Q479" t="str">
        <f>_xlfn.XLOOKUP(B479,Status!$A$2:$A$1867,Status!$B$2:$B$1867)</f>
        <v>Cancelled</v>
      </c>
      <c r="R479" s="2" t="s">
        <v>82</v>
      </c>
      <c r="S479" s="8">
        <v>5</v>
      </c>
      <c r="T479" s="2" t="s">
        <v>24</v>
      </c>
      <c r="U479" s="31" t="str" cm="1">
        <f t="array" ref="U479">_xlfn.IFS(L479&lt;=5000,$Z$3,AND(L479&gt;5000,L479&lt;=15000),$Z$4,AND(L479&gt;15000,L479&lt;=30000),$Z$5,AND(L479&gt;30000,L479&lt;=50000),$Z$6,L479&gt;50000,$Z$7)</f>
        <v>Sangat Rendah</v>
      </c>
      <c r="V479" s="2"/>
    </row>
    <row r="480" spans="1:22" ht="15.75" customHeight="1" x14ac:dyDescent="0.25">
      <c r="A480" s="26"/>
      <c r="B480" s="2" t="s">
        <v>805</v>
      </c>
      <c r="C480" s="32">
        <v>45641.411006944443</v>
      </c>
      <c r="D480" s="53">
        <f>YEAR(Table1[[#This Row],[Order Date]])</f>
        <v>2024</v>
      </c>
      <c r="E480" s="2" t="s">
        <v>295</v>
      </c>
      <c r="F480" s="2" t="s">
        <v>296</v>
      </c>
      <c r="G480" s="2" t="s">
        <v>144</v>
      </c>
      <c r="H480" s="23">
        <v>18000</v>
      </c>
      <c r="I480" s="2">
        <v>2</v>
      </c>
      <c r="J480" s="31">
        <v>15</v>
      </c>
      <c r="K480" s="7">
        <f t="shared" si="28"/>
        <v>36000</v>
      </c>
      <c r="L480" s="7">
        <f t="shared" si="29"/>
        <v>5400</v>
      </c>
      <c r="M480" s="7">
        <f t="shared" si="30"/>
        <v>30600</v>
      </c>
      <c r="N480" s="23">
        <v>79000</v>
      </c>
      <c r="O480" s="7">
        <f t="shared" si="31"/>
        <v>109600</v>
      </c>
      <c r="P480" s="2" t="s">
        <v>29</v>
      </c>
      <c r="Q480" t="str">
        <f>_xlfn.XLOOKUP(B480,Status!$A$2:$A$1867,Status!$B$2:$B$1867)</f>
        <v>Completed</v>
      </c>
      <c r="R480" s="2" t="s">
        <v>30</v>
      </c>
      <c r="S480" s="8">
        <v>5</v>
      </c>
      <c r="T480" s="2" t="s">
        <v>24</v>
      </c>
      <c r="U480" s="31" t="str" cm="1">
        <f t="array" ref="U480">_xlfn.IFS(L480&lt;=5000,$Z$3,AND(L480&gt;5000,L480&lt;=15000),$Z$4,AND(L480&gt;15000,L480&lt;=30000),$Z$5,AND(L480&gt;30000,L480&lt;=50000),$Z$6,L480&gt;50000,$Z$7)</f>
        <v>Rendah</v>
      </c>
      <c r="V480" s="2"/>
    </row>
    <row r="481" spans="1:22" ht="15.75" customHeight="1" x14ac:dyDescent="0.25">
      <c r="A481" s="26"/>
      <c r="B481" s="2" t="s">
        <v>806</v>
      </c>
      <c r="C481" s="32">
        <v>45641.500902777778</v>
      </c>
      <c r="D481" s="53">
        <f>YEAR(Table1[[#This Row],[Order Date]])</f>
        <v>2024</v>
      </c>
      <c r="E481" s="2" t="s">
        <v>649</v>
      </c>
      <c r="F481" s="2" t="s">
        <v>177</v>
      </c>
      <c r="G481" s="2" t="s">
        <v>54</v>
      </c>
      <c r="H481" s="23">
        <v>16000</v>
      </c>
      <c r="I481" s="2">
        <v>5</v>
      </c>
      <c r="J481" s="31">
        <v>15</v>
      </c>
      <c r="K481" s="7">
        <f t="shared" si="28"/>
        <v>80000</v>
      </c>
      <c r="L481" s="7">
        <f t="shared" si="29"/>
        <v>12000</v>
      </c>
      <c r="M481" s="7">
        <f t="shared" si="30"/>
        <v>68000</v>
      </c>
      <c r="N481" s="23">
        <v>56000</v>
      </c>
      <c r="O481" s="7">
        <f t="shared" si="31"/>
        <v>124000</v>
      </c>
      <c r="P481" s="2" t="s">
        <v>63</v>
      </c>
      <c r="Q481" t="str">
        <f>_xlfn.XLOOKUP(B481,Status!$A$2:$A$1867,Status!$B$2:$B$1867)</f>
        <v>Completed</v>
      </c>
      <c r="R481" s="2" t="s">
        <v>36</v>
      </c>
      <c r="S481" s="8">
        <v>5</v>
      </c>
      <c r="T481" s="2" t="s">
        <v>24</v>
      </c>
      <c r="U481" s="31" t="str" cm="1">
        <f t="array" ref="U481">_xlfn.IFS(L481&lt;=5000,$Z$3,AND(L481&gt;5000,L481&lt;=15000),$Z$4,AND(L481&gt;15000,L481&lt;=30000),$Z$5,AND(L481&gt;30000,L481&lt;=50000),$Z$6,L481&gt;50000,$Z$7)</f>
        <v>Rendah</v>
      </c>
      <c r="V481" s="2"/>
    </row>
    <row r="482" spans="1:22" ht="15.75" customHeight="1" x14ac:dyDescent="0.25">
      <c r="A482" s="26"/>
      <c r="B482" s="2" t="s">
        <v>807</v>
      </c>
      <c r="C482" s="32">
        <v>45641.504328703697</v>
      </c>
      <c r="D482" s="53">
        <f>YEAR(Table1[[#This Row],[Order Date]])</f>
        <v>2024</v>
      </c>
      <c r="E482" s="2" t="s">
        <v>808</v>
      </c>
      <c r="F482" s="2" t="s">
        <v>61</v>
      </c>
      <c r="G482" s="2" t="s">
        <v>34</v>
      </c>
      <c r="H482" s="23">
        <v>16000</v>
      </c>
      <c r="I482" s="2">
        <v>3</v>
      </c>
      <c r="J482" s="31">
        <v>10</v>
      </c>
      <c r="K482" s="7">
        <f t="shared" si="28"/>
        <v>48000</v>
      </c>
      <c r="L482" s="7">
        <f t="shared" si="29"/>
        <v>4800</v>
      </c>
      <c r="M482" s="7">
        <f t="shared" si="30"/>
        <v>43200</v>
      </c>
      <c r="N482" s="23">
        <v>26000</v>
      </c>
      <c r="O482" s="7">
        <f t="shared" si="31"/>
        <v>69200</v>
      </c>
      <c r="P482" s="2" t="s">
        <v>29</v>
      </c>
      <c r="Q482" t="str">
        <f>_xlfn.XLOOKUP(B482,Status!$A$2:$A$1867,Status!$B$2:$B$1867)</f>
        <v>Completed</v>
      </c>
      <c r="R482" s="2" t="s">
        <v>82</v>
      </c>
      <c r="S482" s="8">
        <v>1</v>
      </c>
      <c r="T482" s="2" t="s">
        <v>24</v>
      </c>
      <c r="U482" s="31" t="str" cm="1">
        <f t="array" ref="U482">_xlfn.IFS(L482&lt;=5000,$Z$3,AND(L482&gt;5000,L482&lt;=15000),$Z$4,AND(L482&gt;15000,L482&lt;=30000),$Z$5,AND(L482&gt;30000,L482&lt;=50000),$Z$6,L482&gt;50000,$Z$7)</f>
        <v>Sangat Rendah</v>
      </c>
      <c r="V482" s="2"/>
    </row>
    <row r="483" spans="1:22" ht="15.75" customHeight="1" x14ac:dyDescent="0.25">
      <c r="A483" s="26"/>
      <c r="B483" s="2" t="s">
        <v>809</v>
      </c>
      <c r="C483" s="32">
        <v>45641.529745370368</v>
      </c>
      <c r="D483" s="53">
        <f>YEAR(Table1[[#This Row],[Order Date]])</f>
        <v>2024</v>
      </c>
      <c r="E483" s="2" t="s">
        <v>379</v>
      </c>
      <c r="F483" s="2" t="s">
        <v>27</v>
      </c>
      <c r="G483" s="2" t="s">
        <v>34</v>
      </c>
      <c r="H483" s="23">
        <v>16000</v>
      </c>
      <c r="I483" s="2">
        <v>3</v>
      </c>
      <c r="J483" s="31">
        <v>0</v>
      </c>
      <c r="K483" s="7">
        <f t="shared" si="28"/>
        <v>48000</v>
      </c>
      <c r="L483" s="7">
        <f t="shared" si="29"/>
        <v>0</v>
      </c>
      <c r="M483" s="7">
        <f t="shared" si="30"/>
        <v>48000</v>
      </c>
      <c r="N483" s="23">
        <v>17000</v>
      </c>
      <c r="O483" s="7">
        <f t="shared" si="31"/>
        <v>65000</v>
      </c>
      <c r="P483" s="2" t="s">
        <v>63</v>
      </c>
      <c r="Q483" t="str">
        <f>_xlfn.XLOOKUP(B483,Status!$A$2:$A$1867,Status!$B$2:$B$1867)</f>
        <v>Completed</v>
      </c>
      <c r="R483" s="2" t="s">
        <v>82</v>
      </c>
      <c r="S483" s="8">
        <v>5</v>
      </c>
      <c r="T483" s="2" t="s">
        <v>24</v>
      </c>
      <c r="U483" s="31" t="str" cm="1">
        <f t="array" ref="U483">_xlfn.IFS(L483&lt;=5000,$Z$3,AND(L483&gt;5000,L483&lt;=15000),$Z$4,AND(L483&gt;15000,L483&lt;=30000),$Z$5,AND(L483&gt;30000,L483&lt;=50000),$Z$6,L483&gt;50000,$Z$7)</f>
        <v>Sangat Rendah</v>
      </c>
      <c r="V483" s="2"/>
    </row>
    <row r="484" spans="1:22" ht="15.75" customHeight="1" x14ac:dyDescent="0.25">
      <c r="A484" s="26"/>
      <c r="B484" s="2" t="s">
        <v>810</v>
      </c>
      <c r="C484" s="32">
        <v>45641.617743055547</v>
      </c>
      <c r="D484" s="53">
        <f>YEAR(Table1[[#This Row],[Order Date]])</f>
        <v>2024</v>
      </c>
      <c r="E484" s="2" t="s">
        <v>283</v>
      </c>
      <c r="F484" s="2" t="s">
        <v>92</v>
      </c>
      <c r="G484" s="2" t="s">
        <v>45</v>
      </c>
      <c r="H484" s="23">
        <v>40000</v>
      </c>
      <c r="I484" s="2">
        <v>5</v>
      </c>
      <c r="J484" s="31">
        <v>10</v>
      </c>
      <c r="K484" s="7">
        <f t="shared" si="28"/>
        <v>200000</v>
      </c>
      <c r="L484" s="7">
        <f t="shared" si="29"/>
        <v>20000</v>
      </c>
      <c r="M484" s="7">
        <f t="shared" si="30"/>
        <v>180000</v>
      </c>
      <c r="N484" s="23">
        <v>30000</v>
      </c>
      <c r="O484" s="7">
        <f t="shared" si="31"/>
        <v>210000</v>
      </c>
      <c r="P484" s="2" t="s">
        <v>29</v>
      </c>
      <c r="Q484" t="str">
        <f>_xlfn.XLOOKUP(B484,Status!$A$2:$A$1867,Status!$B$2:$B$1867)</f>
        <v>Completed</v>
      </c>
      <c r="R484" s="2" t="s">
        <v>30</v>
      </c>
      <c r="S484" s="8">
        <v>3</v>
      </c>
      <c r="T484" s="2" t="s">
        <v>24</v>
      </c>
      <c r="U484" s="31" t="str" cm="1">
        <f t="array" ref="U484">_xlfn.IFS(L484&lt;=5000,$Z$3,AND(L484&gt;5000,L484&lt;=15000),$Z$4,AND(L484&gt;15000,L484&lt;=30000),$Z$5,AND(L484&gt;30000,L484&lt;=50000),$Z$6,L484&gt;50000,$Z$7)</f>
        <v>Normal</v>
      </c>
      <c r="V484" s="2"/>
    </row>
    <row r="485" spans="1:22" ht="15.75" customHeight="1" x14ac:dyDescent="0.25">
      <c r="A485" s="26"/>
      <c r="B485" s="2" t="s">
        <v>811</v>
      </c>
      <c r="C485" s="32">
        <v>45642.436053240737</v>
      </c>
      <c r="D485" s="53">
        <f>YEAR(Table1[[#This Row],[Order Date]])</f>
        <v>2024</v>
      </c>
      <c r="E485" s="2" t="s">
        <v>812</v>
      </c>
      <c r="F485" s="2" t="s">
        <v>33</v>
      </c>
      <c r="G485" s="2" t="s">
        <v>34</v>
      </c>
      <c r="H485" s="23">
        <v>16000</v>
      </c>
      <c r="I485" s="2">
        <v>3</v>
      </c>
      <c r="J485" s="31">
        <v>0</v>
      </c>
      <c r="K485" s="7">
        <f t="shared" si="28"/>
        <v>48000</v>
      </c>
      <c r="L485" s="7">
        <f t="shared" si="29"/>
        <v>0</v>
      </c>
      <c r="M485" s="7">
        <f t="shared" si="30"/>
        <v>48000</v>
      </c>
      <c r="N485" s="23">
        <v>76000</v>
      </c>
      <c r="O485" s="7">
        <f t="shared" si="31"/>
        <v>124000</v>
      </c>
      <c r="P485" s="2" t="s">
        <v>22</v>
      </c>
      <c r="Q485" t="str">
        <f>_xlfn.XLOOKUP(B485,Status!$A$2:$A$1867,Status!$B$2:$B$1867)</f>
        <v>Completed</v>
      </c>
      <c r="R485" s="2" t="s">
        <v>30</v>
      </c>
      <c r="S485" s="8">
        <v>3</v>
      </c>
      <c r="T485" s="2" t="s">
        <v>24</v>
      </c>
      <c r="U485" s="31" t="str" cm="1">
        <f t="array" ref="U485">_xlfn.IFS(L485&lt;=5000,$Z$3,AND(L485&gt;5000,L485&lt;=15000),$Z$4,AND(L485&gt;15000,L485&lt;=30000),$Z$5,AND(L485&gt;30000,L485&lt;=50000),$Z$6,L485&gt;50000,$Z$7)</f>
        <v>Sangat Rendah</v>
      </c>
      <c r="V485" s="2"/>
    </row>
    <row r="486" spans="1:22" ht="15.75" customHeight="1" x14ac:dyDescent="0.25">
      <c r="A486" s="26"/>
      <c r="B486" s="2" t="s">
        <v>813</v>
      </c>
      <c r="C486" s="32">
        <v>45642.484791666669</v>
      </c>
      <c r="D486" s="53">
        <f>YEAR(Table1[[#This Row],[Order Date]])</f>
        <v>2024</v>
      </c>
      <c r="E486" s="2" t="s">
        <v>311</v>
      </c>
      <c r="F486" s="2" t="s">
        <v>116</v>
      </c>
      <c r="G486" s="2" t="s">
        <v>93</v>
      </c>
      <c r="H486" s="23">
        <v>25000</v>
      </c>
      <c r="I486" s="2">
        <v>5</v>
      </c>
      <c r="J486" s="31">
        <v>0</v>
      </c>
      <c r="K486" s="7">
        <f t="shared" si="28"/>
        <v>125000</v>
      </c>
      <c r="L486" s="7">
        <f t="shared" si="29"/>
        <v>0</v>
      </c>
      <c r="M486" s="7">
        <f t="shared" si="30"/>
        <v>125000</v>
      </c>
      <c r="N486" s="23">
        <v>72000</v>
      </c>
      <c r="O486" s="7">
        <f t="shared" si="31"/>
        <v>197000</v>
      </c>
      <c r="P486" s="2" t="s">
        <v>22</v>
      </c>
      <c r="Q486" t="str">
        <f>_xlfn.XLOOKUP(B486,Status!$A$2:$A$1867,Status!$B$2:$B$1867)</f>
        <v>Completed</v>
      </c>
      <c r="R486" s="2" t="s">
        <v>23</v>
      </c>
      <c r="S486" s="8">
        <v>5</v>
      </c>
      <c r="T486" s="2" t="s">
        <v>24</v>
      </c>
      <c r="U486" s="31" t="str" cm="1">
        <f t="array" ref="U486">_xlfn.IFS(L486&lt;=5000,$Z$3,AND(L486&gt;5000,L486&lt;=15000),$Z$4,AND(L486&gt;15000,L486&lt;=30000),$Z$5,AND(L486&gt;30000,L486&lt;=50000),$Z$6,L486&gt;50000,$Z$7)</f>
        <v>Sangat Rendah</v>
      </c>
      <c r="V486" s="2"/>
    </row>
    <row r="487" spans="1:22" ht="15.75" customHeight="1" x14ac:dyDescent="0.25">
      <c r="A487" s="26"/>
      <c r="B487" s="2" t="s">
        <v>814</v>
      </c>
      <c r="C487" s="32">
        <v>45642.491030092591</v>
      </c>
      <c r="D487" s="53">
        <f>YEAR(Table1[[#This Row],[Order Date]])</f>
        <v>2024</v>
      </c>
      <c r="E487" s="2" t="s">
        <v>207</v>
      </c>
      <c r="F487" s="2" t="s">
        <v>96</v>
      </c>
      <c r="G487" s="2" t="s">
        <v>62</v>
      </c>
      <c r="H487" s="23">
        <v>50000</v>
      </c>
      <c r="I487" s="2">
        <v>3</v>
      </c>
      <c r="J487" s="31">
        <v>5</v>
      </c>
      <c r="K487" s="7">
        <f t="shared" si="28"/>
        <v>150000</v>
      </c>
      <c r="L487" s="7">
        <f t="shared" si="29"/>
        <v>7500</v>
      </c>
      <c r="M487" s="7">
        <f t="shared" si="30"/>
        <v>142500</v>
      </c>
      <c r="N487" s="23">
        <v>49000</v>
      </c>
      <c r="O487" s="7">
        <f t="shared" si="31"/>
        <v>191500</v>
      </c>
      <c r="P487" s="2" t="s">
        <v>29</v>
      </c>
      <c r="Q487" t="str">
        <f>_xlfn.XLOOKUP(B487,Status!$A$2:$A$1867,Status!$B$2:$B$1867)</f>
        <v>Completed</v>
      </c>
      <c r="R487" s="2" t="s">
        <v>36</v>
      </c>
      <c r="S487" s="8">
        <v>1</v>
      </c>
      <c r="T487" s="2" t="s">
        <v>24</v>
      </c>
      <c r="U487" s="31" t="str" cm="1">
        <f t="array" ref="U487">_xlfn.IFS(L487&lt;=5000,$Z$3,AND(L487&gt;5000,L487&lt;=15000),$Z$4,AND(L487&gt;15000,L487&lt;=30000),$Z$5,AND(L487&gt;30000,L487&lt;=50000),$Z$6,L487&gt;50000,$Z$7)</f>
        <v>Rendah</v>
      </c>
      <c r="V487" s="2"/>
    </row>
    <row r="488" spans="1:22" ht="15.75" customHeight="1" x14ac:dyDescent="0.25">
      <c r="A488" s="26"/>
      <c r="B488" s="2" t="s">
        <v>815</v>
      </c>
      <c r="C488" s="32">
        <v>45642.536064814813</v>
      </c>
      <c r="D488" s="53">
        <f>YEAR(Table1[[#This Row],[Order Date]])</f>
        <v>2024</v>
      </c>
      <c r="E488" s="2" t="s">
        <v>162</v>
      </c>
      <c r="F488" s="2" t="s">
        <v>163</v>
      </c>
      <c r="G488" s="2" t="s">
        <v>50</v>
      </c>
      <c r="H488" s="23">
        <v>14000</v>
      </c>
      <c r="I488" s="2">
        <v>4</v>
      </c>
      <c r="J488" s="31">
        <v>20</v>
      </c>
      <c r="K488" s="7">
        <f t="shared" si="28"/>
        <v>56000</v>
      </c>
      <c r="L488" s="7">
        <f t="shared" si="29"/>
        <v>11200</v>
      </c>
      <c r="M488" s="7">
        <f t="shared" si="30"/>
        <v>44800</v>
      </c>
      <c r="N488" s="23">
        <v>50000</v>
      </c>
      <c r="O488" s="7">
        <f t="shared" si="31"/>
        <v>94800</v>
      </c>
      <c r="P488" s="2" t="s">
        <v>29</v>
      </c>
      <c r="Q488" t="str">
        <f>_xlfn.XLOOKUP(B488,Status!$A$2:$A$1867,Status!$B$2:$B$1867)</f>
        <v>Completed</v>
      </c>
      <c r="R488" s="2" t="s">
        <v>82</v>
      </c>
      <c r="S488" s="8">
        <v>2</v>
      </c>
      <c r="T488" s="2" t="s">
        <v>24</v>
      </c>
      <c r="U488" s="31" t="str" cm="1">
        <f t="array" ref="U488">_xlfn.IFS(L488&lt;=5000,$Z$3,AND(L488&gt;5000,L488&lt;=15000),$Z$4,AND(L488&gt;15000,L488&lt;=30000),$Z$5,AND(L488&gt;30000,L488&lt;=50000),$Z$6,L488&gt;50000,$Z$7)</f>
        <v>Rendah</v>
      </c>
      <c r="V488" s="2"/>
    </row>
    <row r="489" spans="1:22" ht="15.75" customHeight="1" x14ac:dyDescent="0.25">
      <c r="A489" s="26"/>
      <c r="B489" s="2" t="s">
        <v>816</v>
      </c>
      <c r="C489" s="32">
        <v>45642.787106481483</v>
      </c>
      <c r="D489" s="53">
        <f>YEAR(Table1[[#This Row],[Order Date]])</f>
        <v>2024</v>
      </c>
      <c r="E489" s="2" t="s">
        <v>557</v>
      </c>
      <c r="F489" s="2" t="s">
        <v>173</v>
      </c>
      <c r="G489" s="2" t="s">
        <v>45</v>
      </c>
      <c r="H489" s="23">
        <v>40000</v>
      </c>
      <c r="I489" s="2">
        <v>4</v>
      </c>
      <c r="J489" s="31">
        <v>15</v>
      </c>
      <c r="K489" s="7">
        <f t="shared" si="28"/>
        <v>160000</v>
      </c>
      <c r="L489" s="7">
        <f t="shared" si="29"/>
        <v>24000</v>
      </c>
      <c r="M489" s="7">
        <f t="shared" si="30"/>
        <v>136000</v>
      </c>
      <c r="N489" s="23">
        <v>49000</v>
      </c>
      <c r="O489" s="7">
        <f t="shared" si="31"/>
        <v>185000</v>
      </c>
      <c r="P489" s="2" t="s">
        <v>29</v>
      </c>
      <c r="Q489" t="str">
        <f>_xlfn.XLOOKUP(B489,Status!$A$2:$A$1867,Status!$B$2:$B$1867)</f>
        <v>Completed</v>
      </c>
      <c r="R489" s="2" t="s">
        <v>36</v>
      </c>
      <c r="S489" s="8">
        <v>2</v>
      </c>
      <c r="T489" s="2" t="s">
        <v>24</v>
      </c>
      <c r="U489" s="31" t="str" cm="1">
        <f t="array" ref="U489">_xlfn.IFS(L489&lt;=5000,$Z$3,AND(L489&gt;5000,L489&lt;=15000),$Z$4,AND(L489&gt;15000,L489&lt;=30000),$Z$5,AND(L489&gt;30000,L489&lt;=50000),$Z$6,L489&gt;50000,$Z$7)</f>
        <v>Normal</v>
      </c>
      <c r="V489" s="2"/>
    </row>
    <row r="490" spans="1:22" ht="15.75" customHeight="1" x14ac:dyDescent="0.25">
      <c r="A490" s="26"/>
      <c r="B490" s="2" t="s">
        <v>817</v>
      </c>
      <c r="C490" s="32">
        <v>45643.473877314813</v>
      </c>
      <c r="D490" s="53">
        <f>YEAR(Table1[[#This Row],[Order Date]])</f>
        <v>2024</v>
      </c>
      <c r="E490" s="2" t="s">
        <v>383</v>
      </c>
      <c r="F490" s="2" t="s">
        <v>122</v>
      </c>
      <c r="G490" s="2" t="s">
        <v>62</v>
      </c>
      <c r="H490" s="23">
        <v>50000</v>
      </c>
      <c r="I490" s="2">
        <v>4</v>
      </c>
      <c r="J490" s="31">
        <v>15</v>
      </c>
      <c r="K490" s="7">
        <f t="shared" si="28"/>
        <v>200000</v>
      </c>
      <c r="L490" s="7">
        <f t="shared" si="29"/>
        <v>30000</v>
      </c>
      <c r="M490" s="7">
        <f t="shared" si="30"/>
        <v>170000</v>
      </c>
      <c r="N490" s="23">
        <v>78000</v>
      </c>
      <c r="O490" s="7">
        <f t="shared" si="31"/>
        <v>248000</v>
      </c>
      <c r="P490" s="2" t="s">
        <v>63</v>
      </c>
      <c r="Q490" t="str">
        <f>_xlfn.XLOOKUP(B490,Status!$A$2:$A$1867,Status!$B$2:$B$1867)</f>
        <v>Completed</v>
      </c>
      <c r="R490" s="2" t="s">
        <v>30</v>
      </c>
      <c r="S490" s="8">
        <v>2</v>
      </c>
      <c r="T490" s="2" t="s">
        <v>24</v>
      </c>
      <c r="U490" s="31" t="str" cm="1">
        <f t="array" ref="U490">_xlfn.IFS(L490&lt;=5000,$Z$3,AND(L490&gt;5000,L490&lt;=15000),$Z$4,AND(L490&gt;15000,L490&lt;=30000),$Z$5,AND(L490&gt;30000,L490&lt;=50000),$Z$6,L490&gt;50000,$Z$7)</f>
        <v>Normal</v>
      </c>
      <c r="V490" s="2"/>
    </row>
    <row r="491" spans="1:22" ht="15.75" customHeight="1" x14ac:dyDescent="0.25">
      <c r="A491" s="26"/>
      <c r="B491" s="2" t="s">
        <v>818</v>
      </c>
      <c r="C491" s="32">
        <v>45643.491828703707</v>
      </c>
      <c r="D491" s="53">
        <f>YEAR(Table1[[#This Row],[Order Date]])</f>
        <v>2024</v>
      </c>
      <c r="E491" s="2" t="s">
        <v>819</v>
      </c>
      <c r="F491" s="2" t="s">
        <v>126</v>
      </c>
      <c r="G491" s="2" t="s">
        <v>88</v>
      </c>
      <c r="H491" s="23">
        <v>14000</v>
      </c>
      <c r="I491" s="2">
        <v>4</v>
      </c>
      <c r="J491" s="31">
        <v>10</v>
      </c>
      <c r="K491" s="7">
        <f t="shared" si="28"/>
        <v>56000</v>
      </c>
      <c r="L491" s="7">
        <f t="shared" si="29"/>
        <v>5600</v>
      </c>
      <c r="M491" s="7">
        <f t="shared" si="30"/>
        <v>50400</v>
      </c>
      <c r="N491" s="23">
        <v>84000</v>
      </c>
      <c r="O491" s="7">
        <f t="shared" si="31"/>
        <v>134400</v>
      </c>
      <c r="P491" s="2" t="s">
        <v>22</v>
      </c>
      <c r="Q491" t="str">
        <f>_xlfn.XLOOKUP(B491,Status!$A$2:$A$1867,Status!$B$2:$B$1867)</f>
        <v>Completed</v>
      </c>
      <c r="R491" s="2" t="s">
        <v>36</v>
      </c>
      <c r="S491" s="8">
        <v>5</v>
      </c>
      <c r="T491" s="2" t="s">
        <v>24</v>
      </c>
      <c r="U491" s="31" t="str" cm="1">
        <f t="array" ref="U491">_xlfn.IFS(L491&lt;=5000,$Z$3,AND(L491&gt;5000,L491&lt;=15000),$Z$4,AND(L491&gt;15000,L491&lt;=30000),$Z$5,AND(L491&gt;30000,L491&lt;=50000),$Z$6,L491&gt;50000,$Z$7)</f>
        <v>Rendah</v>
      </c>
      <c r="V491" s="2"/>
    </row>
    <row r="492" spans="1:22" ht="15.75" customHeight="1" x14ac:dyDescent="0.25">
      <c r="A492" s="26"/>
      <c r="B492" s="2" t="s">
        <v>820</v>
      </c>
      <c r="C492" s="32">
        <v>45643.807789351849</v>
      </c>
      <c r="D492" s="53">
        <f>YEAR(Table1[[#This Row],[Order Date]])</f>
        <v>2024</v>
      </c>
      <c r="E492" s="2" t="s">
        <v>821</v>
      </c>
      <c r="F492" s="2" t="s">
        <v>131</v>
      </c>
      <c r="G492" s="2" t="s">
        <v>136</v>
      </c>
      <c r="H492" s="23">
        <v>12000</v>
      </c>
      <c r="I492" s="2">
        <v>4</v>
      </c>
      <c r="J492" s="31">
        <v>20</v>
      </c>
      <c r="K492" s="7">
        <f t="shared" si="28"/>
        <v>48000</v>
      </c>
      <c r="L492" s="7">
        <f t="shared" si="29"/>
        <v>9600</v>
      </c>
      <c r="M492" s="7">
        <f t="shared" si="30"/>
        <v>38400</v>
      </c>
      <c r="N492" s="23">
        <v>59000</v>
      </c>
      <c r="O492" s="7">
        <f t="shared" si="31"/>
        <v>97400</v>
      </c>
      <c r="P492" s="2" t="s">
        <v>63</v>
      </c>
      <c r="Q492" t="str">
        <f>_xlfn.XLOOKUP(B492,Status!$A$2:$A$1867,Status!$B$2:$B$1867)</f>
        <v>Completed</v>
      </c>
      <c r="R492" s="2" t="s">
        <v>23</v>
      </c>
      <c r="S492" s="8">
        <v>1</v>
      </c>
      <c r="T492" s="2" t="s">
        <v>24</v>
      </c>
      <c r="U492" s="31" t="str" cm="1">
        <f t="array" ref="U492">_xlfn.IFS(L492&lt;=5000,$Z$3,AND(L492&gt;5000,L492&lt;=15000),$Z$4,AND(L492&gt;15000,L492&lt;=30000),$Z$5,AND(L492&gt;30000,L492&lt;=50000),$Z$6,L492&gt;50000,$Z$7)</f>
        <v>Rendah</v>
      </c>
      <c r="V492" s="2"/>
    </row>
    <row r="493" spans="1:22" ht="15.75" customHeight="1" x14ac:dyDescent="0.25">
      <c r="A493" s="26"/>
      <c r="B493" s="2" t="s">
        <v>822</v>
      </c>
      <c r="C493" s="32">
        <v>45643.960775462961</v>
      </c>
      <c r="D493" s="53">
        <f>YEAR(Table1[[#This Row],[Order Date]])</f>
        <v>2024</v>
      </c>
      <c r="E493" s="2" t="s">
        <v>125</v>
      </c>
      <c r="F493" s="2" t="s">
        <v>126</v>
      </c>
      <c r="G493" s="2" t="s">
        <v>28</v>
      </c>
      <c r="H493" s="23">
        <v>5000</v>
      </c>
      <c r="I493" s="2">
        <v>2</v>
      </c>
      <c r="J493" s="31">
        <v>0</v>
      </c>
      <c r="K493" s="7">
        <f t="shared" si="28"/>
        <v>10000</v>
      </c>
      <c r="L493" s="7">
        <f t="shared" si="29"/>
        <v>0</v>
      </c>
      <c r="M493" s="7">
        <f t="shared" si="30"/>
        <v>10000</v>
      </c>
      <c r="N493" s="23">
        <v>84000</v>
      </c>
      <c r="O493" s="7">
        <f t="shared" si="31"/>
        <v>94000</v>
      </c>
      <c r="P493" s="2" t="s">
        <v>29</v>
      </c>
      <c r="Q493" t="str">
        <f>_xlfn.XLOOKUP(B493,Status!$A$2:$A$1867,Status!$B$2:$B$1867)</f>
        <v>Completed</v>
      </c>
      <c r="R493" s="2" t="s">
        <v>82</v>
      </c>
      <c r="S493" s="8">
        <v>4</v>
      </c>
      <c r="T493" s="2" t="s">
        <v>24</v>
      </c>
      <c r="U493" s="31" t="str" cm="1">
        <f t="array" ref="U493">_xlfn.IFS(L493&lt;=5000,$Z$3,AND(L493&gt;5000,L493&lt;=15000),$Z$4,AND(L493&gt;15000,L493&lt;=30000),$Z$5,AND(L493&gt;30000,L493&lt;=50000),$Z$6,L493&gt;50000,$Z$7)</f>
        <v>Sangat Rendah</v>
      </c>
      <c r="V493" s="2"/>
    </row>
    <row r="494" spans="1:22" ht="15.75" customHeight="1" x14ac:dyDescent="0.25">
      <c r="A494" s="26"/>
      <c r="B494" s="2" t="s">
        <v>823</v>
      </c>
      <c r="C494" s="32">
        <v>45644.162418981483</v>
      </c>
      <c r="D494" s="53">
        <f>YEAR(Table1[[#This Row],[Order Date]])</f>
        <v>2024</v>
      </c>
      <c r="E494" s="2" t="s">
        <v>323</v>
      </c>
      <c r="F494" s="2" t="s">
        <v>103</v>
      </c>
      <c r="G494" s="2" t="s">
        <v>58</v>
      </c>
      <c r="H494" s="23">
        <v>16000</v>
      </c>
      <c r="I494" s="2">
        <v>3</v>
      </c>
      <c r="J494" s="31">
        <v>10</v>
      </c>
      <c r="K494" s="7">
        <f t="shared" si="28"/>
        <v>48000</v>
      </c>
      <c r="L494" s="7">
        <f t="shared" si="29"/>
        <v>4800</v>
      </c>
      <c r="M494" s="7">
        <f t="shared" si="30"/>
        <v>43200</v>
      </c>
      <c r="N494" s="23">
        <v>85000</v>
      </c>
      <c r="O494" s="7">
        <f t="shared" si="31"/>
        <v>128200</v>
      </c>
      <c r="P494" s="2" t="s">
        <v>35</v>
      </c>
      <c r="Q494" t="str">
        <f>_xlfn.XLOOKUP(B494,Status!$A$2:$A$1867,Status!$B$2:$B$1867)</f>
        <v>Completed</v>
      </c>
      <c r="R494" s="2" t="s">
        <v>46</v>
      </c>
      <c r="S494" s="8">
        <v>1</v>
      </c>
      <c r="T494" s="2" t="s">
        <v>24</v>
      </c>
      <c r="U494" s="31" t="str" cm="1">
        <f t="array" ref="U494">_xlfn.IFS(L494&lt;=5000,$Z$3,AND(L494&gt;5000,L494&lt;=15000),$Z$4,AND(L494&gt;15000,L494&lt;=30000),$Z$5,AND(L494&gt;30000,L494&lt;=50000),$Z$6,L494&gt;50000,$Z$7)</f>
        <v>Sangat Rendah</v>
      </c>
      <c r="V494" s="2"/>
    </row>
    <row r="495" spans="1:22" ht="15.75" customHeight="1" x14ac:dyDescent="0.25">
      <c r="A495" s="26"/>
      <c r="B495" s="2" t="s">
        <v>823</v>
      </c>
      <c r="C495" s="32">
        <v>45644.162418981483</v>
      </c>
      <c r="D495" s="53">
        <f>YEAR(Table1[[#This Row],[Order Date]])</f>
        <v>2024</v>
      </c>
      <c r="E495" s="2" t="s">
        <v>323</v>
      </c>
      <c r="F495" s="2" t="s">
        <v>103</v>
      </c>
      <c r="G495" s="2" t="s">
        <v>138</v>
      </c>
      <c r="H495" s="23">
        <v>17000</v>
      </c>
      <c r="I495" s="2">
        <v>4</v>
      </c>
      <c r="J495" s="31">
        <v>5</v>
      </c>
      <c r="K495" s="7">
        <f t="shared" si="28"/>
        <v>68000</v>
      </c>
      <c r="L495" s="7">
        <f t="shared" si="29"/>
        <v>3400</v>
      </c>
      <c r="M495" s="7">
        <f t="shared" si="30"/>
        <v>64600</v>
      </c>
      <c r="N495" s="23">
        <v>0</v>
      </c>
      <c r="O495" s="7">
        <f t="shared" si="31"/>
        <v>64600</v>
      </c>
      <c r="P495" s="2" t="s">
        <v>35</v>
      </c>
      <c r="Q495" t="str">
        <f>_xlfn.XLOOKUP(B495,Status!$A$2:$A$1867,Status!$B$2:$B$1867)</f>
        <v>Completed</v>
      </c>
      <c r="R495" s="2" t="s">
        <v>46</v>
      </c>
      <c r="S495" s="8">
        <v>1</v>
      </c>
      <c r="T495" s="2" t="s">
        <v>24</v>
      </c>
      <c r="U495" s="31" t="str" cm="1">
        <f t="array" ref="U495">_xlfn.IFS(L495&lt;=5000,$Z$3,AND(L495&gt;5000,L495&lt;=15000),$Z$4,AND(L495&gt;15000,L495&lt;=30000),$Z$5,AND(L495&gt;30000,L495&lt;=50000),$Z$6,L495&gt;50000,$Z$7)</f>
        <v>Sangat Rendah</v>
      </c>
      <c r="V495" s="2"/>
    </row>
    <row r="496" spans="1:22" ht="15.75" customHeight="1" x14ac:dyDescent="0.25">
      <c r="A496" s="26"/>
      <c r="B496" s="2" t="s">
        <v>824</v>
      </c>
      <c r="C496" s="32">
        <v>45645.030231481483</v>
      </c>
      <c r="D496" s="53">
        <f>YEAR(Table1[[#This Row],[Order Date]])</f>
        <v>2024</v>
      </c>
      <c r="E496" s="2" t="s">
        <v>547</v>
      </c>
      <c r="F496" s="2" t="s">
        <v>119</v>
      </c>
      <c r="G496" s="2" t="s">
        <v>123</v>
      </c>
      <c r="H496" s="23">
        <v>22000</v>
      </c>
      <c r="I496" s="2">
        <v>1</v>
      </c>
      <c r="J496" s="31">
        <v>20</v>
      </c>
      <c r="K496" s="7">
        <f t="shared" si="28"/>
        <v>22000</v>
      </c>
      <c r="L496" s="7">
        <f t="shared" si="29"/>
        <v>4400</v>
      </c>
      <c r="M496" s="7">
        <f t="shared" si="30"/>
        <v>17600</v>
      </c>
      <c r="N496" s="23">
        <v>0</v>
      </c>
      <c r="O496" s="7">
        <f t="shared" si="31"/>
        <v>17600</v>
      </c>
      <c r="P496" s="2" t="s">
        <v>35</v>
      </c>
      <c r="Q496" t="str">
        <f>_xlfn.XLOOKUP(B496,Status!$A$2:$A$1867,Status!$B$2:$B$1867)</f>
        <v>Completed</v>
      </c>
      <c r="R496" s="2" t="s">
        <v>46</v>
      </c>
      <c r="S496" s="8">
        <v>1</v>
      </c>
      <c r="T496" s="2" t="s">
        <v>37</v>
      </c>
      <c r="U496" s="31" t="str" cm="1">
        <f t="array" ref="U496">_xlfn.IFS(L496&lt;=5000,$Z$3,AND(L496&gt;5000,L496&lt;=15000),$Z$4,AND(L496&gt;15000,L496&lt;=30000),$Z$5,AND(L496&gt;30000,L496&lt;=50000),$Z$6,L496&gt;50000,$Z$7)</f>
        <v>Sangat Rendah</v>
      </c>
      <c r="V496" s="2"/>
    </row>
    <row r="497" spans="1:22" ht="15.75" customHeight="1" x14ac:dyDescent="0.25">
      <c r="A497" s="26"/>
      <c r="B497" s="2" t="s">
        <v>825</v>
      </c>
      <c r="C497" s="32">
        <v>45645.036539351851</v>
      </c>
      <c r="D497" s="53">
        <f>YEAR(Table1[[#This Row],[Order Date]])</f>
        <v>2024</v>
      </c>
      <c r="E497" s="2" t="s">
        <v>381</v>
      </c>
      <c r="F497" s="2" t="s">
        <v>103</v>
      </c>
      <c r="G497" s="2" t="s">
        <v>144</v>
      </c>
      <c r="H497" s="23">
        <v>18000</v>
      </c>
      <c r="I497" s="2">
        <v>5</v>
      </c>
      <c r="J497" s="31">
        <v>5</v>
      </c>
      <c r="K497" s="7">
        <f t="shared" si="28"/>
        <v>90000</v>
      </c>
      <c r="L497" s="7">
        <f t="shared" si="29"/>
        <v>4500</v>
      </c>
      <c r="M497" s="7">
        <f t="shared" si="30"/>
        <v>85500</v>
      </c>
      <c r="N497" s="23">
        <v>85000</v>
      </c>
      <c r="O497" s="7">
        <f t="shared" si="31"/>
        <v>170500</v>
      </c>
      <c r="P497" s="2" t="s">
        <v>63</v>
      </c>
      <c r="Q497" t="str">
        <f>_xlfn.XLOOKUP(B497,Status!$A$2:$A$1867,Status!$B$2:$B$1867)</f>
        <v>Returned</v>
      </c>
      <c r="R497" s="2" t="s">
        <v>36</v>
      </c>
      <c r="S497" s="8">
        <v>5</v>
      </c>
      <c r="T497" s="2" t="s">
        <v>24</v>
      </c>
      <c r="U497" s="31" t="str" cm="1">
        <f t="array" ref="U497">_xlfn.IFS(L497&lt;=5000,$Z$3,AND(L497&gt;5000,L497&lt;=15000),$Z$4,AND(L497&gt;15000,L497&lt;=30000),$Z$5,AND(L497&gt;30000,L497&lt;=50000),$Z$6,L497&gt;50000,$Z$7)</f>
        <v>Sangat Rendah</v>
      </c>
      <c r="V497" s="2"/>
    </row>
    <row r="498" spans="1:22" ht="15.75" customHeight="1" x14ac:dyDescent="0.25">
      <c r="A498" s="26"/>
      <c r="B498" s="2" t="s">
        <v>826</v>
      </c>
      <c r="C498" s="32">
        <v>45645.045162037037</v>
      </c>
      <c r="D498" s="53">
        <f>YEAR(Table1[[#This Row],[Order Date]])</f>
        <v>2024</v>
      </c>
      <c r="E498" s="2" t="s">
        <v>827</v>
      </c>
      <c r="F498" s="2" t="s">
        <v>20</v>
      </c>
      <c r="G498" s="2" t="s">
        <v>186</v>
      </c>
      <c r="H498" s="23">
        <v>45000</v>
      </c>
      <c r="I498" s="2">
        <v>1</v>
      </c>
      <c r="J498" s="31">
        <v>20</v>
      </c>
      <c r="K498" s="7">
        <f t="shared" si="28"/>
        <v>45000</v>
      </c>
      <c r="L498" s="7">
        <f t="shared" si="29"/>
        <v>9000</v>
      </c>
      <c r="M498" s="7">
        <f t="shared" si="30"/>
        <v>36000</v>
      </c>
      <c r="N498" s="23">
        <v>15000</v>
      </c>
      <c r="O498" s="7">
        <f t="shared" si="31"/>
        <v>51000</v>
      </c>
      <c r="P498" s="2" t="s">
        <v>63</v>
      </c>
      <c r="Q498" t="str">
        <f>_xlfn.XLOOKUP(B498,Status!$A$2:$A$1867,Status!$B$2:$B$1867)</f>
        <v>Completed</v>
      </c>
      <c r="R498" s="2" t="s">
        <v>82</v>
      </c>
      <c r="S498" s="8">
        <v>1</v>
      </c>
      <c r="T498" s="2" t="s">
        <v>24</v>
      </c>
      <c r="U498" s="31" t="str" cm="1">
        <f t="array" ref="U498">_xlfn.IFS(L498&lt;=5000,$Z$3,AND(L498&gt;5000,L498&lt;=15000),$Z$4,AND(L498&gt;15000,L498&lt;=30000),$Z$5,AND(L498&gt;30000,L498&lt;=50000),$Z$6,L498&gt;50000,$Z$7)</f>
        <v>Rendah</v>
      </c>
      <c r="V498" s="2"/>
    </row>
    <row r="499" spans="1:22" ht="15.75" customHeight="1" x14ac:dyDescent="0.25">
      <c r="A499" s="26"/>
      <c r="B499" s="2" t="s">
        <v>828</v>
      </c>
      <c r="C499" s="32">
        <v>45645.126064814824</v>
      </c>
      <c r="D499" s="53">
        <f>YEAR(Table1[[#This Row],[Order Date]])</f>
        <v>2024</v>
      </c>
      <c r="E499" s="2" t="s">
        <v>79</v>
      </c>
      <c r="F499" s="2" t="s">
        <v>80</v>
      </c>
      <c r="G499" s="2" t="s">
        <v>38</v>
      </c>
      <c r="H499" s="23">
        <v>28000</v>
      </c>
      <c r="I499" s="2">
        <v>3</v>
      </c>
      <c r="J499" s="31">
        <v>15</v>
      </c>
      <c r="K499" s="7">
        <f t="shared" si="28"/>
        <v>84000</v>
      </c>
      <c r="L499" s="7">
        <f t="shared" si="29"/>
        <v>12600</v>
      </c>
      <c r="M499" s="7">
        <f t="shared" si="30"/>
        <v>71400</v>
      </c>
      <c r="N499" s="23">
        <v>74000</v>
      </c>
      <c r="O499" s="7">
        <f t="shared" si="31"/>
        <v>145400</v>
      </c>
      <c r="P499" s="2" t="s">
        <v>22</v>
      </c>
      <c r="Q499" t="str">
        <f>_xlfn.XLOOKUP(B499,Status!$A$2:$A$1867,Status!$B$2:$B$1867)</f>
        <v>Returned</v>
      </c>
      <c r="R499" s="2" t="s">
        <v>82</v>
      </c>
      <c r="S499" s="8">
        <v>5</v>
      </c>
      <c r="T499" s="2" t="s">
        <v>24</v>
      </c>
      <c r="U499" s="31" t="str" cm="1">
        <f t="array" ref="U499">_xlfn.IFS(L499&lt;=5000,$Z$3,AND(L499&gt;5000,L499&lt;=15000),$Z$4,AND(L499&gt;15000,L499&lt;=30000),$Z$5,AND(L499&gt;30000,L499&lt;=50000),$Z$6,L499&gt;50000,$Z$7)</f>
        <v>Rendah</v>
      </c>
      <c r="V499" s="2"/>
    </row>
    <row r="500" spans="1:22" ht="15.75" customHeight="1" x14ac:dyDescent="0.25">
      <c r="A500" s="26"/>
      <c r="B500" s="2" t="s">
        <v>828</v>
      </c>
      <c r="C500" s="32">
        <v>45645.126064814824</v>
      </c>
      <c r="D500" s="53">
        <f>YEAR(Table1[[#This Row],[Order Date]])</f>
        <v>2024</v>
      </c>
      <c r="E500" s="2" t="s">
        <v>79</v>
      </c>
      <c r="F500" s="2" t="s">
        <v>80</v>
      </c>
      <c r="G500" s="2" t="s">
        <v>67</v>
      </c>
      <c r="H500" s="23">
        <v>15000</v>
      </c>
      <c r="I500" s="2">
        <v>4</v>
      </c>
      <c r="J500" s="31">
        <v>15</v>
      </c>
      <c r="K500" s="7">
        <f t="shared" si="28"/>
        <v>60000</v>
      </c>
      <c r="L500" s="7">
        <f t="shared" si="29"/>
        <v>9000</v>
      </c>
      <c r="M500" s="7">
        <f t="shared" si="30"/>
        <v>51000</v>
      </c>
      <c r="N500" s="23">
        <v>0</v>
      </c>
      <c r="O500" s="7">
        <f t="shared" si="31"/>
        <v>51000</v>
      </c>
      <c r="P500" s="2" t="s">
        <v>22</v>
      </c>
      <c r="Q500" t="str">
        <f>_xlfn.XLOOKUP(B500,Status!$A$2:$A$1867,Status!$B$2:$B$1867)</f>
        <v>Returned</v>
      </c>
      <c r="R500" s="2" t="s">
        <v>82</v>
      </c>
      <c r="S500" s="8">
        <v>5</v>
      </c>
      <c r="T500" s="2" t="s">
        <v>24</v>
      </c>
      <c r="U500" s="31" t="str" cm="1">
        <f t="array" ref="U500">_xlfn.IFS(L500&lt;=5000,$Z$3,AND(L500&gt;5000,L500&lt;=15000),$Z$4,AND(L500&gt;15000,L500&lt;=30000),$Z$5,AND(L500&gt;30000,L500&lt;=50000),$Z$6,L500&gt;50000,$Z$7)</f>
        <v>Rendah</v>
      </c>
      <c r="V500" s="2"/>
    </row>
    <row r="501" spans="1:22" ht="15.75" customHeight="1" x14ac:dyDescent="0.25">
      <c r="A501" s="26"/>
      <c r="B501" s="2" t="s">
        <v>829</v>
      </c>
      <c r="C501" s="32">
        <v>45645.420300925929</v>
      </c>
      <c r="D501" s="53">
        <f>YEAR(Table1[[#This Row],[Order Date]])</f>
        <v>2024</v>
      </c>
      <c r="E501" s="2" t="s">
        <v>794</v>
      </c>
      <c r="F501" s="2" t="s">
        <v>61</v>
      </c>
      <c r="G501" s="2" t="s">
        <v>138</v>
      </c>
      <c r="H501" s="23">
        <v>17000</v>
      </c>
      <c r="I501" s="2">
        <v>1</v>
      </c>
      <c r="J501" s="31">
        <v>20</v>
      </c>
      <c r="K501" s="7">
        <f t="shared" si="28"/>
        <v>17000</v>
      </c>
      <c r="L501" s="7">
        <f t="shared" si="29"/>
        <v>3400</v>
      </c>
      <c r="M501" s="7">
        <f t="shared" si="30"/>
        <v>13600</v>
      </c>
      <c r="N501" s="23">
        <v>26000</v>
      </c>
      <c r="O501" s="7">
        <f t="shared" si="31"/>
        <v>39600</v>
      </c>
      <c r="P501" s="2" t="s">
        <v>22</v>
      </c>
      <c r="Q501" t="str">
        <f>_xlfn.XLOOKUP(B501,Status!$A$2:$A$1867,Status!$B$2:$B$1867)</f>
        <v>Returned</v>
      </c>
      <c r="R501" s="2" t="s">
        <v>23</v>
      </c>
      <c r="S501" s="8">
        <v>4</v>
      </c>
      <c r="T501" s="2" t="s">
        <v>37</v>
      </c>
      <c r="U501" s="31" t="str" cm="1">
        <f t="array" ref="U501">_xlfn.IFS(L501&lt;=5000,$Z$3,AND(L501&gt;5000,L501&lt;=15000),$Z$4,AND(L501&gt;15000,L501&lt;=30000),$Z$5,AND(L501&gt;30000,L501&lt;=50000),$Z$6,L501&gt;50000,$Z$7)</f>
        <v>Sangat Rendah</v>
      </c>
      <c r="V501" s="2"/>
    </row>
    <row r="502" spans="1:22" ht="15.75" customHeight="1" x14ac:dyDescent="0.25">
      <c r="A502" s="26"/>
      <c r="B502" s="2" t="s">
        <v>830</v>
      </c>
      <c r="C502" s="32">
        <v>45645.752430555563</v>
      </c>
      <c r="D502" s="53">
        <f>YEAR(Table1[[#This Row],[Order Date]])</f>
        <v>2024</v>
      </c>
      <c r="E502" s="2" t="s">
        <v>741</v>
      </c>
      <c r="F502" s="2" t="s">
        <v>189</v>
      </c>
      <c r="G502" s="2" t="s">
        <v>81</v>
      </c>
      <c r="H502" s="23">
        <v>17000</v>
      </c>
      <c r="I502" s="2">
        <v>3</v>
      </c>
      <c r="J502" s="31">
        <v>5</v>
      </c>
      <c r="K502" s="7">
        <f t="shared" si="28"/>
        <v>51000</v>
      </c>
      <c r="L502" s="7">
        <f t="shared" si="29"/>
        <v>2550</v>
      </c>
      <c r="M502" s="7">
        <f t="shared" si="30"/>
        <v>48450</v>
      </c>
      <c r="N502" s="23">
        <v>57000</v>
      </c>
      <c r="O502" s="7">
        <f t="shared" si="31"/>
        <v>105450</v>
      </c>
      <c r="P502" s="2" t="s">
        <v>63</v>
      </c>
      <c r="Q502" t="str">
        <f>_xlfn.XLOOKUP(B502,Status!$A$2:$A$1867,Status!$B$2:$B$1867)</f>
        <v>Completed</v>
      </c>
      <c r="R502" s="2" t="s">
        <v>46</v>
      </c>
      <c r="S502" s="8">
        <v>1</v>
      </c>
      <c r="T502" s="2" t="s">
        <v>24</v>
      </c>
      <c r="U502" s="31" t="str" cm="1">
        <f t="array" ref="U502">_xlfn.IFS(L502&lt;=5000,$Z$3,AND(L502&gt;5000,L502&lt;=15000),$Z$4,AND(L502&gt;15000,L502&lt;=30000),$Z$5,AND(L502&gt;30000,L502&lt;=50000),$Z$6,L502&gt;50000,$Z$7)</f>
        <v>Sangat Rendah</v>
      </c>
      <c r="V502" s="2"/>
    </row>
    <row r="503" spans="1:22" ht="15.75" customHeight="1" x14ac:dyDescent="0.25">
      <c r="A503" s="26"/>
      <c r="B503" s="2" t="s">
        <v>831</v>
      </c>
      <c r="C503" s="32">
        <v>45645.80196759259</v>
      </c>
      <c r="D503" s="53">
        <f>YEAR(Table1[[#This Row],[Order Date]])</f>
        <v>2024</v>
      </c>
      <c r="E503" s="2" t="s">
        <v>832</v>
      </c>
      <c r="F503" s="2" t="s">
        <v>131</v>
      </c>
      <c r="G503" s="2" t="s">
        <v>81</v>
      </c>
      <c r="H503" s="23">
        <v>17000</v>
      </c>
      <c r="I503" s="2">
        <v>3</v>
      </c>
      <c r="J503" s="31">
        <v>5</v>
      </c>
      <c r="K503" s="7">
        <f t="shared" si="28"/>
        <v>51000</v>
      </c>
      <c r="L503" s="7">
        <f t="shared" si="29"/>
        <v>2550</v>
      </c>
      <c r="M503" s="7">
        <f t="shared" si="30"/>
        <v>48450</v>
      </c>
      <c r="N503" s="23">
        <v>59000</v>
      </c>
      <c r="O503" s="7">
        <f t="shared" si="31"/>
        <v>107450</v>
      </c>
      <c r="P503" s="2" t="s">
        <v>63</v>
      </c>
      <c r="Q503" t="str">
        <f>_xlfn.XLOOKUP(B503,Status!$A$2:$A$1867,Status!$B$2:$B$1867)</f>
        <v>Completed</v>
      </c>
      <c r="R503" s="2" t="s">
        <v>23</v>
      </c>
      <c r="S503" s="8">
        <v>4</v>
      </c>
      <c r="T503" s="2" t="s">
        <v>24</v>
      </c>
      <c r="U503" s="31" t="str" cm="1">
        <f t="array" ref="U503">_xlfn.IFS(L503&lt;=5000,$Z$3,AND(L503&gt;5000,L503&lt;=15000),$Z$4,AND(L503&gt;15000,L503&lt;=30000),$Z$5,AND(L503&gt;30000,L503&lt;=50000),$Z$6,L503&gt;50000,$Z$7)</f>
        <v>Sangat Rendah</v>
      </c>
      <c r="V503" s="2"/>
    </row>
    <row r="504" spans="1:22" ht="15.75" customHeight="1" x14ac:dyDescent="0.25">
      <c r="A504" s="26"/>
      <c r="B504" s="2" t="s">
        <v>833</v>
      </c>
      <c r="C504" s="32">
        <v>45645.90215277778</v>
      </c>
      <c r="D504" s="53">
        <f>YEAR(Table1[[#This Row],[Order Date]])</f>
        <v>2024</v>
      </c>
      <c r="E504" s="2" t="s">
        <v>834</v>
      </c>
      <c r="F504" s="2" t="s">
        <v>177</v>
      </c>
      <c r="G504" s="2" t="s">
        <v>186</v>
      </c>
      <c r="H504" s="23">
        <v>45000</v>
      </c>
      <c r="I504" s="2">
        <v>1</v>
      </c>
      <c r="J504" s="31">
        <v>10</v>
      </c>
      <c r="K504" s="7">
        <f t="shared" si="28"/>
        <v>45000</v>
      </c>
      <c r="L504" s="7">
        <f t="shared" si="29"/>
        <v>4500</v>
      </c>
      <c r="M504" s="7">
        <f t="shared" si="30"/>
        <v>40500</v>
      </c>
      <c r="N504" s="23">
        <v>56000</v>
      </c>
      <c r="O504" s="7">
        <f t="shared" si="31"/>
        <v>96500</v>
      </c>
      <c r="P504" s="2" t="s">
        <v>35</v>
      </c>
      <c r="Q504" t="str">
        <f>_xlfn.XLOOKUP(B504,Status!$A$2:$A$1867,Status!$B$2:$B$1867)</f>
        <v>Completed</v>
      </c>
      <c r="R504" s="2" t="s">
        <v>30</v>
      </c>
      <c r="S504" s="8">
        <v>5</v>
      </c>
      <c r="T504" s="2" t="s">
        <v>37</v>
      </c>
      <c r="U504" s="31" t="str" cm="1">
        <f t="array" ref="U504">_xlfn.IFS(L504&lt;=5000,$Z$3,AND(L504&gt;5000,L504&lt;=15000),$Z$4,AND(L504&gt;15000,L504&lt;=30000),$Z$5,AND(L504&gt;30000,L504&lt;=50000),$Z$6,L504&gt;50000,$Z$7)</f>
        <v>Sangat Rendah</v>
      </c>
      <c r="V504" s="2"/>
    </row>
    <row r="505" spans="1:22" ht="15.75" customHeight="1" x14ac:dyDescent="0.25">
      <c r="A505" s="26"/>
      <c r="B505" s="2" t="s">
        <v>835</v>
      </c>
      <c r="C505" s="32">
        <v>45646.222916666673</v>
      </c>
      <c r="D505" s="53">
        <f>YEAR(Table1[[#This Row],[Order Date]])</f>
        <v>2024</v>
      </c>
      <c r="E505" s="2" t="s">
        <v>836</v>
      </c>
      <c r="F505" s="2" t="s">
        <v>33</v>
      </c>
      <c r="G505" s="2" t="s">
        <v>71</v>
      </c>
      <c r="H505" s="23">
        <v>40000</v>
      </c>
      <c r="I505" s="2">
        <v>2</v>
      </c>
      <c r="J505" s="31">
        <v>5</v>
      </c>
      <c r="K505" s="7">
        <f t="shared" si="28"/>
        <v>80000</v>
      </c>
      <c r="L505" s="7">
        <f t="shared" si="29"/>
        <v>4000</v>
      </c>
      <c r="M505" s="7">
        <f t="shared" si="30"/>
        <v>76000</v>
      </c>
      <c r="N505" s="23">
        <v>76000</v>
      </c>
      <c r="O505" s="7">
        <f t="shared" si="31"/>
        <v>152000</v>
      </c>
      <c r="P505" s="2" t="s">
        <v>22</v>
      </c>
      <c r="Q505" t="str">
        <f>_xlfn.XLOOKUP(B505,Status!$A$2:$A$1867,Status!$B$2:$B$1867)</f>
        <v>Returned</v>
      </c>
      <c r="R505" s="2" t="s">
        <v>36</v>
      </c>
      <c r="S505" s="8">
        <v>2</v>
      </c>
      <c r="T505" s="2" t="s">
        <v>37</v>
      </c>
      <c r="U505" s="31" t="str" cm="1">
        <f t="array" ref="U505">_xlfn.IFS(L505&lt;=5000,$Z$3,AND(L505&gt;5000,L505&lt;=15000),$Z$4,AND(L505&gt;15000,L505&lt;=30000),$Z$5,AND(L505&gt;30000,L505&lt;=50000),$Z$6,L505&gt;50000,$Z$7)</f>
        <v>Sangat Rendah</v>
      </c>
      <c r="V505" s="2"/>
    </row>
    <row r="506" spans="1:22" ht="15.75" customHeight="1" x14ac:dyDescent="0.25">
      <c r="A506" s="26"/>
      <c r="B506" s="2" t="s">
        <v>837</v>
      </c>
      <c r="C506" s="32">
        <v>45646.841527777768</v>
      </c>
      <c r="D506" s="53">
        <f>YEAR(Table1[[#This Row],[Order Date]])</f>
        <v>2024</v>
      </c>
      <c r="E506" s="2" t="s">
        <v>697</v>
      </c>
      <c r="F506" s="2" t="s">
        <v>143</v>
      </c>
      <c r="G506" s="2" t="s">
        <v>250</v>
      </c>
      <c r="H506" s="23">
        <v>18000</v>
      </c>
      <c r="I506" s="2">
        <v>4</v>
      </c>
      <c r="J506" s="31">
        <v>20</v>
      </c>
      <c r="K506" s="7">
        <f t="shared" si="28"/>
        <v>72000</v>
      </c>
      <c r="L506" s="7">
        <f t="shared" si="29"/>
        <v>14400</v>
      </c>
      <c r="M506" s="7">
        <f t="shared" si="30"/>
        <v>57600</v>
      </c>
      <c r="N506" s="23">
        <v>50000</v>
      </c>
      <c r="O506" s="7">
        <f t="shared" si="31"/>
        <v>107600</v>
      </c>
      <c r="P506" s="2" t="s">
        <v>22</v>
      </c>
      <c r="Q506" t="str">
        <f>_xlfn.XLOOKUP(B506,Status!$A$2:$A$1867,Status!$B$2:$B$1867)</f>
        <v>Completed</v>
      </c>
      <c r="R506" s="2" t="s">
        <v>23</v>
      </c>
      <c r="S506" s="8">
        <v>2</v>
      </c>
      <c r="T506" s="2" t="s">
        <v>37</v>
      </c>
      <c r="U506" s="31" t="str" cm="1">
        <f t="array" ref="U506">_xlfn.IFS(L506&lt;=5000,$Z$3,AND(L506&gt;5000,L506&lt;=15000),$Z$4,AND(L506&gt;15000,L506&lt;=30000),$Z$5,AND(L506&gt;30000,L506&lt;=50000),$Z$6,L506&gt;50000,$Z$7)</f>
        <v>Rendah</v>
      </c>
      <c r="V506" s="2"/>
    </row>
    <row r="507" spans="1:22" ht="15.75" customHeight="1" x14ac:dyDescent="0.25">
      <c r="A507" s="26"/>
      <c r="B507" s="2" t="s">
        <v>838</v>
      </c>
      <c r="C507" s="32">
        <v>45647.412569444437</v>
      </c>
      <c r="D507" s="53">
        <f>YEAR(Table1[[#This Row],[Order Date]])</f>
        <v>2024</v>
      </c>
      <c r="E507" s="2" t="s">
        <v>287</v>
      </c>
      <c r="F507" s="2" t="s">
        <v>262</v>
      </c>
      <c r="G507" s="2" t="s">
        <v>38</v>
      </c>
      <c r="H507" s="23">
        <v>28000</v>
      </c>
      <c r="I507" s="2">
        <v>3</v>
      </c>
      <c r="J507" s="31">
        <v>0</v>
      </c>
      <c r="K507" s="7">
        <f t="shared" si="28"/>
        <v>84000</v>
      </c>
      <c r="L507" s="7">
        <f t="shared" si="29"/>
        <v>0</v>
      </c>
      <c r="M507" s="7">
        <f t="shared" si="30"/>
        <v>84000</v>
      </c>
      <c r="N507" s="23">
        <v>18000</v>
      </c>
      <c r="O507" s="7">
        <f t="shared" si="31"/>
        <v>102000</v>
      </c>
      <c r="P507" s="2" t="s">
        <v>63</v>
      </c>
      <c r="Q507" t="str">
        <f>_xlfn.XLOOKUP(B507,Status!$A$2:$A$1867,Status!$B$2:$B$1867)</f>
        <v>Returned</v>
      </c>
      <c r="R507" s="2" t="s">
        <v>46</v>
      </c>
      <c r="S507" s="8">
        <v>3</v>
      </c>
      <c r="T507" s="2" t="s">
        <v>24</v>
      </c>
      <c r="U507" s="31" t="str" cm="1">
        <f t="array" ref="U507">_xlfn.IFS(L507&lt;=5000,$Z$3,AND(L507&gt;5000,L507&lt;=15000),$Z$4,AND(L507&gt;15000,L507&lt;=30000),$Z$5,AND(L507&gt;30000,L507&lt;=50000),$Z$6,L507&gt;50000,$Z$7)</f>
        <v>Sangat Rendah</v>
      </c>
      <c r="V507" s="2"/>
    </row>
    <row r="508" spans="1:22" ht="15.75" customHeight="1" x14ac:dyDescent="0.25">
      <c r="A508" s="26"/>
      <c r="B508" s="2" t="s">
        <v>839</v>
      </c>
      <c r="C508" s="32">
        <v>45647.72111111111</v>
      </c>
      <c r="D508" s="53">
        <f>YEAR(Table1[[#This Row],[Order Date]])</f>
        <v>2024</v>
      </c>
      <c r="E508" s="2" t="s">
        <v>576</v>
      </c>
      <c r="F508" s="2" t="s">
        <v>57</v>
      </c>
      <c r="G508" s="2" t="s">
        <v>123</v>
      </c>
      <c r="H508" s="23">
        <v>22000</v>
      </c>
      <c r="I508" s="2">
        <v>1</v>
      </c>
      <c r="J508" s="31">
        <v>10</v>
      </c>
      <c r="K508" s="7">
        <f t="shared" si="28"/>
        <v>22000</v>
      </c>
      <c r="L508" s="7">
        <f t="shared" si="29"/>
        <v>2200</v>
      </c>
      <c r="M508" s="7">
        <f t="shared" si="30"/>
        <v>19800</v>
      </c>
      <c r="N508" s="23">
        <v>80000</v>
      </c>
      <c r="O508" s="7">
        <f t="shared" si="31"/>
        <v>99800</v>
      </c>
      <c r="P508" s="2" t="s">
        <v>35</v>
      </c>
      <c r="Q508" t="str">
        <f>_xlfn.XLOOKUP(B508,Status!$A$2:$A$1867,Status!$B$2:$B$1867)</f>
        <v>Completed</v>
      </c>
      <c r="R508" s="2" t="s">
        <v>36</v>
      </c>
      <c r="S508" s="8">
        <v>5</v>
      </c>
      <c r="T508" s="2" t="s">
        <v>37</v>
      </c>
      <c r="U508" s="31" t="str" cm="1">
        <f t="array" ref="U508">_xlfn.IFS(L508&lt;=5000,$Z$3,AND(L508&gt;5000,L508&lt;=15000),$Z$4,AND(L508&gt;15000,L508&lt;=30000),$Z$5,AND(L508&gt;30000,L508&lt;=50000),$Z$6,L508&gt;50000,$Z$7)</f>
        <v>Sangat Rendah</v>
      </c>
      <c r="V508" s="2"/>
    </row>
    <row r="509" spans="1:22" ht="15.75" customHeight="1" x14ac:dyDescent="0.25">
      <c r="A509" s="26"/>
      <c r="B509" s="2" t="s">
        <v>840</v>
      </c>
      <c r="C509" s="32">
        <v>45647.795694444438</v>
      </c>
      <c r="D509" s="53">
        <f>YEAR(Table1[[#This Row],[Order Date]])</f>
        <v>2024</v>
      </c>
      <c r="E509" s="2" t="s">
        <v>553</v>
      </c>
      <c r="F509" s="2" t="s">
        <v>107</v>
      </c>
      <c r="G509" s="2" t="s">
        <v>186</v>
      </c>
      <c r="H509" s="23">
        <v>45000</v>
      </c>
      <c r="I509" s="2">
        <v>3</v>
      </c>
      <c r="J509" s="31">
        <v>0</v>
      </c>
      <c r="K509" s="7">
        <f t="shared" si="28"/>
        <v>135000</v>
      </c>
      <c r="L509" s="7">
        <f t="shared" si="29"/>
        <v>0</v>
      </c>
      <c r="M509" s="7">
        <f t="shared" si="30"/>
        <v>135000</v>
      </c>
      <c r="N509" s="23">
        <v>97000</v>
      </c>
      <c r="O509" s="7">
        <f t="shared" si="31"/>
        <v>232000</v>
      </c>
      <c r="P509" s="2" t="s">
        <v>22</v>
      </c>
      <c r="Q509" t="str">
        <f>_xlfn.XLOOKUP(B509,Status!$A$2:$A$1867,Status!$B$2:$B$1867)</f>
        <v>Cancelled</v>
      </c>
      <c r="R509" s="2" t="s">
        <v>46</v>
      </c>
      <c r="S509" s="8">
        <v>3</v>
      </c>
      <c r="T509" s="2" t="s">
        <v>24</v>
      </c>
      <c r="U509" s="31" t="str" cm="1">
        <f t="array" ref="U509">_xlfn.IFS(L509&lt;=5000,$Z$3,AND(L509&gt;5000,L509&lt;=15000),$Z$4,AND(L509&gt;15000,L509&lt;=30000),$Z$5,AND(L509&gt;30000,L509&lt;=50000),$Z$6,L509&gt;50000,$Z$7)</f>
        <v>Sangat Rendah</v>
      </c>
      <c r="V509" s="2"/>
    </row>
    <row r="510" spans="1:22" ht="15.75" customHeight="1" x14ac:dyDescent="0.25">
      <c r="A510" s="26"/>
      <c r="B510" s="2" t="s">
        <v>841</v>
      </c>
      <c r="C510" s="32">
        <v>45648.021932870368</v>
      </c>
      <c r="D510" s="53">
        <f>YEAR(Table1[[#This Row],[Order Date]])</f>
        <v>2024</v>
      </c>
      <c r="E510" s="2" t="s">
        <v>142</v>
      </c>
      <c r="F510" s="2" t="s">
        <v>143</v>
      </c>
      <c r="G510" s="2" t="s">
        <v>186</v>
      </c>
      <c r="H510" s="23">
        <v>45000</v>
      </c>
      <c r="I510" s="2">
        <v>2</v>
      </c>
      <c r="J510" s="31">
        <v>10</v>
      </c>
      <c r="K510" s="7">
        <f t="shared" si="28"/>
        <v>90000</v>
      </c>
      <c r="L510" s="7">
        <f t="shared" si="29"/>
        <v>9000</v>
      </c>
      <c r="M510" s="7">
        <f t="shared" si="30"/>
        <v>81000</v>
      </c>
      <c r="N510" s="23">
        <v>50000</v>
      </c>
      <c r="O510" s="7">
        <f t="shared" si="31"/>
        <v>131000</v>
      </c>
      <c r="P510" s="2" t="s">
        <v>35</v>
      </c>
      <c r="Q510" t="str">
        <f>_xlfn.XLOOKUP(B510,Status!$A$2:$A$1867,Status!$B$2:$B$1867)</f>
        <v>Returned</v>
      </c>
      <c r="R510" s="2" t="s">
        <v>82</v>
      </c>
      <c r="S510" s="8">
        <v>5</v>
      </c>
      <c r="T510" s="2" t="s">
        <v>24</v>
      </c>
      <c r="U510" s="31" t="str" cm="1">
        <f t="array" ref="U510">_xlfn.IFS(L510&lt;=5000,$Z$3,AND(L510&gt;5000,L510&lt;=15000),$Z$4,AND(L510&gt;15000,L510&lt;=30000),$Z$5,AND(L510&gt;30000,L510&lt;=50000),$Z$6,L510&gt;50000,$Z$7)</f>
        <v>Rendah</v>
      </c>
      <c r="V510" s="2"/>
    </row>
    <row r="511" spans="1:22" ht="15.75" customHeight="1" x14ac:dyDescent="0.25">
      <c r="A511" s="26"/>
      <c r="B511" s="2" t="s">
        <v>842</v>
      </c>
      <c r="C511" s="32">
        <v>45648.123842592591</v>
      </c>
      <c r="D511" s="53">
        <f>YEAR(Table1[[#This Row],[Order Date]])</f>
        <v>2024</v>
      </c>
      <c r="E511" s="2" t="s">
        <v>148</v>
      </c>
      <c r="F511" s="2" t="s">
        <v>74</v>
      </c>
      <c r="G511" s="2" t="s">
        <v>50</v>
      </c>
      <c r="H511" s="23">
        <v>14000</v>
      </c>
      <c r="I511" s="2">
        <v>5</v>
      </c>
      <c r="J511" s="31">
        <v>20</v>
      </c>
      <c r="K511" s="7">
        <f t="shared" si="28"/>
        <v>70000</v>
      </c>
      <c r="L511" s="7">
        <f t="shared" si="29"/>
        <v>14000</v>
      </c>
      <c r="M511" s="7">
        <f t="shared" si="30"/>
        <v>56000</v>
      </c>
      <c r="N511" s="23">
        <v>87000</v>
      </c>
      <c r="O511" s="7">
        <f t="shared" si="31"/>
        <v>143000</v>
      </c>
      <c r="P511" s="2" t="s">
        <v>29</v>
      </c>
      <c r="Q511" t="str">
        <f>_xlfn.XLOOKUP(B511,Status!$A$2:$A$1867,Status!$B$2:$B$1867)</f>
        <v>Completed</v>
      </c>
      <c r="R511" s="2" t="s">
        <v>30</v>
      </c>
      <c r="S511" s="8">
        <v>3</v>
      </c>
      <c r="T511" s="2" t="s">
        <v>24</v>
      </c>
      <c r="U511" s="31" t="str" cm="1">
        <f t="array" ref="U511">_xlfn.IFS(L511&lt;=5000,$Z$3,AND(L511&gt;5000,L511&lt;=15000),$Z$4,AND(L511&gt;15000,L511&lt;=30000),$Z$5,AND(L511&gt;30000,L511&lt;=50000),$Z$6,L511&gt;50000,$Z$7)</f>
        <v>Rendah</v>
      </c>
      <c r="V511" s="2"/>
    </row>
    <row r="512" spans="1:22" ht="15.75" customHeight="1" x14ac:dyDescent="0.25">
      <c r="A512" s="26"/>
      <c r="B512" s="2" t="s">
        <v>843</v>
      </c>
      <c r="C512" s="32">
        <v>45648.368576388893</v>
      </c>
      <c r="D512" s="53">
        <f>YEAR(Table1[[#This Row],[Order Date]])</f>
        <v>2024</v>
      </c>
      <c r="E512" s="2" t="s">
        <v>844</v>
      </c>
      <c r="F512" s="2" t="s">
        <v>119</v>
      </c>
      <c r="G512" s="2" t="s">
        <v>81</v>
      </c>
      <c r="H512" s="23">
        <v>17000</v>
      </c>
      <c r="I512" s="2">
        <v>3</v>
      </c>
      <c r="J512" s="31">
        <v>0</v>
      </c>
      <c r="K512" s="7">
        <f t="shared" si="28"/>
        <v>51000</v>
      </c>
      <c r="L512" s="7">
        <f t="shared" si="29"/>
        <v>0</v>
      </c>
      <c r="M512" s="7">
        <f t="shared" si="30"/>
        <v>51000</v>
      </c>
      <c r="N512" s="23">
        <v>0</v>
      </c>
      <c r="O512" s="7">
        <f t="shared" si="31"/>
        <v>51000</v>
      </c>
      <c r="P512" s="2" t="s">
        <v>63</v>
      </c>
      <c r="Q512" t="str">
        <f>_xlfn.XLOOKUP(B512,Status!$A$2:$A$1867,Status!$B$2:$B$1867)</f>
        <v>Completed</v>
      </c>
      <c r="R512" s="2" t="s">
        <v>36</v>
      </c>
      <c r="S512" s="8">
        <v>1</v>
      </c>
      <c r="T512" s="2" t="s">
        <v>24</v>
      </c>
      <c r="U512" s="31" t="str" cm="1">
        <f t="array" ref="U512">_xlfn.IFS(L512&lt;=5000,$Z$3,AND(L512&gt;5000,L512&lt;=15000),$Z$4,AND(L512&gt;15000,L512&lt;=30000),$Z$5,AND(L512&gt;30000,L512&lt;=50000),$Z$6,L512&gt;50000,$Z$7)</f>
        <v>Sangat Rendah</v>
      </c>
      <c r="V512" s="2"/>
    </row>
    <row r="513" spans="1:22" ht="15.75" customHeight="1" x14ac:dyDescent="0.25">
      <c r="A513" s="26"/>
      <c r="B513" s="2" t="s">
        <v>845</v>
      </c>
      <c r="C513" s="32">
        <v>45648.407673611109</v>
      </c>
      <c r="D513" s="53">
        <f>YEAR(Table1[[#This Row],[Order Date]])</f>
        <v>2024</v>
      </c>
      <c r="E513" s="2" t="s">
        <v>846</v>
      </c>
      <c r="F513" s="2" t="s">
        <v>107</v>
      </c>
      <c r="G513" s="2" t="s">
        <v>110</v>
      </c>
      <c r="H513" s="23">
        <v>6000</v>
      </c>
      <c r="I513" s="2">
        <v>2</v>
      </c>
      <c r="J513" s="31">
        <v>10</v>
      </c>
      <c r="K513" s="7">
        <f t="shared" si="28"/>
        <v>12000</v>
      </c>
      <c r="L513" s="7">
        <f t="shared" si="29"/>
        <v>1200</v>
      </c>
      <c r="M513" s="7">
        <f t="shared" si="30"/>
        <v>10800</v>
      </c>
      <c r="N513" s="23">
        <v>97000</v>
      </c>
      <c r="O513" s="7">
        <f t="shared" si="31"/>
        <v>107800</v>
      </c>
      <c r="P513" s="2" t="s">
        <v>35</v>
      </c>
      <c r="Q513" t="str">
        <f>_xlfn.XLOOKUP(B513,Status!$A$2:$A$1867,Status!$B$2:$B$1867)</f>
        <v>Completed</v>
      </c>
      <c r="R513" s="2" t="s">
        <v>30</v>
      </c>
      <c r="S513" s="8">
        <v>2</v>
      </c>
      <c r="T513" s="2" t="s">
        <v>24</v>
      </c>
      <c r="U513" s="31" t="str" cm="1">
        <f t="array" ref="U513">_xlfn.IFS(L513&lt;=5000,$Z$3,AND(L513&gt;5000,L513&lt;=15000),$Z$4,AND(L513&gt;15000,L513&lt;=30000),$Z$5,AND(L513&gt;30000,L513&lt;=50000),$Z$6,L513&gt;50000,$Z$7)</f>
        <v>Sangat Rendah</v>
      </c>
      <c r="V513" s="2"/>
    </row>
    <row r="514" spans="1:22" ht="15.75" customHeight="1" x14ac:dyDescent="0.25">
      <c r="A514" s="26"/>
      <c r="B514" s="2" t="s">
        <v>847</v>
      </c>
      <c r="C514" s="32">
        <v>45648.446574074071</v>
      </c>
      <c r="D514" s="53">
        <f>YEAR(Table1[[#This Row],[Order Date]])</f>
        <v>2024</v>
      </c>
      <c r="E514" s="2" t="s">
        <v>381</v>
      </c>
      <c r="F514" s="2" t="s">
        <v>103</v>
      </c>
      <c r="G514" s="2" t="s">
        <v>123</v>
      </c>
      <c r="H514" s="23">
        <v>22000</v>
      </c>
      <c r="I514" s="2">
        <v>3</v>
      </c>
      <c r="J514" s="31">
        <v>10</v>
      </c>
      <c r="K514" s="7">
        <f t="shared" si="28"/>
        <v>66000</v>
      </c>
      <c r="L514" s="7">
        <f t="shared" si="29"/>
        <v>6600</v>
      </c>
      <c r="M514" s="7">
        <f t="shared" si="30"/>
        <v>59400</v>
      </c>
      <c r="N514" s="23">
        <v>85000</v>
      </c>
      <c r="O514" s="7">
        <f t="shared" si="31"/>
        <v>144400</v>
      </c>
      <c r="P514" s="2" t="s">
        <v>63</v>
      </c>
      <c r="Q514" t="str">
        <f>_xlfn.XLOOKUP(B514,Status!$A$2:$A$1867,Status!$B$2:$B$1867)</f>
        <v>Completed</v>
      </c>
      <c r="R514" s="2" t="s">
        <v>23</v>
      </c>
      <c r="S514" s="8">
        <v>2</v>
      </c>
      <c r="T514" s="2" t="s">
        <v>24</v>
      </c>
      <c r="U514" s="31" t="str" cm="1">
        <f t="array" ref="U514">_xlfn.IFS(L514&lt;=5000,$Z$3,AND(L514&gt;5000,L514&lt;=15000),$Z$4,AND(L514&gt;15000,L514&lt;=30000),$Z$5,AND(L514&gt;30000,L514&lt;=50000),$Z$6,L514&gt;50000,$Z$7)</f>
        <v>Rendah</v>
      </c>
      <c r="V514" s="2"/>
    </row>
    <row r="515" spans="1:22" ht="15.75" customHeight="1" x14ac:dyDescent="0.25">
      <c r="A515" s="26"/>
      <c r="B515" s="2" t="s">
        <v>848</v>
      </c>
      <c r="C515" s="32">
        <v>45648.832685185182</v>
      </c>
      <c r="D515" s="53">
        <f>YEAR(Table1[[#This Row],[Order Date]])</f>
        <v>2024</v>
      </c>
      <c r="E515" s="2" t="s">
        <v>510</v>
      </c>
      <c r="F515" s="2" t="s">
        <v>96</v>
      </c>
      <c r="G515" s="2" t="s">
        <v>123</v>
      </c>
      <c r="H515" s="23">
        <v>22000</v>
      </c>
      <c r="I515" s="2">
        <v>1</v>
      </c>
      <c r="J515" s="31">
        <v>15</v>
      </c>
      <c r="K515" s="7">
        <f t="shared" si="28"/>
        <v>22000</v>
      </c>
      <c r="L515" s="7">
        <f t="shared" si="29"/>
        <v>3300</v>
      </c>
      <c r="M515" s="7">
        <f t="shared" si="30"/>
        <v>18700</v>
      </c>
      <c r="N515" s="23">
        <v>49000</v>
      </c>
      <c r="O515" s="7">
        <f t="shared" si="31"/>
        <v>67700</v>
      </c>
      <c r="P515" s="2" t="s">
        <v>22</v>
      </c>
      <c r="Q515" t="str">
        <f>_xlfn.XLOOKUP(B515,Status!$A$2:$A$1867,Status!$B$2:$B$1867)</f>
        <v>Returned</v>
      </c>
      <c r="R515" s="2" t="s">
        <v>30</v>
      </c>
      <c r="S515" s="8">
        <v>4</v>
      </c>
      <c r="T515" s="2" t="s">
        <v>24</v>
      </c>
      <c r="U515" s="31" t="str" cm="1">
        <f t="array" ref="U515">_xlfn.IFS(L515&lt;=5000,$Z$3,AND(L515&gt;5000,L515&lt;=15000),$Z$4,AND(L515&gt;15000,L515&lt;=30000),$Z$5,AND(L515&gt;30000,L515&lt;=50000),$Z$6,L515&gt;50000,$Z$7)</f>
        <v>Sangat Rendah</v>
      </c>
      <c r="V515" s="2"/>
    </row>
    <row r="516" spans="1:22" ht="15.75" customHeight="1" x14ac:dyDescent="0.25">
      <c r="A516" s="26"/>
      <c r="B516" s="2" t="s">
        <v>849</v>
      </c>
      <c r="C516" s="32">
        <v>45648.892569444448</v>
      </c>
      <c r="D516" s="53">
        <f>YEAR(Table1[[#This Row],[Order Date]])</f>
        <v>2024</v>
      </c>
      <c r="E516" s="2" t="s">
        <v>214</v>
      </c>
      <c r="F516" s="2" t="s">
        <v>131</v>
      </c>
      <c r="G516" s="2" t="s">
        <v>88</v>
      </c>
      <c r="H516" s="23">
        <v>14000</v>
      </c>
      <c r="I516" s="2">
        <v>5</v>
      </c>
      <c r="J516" s="31">
        <v>5</v>
      </c>
      <c r="K516" s="7">
        <f t="shared" ref="K516:K579" si="32">H516*I516</f>
        <v>70000</v>
      </c>
      <c r="L516" s="7">
        <f t="shared" ref="L516:L579" si="33">K516*(J516/100)</f>
        <v>3500</v>
      </c>
      <c r="M516" s="7">
        <f t="shared" ref="M516:M579" si="34">K516-L516</f>
        <v>66500</v>
      </c>
      <c r="N516" s="23">
        <v>59000</v>
      </c>
      <c r="O516" s="7">
        <f t="shared" ref="O516:O579" si="35">SUM(M516:N516)</f>
        <v>125500</v>
      </c>
      <c r="P516" s="2" t="s">
        <v>63</v>
      </c>
      <c r="Q516" t="str">
        <f>_xlfn.XLOOKUP(B516,Status!$A$2:$A$1867,Status!$B$2:$B$1867)</f>
        <v>Completed</v>
      </c>
      <c r="R516" s="2" t="s">
        <v>36</v>
      </c>
      <c r="S516" s="8">
        <v>1</v>
      </c>
      <c r="T516" s="2" t="s">
        <v>24</v>
      </c>
      <c r="U516" s="31" t="str" cm="1">
        <f t="array" ref="U516">_xlfn.IFS(L516&lt;=5000,$Z$3,AND(L516&gt;5000,L516&lt;=15000),$Z$4,AND(L516&gt;15000,L516&lt;=30000),$Z$5,AND(L516&gt;30000,L516&lt;=50000),$Z$6,L516&gt;50000,$Z$7)</f>
        <v>Sangat Rendah</v>
      </c>
      <c r="V516" s="2"/>
    </row>
    <row r="517" spans="1:22" ht="15.75" customHeight="1" x14ac:dyDescent="0.25">
      <c r="A517" s="26"/>
      <c r="B517" s="2" t="s">
        <v>850</v>
      </c>
      <c r="C517" s="32">
        <v>45649.169560185182</v>
      </c>
      <c r="D517" s="53">
        <f>YEAR(Table1[[#This Row],[Order Date]])</f>
        <v>2024</v>
      </c>
      <c r="E517" s="2" t="s">
        <v>851</v>
      </c>
      <c r="F517" s="2" t="s">
        <v>66</v>
      </c>
      <c r="G517" s="2" t="s">
        <v>85</v>
      </c>
      <c r="H517" s="23">
        <v>35000</v>
      </c>
      <c r="I517" s="2">
        <v>1</v>
      </c>
      <c r="J517" s="31">
        <v>20</v>
      </c>
      <c r="K517" s="7">
        <f t="shared" si="32"/>
        <v>35000</v>
      </c>
      <c r="L517" s="7">
        <f t="shared" si="33"/>
        <v>7000</v>
      </c>
      <c r="M517" s="7">
        <f t="shared" si="34"/>
        <v>28000</v>
      </c>
      <c r="N517" s="23">
        <v>59000</v>
      </c>
      <c r="O517" s="7">
        <f t="shared" si="35"/>
        <v>87000</v>
      </c>
      <c r="P517" s="2" t="s">
        <v>63</v>
      </c>
      <c r="Q517" t="str">
        <f>_xlfn.XLOOKUP(B517,Status!$A$2:$A$1867,Status!$B$2:$B$1867)</f>
        <v>Completed</v>
      </c>
      <c r="R517" s="2" t="s">
        <v>36</v>
      </c>
      <c r="S517" s="8">
        <v>5</v>
      </c>
      <c r="T517" s="2" t="s">
        <v>37</v>
      </c>
      <c r="U517" s="31" t="str" cm="1">
        <f t="array" ref="U517">_xlfn.IFS(L517&lt;=5000,$Z$3,AND(L517&gt;5000,L517&lt;=15000),$Z$4,AND(L517&gt;15000,L517&lt;=30000),$Z$5,AND(L517&gt;30000,L517&lt;=50000),$Z$6,L517&gt;50000,$Z$7)</f>
        <v>Rendah</v>
      </c>
      <c r="V517" s="2"/>
    </row>
    <row r="518" spans="1:22" ht="15.75" customHeight="1" x14ac:dyDescent="0.25">
      <c r="A518" s="26"/>
      <c r="B518" s="2" t="s">
        <v>852</v>
      </c>
      <c r="C518" s="32">
        <v>45649.226145833331</v>
      </c>
      <c r="D518" s="53">
        <f>YEAR(Table1[[#This Row],[Order Date]])</f>
        <v>2024</v>
      </c>
      <c r="E518" s="2" t="s">
        <v>853</v>
      </c>
      <c r="F518" s="2" t="s">
        <v>151</v>
      </c>
      <c r="G518" s="2" t="s">
        <v>50</v>
      </c>
      <c r="H518" s="23">
        <v>14000</v>
      </c>
      <c r="I518" s="2">
        <v>3</v>
      </c>
      <c r="J518" s="31">
        <v>20</v>
      </c>
      <c r="K518" s="7">
        <f t="shared" si="32"/>
        <v>42000</v>
      </c>
      <c r="L518" s="7">
        <f t="shared" si="33"/>
        <v>8400</v>
      </c>
      <c r="M518" s="7">
        <f t="shared" si="34"/>
        <v>33600</v>
      </c>
      <c r="N518" s="23">
        <v>55000</v>
      </c>
      <c r="O518" s="7">
        <f t="shared" si="35"/>
        <v>88600</v>
      </c>
      <c r="P518" s="2" t="s">
        <v>22</v>
      </c>
      <c r="Q518" t="str">
        <f>_xlfn.XLOOKUP(B518,Status!$A$2:$A$1867,Status!$B$2:$B$1867)</f>
        <v>Completed</v>
      </c>
      <c r="R518" s="2" t="s">
        <v>36</v>
      </c>
      <c r="S518" s="8">
        <v>5</v>
      </c>
      <c r="T518" s="2" t="s">
        <v>24</v>
      </c>
      <c r="U518" s="31" t="str" cm="1">
        <f t="array" ref="U518">_xlfn.IFS(L518&lt;=5000,$Z$3,AND(L518&gt;5000,L518&lt;=15000),$Z$4,AND(L518&gt;15000,L518&lt;=30000),$Z$5,AND(L518&gt;30000,L518&lt;=50000),$Z$6,L518&gt;50000,$Z$7)</f>
        <v>Rendah</v>
      </c>
      <c r="V518" s="2"/>
    </row>
    <row r="519" spans="1:22" ht="15.75" customHeight="1" x14ac:dyDescent="0.25">
      <c r="A519" s="26"/>
      <c r="B519" s="2" t="s">
        <v>854</v>
      </c>
      <c r="C519" s="32">
        <v>45649.30395833333</v>
      </c>
      <c r="D519" s="53">
        <f>YEAR(Table1[[#This Row],[Order Date]])</f>
        <v>2024</v>
      </c>
      <c r="E519" s="2" t="s">
        <v>146</v>
      </c>
      <c r="F519" s="2" t="s">
        <v>92</v>
      </c>
      <c r="G519" s="2" t="s">
        <v>67</v>
      </c>
      <c r="H519" s="23">
        <v>15000</v>
      </c>
      <c r="I519" s="2">
        <v>4</v>
      </c>
      <c r="J519" s="31">
        <v>15</v>
      </c>
      <c r="K519" s="7">
        <f t="shared" si="32"/>
        <v>60000</v>
      </c>
      <c r="L519" s="7">
        <f t="shared" si="33"/>
        <v>9000</v>
      </c>
      <c r="M519" s="7">
        <f t="shared" si="34"/>
        <v>51000</v>
      </c>
      <c r="N519" s="23">
        <v>30000</v>
      </c>
      <c r="O519" s="7">
        <f t="shared" si="35"/>
        <v>81000</v>
      </c>
      <c r="P519" s="2" t="s">
        <v>29</v>
      </c>
      <c r="Q519" t="str">
        <f>_xlfn.XLOOKUP(B519,Status!$A$2:$A$1867,Status!$B$2:$B$1867)</f>
        <v>Completed</v>
      </c>
      <c r="R519" s="2" t="s">
        <v>30</v>
      </c>
      <c r="S519" s="8">
        <v>3</v>
      </c>
      <c r="T519" s="2" t="s">
        <v>37</v>
      </c>
      <c r="U519" s="31" t="str" cm="1">
        <f t="array" ref="U519">_xlfn.IFS(L519&lt;=5000,$Z$3,AND(L519&gt;5000,L519&lt;=15000),$Z$4,AND(L519&gt;15000,L519&lt;=30000),$Z$5,AND(L519&gt;30000,L519&lt;=50000),$Z$6,L519&gt;50000,$Z$7)</f>
        <v>Rendah</v>
      </c>
      <c r="V519" s="2"/>
    </row>
    <row r="520" spans="1:22" ht="15.75" customHeight="1" x14ac:dyDescent="0.25">
      <c r="A520" s="26"/>
      <c r="B520" s="2" t="s">
        <v>855</v>
      </c>
      <c r="C520" s="32">
        <v>45649.355266203696</v>
      </c>
      <c r="D520" s="53">
        <f>YEAR(Table1[[#This Row],[Order Date]])</f>
        <v>2024</v>
      </c>
      <c r="E520" s="2" t="s">
        <v>856</v>
      </c>
      <c r="F520" s="2" t="s">
        <v>244</v>
      </c>
      <c r="G520" s="2" t="s">
        <v>58</v>
      </c>
      <c r="H520" s="23">
        <v>16000</v>
      </c>
      <c r="I520" s="2">
        <v>5</v>
      </c>
      <c r="J520" s="31">
        <v>0</v>
      </c>
      <c r="K520" s="7">
        <f t="shared" si="32"/>
        <v>80000</v>
      </c>
      <c r="L520" s="7">
        <f t="shared" si="33"/>
        <v>0</v>
      </c>
      <c r="M520" s="7">
        <f t="shared" si="34"/>
        <v>80000</v>
      </c>
      <c r="N520" s="23">
        <v>80000</v>
      </c>
      <c r="O520" s="7">
        <f t="shared" si="35"/>
        <v>160000</v>
      </c>
      <c r="P520" s="2" t="s">
        <v>22</v>
      </c>
      <c r="Q520" t="str">
        <f>_xlfn.XLOOKUP(B520,Status!$A$2:$A$1867,Status!$B$2:$B$1867)</f>
        <v>Returned</v>
      </c>
      <c r="R520" s="2" t="s">
        <v>36</v>
      </c>
      <c r="S520" s="8">
        <v>2</v>
      </c>
      <c r="T520" s="2" t="s">
        <v>24</v>
      </c>
      <c r="U520" s="31" t="str" cm="1">
        <f t="array" ref="U520">_xlfn.IFS(L520&lt;=5000,$Z$3,AND(L520&gt;5000,L520&lt;=15000),$Z$4,AND(L520&gt;15000,L520&lt;=30000),$Z$5,AND(L520&gt;30000,L520&lt;=50000),$Z$6,L520&gt;50000,$Z$7)</f>
        <v>Sangat Rendah</v>
      </c>
      <c r="V520" s="2"/>
    </row>
    <row r="521" spans="1:22" ht="15.75" customHeight="1" x14ac:dyDescent="0.25">
      <c r="A521" s="26"/>
      <c r="B521" s="2" t="s">
        <v>857</v>
      </c>
      <c r="C521" s="32">
        <v>45649.702384259261</v>
      </c>
      <c r="D521" s="53">
        <f>YEAR(Table1[[#This Row],[Order Date]])</f>
        <v>2024</v>
      </c>
      <c r="E521" s="2" t="s">
        <v>48</v>
      </c>
      <c r="F521" s="2" t="s">
        <v>49</v>
      </c>
      <c r="G521" s="2" t="s">
        <v>144</v>
      </c>
      <c r="H521" s="23">
        <v>18000</v>
      </c>
      <c r="I521" s="2">
        <v>2</v>
      </c>
      <c r="J521" s="31">
        <v>10</v>
      </c>
      <c r="K521" s="7">
        <f t="shared" si="32"/>
        <v>36000</v>
      </c>
      <c r="L521" s="7">
        <f t="shared" si="33"/>
        <v>3600</v>
      </c>
      <c r="M521" s="7">
        <f t="shared" si="34"/>
        <v>32400</v>
      </c>
      <c r="N521" s="23">
        <v>43000</v>
      </c>
      <c r="O521" s="7">
        <f t="shared" si="35"/>
        <v>75400</v>
      </c>
      <c r="P521" s="2" t="s">
        <v>63</v>
      </c>
      <c r="Q521" t="str">
        <f>_xlfn.XLOOKUP(B521,Status!$A$2:$A$1867,Status!$B$2:$B$1867)</f>
        <v>Completed</v>
      </c>
      <c r="R521" s="2" t="s">
        <v>82</v>
      </c>
      <c r="S521" s="8">
        <v>4</v>
      </c>
      <c r="T521" s="2" t="s">
        <v>24</v>
      </c>
      <c r="U521" s="31" t="str" cm="1">
        <f t="array" ref="U521">_xlfn.IFS(L521&lt;=5000,$Z$3,AND(L521&gt;5000,L521&lt;=15000),$Z$4,AND(L521&gt;15000,L521&lt;=30000),$Z$5,AND(L521&gt;30000,L521&lt;=50000),$Z$6,L521&gt;50000,$Z$7)</f>
        <v>Sangat Rendah</v>
      </c>
      <c r="V521" s="2"/>
    </row>
    <row r="522" spans="1:22" ht="15.75" customHeight="1" x14ac:dyDescent="0.25">
      <c r="A522" s="26"/>
      <c r="B522" s="2" t="s">
        <v>858</v>
      </c>
      <c r="C522" s="32">
        <v>45650.087824074071</v>
      </c>
      <c r="D522" s="53">
        <f>YEAR(Table1[[#This Row],[Order Date]])</f>
        <v>2024</v>
      </c>
      <c r="E522" s="2" t="s">
        <v>669</v>
      </c>
      <c r="F522" s="2" t="s">
        <v>151</v>
      </c>
      <c r="G522" s="2" t="s">
        <v>88</v>
      </c>
      <c r="H522" s="23">
        <v>14000</v>
      </c>
      <c r="I522" s="2">
        <v>4</v>
      </c>
      <c r="J522" s="31">
        <v>15</v>
      </c>
      <c r="K522" s="7">
        <f t="shared" si="32"/>
        <v>56000</v>
      </c>
      <c r="L522" s="7">
        <f t="shared" si="33"/>
        <v>8400</v>
      </c>
      <c r="M522" s="7">
        <f t="shared" si="34"/>
        <v>47600</v>
      </c>
      <c r="N522" s="23">
        <v>55000</v>
      </c>
      <c r="O522" s="7">
        <f t="shared" si="35"/>
        <v>102600</v>
      </c>
      <c r="P522" s="2" t="s">
        <v>35</v>
      </c>
      <c r="Q522" t="str">
        <f>_xlfn.XLOOKUP(B522,Status!$A$2:$A$1867,Status!$B$2:$B$1867)</f>
        <v>Completed</v>
      </c>
      <c r="R522" s="2" t="s">
        <v>82</v>
      </c>
      <c r="S522" s="8">
        <v>5</v>
      </c>
      <c r="T522" s="2" t="s">
        <v>24</v>
      </c>
      <c r="U522" s="31" t="str" cm="1">
        <f t="array" ref="U522">_xlfn.IFS(L522&lt;=5000,$Z$3,AND(L522&gt;5000,L522&lt;=15000),$Z$4,AND(L522&gt;15000,L522&lt;=30000),$Z$5,AND(L522&gt;30000,L522&lt;=50000),$Z$6,L522&gt;50000,$Z$7)</f>
        <v>Rendah</v>
      </c>
      <c r="V522" s="2"/>
    </row>
    <row r="523" spans="1:22" ht="15.75" customHeight="1" x14ac:dyDescent="0.25">
      <c r="A523" s="26"/>
      <c r="B523" s="2" t="s">
        <v>859</v>
      </c>
      <c r="C523" s="32">
        <v>45650.222685185188</v>
      </c>
      <c r="D523" s="53">
        <f>YEAR(Table1[[#This Row],[Order Date]])</f>
        <v>2024</v>
      </c>
      <c r="E523" s="2" t="s">
        <v>860</v>
      </c>
      <c r="F523" s="2" t="s">
        <v>44</v>
      </c>
      <c r="G523" s="2" t="s">
        <v>88</v>
      </c>
      <c r="H523" s="23">
        <v>14000</v>
      </c>
      <c r="I523" s="2">
        <v>2</v>
      </c>
      <c r="J523" s="31">
        <v>10</v>
      </c>
      <c r="K523" s="7">
        <f t="shared" si="32"/>
        <v>28000</v>
      </c>
      <c r="L523" s="7">
        <f t="shared" si="33"/>
        <v>2800</v>
      </c>
      <c r="M523" s="7">
        <f t="shared" si="34"/>
        <v>25200</v>
      </c>
      <c r="N523" s="23">
        <v>93000</v>
      </c>
      <c r="O523" s="7">
        <f t="shared" si="35"/>
        <v>118200</v>
      </c>
      <c r="P523" s="2" t="s">
        <v>63</v>
      </c>
      <c r="Q523" t="str">
        <f>_xlfn.XLOOKUP(B523,Status!$A$2:$A$1867,Status!$B$2:$B$1867)</f>
        <v>Completed</v>
      </c>
      <c r="R523" s="2" t="s">
        <v>30</v>
      </c>
      <c r="S523" s="8">
        <v>1</v>
      </c>
      <c r="T523" s="2" t="s">
        <v>37</v>
      </c>
      <c r="U523" s="31" t="str" cm="1">
        <f t="array" ref="U523">_xlfn.IFS(L523&lt;=5000,$Z$3,AND(L523&gt;5000,L523&lt;=15000),$Z$4,AND(L523&gt;15000,L523&lt;=30000),$Z$5,AND(L523&gt;30000,L523&lt;=50000),$Z$6,L523&gt;50000,$Z$7)</f>
        <v>Sangat Rendah</v>
      </c>
      <c r="V523" s="2"/>
    </row>
    <row r="524" spans="1:22" ht="15.75" customHeight="1" x14ac:dyDescent="0.25">
      <c r="A524" s="26"/>
      <c r="B524" s="2" t="s">
        <v>859</v>
      </c>
      <c r="C524" s="32">
        <v>45650.222685185188</v>
      </c>
      <c r="D524" s="53">
        <f>YEAR(Table1[[#This Row],[Order Date]])</f>
        <v>2024</v>
      </c>
      <c r="E524" s="2" t="s">
        <v>860</v>
      </c>
      <c r="F524" s="2" t="s">
        <v>44</v>
      </c>
      <c r="G524" s="2" t="s">
        <v>28</v>
      </c>
      <c r="H524" s="23">
        <v>5000</v>
      </c>
      <c r="I524" s="2">
        <v>2</v>
      </c>
      <c r="J524" s="31">
        <v>0</v>
      </c>
      <c r="K524" s="7">
        <f t="shared" si="32"/>
        <v>10000</v>
      </c>
      <c r="L524" s="7">
        <f t="shared" si="33"/>
        <v>0</v>
      </c>
      <c r="M524" s="7">
        <f t="shared" si="34"/>
        <v>10000</v>
      </c>
      <c r="N524" s="23">
        <v>0</v>
      </c>
      <c r="O524" s="7">
        <f t="shared" si="35"/>
        <v>10000</v>
      </c>
      <c r="P524" s="2" t="s">
        <v>63</v>
      </c>
      <c r="Q524" t="str">
        <f>_xlfn.XLOOKUP(B524,Status!$A$2:$A$1867,Status!$B$2:$B$1867)</f>
        <v>Completed</v>
      </c>
      <c r="R524" s="2" t="s">
        <v>30</v>
      </c>
      <c r="S524" s="8">
        <v>1</v>
      </c>
      <c r="T524" s="2" t="s">
        <v>37</v>
      </c>
      <c r="U524" s="31" t="str" cm="1">
        <f t="array" ref="U524">_xlfn.IFS(L524&lt;=5000,$Z$3,AND(L524&gt;5000,L524&lt;=15000),$Z$4,AND(L524&gt;15000,L524&lt;=30000),$Z$5,AND(L524&gt;30000,L524&lt;=50000),$Z$6,L524&gt;50000,$Z$7)</f>
        <v>Sangat Rendah</v>
      </c>
      <c r="V524" s="2"/>
    </row>
    <row r="525" spans="1:22" ht="15.75" customHeight="1" x14ac:dyDescent="0.25">
      <c r="A525" s="26"/>
      <c r="B525" s="2" t="s">
        <v>861</v>
      </c>
      <c r="C525" s="32">
        <v>45650.247152777767</v>
      </c>
      <c r="D525" s="53">
        <f>YEAR(Table1[[#This Row],[Order Date]])</f>
        <v>2024</v>
      </c>
      <c r="E525" s="2" t="s">
        <v>383</v>
      </c>
      <c r="F525" s="2" t="s">
        <v>122</v>
      </c>
      <c r="G525" s="2" t="s">
        <v>174</v>
      </c>
      <c r="H525" s="23">
        <v>10000</v>
      </c>
      <c r="I525" s="2">
        <v>4</v>
      </c>
      <c r="J525" s="31">
        <v>20</v>
      </c>
      <c r="K525" s="7">
        <f t="shared" si="32"/>
        <v>40000</v>
      </c>
      <c r="L525" s="7">
        <f t="shared" si="33"/>
        <v>8000</v>
      </c>
      <c r="M525" s="7">
        <f t="shared" si="34"/>
        <v>32000</v>
      </c>
      <c r="N525" s="23">
        <v>78000</v>
      </c>
      <c r="O525" s="7">
        <f t="shared" si="35"/>
        <v>110000</v>
      </c>
      <c r="P525" s="2" t="s">
        <v>35</v>
      </c>
      <c r="Q525" t="str">
        <f>_xlfn.XLOOKUP(B525,Status!$A$2:$A$1867,Status!$B$2:$B$1867)</f>
        <v>Completed</v>
      </c>
      <c r="R525" s="2" t="s">
        <v>36</v>
      </c>
      <c r="S525" s="8">
        <v>4</v>
      </c>
      <c r="T525" s="2" t="s">
        <v>24</v>
      </c>
      <c r="U525" s="31" t="str" cm="1">
        <f t="array" ref="U525">_xlfn.IFS(L525&lt;=5000,$Z$3,AND(L525&gt;5000,L525&lt;=15000),$Z$4,AND(L525&gt;15000,L525&lt;=30000),$Z$5,AND(L525&gt;30000,L525&lt;=50000),$Z$6,L525&gt;50000,$Z$7)</f>
        <v>Rendah</v>
      </c>
      <c r="V525" s="2"/>
    </row>
    <row r="526" spans="1:22" ht="15.75" customHeight="1" x14ac:dyDescent="0.25">
      <c r="A526" s="26"/>
      <c r="B526" s="2" t="s">
        <v>862</v>
      </c>
      <c r="C526" s="32">
        <v>45650.374699074076</v>
      </c>
      <c r="D526" s="53">
        <f>YEAR(Table1[[#This Row],[Order Date]])</f>
        <v>2024</v>
      </c>
      <c r="E526" s="2" t="s">
        <v>305</v>
      </c>
      <c r="F526" s="2" t="s">
        <v>143</v>
      </c>
      <c r="G526" s="2" t="s">
        <v>123</v>
      </c>
      <c r="H526" s="23">
        <v>22000</v>
      </c>
      <c r="I526" s="2">
        <v>1</v>
      </c>
      <c r="J526" s="31">
        <v>5</v>
      </c>
      <c r="K526" s="7">
        <f t="shared" si="32"/>
        <v>22000</v>
      </c>
      <c r="L526" s="7">
        <f t="shared" si="33"/>
        <v>1100</v>
      </c>
      <c r="M526" s="7">
        <f t="shared" si="34"/>
        <v>20900</v>
      </c>
      <c r="N526" s="23">
        <v>50000</v>
      </c>
      <c r="O526" s="7">
        <f t="shared" si="35"/>
        <v>70900</v>
      </c>
      <c r="P526" s="2" t="s">
        <v>35</v>
      </c>
      <c r="Q526" t="str">
        <f>_xlfn.XLOOKUP(B526,Status!$A$2:$A$1867,Status!$B$2:$B$1867)</f>
        <v>Completed</v>
      </c>
      <c r="R526" s="2" t="s">
        <v>36</v>
      </c>
      <c r="S526" s="8">
        <v>2</v>
      </c>
      <c r="T526" s="2" t="s">
        <v>24</v>
      </c>
      <c r="U526" s="31" t="str" cm="1">
        <f t="array" ref="U526">_xlfn.IFS(L526&lt;=5000,$Z$3,AND(L526&gt;5000,L526&lt;=15000),$Z$4,AND(L526&gt;15000,L526&lt;=30000),$Z$5,AND(L526&gt;30000,L526&lt;=50000),$Z$6,L526&gt;50000,$Z$7)</f>
        <v>Sangat Rendah</v>
      </c>
      <c r="V526" s="2"/>
    </row>
    <row r="527" spans="1:22" ht="15.75" customHeight="1" x14ac:dyDescent="0.25">
      <c r="A527" s="26"/>
      <c r="B527" s="2" t="s">
        <v>863</v>
      </c>
      <c r="C527" s="32">
        <v>45651.000578703701</v>
      </c>
      <c r="D527" s="53">
        <f>YEAR(Table1[[#This Row],[Order Date]])</f>
        <v>2024</v>
      </c>
      <c r="E527" s="2" t="s">
        <v>311</v>
      </c>
      <c r="F527" s="2" t="s">
        <v>116</v>
      </c>
      <c r="G527" s="2" t="s">
        <v>123</v>
      </c>
      <c r="H527" s="23">
        <v>22000</v>
      </c>
      <c r="I527" s="2">
        <v>1</v>
      </c>
      <c r="J527" s="31">
        <v>0</v>
      </c>
      <c r="K527" s="7">
        <f t="shared" si="32"/>
        <v>22000</v>
      </c>
      <c r="L527" s="7">
        <f t="shared" si="33"/>
        <v>0</v>
      </c>
      <c r="M527" s="7">
        <f t="shared" si="34"/>
        <v>22000</v>
      </c>
      <c r="N527" s="23">
        <v>72000</v>
      </c>
      <c r="O527" s="7">
        <f t="shared" si="35"/>
        <v>94000</v>
      </c>
      <c r="P527" s="2" t="s">
        <v>22</v>
      </c>
      <c r="Q527" t="str">
        <f>_xlfn.XLOOKUP(B527,Status!$A$2:$A$1867,Status!$B$2:$B$1867)</f>
        <v>Completed</v>
      </c>
      <c r="R527" s="2" t="s">
        <v>36</v>
      </c>
      <c r="S527" s="8">
        <v>2</v>
      </c>
      <c r="T527" s="2" t="s">
        <v>24</v>
      </c>
      <c r="U527" s="31" t="str" cm="1">
        <f t="array" ref="U527">_xlfn.IFS(L527&lt;=5000,$Z$3,AND(L527&gt;5000,L527&lt;=15000),$Z$4,AND(L527&gt;15000,L527&lt;=30000),$Z$5,AND(L527&gt;30000,L527&lt;=50000),$Z$6,L527&gt;50000,$Z$7)</f>
        <v>Sangat Rendah</v>
      </c>
      <c r="V527" s="2"/>
    </row>
    <row r="528" spans="1:22" ht="15.75" customHeight="1" x14ac:dyDescent="0.25">
      <c r="A528" s="26"/>
      <c r="B528" s="2" t="s">
        <v>864</v>
      </c>
      <c r="C528" s="32">
        <v>45651.293402777781</v>
      </c>
      <c r="D528" s="53">
        <f>YEAR(Table1[[#This Row],[Order Date]])</f>
        <v>2024</v>
      </c>
      <c r="E528" s="2" t="s">
        <v>299</v>
      </c>
      <c r="F528" s="2" t="s">
        <v>163</v>
      </c>
      <c r="G528" s="2" t="s">
        <v>28</v>
      </c>
      <c r="H528" s="23">
        <v>5000</v>
      </c>
      <c r="I528" s="2">
        <v>3</v>
      </c>
      <c r="J528" s="31">
        <v>5</v>
      </c>
      <c r="K528" s="7">
        <f t="shared" si="32"/>
        <v>15000</v>
      </c>
      <c r="L528" s="7">
        <f t="shared" si="33"/>
        <v>750</v>
      </c>
      <c r="M528" s="7">
        <f t="shared" si="34"/>
        <v>14250</v>
      </c>
      <c r="N528" s="23">
        <v>50000</v>
      </c>
      <c r="O528" s="7">
        <f t="shared" si="35"/>
        <v>64250</v>
      </c>
      <c r="P528" s="2" t="s">
        <v>29</v>
      </c>
      <c r="Q528" t="str">
        <f>_xlfn.XLOOKUP(B528,Status!$A$2:$A$1867,Status!$B$2:$B$1867)</f>
        <v>Completed</v>
      </c>
      <c r="R528" s="2" t="s">
        <v>46</v>
      </c>
      <c r="S528" s="8">
        <v>5</v>
      </c>
      <c r="T528" s="2" t="s">
        <v>24</v>
      </c>
      <c r="U528" s="31" t="str" cm="1">
        <f t="array" ref="U528">_xlfn.IFS(L528&lt;=5000,$Z$3,AND(L528&gt;5000,L528&lt;=15000),$Z$4,AND(L528&gt;15000,L528&lt;=30000),$Z$5,AND(L528&gt;30000,L528&lt;=50000),$Z$6,L528&gt;50000,$Z$7)</f>
        <v>Sangat Rendah</v>
      </c>
      <c r="V528" s="2"/>
    </row>
    <row r="529" spans="1:22" ht="15.75" customHeight="1" x14ac:dyDescent="0.25">
      <c r="A529" s="26"/>
      <c r="B529" s="2" t="s">
        <v>865</v>
      </c>
      <c r="C529" s="32">
        <v>45651.500891203701</v>
      </c>
      <c r="D529" s="53">
        <f>YEAR(Table1[[#This Row],[Order Date]])</f>
        <v>2024</v>
      </c>
      <c r="E529" s="2" t="s">
        <v>412</v>
      </c>
      <c r="F529" s="2" t="s">
        <v>70</v>
      </c>
      <c r="G529" s="2" t="s">
        <v>104</v>
      </c>
      <c r="H529" s="23">
        <v>30000</v>
      </c>
      <c r="I529" s="2">
        <v>1</v>
      </c>
      <c r="J529" s="31">
        <v>10</v>
      </c>
      <c r="K529" s="7">
        <f t="shared" si="32"/>
        <v>30000</v>
      </c>
      <c r="L529" s="7">
        <f t="shared" si="33"/>
        <v>3000</v>
      </c>
      <c r="M529" s="7">
        <f t="shared" si="34"/>
        <v>27000</v>
      </c>
      <c r="N529" s="23">
        <v>89000</v>
      </c>
      <c r="O529" s="7">
        <f t="shared" si="35"/>
        <v>116000</v>
      </c>
      <c r="P529" s="2" t="s">
        <v>22</v>
      </c>
      <c r="Q529" t="str">
        <f>_xlfn.XLOOKUP(B529,Status!$A$2:$A$1867,Status!$B$2:$B$1867)</f>
        <v>Completed</v>
      </c>
      <c r="R529" s="2" t="s">
        <v>30</v>
      </c>
      <c r="S529" s="8">
        <v>2</v>
      </c>
      <c r="T529" s="2" t="s">
        <v>24</v>
      </c>
      <c r="U529" s="31" t="str" cm="1">
        <f t="array" ref="U529">_xlfn.IFS(L529&lt;=5000,$Z$3,AND(L529&gt;5000,L529&lt;=15000),$Z$4,AND(L529&gt;15000,L529&lt;=30000),$Z$5,AND(L529&gt;30000,L529&lt;=50000),$Z$6,L529&gt;50000,$Z$7)</f>
        <v>Sangat Rendah</v>
      </c>
      <c r="V529" s="2"/>
    </row>
    <row r="530" spans="1:22" ht="15.75" customHeight="1" x14ac:dyDescent="0.25">
      <c r="A530" s="26"/>
      <c r="B530" s="2" t="s">
        <v>866</v>
      </c>
      <c r="C530" s="32">
        <v>45651.696226851847</v>
      </c>
      <c r="D530" s="53">
        <f>YEAR(Table1[[#This Row],[Order Date]])</f>
        <v>2024</v>
      </c>
      <c r="E530" s="2" t="s">
        <v>867</v>
      </c>
      <c r="F530" s="2" t="s">
        <v>20</v>
      </c>
      <c r="G530" s="2" t="s">
        <v>123</v>
      </c>
      <c r="H530" s="23">
        <v>22000</v>
      </c>
      <c r="I530" s="2">
        <v>1</v>
      </c>
      <c r="J530" s="31">
        <v>0</v>
      </c>
      <c r="K530" s="7">
        <f t="shared" si="32"/>
        <v>22000</v>
      </c>
      <c r="L530" s="7">
        <f t="shared" si="33"/>
        <v>0</v>
      </c>
      <c r="M530" s="7">
        <f t="shared" si="34"/>
        <v>22000</v>
      </c>
      <c r="N530" s="23">
        <v>15000</v>
      </c>
      <c r="O530" s="7">
        <f t="shared" si="35"/>
        <v>37000</v>
      </c>
      <c r="P530" s="2" t="s">
        <v>63</v>
      </c>
      <c r="Q530" t="str">
        <f>_xlfn.XLOOKUP(B530,Status!$A$2:$A$1867,Status!$B$2:$B$1867)</f>
        <v>Completed</v>
      </c>
      <c r="R530" s="2" t="s">
        <v>23</v>
      </c>
      <c r="S530" s="8">
        <v>5</v>
      </c>
      <c r="T530" s="2" t="s">
        <v>37</v>
      </c>
      <c r="U530" s="31" t="str" cm="1">
        <f t="array" ref="U530">_xlfn.IFS(L530&lt;=5000,$Z$3,AND(L530&gt;5000,L530&lt;=15000),$Z$4,AND(L530&gt;15000,L530&lt;=30000),$Z$5,AND(L530&gt;30000,L530&lt;=50000),$Z$6,L530&gt;50000,$Z$7)</f>
        <v>Sangat Rendah</v>
      </c>
      <c r="V530" s="2"/>
    </row>
    <row r="531" spans="1:22" ht="15.75" customHeight="1" x14ac:dyDescent="0.25">
      <c r="A531" s="26"/>
      <c r="B531" s="2" t="s">
        <v>868</v>
      </c>
      <c r="C531" s="32">
        <v>45651.779803240737</v>
      </c>
      <c r="D531" s="53">
        <f>YEAR(Table1[[#This Row],[Order Date]])</f>
        <v>2024</v>
      </c>
      <c r="E531" s="2" t="s">
        <v>504</v>
      </c>
      <c r="F531" s="2" t="s">
        <v>195</v>
      </c>
      <c r="G531" s="2" t="s">
        <v>38</v>
      </c>
      <c r="H531" s="23">
        <v>28000</v>
      </c>
      <c r="I531" s="2">
        <v>4</v>
      </c>
      <c r="J531" s="31">
        <v>20</v>
      </c>
      <c r="K531" s="7">
        <f t="shared" si="32"/>
        <v>112000</v>
      </c>
      <c r="L531" s="7">
        <f t="shared" si="33"/>
        <v>22400</v>
      </c>
      <c r="M531" s="7">
        <f t="shared" si="34"/>
        <v>89600</v>
      </c>
      <c r="N531" s="23">
        <v>87000</v>
      </c>
      <c r="O531" s="7">
        <f t="shared" si="35"/>
        <v>176600</v>
      </c>
      <c r="P531" s="2" t="s">
        <v>22</v>
      </c>
      <c r="Q531" t="str">
        <f>_xlfn.XLOOKUP(B531,Status!$A$2:$A$1867,Status!$B$2:$B$1867)</f>
        <v>Completed</v>
      </c>
      <c r="R531" s="2" t="s">
        <v>36</v>
      </c>
      <c r="S531" s="8">
        <v>3</v>
      </c>
      <c r="T531" s="2" t="s">
        <v>24</v>
      </c>
      <c r="U531" s="31" t="str" cm="1">
        <f t="array" ref="U531">_xlfn.IFS(L531&lt;=5000,$Z$3,AND(L531&gt;5000,L531&lt;=15000),$Z$4,AND(L531&gt;15000,L531&lt;=30000),$Z$5,AND(L531&gt;30000,L531&lt;=50000),$Z$6,L531&gt;50000,$Z$7)</f>
        <v>Normal</v>
      </c>
      <c r="V531" s="2"/>
    </row>
    <row r="532" spans="1:22" ht="15.75" customHeight="1" x14ac:dyDescent="0.25">
      <c r="A532" s="26"/>
      <c r="B532" s="2" t="s">
        <v>869</v>
      </c>
      <c r="C532" s="32">
        <v>45652.07130787037</v>
      </c>
      <c r="D532" s="53">
        <f>YEAR(Table1[[#This Row],[Order Date]])</f>
        <v>2024</v>
      </c>
      <c r="E532" s="2" t="s">
        <v>722</v>
      </c>
      <c r="F532" s="2" t="s">
        <v>57</v>
      </c>
      <c r="G532" s="2" t="s">
        <v>186</v>
      </c>
      <c r="H532" s="23">
        <v>45000</v>
      </c>
      <c r="I532" s="2">
        <v>3</v>
      </c>
      <c r="J532" s="31">
        <v>0</v>
      </c>
      <c r="K532" s="7">
        <f t="shared" si="32"/>
        <v>135000</v>
      </c>
      <c r="L532" s="7">
        <f t="shared" si="33"/>
        <v>0</v>
      </c>
      <c r="M532" s="7">
        <f t="shared" si="34"/>
        <v>135000</v>
      </c>
      <c r="N532" s="23">
        <v>80000</v>
      </c>
      <c r="O532" s="7">
        <f t="shared" si="35"/>
        <v>215000</v>
      </c>
      <c r="P532" s="2" t="s">
        <v>29</v>
      </c>
      <c r="Q532" t="str">
        <f>_xlfn.XLOOKUP(B532,Status!$A$2:$A$1867,Status!$B$2:$B$1867)</f>
        <v>Completed</v>
      </c>
      <c r="R532" s="2" t="s">
        <v>23</v>
      </c>
      <c r="S532" s="8">
        <v>4</v>
      </c>
      <c r="T532" s="2" t="s">
        <v>24</v>
      </c>
      <c r="U532" s="31" t="str" cm="1">
        <f t="array" ref="U532">_xlfn.IFS(L532&lt;=5000,$Z$3,AND(L532&gt;5000,L532&lt;=15000),$Z$4,AND(L532&gt;15000,L532&lt;=30000),$Z$5,AND(L532&gt;30000,L532&lt;=50000),$Z$6,L532&gt;50000,$Z$7)</f>
        <v>Sangat Rendah</v>
      </c>
      <c r="V532" s="2"/>
    </row>
    <row r="533" spans="1:22" ht="15.75" customHeight="1" x14ac:dyDescent="0.25">
      <c r="A533" s="26"/>
      <c r="B533" s="2" t="s">
        <v>870</v>
      </c>
      <c r="C533" s="32">
        <v>45652.446261574078</v>
      </c>
      <c r="D533" s="53">
        <f>YEAR(Table1[[#This Row],[Order Date]])</f>
        <v>2024</v>
      </c>
      <c r="E533" s="2" t="s">
        <v>846</v>
      </c>
      <c r="F533" s="2" t="s">
        <v>107</v>
      </c>
      <c r="G533" s="2" t="s">
        <v>250</v>
      </c>
      <c r="H533" s="23">
        <v>18000</v>
      </c>
      <c r="I533" s="2">
        <v>1</v>
      </c>
      <c r="J533" s="31">
        <v>5</v>
      </c>
      <c r="K533" s="7">
        <f t="shared" si="32"/>
        <v>18000</v>
      </c>
      <c r="L533" s="7">
        <f t="shared" si="33"/>
        <v>900</v>
      </c>
      <c r="M533" s="7">
        <f t="shared" si="34"/>
        <v>17100</v>
      </c>
      <c r="N533" s="23">
        <v>97000</v>
      </c>
      <c r="O533" s="7">
        <f t="shared" si="35"/>
        <v>114100</v>
      </c>
      <c r="P533" s="2" t="s">
        <v>63</v>
      </c>
      <c r="Q533" t="str">
        <f>_xlfn.XLOOKUP(B533,Status!$A$2:$A$1867,Status!$B$2:$B$1867)</f>
        <v>Completed</v>
      </c>
      <c r="R533" s="2" t="s">
        <v>82</v>
      </c>
      <c r="S533" s="8">
        <v>3</v>
      </c>
      <c r="T533" s="2" t="s">
        <v>24</v>
      </c>
      <c r="U533" s="31" t="str" cm="1">
        <f t="array" ref="U533">_xlfn.IFS(L533&lt;=5000,$Z$3,AND(L533&gt;5000,L533&lt;=15000),$Z$4,AND(L533&gt;15000,L533&lt;=30000),$Z$5,AND(L533&gt;30000,L533&lt;=50000),$Z$6,L533&gt;50000,$Z$7)</f>
        <v>Sangat Rendah</v>
      </c>
      <c r="V533" s="2"/>
    </row>
    <row r="534" spans="1:22" ht="15.75" customHeight="1" x14ac:dyDescent="0.25">
      <c r="A534" s="26"/>
      <c r="B534" s="2" t="s">
        <v>871</v>
      </c>
      <c r="C534" s="32">
        <v>45652.465567129628</v>
      </c>
      <c r="D534" s="53">
        <f>YEAR(Table1[[#This Row],[Order Date]])</f>
        <v>2024</v>
      </c>
      <c r="E534" s="2" t="s">
        <v>532</v>
      </c>
      <c r="F534" s="2" t="s">
        <v>262</v>
      </c>
      <c r="G534" s="2" t="s">
        <v>186</v>
      </c>
      <c r="H534" s="23">
        <v>45000</v>
      </c>
      <c r="I534" s="2">
        <v>1</v>
      </c>
      <c r="J534" s="31">
        <v>10</v>
      </c>
      <c r="K534" s="7">
        <f t="shared" si="32"/>
        <v>45000</v>
      </c>
      <c r="L534" s="7">
        <f t="shared" si="33"/>
        <v>4500</v>
      </c>
      <c r="M534" s="7">
        <f t="shared" si="34"/>
        <v>40500</v>
      </c>
      <c r="N534" s="23">
        <v>18000</v>
      </c>
      <c r="O534" s="7">
        <f t="shared" si="35"/>
        <v>58500</v>
      </c>
      <c r="P534" s="2" t="s">
        <v>22</v>
      </c>
      <c r="Q534" t="str">
        <f>_xlfn.XLOOKUP(B534,Status!$A$2:$A$1867,Status!$B$2:$B$1867)</f>
        <v>Returned</v>
      </c>
      <c r="R534" s="2" t="s">
        <v>46</v>
      </c>
      <c r="S534" s="8">
        <v>4</v>
      </c>
      <c r="T534" s="2" t="s">
        <v>24</v>
      </c>
      <c r="U534" s="31" t="str" cm="1">
        <f t="array" ref="U534">_xlfn.IFS(L534&lt;=5000,$Z$3,AND(L534&gt;5000,L534&lt;=15000),$Z$4,AND(L534&gt;15000,L534&lt;=30000),$Z$5,AND(L534&gt;30000,L534&lt;=50000),$Z$6,L534&gt;50000,$Z$7)</f>
        <v>Sangat Rendah</v>
      </c>
      <c r="V534" s="2"/>
    </row>
    <row r="535" spans="1:22" ht="15.75" customHeight="1" x14ac:dyDescent="0.25">
      <c r="A535" s="26"/>
      <c r="B535" s="2" t="s">
        <v>872</v>
      </c>
      <c r="C535" s="32">
        <v>45652.688263888893</v>
      </c>
      <c r="D535" s="53">
        <f>YEAR(Table1[[#This Row],[Order Date]])</f>
        <v>2024</v>
      </c>
      <c r="E535" s="2" t="s">
        <v>748</v>
      </c>
      <c r="F535" s="2" t="s">
        <v>160</v>
      </c>
      <c r="G535" s="2" t="s">
        <v>136</v>
      </c>
      <c r="H535" s="23">
        <v>12000</v>
      </c>
      <c r="I535" s="2">
        <v>5</v>
      </c>
      <c r="J535" s="31">
        <v>15</v>
      </c>
      <c r="K535" s="7">
        <f t="shared" si="32"/>
        <v>60000</v>
      </c>
      <c r="L535" s="7">
        <f t="shared" si="33"/>
        <v>9000</v>
      </c>
      <c r="M535" s="7">
        <f t="shared" si="34"/>
        <v>51000</v>
      </c>
      <c r="N535" s="23">
        <v>68000</v>
      </c>
      <c r="O535" s="7">
        <f t="shared" si="35"/>
        <v>119000</v>
      </c>
      <c r="P535" s="2" t="s">
        <v>63</v>
      </c>
      <c r="Q535" t="str">
        <f>_xlfn.XLOOKUP(B535,Status!$A$2:$A$1867,Status!$B$2:$B$1867)</f>
        <v>Cancelled</v>
      </c>
      <c r="R535" s="2" t="s">
        <v>46</v>
      </c>
      <c r="S535" s="8">
        <v>5</v>
      </c>
      <c r="T535" s="2" t="s">
        <v>24</v>
      </c>
      <c r="U535" s="31" t="str" cm="1">
        <f t="array" ref="U535">_xlfn.IFS(L535&lt;=5000,$Z$3,AND(L535&gt;5000,L535&lt;=15000),$Z$4,AND(L535&gt;15000,L535&lt;=30000),$Z$5,AND(L535&gt;30000,L535&lt;=50000),$Z$6,L535&gt;50000,$Z$7)</f>
        <v>Rendah</v>
      </c>
      <c r="V535" s="2"/>
    </row>
    <row r="536" spans="1:22" ht="15.75" customHeight="1" x14ac:dyDescent="0.25">
      <c r="A536" s="26"/>
      <c r="B536" s="2" t="s">
        <v>873</v>
      </c>
      <c r="C536" s="32">
        <v>45652.693229166667</v>
      </c>
      <c r="D536" s="53">
        <f>YEAR(Table1[[#This Row],[Order Date]])</f>
        <v>2024</v>
      </c>
      <c r="E536" s="2" t="s">
        <v>443</v>
      </c>
      <c r="F536" s="2" t="s">
        <v>53</v>
      </c>
      <c r="G536" s="2" t="s">
        <v>123</v>
      </c>
      <c r="H536" s="23">
        <v>22000</v>
      </c>
      <c r="I536" s="2">
        <v>5</v>
      </c>
      <c r="J536" s="31">
        <v>20</v>
      </c>
      <c r="K536" s="7">
        <f t="shared" si="32"/>
        <v>110000</v>
      </c>
      <c r="L536" s="7">
        <f t="shared" si="33"/>
        <v>22000</v>
      </c>
      <c r="M536" s="7">
        <f t="shared" si="34"/>
        <v>88000</v>
      </c>
      <c r="N536" s="23">
        <v>18000</v>
      </c>
      <c r="O536" s="7">
        <f t="shared" si="35"/>
        <v>106000</v>
      </c>
      <c r="P536" s="2" t="s">
        <v>22</v>
      </c>
      <c r="Q536" t="str">
        <f>_xlfn.XLOOKUP(B536,Status!$A$2:$A$1867,Status!$B$2:$B$1867)</f>
        <v>Completed</v>
      </c>
      <c r="R536" s="2" t="s">
        <v>30</v>
      </c>
      <c r="S536" s="8">
        <v>1</v>
      </c>
      <c r="T536" s="2" t="s">
        <v>24</v>
      </c>
      <c r="U536" s="31" t="str" cm="1">
        <f t="array" ref="U536">_xlfn.IFS(L536&lt;=5000,$Z$3,AND(L536&gt;5000,L536&lt;=15000),$Z$4,AND(L536&gt;15000,L536&lt;=30000),$Z$5,AND(L536&gt;30000,L536&lt;=50000),$Z$6,L536&gt;50000,$Z$7)</f>
        <v>Normal</v>
      </c>
      <c r="V536" s="2"/>
    </row>
    <row r="537" spans="1:22" ht="15.75" customHeight="1" x14ac:dyDescent="0.25">
      <c r="A537" s="26"/>
      <c r="B537" s="2" t="s">
        <v>874</v>
      </c>
      <c r="C537" s="32">
        <v>45652.890289351853</v>
      </c>
      <c r="D537" s="53">
        <f>YEAR(Table1[[#This Row],[Order Date]])</f>
        <v>2024</v>
      </c>
      <c r="E537" s="2" t="s">
        <v>875</v>
      </c>
      <c r="F537" s="2" t="s">
        <v>170</v>
      </c>
      <c r="G537" s="2" t="s">
        <v>67</v>
      </c>
      <c r="H537" s="23">
        <v>15000</v>
      </c>
      <c r="I537" s="2">
        <v>2</v>
      </c>
      <c r="J537" s="31">
        <v>20</v>
      </c>
      <c r="K537" s="7">
        <f t="shared" si="32"/>
        <v>30000</v>
      </c>
      <c r="L537" s="7">
        <f t="shared" si="33"/>
        <v>6000</v>
      </c>
      <c r="M537" s="7">
        <f t="shared" si="34"/>
        <v>24000</v>
      </c>
      <c r="N537" s="23">
        <v>46000</v>
      </c>
      <c r="O537" s="7">
        <f t="shared" si="35"/>
        <v>70000</v>
      </c>
      <c r="P537" s="2" t="s">
        <v>22</v>
      </c>
      <c r="Q537" t="str">
        <f>_xlfn.XLOOKUP(B537,Status!$A$2:$A$1867,Status!$B$2:$B$1867)</f>
        <v>Completed</v>
      </c>
      <c r="R537" s="2" t="s">
        <v>46</v>
      </c>
      <c r="S537" s="8">
        <v>2</v>
      </c>
      <c r="T537" s="2" t="s">
        <v>24</v>
      </c>
      <c r="U537" s="31" t="str" cm="1">
        <f t="array" ref="U537">_xlfn.IFS(L537&lt;=5000,$Z$3,AND(L537&gt;5000,L537&lt;=15000),$Z$4,AND(L537&gt;15000,L537&lt;=30000),$Z$5,AND(L537&gt;30000,L537&lt;=50000),$Z$6,L537&gt;50000,$Z$7)</f>
        <v>Rendah</v>
      </c>
      <c r="V537" s="2"/>
    </row>
    <row r="538" spans="1:22" ht="15.75" customHeight="1" x14ac:dyDescent="0.25">
      <c r="A538" s="26"/>
      <c r="B538" s="2" t="s">
        <v>876</v>
      </c>
      <c r="C538" s="32">
        <v>45652.929050925923</v>
      </c>
      <c r="D538" s="53">
        <f>YEAR(Table1[[#This Row],[Order Date]])</f>
        <v>2024</v>
      </c>
      <c r="E538" s="2" t="s">
        <v>877</v>
      </c>
      <c r="F538" s="2" t="s">
        <v>107</v>
      </c>
      <c r="G538" s="2" t="s">
        <v>58</v>
      </c>
      <c r="H538" s="23">
        <v>16000</v>
      </c>
      <c r="I538" s="2">
        <v>1</v>
      </c>
      <c r="J538" s="31">
        <v>5</v>
      </c>
      <c r="K538" s="7">
        <f t="shared" si="32"/>
        <v>16000</v>
      </c>
      <c r="L538" s="7">
        <f t="shared" si="33"/>
        <v>800</v>
      </c>
      <c r="M538" s="7">
        <f t="shared" si="34"/>
        <v>15200</v>
      </c>
      <c r="N538" s="23">
        <v>97000</v>
      </c>
      <c r="O538" s="7">
        <f t="shared" si="35"/>
        <v>112200</v>
      </c>
      <c r="P538" s="2" t="s">
        <v>63</v>
      </c>
      <c r="Q538" t="str">
        <f>_xlfn.XLOOKUP(B538,Status!$A$2:$A$1867,Status!$B$2:$B$1867)</f>
        <v>Returned</v>
      </c>
      <c r="R538" s="2" t="s">
        <v>23</v>
      </c>
      <c r="S538" s="8">
        <v>2</v>
      </c>
      <c r="T538" s="2" t="s">
        <v>24</v>
      </c>
      <c r="U538" s="31" t="str" cm="1">
        <f t="array" ref="U538">_xlfn.IFS(L538&lt;=5000,$Z$3,AND(L538&gt;5000,L538&lt;=15000),$Z$4,AND(L538&gt;15000,L538&lt;=30000),$Z$5,AND(L538&gt;30000,L538&lt;=50000),$Z$6,L538&gt;50000,$Z$7)</f>
        <v>Sangat Rendah</v>
      </c>
      <c r="V538" s="2"/>
    </row>
    <row r="539" spans="1:22" ht="15.75" customHeight="1" x14ac:dyDescent="0.25">
      <c r="A539" s="26"/>
      <c r="B539" s="2" t="s">
        <v>878</v>
      </c>
      <c r="C539" s="32">
        <v>45653.071111111109</v>
      </c>
      <c r="D539" s="53">
        <f>YEAR(Table1[[#This Row],[Order Date]])</f>
        <v>2024</v>
      </c>
      <c r="E539" s="2" t="s">
        <v>201</v>
      </c>
      <c r="F539" s="2" t="s">
        <v>107</v>
      </c>
      <c r="G539" s="2" t="s">
        <v>67</v>
      </c>
      <c r="H539" s="23">
        <v>15000</v>
      </c>
      <c r="I539" s="2">
        <v>5</v>
      </c>
      <c r="J539" s="31">
        <v>20</v>
      </c>
      <c r="K539" s="7">
        <f t="shared" si="32"/>
        <v>75000</v>
      </c>
      <c r="L539" s="7">
        <f t="shared" si="33"/>
        <v>15000</v>
      </c>
      <c r="M539" s="7">
        <f t="shared" si="34"/>
        <v>60000</v>
      </c>
      <c r="N539" s="23">
        <v>97000</v>
      </c>
      <c r="O539" s="7">
        <f t="shared" si="35"/>
        <v>157000</v>
      </c>
      <c r="P539" s="2" t="s">
        <v>35</v>
      </c>
      <c r="Q539" t="str">
        <f>_xlfn.XLOOKUP(B539,Status!$A$2:$A$1867,Status!$B$2:$B$1867)</f>
        <v>Completed</v>
      </c>
      <c r="R539" s="2" t="s">
        <v>30</v>
      </c>
      <c r="S539" s="8">
        <v>3</v>
      </c>
      <c r="T539" s="2" t="s">
        <v>24</v>
      </c>
      <c r="U539" s="31" t="str" cm="1">
        <f t="array" ref="U539">_xlfn.IFS(L539&lt;=5000,$Z$3,AND(L539&gt;5000,L539&lt;=15000),$Z$4,AND(L539&gt;15000,L539&lt;=30000),$Z$5,AND(L539&gt;30000,L539&lt;=50000),$Z$6,L539&gt;50000,$Z$7)</f>
        <v>Rendah</v>
      </c>
      <c r="V539" s="2"/>
    </row>
    <row r="540" spans="1:22" ht="15.75" customHeight="1" x14ac:dyDescent="0.25">
      <c r="A540" s="26"/>
      <c r="B540" s="2" t="s">
        <v>879</v>
      </c>
      <c r="C540" s="32">
        <v>45653.131284722222</v>
      </c>
      <c r="D540" s="53">
        <f>YEAR(Table1[[#This Row],[Order Date]])</f>
        <v>2024</v>
      </c>
      <c r="E540" s="2" t="s">
        <v>148</v>
      </c>
      <c r="F540" s="2" t="s">
        <v>74</v>
      </c>
      <c r="G540" s="2" t="s">
        <v>50</v>
      </c>
      <c r="H540" s="23">
        <v>14000</v>
      </c>
      <c r="I540" s="2">
        <v>2</v>
      </c>
      <c r="J540" s="31">
        <v>15</v>
      </c>
      <c r="K540" s="7">
        <f t="shared" si="32"/>
        <v>28000</v>
      </c>
      <c r="L540" s="7">
        <f t="shared" si="33"/>
        <v>4200</v>
      </c>
      <c r="M540" s="7">
        <f t="shared" si="34"/>
        <v>23800</v>
      </c>
      <c r="N540" s="23">
        <v>87000</v>
      </c>
      <c r="O540" s="7">
        <f t="shared" si="35"/>
        <v>110800</v>
      </c>
      <c r="P540" s="2" t="s">
        <v>22</v>
      </c>
      <c r="Q540" t="str">
        <f>_xlfn.XLOOKUP(B540,Status!$A$2:$A$1867,Status!$B$2:$B$1867)</f>
        <v>Completed</v>
      </c>
      <c r="R540" s="2" t="s">
        <v>30</v>
      </c>
      <c r="S540" s="8">
        <v>4</v>
      </c>
      <c r="T540" s="2" t="s">
        <v>24</v>
      </c>
      <c r="U540" s="31" t="str" cm="1">
        <f t="array" ref="U540">_xlfn.IFS(L540&lt;=5000,$Z$3,AND(L540&gt;5000,L540&lt;=15000),$Z$4,AND(L540&gt;15000,L540&lt;=30000),$Z$5,AND(L540&gt;30000,L540&lt;=50000),$Z$6,L540&gt;50000,$Z$7)</f>
        <v>Sangat Rendah</v>
      </c>
      <c r="V540" s="2"/>
    </row>
    <row r="541" spans="1:22" ht="15.75" customHeight="1" x14ac:dyDescent="0.25">
      <c r="A541" s="26"/>
      <c r="B541" s="2" t="s">
        <v>880</v>
      </c>
      <c r="C541" s="32">
        <v>45654.395462962973</v>
      </c>
      <c r="D541" s="53">
        <f>YEAR(Table1[[#This Row],[Order Date]])</f>
        <v>2024</v>
      </c>
      <c r="E541" s="2" t="s">
        <v>371</v>
      </c>
      <c r="F541" s="2" t="s">
        <v>27</v>
      </c>
      <c r="G541" s="2" t="s">
        <v>38</v>
      </c>
      <c r="H541" s="23">
        <v>28000</v>
      </c>
      <c r="I541" s="2">
        <v>3</v>
      </c>
      <c r="J541" s="31">
        <v>5</v>
      </c>
      <c r="K541" s="7">
        <f t="shared" si="32"/>
        <v>84000</v>
      </c>
      <c r="L541" s="7">
        <f t="shared" si="33"/>
        <v>4200</v>
      </c>
      <c r="M541" s="7">
        <f t="shared" si="34"/>
        <v>79800</v>
      </c>
      <c r="N541" s="23">
        <v>17000</v>
      </c>
      <c r="O541" s="7">
        <f t="shared" si="35"/>
        <v>96800</v>
      </c>
      <c r="P541" s="2" t="s">
        <v>22</v>
      </c>
      <c r="Q541" t="str">
        <f>_xlfn.XLOOKUP(B541,Status!$A$2:$A$1867,Status!$B$2:$B$1867)</f>
        <v>Completed</v>
      </c>
      <c r="R541" s="2" t="s">
        <v>82</v>
      </c>
      <c r="S541" s="8">
        <v>2</v>
      </c>
      <c r="T541" s="2" t="s">
        <v>24</v>
      </c>
      <c r="U541" s="31" t="str" cm="1">
        <f t="array" ref="U541">_xlfn.IFS(L541&lt;=5000,$Z$3,AND(L541&gt;5000,L541&lt;=15000),$Z$4,AND(L541&gt;15000,L541&lt;=30000),$Z$5,AND(L541&gt;30000,L541&lt;=50000),$Z$6,L541&gt;50000,$Z$7)</f>
        <v>Sangat Rendah</v>
      </c>
      <c r="V541" s="2"/>
    </row>
    <row r="542" spans="1:22" ht="15.75" customHeight="1" x14ac:dyDescent="0.25">
      <c r="A542" s="26"/>
      <c r="B542" s="2" t="s">
        <v>881</v>
      </c>
      <c r="C542" s="32">
        <v>45654.502337962957</v>
      </c>
      <c r="D542" s="53">
        <f>YEAR(Table1[[#This Row],[Order Date]])</f>
        <v>2024</v>
      </c>
      <c r="E542" s="2" t="s">
        <v>275</v>
      </c>
      <c r="F542" s="2" t="s">
        <v>96</v>
      </c>
      <c r="G542" s="2" t="s">
        <v>67</v>
      </c>
      <c r="H542" s="23">
        <v>15000</v>
      </c>
      <c r="I542" s="2">
        <v>2</v>
      </c>
      <c r="J542" s="31">
        <v>0</v>
      </c>
      <c r="K542" s="7">
        <f t="shared" si="32"/>
        <v>30000</v>
      </c>
      <c r="L542" s="7">
        <f t="shared" si="33"/>
        <v>0</v>
      </c>
      <c r="M542" s="7">
        <f t="shared" si="34"/>
        <v>30000</v>
      </c>
      <c r="N542" s="23">
        <v>49000</v>
      </c>
      <c r="O542" s="7">
        <f t="shared" si="35"/>
        <v>79000</v>
      </c>
      <c r="P542" s="2" t="s">
        <v>35</v>
      </c>
      <c r="Q542" t="str">
        <f>_xlfn.XLOOKUP(B542,Status!$A$2:$A$1867,Status!$B$2:$B$1867)</f>
        <v>Completed</v>
      </c>
      <c r="R542" s="2" t="s">
        <v>30</v>
      </c>
      <c r="S542" s="8">
        <v>3</v>
      </c>
      <c r="T542" s="2" t="s">
        <v>24</v>
      </c>
      <c r="U542" s="31" t="str" cm="1">
        <f t="array" ref="U542">_xlfn.IFS(L542&lt;=5000,$Z$3,AND(L542&gt;5000,L542&lt;=15000),$Z$4,AND(L542&gt;15000,L542&lt;=30000),$Z$5,AND(L542&gt;30000,L542&lt;=50000),$Z$6,L542&gt;50000,$Z$7)</f>
        <v>Sangat Rendah</v>
      </c>
      <c r="V542" s="2"/>
    </row>
    <row r="543" spans="1:22" ht="15.75" customHeight="1" x14ac:dyDescent="0.25">
      <c r="A543" s="26"/>
      <c r="B543" s="2" t="s">
        <v>881</v>
      </c>
      <c r="C543" s="32">
        <v>45654.502337962957</v>
      </c>
      <c r="D543" s="53">
        <f>YEAR(Table1[[#This Row],[Order Date]])</f>
        <v>2024</v>
      </c>
      <c r="E543" s="2" t="s">
        <v>275</v>
      </c>
      <c r="F543" s="2" t="s">
        <v>96</v>
      </c>
      <c r="G543" s="2" t="s">
        <v>85</v>
      </c>
      <c r="H543" s="23">
        <v>35000</v>
      </c>
      <c r="I543" s="2">
        <v>1</v>
      </c>
      <c r="J543" s="31">
        <v>5</v>
      </c>
      <c r="K543" s="7">
        <f t="shared" si="32"/>
        <v>35000</v>
      </c>
      <c r="L543" s="7">
        <f t="shared" si="33"/>
        <v>1750</v>
      </c>
      <c r="M543" s="7">
        <f t="shared" si="34"/>
        <v>33250</v>
      </c>
      <c r="N543" s="23">
        <v>0</v>
      </c>
      <c r="O543" s="7">
        <f t="shared" si="35"/>
        <v>33250</v>
      </c>
      <c r="P543" s="2" t="s">
        <v>35</v>
      </c>
      <c r="Q543" t="str">
        <f>_xlfn.XLOOKUP(B543,Status!$A$2:$A$1867,Status!$B$2:$B$1867)</f>
        <v>Completed</v>
      </c>
      <c r="R543" s="2" t="s">
        <v>30</v>
      </c>
      <c r="S543" s="8">
        <v>3</v>
      </c>
      <c r="T543" s="2" t="s">
        <v>24</v>
      </c>
      <c r="U543" s="31" t="str" cm="1">
        <f t="array" ref="U543">_xlfn.IFS(L543&lt;=5000,$Z$3,AND(L543&gt;5000,L543&lt;=15000),$Z$4,AND(L543&gt;15000,L543&lt;=30000),$Z$5,AND(L543&gt;30000,L543&lt;=50000),$Z$6,L543&gt;50000,$Z$7)</f>
        <v>Sangat Rendah</v>
      </c>
      <c r="V543" s="2"/>
    </row>
    <row r="544" spans="1:22" ht="15.75" customHeight="1" x14ac:dyDescent="0.25">
      <c r="A544" s="26"/>
      <c r="B544" s="2" t="s">
        <v>882</v>
      </c>
      <c r="C544" s="32">
        <v>45654.514606481483</v>
      </c>
      <c r="D544" s="53">
        <f>YEAR(Table1[[#This Row],[Order Date]])</f>
        <v>2024</v>
      </c>
      <c r="E544" s="2" t="s">
        <v>883</v>
      </c>
      <c r="F544" s="2" t="s">
        <v>44</v>
      </c>
      <c r="G544" s="2" t="s">
        <v>123</v>
      </c>
      <c r="H544" s="23">
        <v>22000</v>
      </c>
      <c r="I544" s="2">
        <v>2</v>
      </c>
      <c r="J544" s="31">
        <v>10</v>
      </c>
      <c r="K544" s="7">
        <f t="shared" si="32"/>
        <v>44000</v>
      </c>
      <c r="L544" s="7">
        <f t="shared" si="33"/>
        <v>4400</v>
      </c>
      <c r="M544" s="7">
        <f t="shared" si="34"/>
        <v>39600</v>
      </c>
      <c r="N544" s="23">
        <v>93000</v>
      </c>
      <c r="O544" s="7">
        <f t="shared" si="35"/>
        <v>132600</v>
      </c>
      <c r="P544" s="2" t="s">
        <v>63</v>
      </c>
      <c r="Q544" t="str">
        <f>_xlfn.XLOOKUP(B544,Status!$A$2:$A$1867,Status!$B$2:$B$1867)</f>
        <v>Completed</v>
      </c>
      <c r="R544" s="2" t="s">
        <v>30</v>
      </c>
      <c r="S544" s="8">
        <v>1</v>
      </c>
      <c r="T544" s="2" t="s">
        <v>37</v>
      </c>
      <c r="U544" s="31" t="str" cm="1">
        <f t="array" ref="U544">_xlfn.IFS(L544&lt;=5000,$Z$3,AND(L544&gt;5000,L544&lt;=15000),$Z$4,AND(L544&gt;15000,L544&lt;=30000),$Z$5,AND(L544&gt;30000,L544&lt;=50000),$Z$6,L544&gt;50000,$Z$7)</f>
        <v>Sangat Rendah</v>
      </c>
      <c r="V544" s="2"/>
    </row>
    <row r="545" spans="1:22" ht="15.75" customHeight="1" x14ac:dyDescent="0.25">
      <c r="A545" s="26"/>
      <c r="B545" s="2" t="s">
        <v>882</v>
      </c>
      <c r="C545" s="32">
        <v>45654.514606481483</v>
      </c>
      <c r="D545" s="53">
        <f>YEAR(Table1[[#This Row],[Order Date]])</f>
        <v>2024</v>
      </c>
      <c r="E545" s="2" t="s">
        <v>883</v>
      </c>
      <c r="F545" s="2" t="s">
        <v>44</v>
      </c>
      <c r="G545" s="2" t="s">
        <v>28</v>
      </c>
      <c r="H545" s="23">
        <v>5000</v>
      </c>
      <c r="I545" s="2">
        <v>2</v>
      </c>
      <c r="J545" s="31">
        <v>10</v>
      </c>
      <c r="K545" s="7">
        <f t="shared" si="32"/>
        <v>10000</v>
      </c>
      <c r="L545" s="7">
        <f t="shared" si="33"/>
        <v>1000</v>
      </c>
      <c r="M545" s="7">
        <f t="shared" si="34"/>
        <v>9000</v>
      </c>
      <c r="N545" s="23">
        <v>0</v>
      </c>
      <c r="O545" s="7">
        <f t="shared" si="35"/>
        <v>9000</v>
      </c>
      <c r="P545" s="2" t="s">
        <v>63</v>
      </c>
      <c r="Q545" t="str">
        <f>_xlfn.XLOOKUP(B545,Status!$A$2:$A$1867,Status!$B$2:$B$1867)</f>
        <v>Completed</v>
      </c>
      <c r="R545" s="2" t="s">
        <v>30</v>
      </c>
      <c r="S545" s="8">
        <v>1</v>
      </c>
      <c r="T545" s="2" t="s">
        <v>37</v>
      </c>
      <c r="U545" s="31" t="str" cm="1">
        <f t="array" ref="U545">_xlfn.IFS(L545&lt;=5000,$Z$3,AND(L545&gt;5000,L545&lt;=15000),$Z$4,AND(L545&gt;15000,L545&lt;=30000),$Z$5,AND(L545&gt;30000,L545&lt;=50000),$Z$6,L545&gt;50000,$Z$7)</f>
        <v>Sangat Rendah</v>
      </c>
      <c r="V545" s="2"/>
    </row>
    <row r="546" spans="1:22" ht="15.75" customHeight="1" x14ac:dyDescent="0.25">
      <c r="A546" s="26"/>
      <c r="B546" s="2" t="s">
        <v>884</v>
      </c>
      <c r="C546" s="32">
        <v>45654.560034722221</v>
      </c>
      <c r="D546" s="53">
        <f>YEAR(Table1[[#This Row],[Order Date]])</f>
        <v>2024</v>
      </c>
      <c r="E546" s="2" t="s">
        <v>261</v>
      </c>
      <c r="F546" s="2" t="s">
        <v>262</v>
      </c>
      <c r="G546" s="2" t="s">
        <v>110</v>
      </c>
      <c r="H546" s="23">
        <v>6000</v>
      </c>
      <c r="I546" s="2">
        <v>3</v>
      </c>
      <c r="J546" s="31">
        <v>15</v>
      </c>
      <c r="K546" s="7">
        <f t="shared" si="32"/>
        <v>18000</v>
      </c>
      <c r="L546" s="7">
        <f t="shared" si="33"/>
        <v>2700</v>
      </c>
      <c r="M546" s="7">
        <f t="shared" si="34"/>
        <v>15300</v>
      </c>
      <c r="N546" s="23">
        <v>18000</v>
      </c>
      <c r="O546" s="7">
        <f t="shared" si="35"/>
        <v>33300</v>
      </c>
      <c r="P546" s="2" t="s">
        <v>63</v>
      </c>
      <c r="Q546" t="str">
        <f>_xlfn.XLOOKUP(B546,Status!$A$2:$A$1867,Status!$B$2:$B$1867)</f>
        <v>Completed</v>
      </c>
      <c r="R546" s="2" t="s">
        <v>30</v>
      </c>
      <c r="S546" s="8">
        <v>2</v>
      </c>
      <c r="T546" s="2" t="s">
        <v>24</v>
      </c>
      <c r="U546" s="31" t="str" cm="1">
        <f t="array" ref="U546">_xlfn.IFS(L546&lt;=5000,$Z$3,AND(L546&gt;5000,L546&lt;=15000),$Z$4,AND(L546&gt;15000,L546&lt;=30000),$Z$5,AND(L546&gt;30000,L546&lt;=50000),$Z$6,L546&gt;50000,$Z$7)</f>
        <v>Sangat Rendah</v>
      </c>
      <c r="V546" s="2"/>
    </row>
    <row r="547" spans="1:22" ht="15.75" customHeight="1" x14ac:dyDescent="0.25">
      <c r="A547" s="26"/>
      <c r="B547" s="2" t="s">
        <v>885</v>
      </c>
      <c r="C547" s="32">
        <v>45654.772094907406</v>
      </c>
      <c r="D547" s="53">
        <f>YEAR(Table1[[#This Row],[Order Date]])</f>
        <v>2024</v>
      </c>
      <c r="E547" s="2" t="s">
        <v>400</v>
      </c>
      <c r="F547" s="2" t="s">
        <v>27</v>
      </c>
      <c r="G547" s="2" t="s">
        <v>28</v>
      </c>
      <c r="H547" s="23">
        <v>5000</v>
      </c>
      <c r="I547" s="2">
        <v>4</v>
      </c>
      <c r="J547" s="31">
        <v>15</v>
      </c>
      <c r="K547" s="7">
        <f t="shared" si="32"/>
        <v>20000</v>
      </c>
      <c r="L547" s="7">
        <f t="shared" si="33"/>
        <v>3000</v>
      </c>
      <c r="M547" s="7">
        <f t="shared" si="34"/>
        <v>17000</v>
      </c>
      <c r="N547" s="23">
        <v>17000</v>
      </c>
      <c r="O547" s="7">
        <f t="shared" si="35"/>
        <v>34000</v>
      </c>
      <c r="P547" s="2" t="s">
        <v>22</v>
      </c>
      <c r="Q547" t="str">
        <f>_xlfn.XLOOKUP(B547,Status!$A$2:$A$1867,Status!$B$2:$B$1867)</f>
        <v>Completed</v>
      </c>
      <c r="R547" s="2" t="s">
        <v>23</v>
      </c>
      <c r="S547" s="8">
        <v>5</v>
      </c>
      <c r="T547" s="2" t="s">
        <v>24</v>
      </c>
      <c r="U547" s="31" t="str" cm="1">
        <f t="array" ref="U547">_xlfn.IFS(L547&lt;=5000,$Z$3,AND(L547&gt;5000,L547&lt;=15000),$Z$4,AND(L547&gt;15000,L547&lt;=30000),$Z$5,AND(L547&gt;30000,L547&lt;=50000),$Z$6,L547&gt;50000,$Z$7)</f>
        <v>Sangat Rendah</v>
      </c>
      <c r="V547" s="2"/>
    </row>
    <row r="548" spans="1:22" ht="15.75" customHeight="1" x14ac:dyDescent="0.25">
      <c r="A548" s="26"/>
      <c r="B548" s="2" t="s">
        <v>886</v>
      </c>
      <c r="C548" s="32">
        <v>45654.837314814817</v>
      </c>
      <c r="D548" s="53">
        <f>YEAR(Table1[[#This Row],[Order Date]])</f>
        <v>2024</v>
      </c>
      <c r="E548" s="2" t="s">
        <v>488</v>
      </c>
      <c r="F548" s="2" t="s">
        <v>49</v>
      </c>
      <c r="G548" s="2" t="s">
        <v>123</v>
      </c>
      <c r="H548" s="23">
        <v>22000</v>
      </c>
      <c r="I548" s="2">
        <v>2</v>
      </c>
      <c r="J548" s="31">
        <v>15</v>
      </c>
      <c r="K548" s="7">
        <f t="shared" si="32"/>
        <v>44000</v>
      </c>
      <c r="L548" s="7">
        <f t="shared" si="33"/>
        <v>6600</v>
      </c>
      <c r="M548" s="7">
        <f t="shared" si="34"/>
        <v>37400</v>
      </c>
      <c r="N548" s="23">
        <v>43000</v>
      </c>
      <c r="O548" s="7">
        <f t="shared" si="35"/>
        <v>80400</v>
      </c>
      <c r="P548" s="2" t="s">
        <v>29</v>
      </c>
      <c r="Q548" t="str">
        <f>_xlfn.XLOOKUP(B548,Status!$A$2:$A$1867,Status!$B$2:$B$1867)</f>
        <v>Cancelled</v>
      </c>
      <c r="R548" s="2" t="s">
        <v>46</v>
      </c>
      <c r="S548" s="8">
        <v>2</v>
      </c>
      <c r="T548" s="2" t="s">
        <v>24</v>
      </c>
      <c r="U548" s="31" t="str" cm="1">
        <f t="array" ref="U548">_xlfn.IFS(L548&lt;=5000,$Z$3,AND(L548&gt;5000,L548&lt;=15000),$Z$4,AND(L548&gt;15000,L548&lt;=30000),$Z$5,AND(L548&gt;30000,L548&lt;=50000),$Z$6,L548&gt;50000,$Z$7)</f>
        <v>Rendah</v>
      </c>
      <c r="V548" s="2"/>
    </row>
    <row r="549" spans="1:22" ht="15.75" customHeight="1" x14ac:dyDescent="0.25">
      <c r="A549" s="26"/>
      <c r="B549" s="2" t="s">
        <v>887</v>
      </c>
      <c r="C549" s="32">
        <v>45654.920648148152</v>
      </c>
      <c r="D549" s="53">
        <f>YEAR(Table1[[#This Row],[Order Date]])</f>
        <v>2024</v>
      </c>
      <c r="E549" s="2" t="s">
        <v>128</v>
      </c>
      <c r="F549" s="2" t="s">
        <v>103</v>
      </c>
      <c r="G549" s="2" t="s">
        <v>93</v>
      </c>
      <c r="H549" s="23">
        <v>25000</v>
      </c>
      <c r="I549" s="2">
        <v>5</v>
      </c>
      <c r="J549" s="31">
        <v>20</v>
      </c>
      <c r="K549" s="7">
        <f t="shared" si="32"/>
        <v>125000</v>
      </c>
      <c r="L549" s="7">
        <f t="shared" si="33"/>
        <v>25000</v>
      </c>
      <c r="M549" s="7">
        <f t="shared" si="34"/>
        <v>100000</v>
      </c>
      <c r="N549" s="23">
        <v>85000</v>
      </c>
      <c r="O549" s="7">
        <f t="shared" si="35"/>
        <v>185000</v>
      </c>
      <c r="P549" s="2" t="s">
        <v>22</v>
      </c>
      <c r="Q549" t="str">
        <f>_xlfn.XLOOKUP(B549,Status!$A$2:$A$1867,Status!$B$2:$B$1867)</f>
        <v>Completed</v>
      </c>
      <c r="R549" s="2" t="s">
        <v>36</v>
      </c>
      <c r="S549" s="8">
        <v>5</v>
      </c>
      <c r="T549" s="2" t="s">
        <v>37</v>
      </c>
      <c r="U549" s="31" t="str" cm="1">
        <f t="array" ref="U549">_xlfn.IFS(L549&lt;=5000,$Z$3,AND(L549&gt;5000,L549&lt;=15000),$Z$4,AND(L549&gt;15000,L549&lt;=30000),$Z$5,AND(L549&gt;30000,L549&lt;=50000),$Z$6,L549&gt;50000,$Z$7)</f>
        <v>Normal</v>
      </c>
      <c r="V549" s="2"/>
    </row>
    <row r="550" spans="1:22" ht="15.75" customHeight="1" x14ac:dyDescent="0.25">
      <c r="A550" s="26"/>
      <c r="B550" s="2" t="s">
        <v>888</v>
      </c>
      <c r="C550" s="32">
        <v>45654.936238425929</v>
      </c>
      <c r="D550" s="53">
        <f>YEAR(Table1[[#This Row],[Order Date]])</f>
        <v>2024</v>
      </c>
      <c r="E550" s="2" t="s">
        <v>782</v>
      </c>
      <c r="F550" s="2" t="s">
        <v>177</v>
      </c>
      <c r="G550" s="2" t="s">
        <v>138</v>
      </c>
      <c r="H550" s="23">
        <v>17000</v>
      </c>
      <c r="I550" s="2">
        <v>4</v>
      </c>
      <c r="J550" s="31">
        <v>20</v>
      </c>
      <c r="K550" s="7">
        <f t="shared" si="32"/>
        <v>68000</v>
      </c>
      <c r="L550" s="7">
        <f t="shared" si="33"/>
        <v>13600</v>
      </c>
      <c r="M550" s="7">
        <f t="shared" si="34"/>
        <v>54400</v>
      </c>
      <c r="N550" s="23">
        <v>56000</v>
      </c>
      <c r="O550" s="7">
        <f t="shared" si="35"/>
        <v>110400</v>
      </c>
      <c r="P550" s="2" t="s">
        <v>29</v>
      </c>
      <c r="Q550" t="str">
        <f>_xlfn.XLOOKUP(B550,Status!$A$2:$A$1867,Status!$B$2:$B$1867)</f>
        <v>Completed</v>
      </c>
      <c r="R550" s="2" t="s">
        <v>82</v>
      </c>
      <c r="S550" s="8">
        <v>3</v>
      </c>
      <c r="T550" s="2" t="s">
        <v>24</v>
      </c>
      <c r="U550" s="31" t="str" cm="1">
        <f t="array" ref="U550">_xlfn.IFS(L550&lt;=5000,$Z$3,AND(L550&gt;5000,L550&lt;=15000),$Z$4,AND(L550&gt;15000,L550&lt;=30000),$Z$5,AND(L550&gt;30000,L550&lt;=50000),$Z$6,L550&gt;50000,$Z$7)</f>
        <v>Rendah</v>
      </c>
      <c r="V550" s="2"/>
    </row>
    <row r="551" spans="1:22" ht="15.75" customHeight="1" x14ac:dyDescent="0.25">
      <c r="A551" s="26"/>
      <c r="B551" s="2" t="s">
        <v>889</v>
      </c>
      <c r="C551" s="32">
        <v>45655.067314814813</v>
      </c>
      <c r="D551" s="53">
        <f>YEAR(Table1[[#This Row],[Order Date]])</f>
        <v>2024</v>
      </c>
      <c r="E551" s="2" t="s">
        <v>167</v>
      </c>
      <c r="F551" s="2" t="s">
        <v>44</v>
      </c>
      <c r="G551" s="2" t="s">
        <v>62</v>
      </c>
      <c r="H551" s="23">
        <v>50000</v>
      </c>
      <c r="I551" s="2">
        <v>2</v>
      </c>
      <c r="J551" s="31">
        <v>0</v>
      </c>
      <c r="K551" s="7">
        <f t="shared" si="32"/>
        <v>100000</v>
      </c>
      <c r="L551" s="7">
        <f t="shared" si="33"/>
        <v>0</v>
      </c>
      <c r="M551" s="7">
        <f t="shared" si="34"/>
        <v>100000</v>
      </c>
      <c r="N551" s="23">
        <v>93000</v>
      </c>
      <c r="O551" s="7">
        <f t="shared" si="35"/>
        <v>193000</v>
      </c>
      <c r="P551" s="2" t="s">
        <v>35</v>
      </c>
      <c r="Q551" t="str">
        <f>_xlfn.XLOOKUP(B551,Status!$A$2:$A$1867,Status!$B$2:$B$1867)</f>
        <v>Completed</v>
      </c>
      <c r="R551" s="2" t="s">
        <v>46</v>
      </c>
      <c r="S551" s="8">
        <v>1</v>
      </c>
      <c r="T551" s="2" t="s">
        <v>24</v>
      </c>
      <c r="U551" s="31" t="str" cm="1">
        <f t="array" ref="U551">_xlfn.IFS(L551&lt;=5000,$Z$3,AND(L551&gt;5000,L551&lt;=15000),$Z$4,AND(L551&gt;15000,L551&lt;=30000),$Z$5,AND(L551&gt;30000,L551&lt;=50000),$Z$6,L551&gt;50000,$Z$7)</f>
        <v>Sangat Rendah</v>
      </c>
      <c r="V551" s="2"/>
    </row>
    <row r="552" spans="1:22" ht="15.75" customHeight="1" x14ac:dyDescent="0.25">
      <c r="A552" s="26"/>
      <c r="B552" s="2" t="s">
        <v>890</v>
      </c>
      <c r="C552" s="32">
        <v>45655.068379629629</v>
      </c>
      <c r="D552" s="53">
        <f>YEAR(Table1[[#This Row],[Order Date]])</f>
        <v>2024</v>
      </c>
      <c r="E552" s="2" t="s">
        <v>891</v>
      </c>
      <c r="F552" s="2" t="s">
        <v>126</v>
      </c>
      <c r="G552" s="2" t="s">
        <v>144</v>
      </c>
      <c r="H552" s="23">
        <v>18000</v>
      </c>
      <c r="I552" s="2">
        <v>4</v>
      </c>
      <c r="J552" s="31">
        <v>5</v>
      </c>
      <c r="K552" s="7">
        <f t="shared" si="32"/>
        <v>72000</v>
      </c>
      <c r="L552" s="7">
        <f t="shared" si="33"/>
        <v>3600</v>
      </c>
      <c r="M552" s="7">
        <f t="shared" si="34"/>
        <v>68400</v>
      </c>
      <c r="N552" s="23">
        <v>84000</v>
      </c>
      <c r="O552" s="7">
        <f t="shared" si="35"/>
        <v>152400</v>
      </c>
      <c r="P552" s="2" t="s">
        <v>35</v>
      </c>
      <c r="Q552" t="str">
        <f>_xlfn.XLOOKUP(B552,Status!$A$2:$A$1867,Status!$B$2:$B$1867)</f>
        <v>Completed</v>
      </c>
      <c r="R552" s="2" t="s">
        <v>46</v>
      </c>
      <c r="S552" s="8">
        <v>1</v>
      </c>
      <c r="T552" s="2" t="s">
        <v>37</v>
      </c>
      <c r="U552" s="31" t="str" cm="1">
        <f t="array" ref="U552">_xlfn.IFS(L552&lt;=5000,$Z$3,AND(L552&gt;5000,L552&lt;=15000),$Z$4,AND(L552&gt;15000,L552&lt;=30000),$Z$5,AND(L552&gt;30000,L552&lt;=50000),$Z$6,L552&gt;50000,$Z$7)</f>
        <v>Sangat Rendah</v>
      </c>
      <c r="V552" s="2"/>
    </row>
    <row r="553" spans="1:22" ht="15.75" customHeight="1" x14ac:dyDescent="0.25">
      <c r="A553" s="26"/>
      <c r="B553" s="2" t="s">
        <v>892</v>
      </c>
      <c r="C553" s="32">
        <v>45655.187175925923</v>
      </c>
      <c r="D553" s="53">
        <f>YEAR(Table1[[#This Row],[Order Date]])</f>
        <v>2024</v>
      </c>
      <c r="E553" s="2" t="s">
        <v>91</v>
      </c>
      <c r="F553" s="2" t="s">
        <v>92</v>
      </c>
      <c r="G553" s="2" t="s">
        <v>190</v>
      </c>
      <c r="H553" s="23">
        <v>35000</v>
      </c>
      <c r="I553" s="2">
        <v>1</v>
      </c>
      <c r="J553" s="31">
        <v>10</v>
      </c>
      <c r="K553" s="7">
        <f t="shared" si="32"/>
        <v>35000</v>
      </c>
      <c r="L553" s="7">
        <f t="shared" si="33"/>
        <v>3500</v>
      </c>
      <c r="M553" s="7">
        <f t="shared" si="34"/>
        <v>31500</v>
      </c>
      <c r="N553" s="23">
        <v>30000</v>
      </c>
      <c r="O553" s="7">
        <f t="shared" si="35"/>
        <v>61500</v>
      </c>
      <c r="P553" s="2" t="s">
        <v>63</v>
      </c>
      <c r="Q553" t="str">
        <f>_xlfn.XLOOKUP(B553,Status!$A$2:$A$1867,Status!$B$2:$B$1867)</f>
        <v>Completed</v>
      </c>
      <c r="R553" s="2" t="s">
        <v>82</v>
      </c>
      <c r="S553" s="8">
        <v>3</v>
      </c>
      <c r="T553" s="2" t="s">
        <v>24</v>
      </c>
      <c r="U553" s="31" t="str" cm="1">
        <f t="array" ref="U553">_xlfn.IFS(L553&lt;=5000,$Z$3,AND(L553&gt;5000,L553&lt;=15000),$Z$4,AND(L553&gt;15000,L553&lt;=30000),$Z$5,AND(L553&gt;30000,L553&lt;=50000),$Z$6,L553&gt;50000,$Z$7)</f>
        <v>Sangat Rendah</v>
      </c>
      <c r="V553" s="2"/>
    </row>
    <row r="554" spans="1:22" ht="15.75" customHeight="1" x14ac:dyDescent="0.25">
      <c r="A554" s="26"/>
      <c r="B554" s="2" t="s">
        <v>893</v>
      </c>
      <c r="C554" s="32">
        <v>45655.374756944453</v>
      </c>
      <c r="D554" s="53">
        <f>YEAR(Table1[[#This Row],[Order Date]])</f>
        <v>2024</v>
      </c>
      <c r="E554" s="2" t="s">
        <v>331</v>
      </c>
      <c r="F554" s="2" t="s">
        <v>20</v>
      </c>
      <c r="G554" s="2" t="s">
        <v>104</v>
      </c>
      <c r="H554" s="23">
        <v>30000</v>
      </c>
      <c r="I554" s="2">
        <v>2</v>
      </c>
      <c r="J554" s="31">
        <v>20</v>
      </c>
      <c r="K554" s="7">
        <f t="shared" si="32"/>
        <v>60000</v>
      </c>
      <c r="L554" s="7">
        <f t="shared" si="33"/>
        <v>12000</v>
      </c>
      <c r="M554" s="7">
        <f t="shared" si="34"/>
        <v>48000</v>
      </c>
      <c r="N554" s="23">
        <v>15000</v>
      </c>
      <c r="O554" s="7">
        <f t="shared" si="35"/>
        <v>63000</v>
      </c>
      <c r="P554" s="2" t="s">
        <v>22</v>
      </c>
      <c r="Q554" t="str">
        <f>_xlfn.XLOOKUP(B554,Status!$A$2:$A$1867,Status!$B$2:$B$1867)</f>
        <v>Completed</v>
      </c>
      <c r="R554" s="2" t="s">
        <v>82</v>
      </c>
      <c r="S554" s="8">
        <v>1</v>
      </c>
      <c r="T554" s="2" t="s">
        <v>37</v>
      </c>
      <c r="U554" s="31" t="str" cm="1">
        <f t="array" ref="U554">_xlfn.IFS(L554&lt;=5000,$Z$3,AND(L554&gt;5000,L554&lt;=15000),$Z$4,AND(L554&gt;15000,L554&lt;=30000),$Z$5,AND(L554&gt;30000,L554&lt;=50000),$Z$6,L554&gt;50000,$Z$7)</f>
        <v>Rendah</v>
      </c>
      <c r="V554" s="2"/>
    </row>
    <row r="555" spans="1:22" ht="15.75" customHeight="1" x14ac:dyDescent="0.25">
      <c r="A555" s="26"/>
      <c r="B555" s="2" t="s">
        <v>894</v>
      </c>
      <c r="C555" s="32">
        <v>45655.458425925928</v>
      </c>
      <c r="D555" s="53">
        <f>YEAR(Table1[[#This Row],[Order Date]])</f>
        <v>2024</v>
      </c>
      <c r="E555" s="2" t="s">
        <v>100</v>
      </c>
      <c r="F555" s="2" t="s">
        <v>66</v>
      </c>
      <c r="G555" s="2" t="s">
        <v>28</v>
      </c>
      <c r="H555" s="23">
        <v>5000</v>
      </c>
      <c r="I555" s="2">
        <v>3</v>
      </c>
      <c r="J555" s="31">
        <v>10</v>
      </c>
      <c r="K555" s="7">
        <f t="shared" si="32"/>
        <v>15000</v>
      </c>
      <c r="L555" s="7">
        <f t="shared" si="33"/>
        <v>1500</v>
      </c>
      <c r="M555" s="7">
        <f t="shared" si="34"/>
        <v>13500</v>
      </c>
      <c r="N555" s="23">
        <v>59000</v>
      </c>
      <c r="O555" s="7">
        <f t="shared" si="35"/>
        <v>72500</v>
      </c>
      <c r="P555" s="2" t="s">
        <v>22</v>
      </c>
      <c r="Q555" t="str">
        <f>_xlfn.XLOOKUP(B555,Status!$A$2:$A$1867,Status!$B$2:$B$1867)</f>
        <v>Returned</v>
      </c>
      <c r="R555" s="2" t="s">
        <v>30</v>
      </c>
      <c r="S555" s="8">
        <v>4</v>
      </c>
      <c r="T555" s="2" t="s">
        <v>24</v>
      </c>
      <c r="U555" s="31" t="str" cm="1">
        <f t="array" ref="U555">_xlfn.IFS(L555&lt;=5000,$Z$3,AND(L555&gt;5000,L555&lt;=15000),$Z$4,AND(L555&gt;15000,L555&lt;=30000),$Z$5,AND(L555&gt;30000,L555&lt;=50000),$Z$6,L555&gt;50000,$Z$7)</f>
        <v>Sangat Rendah</v>
      </c>
      <c r="V555" s="2"/>
    </row>
    <row r="556" spans="1:22" ht="15.75" customHeight="1" x14ac:dyDescent="0.25">
      <c r="A556" s="26"/>
      <c r="B556" s="2" t="s">
        <v>895</v>
      </c>
      <c r="C556" s="32">
        <v>45655.817673611113</v>
      </c>
      <c r="D556" s="53">
        <f>YEAR(Table1[[#This Row],[Order Date]])</f>
        <v>2024</v>
      </c>
      <c r="E556" s="2" t="s">
        <v>551</v>
      </c>
      <c r="F556" s="2" t="s">
        <v>262</v>
      </c>
      <c r="G556" s="2" t="s">
        <v>144</v>
      </c>
      <c r="H556" s="23">
        <v>18000</v>
      </c>
      <c r="I556" s="2">
        <v>2</v>
      </c>
      <c r="J556" s="31">
        <v>0</v>
      </c>
      <c r="K556" s="7">
        <f t="shared" si="32"/>
        <v>36000</v>
      </c>
      <c r="L556" s="7">
        <f t="shared" si="33"/>
        <v>0</v>
      </c>
      <c r="M556" s="7">
        <f t="shared" si="34"/>
        <v>36000</v>
      </c>
      <c r="N556" s="23">
        <v>18000</v>
      </c>
      <c r="O556" s="7">
        <f t="shared" si="35"/>
        <v>54000</v>
      </c>
      <c r="P556" s="2" t="s">
        <v>29</v>
      </c>
      <c r="Q556" t="str">
        <f>_xlfn.XLOOKUP(B556,Status!$A$2:$A$1867,Status!$B$2:$B$1867)</f>
        <v>Cancelled</v>
      </c>
      <c r="R556" s="2" t="s">
        <v>46</v>
      </c>
      <c r="S556" s="8">
        <v>2</v>
      </c>
      <c r="T556" s="2" t="s">
        <v>37</v>
      </c>
      <c r="U556" s="31" t="str" cm="1">
        <f t="array" ref="U556">_xlfn.IFS(L556&lt;=5000,$Z$3,AND(L556&gt;5000,L556&lt;=15000),$Z$4,AND(L556&gt;15000,L556&lt;=30000),$Z$5,AND(L556&gt;30000,L556&lt;=50000),$Z$6,L556&gt;50000,$Z$7)</f>
        <v>Sangat Rendah</v>
      </c>
      <c r="V556" s="2"/>
    </row>
    <row r="557" spans="1:22" ht="15.75" customHeight="1" x14ac:dyDescent="0.25">
      <c r="A557" s="26"/>
      <c r="B557" s="2" t="s">
        <v>896</v>
      </c>
      <c r="C557" s="32">
        <v>45656.280972222223</v>
      </c>
      <c r="D557" s="53">
        <f>YEAR(Table1[[#This Row],[Order Date]])</f>
        <v>2024</v>
      </c>
      <c r="E557" s="2" t="s">
        <v>299</v>
      </c>
      <c r="F557" s="2" t="s">
        <v>163</v>
      </c>
      <c r="G557" s="2" t="s">
        <v>88</v>
      </c>
      <c r="H557" s="23">
        <v>14000</v>
      </c>
      <c r="I557" s="2">
        <v>5</v>
      </c>
      <c r="J557" s="31">
        <v>15</v>
      </c>
      <c r="K557" s="7">
        <f t="shared" si="32"/>
        <v>70000</v>
      </c>
      <c r="L557" s="7">
        <f t="shared" si="33"/>
        <v>10500</v>
      </c>
      <c r="M557" s="7">
        <f t="shared" si="34"/>
        <v>59500</v>
      </c>
      <c r="N557" s="23">
        <v>50000</v>
      </c>
      <c r="O557" s="7">
        <f t="shared" si="35"/>
        <v>109500</v>
      </c>
      <c r="P557" s="2" t="s">
        <v>22</v>
      </c>
      <c r="Q557" t="str">
        <f>_xlfn.XLOOKUP(B557,Status!$A$2:$A$1867,Status!$B$2:$B$1867)</f>
        <v>Completed</v>
      </c>
      <c r="R557" s="2" t="s">
        <v>46</v>
      </c>
      <c r="S557" s="8">
        <v>5</v>
      </c>
      <c r="T557" s="2" t="s">
        <v>24</v>
      </c>
      <c r="U557" s="31" t="str" cm="1">
        <f t="array" ref="U557">_xlfn.IFS(L557&lt;=5000,$Z$3,AND(L557&gt;5000,L557&lt;=15000),$Z$4,AND(L557&gt;15000,L557&lt;=30000),$Z$5,AND(L557&gt;30000,L557&lt;=50000),$Z$6,L557&gt;50000,$Z$7)</f>
        <v>Rendah</v>
      </c>
      <c r="V557" s="2"/>
    </row>
    <row r="558" spans="1:22" ht="15.75" customHeight="1" x14ac:dyDescent="0.25">
      <c r="A558" s="26"/>
      <c r="B558" s="2" t="s">
        <v>897</v>
      </c>
      <c r="C558" s="32">
        <v>45656.804756944453</v>
      </c>
      <c r="D558" s="53">
        <f>YEAR(Table1[[#This Row],[Order Date]])</f>
        <v>2024</v>
      </c>
      <c r="E558" s="2" t="s">
        <v>898</v>
      </c>
      <c r="F558" s="2" t="s">
        <v>195</v>
      </c>
      <c r="G558" s="2" t="s">
        <v>174</v>
      </c>
      <c r="H558" s="23">
        <v>10000</v>
      </c>
      <c r="I558" s="2">
        <v>4</v>
      </c>
      <c r="J558" s="31">
        <v>5</v>
      </c>
      <c r="K558" s="7">
        <f t="shared" si="32"/>
        <v>40000</v>
      </c>
      <c r="L558" s="7">
        <f t="shared" si="33"/>
        <v>2000</v>
      </c>
      <c r="M558" s="7">
        <f t="shared" si="34"/>
        <v>38000</v>
      </c>
      <c r="N558" s="23">
        <v>87000</v>
      </c>
      <c r="O558" s="7">
        <f t="shared" si="35"/>
        <v>125000</v>
      </c>
      <c r="P558" s="2" t="s">
        <v>29</v>
      </c>
      <c r="Q558" t="str">
        <f>_xlfn.XLOOKUP(B558,Status!$A$2:$A$1867,Status!$B$2:$B$1867)</f>
        <v>Completed</v>
      </c>
      <c r="R558" s="2" t="s">
        <v>82</v>
      </c>
      <c r="S558" s="8">
        <v>2</v>
      </c>
      <c r="T558" s="2" t="s">
        <v>24</v>
      </c>
      <c r="U558" s="31" t="str" cm="1">
        <f t="array" ref="U558">_xlfn.IFS(L558&lt;=5000,$Z$3,AND(L558&gt;5000,L558&lt;=15000),$Z$4,AND(L558&gt;15000,L558&lt;=30000),$Z$5,AND(L558&gt;30000,L558&lt;=50000),$Z$6,L558&gt;50000,$Z$7)</f>
        <v>Sangat Rendah</v>
      </c>
      <c r="V558" s="2"/>
    </row>
    <row r="559" spans="1:22" ht="15.75" customHeight="1" x14ac:dyDescent="0.25">
      <c r="A559" s="26"/>
      <c r="B559" s="2" t="s">
        <v>899</v>
      </c>
      <c r="C559" s="32">
        <v>45656.917453703703</v>
      </c>
      <c r="D559" s="53">
        <f>YEAR(Table1[[#This Row],[Order Date]])</f>
        <v>2024</v>
      </c>
      <c r="E559" s="2" t="s">
        <v>900</v>
      </c>
      <c r="F559" s="2" t="s">
        <v>27</v>
      </c>
      <c r="G559" s="2" t="s">
        <v>34</v>
      </c>
      <c r="H559" s="23">
        <v>16000</v>
      </c>
      <c r="I559" s="2">
        <v>4</v>
      </c>
      <c r="J559" s="31">
        <v>15</v>
      </c>
      <c r="K559" s="7">
        <f t="shared" si="32"/>
        <v>64000</v>
      </c>
      <c r="L559" s="7">
        <f t="shared" si="33"/>
        <v>9600</v>
      </c>
      <c r="M559" s="7">
        <f t="shared" si="34"/>
        <v>54400</v>
      </c>
      <c r="N559" s="23">
        <v>17000</v>
      </c>
      <c r="O559" s="7">
        <f t="shared" si="35"/>
        <v>71400</v>
      </c>
      <c r="P559" s="2" t="s">
        <v>29</v>
      </c>
      <c r="Q559" t="str">
        <f>_xlfn.XLOOKUP(B559,Status!$A$2:$A$1867,Status!$B$2:$B$1867)</f>
        <v>Returned</v>
      </c>
      <c r="R559" s="2" t="s">
        <v>82</v>
      </c>
      <c r="S559" s="8">
        <v>2</v>
      </c>
      <c r="T559" s="2" t="s">
        <v>24</v>
      </c>
      <c r="U559" s="31" t="str" cm="1">
        <f t="array" ref="U559">_xlfn.IFS(L559&lt;=5000,$Z$3,AND(L559&gt;5000,L559&lt;=15000),$Z$4,AND(L559&gt;15000,L559&lt;=30000),$Z$5,AND(L559&gt;30000,L559&lt;=50000),$Z$6,L559&gt;50000,$Z$7)</f>
        <v>Rendah</v>
      </c>
      <c r="V559" s="2"/>
    </row>
    <row r="560" spans="1:22" ht="15.75" customHeight="1" x14ac:dyDescent="0.25">
      <c r="A560" s="26"/>
      <c r="B560" s="2" t="s">
        <v>901</v>
      </c>
      <c r="C560" s="32">
        <v>45656.930266203701</v>
      </c>
      <c r="D560" s="53">
        <f>YEAR(Table1[[#This Row],[Order Date]])</f>
        <v>2024</v>
      </c>
      <c r="E560" s="2" t="s">
        <v>758</v>
      </c>
      <c r="F560" s="2" t="s">
        <v>238</v>
      </c>
      <c r="G560" s="2" t="s">
        <v>41</v>
      </c>
      <c r="H560" s="23">
        <v>4000</v>
      </c>
      <c r="I560" s="2">
        <v>1</v>
      </c>
      <c r="J560" s="31">
        <v>5</v>
      </c>
      <c r="K560" s="7">
        <f t="shared" si="32"/>
        <v>4000</v>
      </c>
      <c r="L560" s="7">
        <f t="shared" si="33"/>
        <v>200</v>
      </c>
      <c r="M560" s="7">
        <f t="shared" si="34"/>
        <v>3800</v>
      </c>
      <c r="N560" s="23">
        <v>28000</v>
      </c>
      <c r="O560" s="7">
        <f t="shared" si="35"/>
        <v>31800</v>
      </c>
      <c r="P560" s="2" t="s">
        <v>35</v>
      </c>
      <c r="Q560" t="str">
        <f>_xlfn.XLOOKUP(B560,Status!$A$2:$A$1867,Status!$B$2:$B$1867)</f>
        <v>Completed</v>
      </c>
      <c r="R560" s="2" t="s">
        <v>30</v>
      </c>
      <c r="S560" s="8">
        <v>1</v>
      </c>
      <c r="T560" s="2" t="s">
        <v>24</v>
      </c>
      <c r="U560" s="31" t="str" cm="1">
        <f t="array" ref="U560">_xlfn.IFS(L560&lt;=5000,$Z$3,AND(L560&gt;5000,L560&lt;=15000),$Z$4,AND(L560&gt;15000,L560&lt;=30000),$Z$5,AND(L560&gt;30000,L560&lt;=50000),$Z$6,L560&gt;50000,$Z$7)</f>
        <v>Sangat Rendah</v>
      </c>
      <c r="V560" s="2"/>
    </row>
    <row r="561" spans="1:22" ht="15.75" customHeight="1" x14ac:dyDescent="0.25">
      <c r="A561" s="26"/>
      <c r="B561" s="2" t="s">
        <v>902</v>
      </c>
      <c r="C561" s="32">
        <v>45657.015648148154</v>
      </c>
      <c r="D561" s="53">
        <f>YEAR(Table1[[#This Row],[Order Date]])</f>
        <v>2024</v>
      </c>
      <c r="E561" s="2" t="s">
        <v>381</v>
      </c>
      <c r="F561" s="2" t="s">
        <v>103</v>
      </c>
      <c r="G561" s="2" t="s">
        <v>138</v>
      </c>
      <c r="H561" s="23">
        <v>17000</v>
      </c>
      <c r="I561" s="2">
        <v>3</v>
      </c>
      <c r="J561" s="31">
        <v>0</v>
      </c>
      <c r="K561" s="7">
        <f t="shared" si="32"/>
        <v>51000</v>
      </c>
      <c r="L561" s="7">
        <f t="shared" si="33"/>
        <v>0</v>
      </c>
      <c r="M561" s="7">
        <f t="shared" si="34"/>
        <v>51000</v>
      </c>
      <c r="N561" s="23">
        <v>85000</v>
      </c>
      <c r="O561" s="7">
        <f t="shared" si="35"/>
        <v>136000</v>
      </c>
      <c r="P561" s="2" t="s">
        <v>63</v>
      </c>
      <c r="Q561" t="str">
        <f>_xlfn.XLOOKUP(B561,Status!$A$2:$A$1867,Status!$B$2:$B$1867)</f>
        <v>Returned</v>
      </c>
      <c r="R561" s="2" t="s">
        <v>30</v>
      </c>
      <c r="S561" s="8">
        <v>4</v>
      </c>
      <c r="T561" s="2" t="s">
        <v>24</v>
      </c>
      <c r="U561" s="31" t="str" cm="1">
        <f t="array" ref="U561">_xlfn.IFS(L561&lt;=5000,$Z$3,AND(L561&gt;5000,L561&lt;=15000),$Z$4,AND(L561&gt;15000,L561&lt;=30000),$Z$5,AND(L561&gt;30000,L561&lt;=50000),$Z$6,L561&gt;50000,$Z$7)</f>
        <v>Sangat Rendah</v>
      </c>
      <c r="V561" s="2"/>
    </row>
    <row r="562" spans="1:22" ht="15.75" customHeight="1" x14ac:dyDescent="0.25">
      <c r="A562" s="26"/>
      <c r="B562" s="2" t="s">
        <v>903</v>
      </c>
      <c r="C562" s="32">
        <v>45657.066030092603</v>
      </c>
      <c r="D562" s="53">
        <f>YEAR(Table1[[#This Row],[Order Date]])</f>
        <v>2024</v>
      </c>
      <c r="E562" s="2" t="s">
        <v>904</v>
      </c>
      <c r="F562" s="2" t="s">
        <v>296</v>
      </c>
      <c r="G562" s="2" t="s">
        <v>81</v>
      </c>
      <c r="H562" s="23">
        <v>17000</v>
      </c>
      <c r="I562" s="2">
        <v>3</v>
      </c>
      <c r="J562" s="31">
        <v>0</v>
      </c>
      <c r="K562" s="7">
        <f t="shared" si="32"/>
        <v>51000</v>
      </c>
      <c r="L562" s="7">
        <f t="shared" si="33"/>
        <v>0</v>
      </c>
      <c r="M562" s="7">
        <f t="shared" si="34"/>
        <v>51000</v>
      </c>
      <c r="N562" s="23">
        <v>79000</v>
      </c>
      <c r="O562" s="7">
        <f t="shared" si="35"/>
        <v>130000</v>
      </c>
      <c r="P562" s="2" t="s">
        <v>29</v>
      </c>
      <c r="Q562" t="str">
        <f>_xlfn.XLOOKUP(B562,Status!$A$2:$A$1867,Status!$B$2:$B$1867)</f>
        <v>Returned</v>
      </c>
      <c r="R562" s="2" t="s">
        <v>36</v>
      </c>
      <c r="S562" s="8">
        <v>4</v>
      </c>
      <c r="T562" s="2" t="s">
        <v>37</v>
      </c>
      <c r="U562" s="31" t="str" cm="1">
        <f t="array" ref="U562">_xlfn.IFS(L562&lt;=5000,$Z$3,AND(L562&gt;5000,L562&lt;=15000),$Z$4,AND(L562&gt;15000,L562&lt;=30000),$Z$5,AND(L562&gt;30000,L562&lt;=50000),$Z$6,L562&gt;50000,$Z$7)</f>
        <v>Sangat Rendah</v>
      </c>
      <c r="V562" s="2"/>
    </row>
    <row r="563" spans="1:22" ht="15.75" customHeight="1" x14ac:dyDescent="0.25">
      <c r="A563" s="26"/>
      <c r="B563" s="2" t="s">
        <v>905</v>
      </c>
      <c r="C563" s="32">
        <v>45657.206493055557</v>
      </c>
      <c r="D563" s="53">
        <f>YEAR(Table1[[#This Row],[Order Date]])</f>
        <v>2024</v>
      </c>
      <c r="E563" s="2" t="s">
        <v>269</v>
      </c>
      <c r="F563" s="2" t="s">
        <v>173</v>
      </c>
      <c r="G563" s="2" t="s">
        <v>67</v>
      </c>
      <c r="H563" s="23">
        <v>15000</v>
      </c>
      <c r="I563" s="2">
        <v>2</v>
      </c>
      <c r="J563" s="31">
        <v>0</v>
      </c>
      <c r="K563" s="7">
        <f t="shared" si="32"/>
        <v>30000</v>
      </c>
      <c r="L563" s="7">
        <f t="shared" si="33"/>
        <v>0</v>
      </c>
      <c r="M563" s="7">
        <f t="shared" si="34"/>
        <v>30000</v>
      </c>
      <c r="N563" s="23">
        <v>49000</v>
      </c>
      <c r="O563" s="7">
        <f t="shared" si="35"/>
        <v>79000</v>
      </c>
      <c r="P563" s="2" t="s">
        <v>29</v>
      </c>
      <c r="Q563" t="str">
        <f>_xlfn.XLOOKUP(B563,Status!$A$2:$A$1867,Status!$B$2:$B$1867)</f>
        <v>Completed</v>
      </c>
      <c r="R563" s="2" t="s">
        <v>23</v>
      </c>
      <c r="S563" s="8">
        <v>4</v>
      </c>
      <c r="T563" s="2" t="s">
        <v>37</v>
      </c>
      <c r="U563" s="31" t="str" cm="1">
        <f t="array" ref="U563">_xlfn.IFS(L563&lt;=5000,$Z$3,AND(L563&gt;5000,L563&lt;=15000),$Z$4,AND(L563&gt;15000,L563&lt;=30000),$Z$5,AND(L563&gt;30000,L563&lt;=50000),$Z$6,L563&gt;50000,$Z$7)</f>
        <v>Sangat Rendah</v>
      </c>
      <c r="V563" s="2"/>
    </row>
    <row r="564" spans="1:22" ht="15.75" customHeight="1" x14ac:dyDescent="0.25">
      <c r="A564" s="26"/>
      <c r="B564" s="2" t="s">
        <v>906</v>
      </c>
      <c r="C564" s="32">
        <v>45657.253738425927</v>
      </c>
      <c r="D564" s="53">
        <f>YEAR(Table1[[#This Row],[Order Date]])</f>
        <v>2024</v>
      </c>
      <c r="E564" s="2" t="s">
        <v>359</v>
      </c>
      <c r="F564" s="2" t="s">
        <v>70</v>
      </c>
      <c r="G564" s="2" t="s">
        <v>50</v>
      </c>
      <c r="H564" s="23">
        <v>14000</v>
      </c>
      <c r="I564" s="2">
        <v>1</v>
      </c>
      <c r="J564" s="31">
        <v>10</v>
      </c>
      <c r="K564" s="7">
        <f t="shared" si="32"/>
        <v>14000</v>
      </c>
      <c r="L564" s="7">
        <f t="shared" si="33"/>
        <v>1400</v>
      </c>
      <c r="M564" s="7">
        <f t="shared" si="34"/>
        <v>12600</v>
      </c>
      <c r="N564" s="23">
        <v>89000</v>
      </c>
      <c r="O564" s="7">
        <f t="shared" si="35"/>
        <v>101600</v>
      </c>
      <c r="P564" s="2" t="s">
        <v>29</v>
      </c>
      <c r="Q564" t="str">
        <f>_xlfn.XLOOKUP(B564,Status!$A$2:$A$1867,Status!$B$2:$B$1867)</f>
        <v>Completed</v>
      </c>
      <c r="R564" s="2" t="s">
        <v>23</v>
      </c>
      <c r="S564" s="8">
        <v>1</v>
      </c>
      <c r="T564" s="2" t="s">
        <v>24</v>
      </c>
      <c r="U564" s="31" t="str" cm="1">
        <f t="array" ref="U564">_xlfn.IFS(L564&lt;=5000,$Z$3,AND(L564&gt;5000,L564&lt;=15000),$Z$4,AND(L564&gt;15000,L564&lt;=30000),$Z$5,AND(L564&gt;30000,L564&lt;=50000),$Z$6,L564&gt;50000,$Z$7)</f>
        <v>Sangat Rendah</v>
      </c>
      <c r="V564" s="2"/>
    </row>
    <row r="565" spans="1:22" ht="15.75" customHeight="1" x14ac:dyDescent="0.25">
      <c r="A565" s="26"/>
      <c r="B565" s="2" t="s">
        <v>907</v>
      </c>
      <c r="C565" s="32">
        <v>45657.470694444448</v>
      </c>
      <c r="D565" s="53">
        <f>YEAR(Table1[[#This Row],[Order Date]])</f>
        <v>2024</v>
      </c>
      <c r="E565" s="2" t="s">
        <v>425</v>
      </c>
      <c r="F565" s="2" t="s">
        <v>44</v>
      </c>
      <c r="G565" s="2" t="s">
        <v>75</v>
      </c>
      <c r="H565" s="23">
        <v>55000</v>
      </c>
      <c r="I565" s="2">
        <v>2</v>
      </c>
      <c r="J565" s="31">
        <v>10</v>
      </c>
      <c r="K565" s="7">
        <f t="shared" si="32"/>
        <v>110000</v>
      </c>
      <c r="L565" s="7">
        <f t="shared" si="33"/>
        <v>11000</v>
      </c>
      <c r="M565" s="7">
        <f t="shared" si="34"/>
        <v>99000</v>
      </c>
      <c r="N565" s="23">
        <v>93000</v>
      </c>
      <c r="O565" s="7">
        <f t="shared" si="35"/>
        <v>192000</v>
      </c>
      <c r="P565" s="2" t="s">
        <v>22</v>
      </c>
      <c r="Q565" t="str">
        <f>_xlfn.XLOOKUP(B565,Status!$A$2:$A$1867,Status!$B$2:$B$1867)</f>
        <v>Completed</v>
      </c>
      <c r="R565" s="2" t="s">
        <v>46</v>
      </c>
      <c r="S565" s="8">
        <v>1</v>
      </c>
      <c r="T565" s="2" t="s">
        <v>37</v>
      </c>
      <c r="U565" s="31" t="str" cm="1">
        <f t="array" ref="U565">_xlfn.IFS(L565&lt;=5000,$Z$3,AND(L565&gt;5000,L565&lt;=15000),$Z$4,AND(L565&gt;15000,L565&lt;=30000),$Z$5,AND(L565&gt;30000,L565&lt;=50000),$Z$6,L565&gt;50000,$Z$7)</f>
        <v>Rendah</v>
      </c>
      <c r="V565" s="2"/>
    </row>
    <row r="566" spans="1:22" ht="15.75" customHeight="1" x14ac:dyDescent="0.25">
      <c r="A566" s="26"/>
      <c r="B566" s="2" t="s">
        <v>908</v>
      </c>
      <c r="C566" s="32">
        <v>45657.500381944446</v>
      </c>
      <c r="D566" s="53">
        <f>YEAR(Table1[[#This Row],[Order Date]])</f>
        <v>2024</v>
      </c>
      <c r="E566" s="2" t="s">
        <v>532</v>
      </c>
      <c r="F566" s="2" t="s">
        <v>262</v>
      </c>
      <c r="G566" s="2" t="s">
        <v>110</v>
      </c>
      <c r="H566" s="23">
        <v>6000</v>
      </c>
      <c r="I566" s="2">
        <v>5</v>
      </c>
      <c r="J566" s="31">
        <v>5</v>
      </c>
      <c r="K566" s="7">
        <f t="shared" si="32"/>
        <v>30000</v>
      </c>
      <c r="L566" s="7">
        <f t="shared" si="33"/>
        <v>1500</v>
      </c>
      <c r="M566" s="7">
        <f t="shared" si="34"/>
        <v>28500</v>
      </c>
      <c r="N566" s="23">
        <v>18000</v>
      </c>
      <c r="O566" s="7">
        <f t="shared" si="35"/>
        <v>46500</v>
      </c>
      <c r="P566" s="2" t="s">
        <v>35</v>
      </c>
      <c r="Q566" t="str">
        <f>_xlfn.XLOOKUP(B566,Status!$A$2:$A$1867,Status!$B$2:$B$1867)</f>
        <v>Completed</v>
      </c>
      <c r="R566" s="2" t="s">
        <v>23</v>
      </c>
      <c r="S566" s="8">
        <v>3</v>
      </c>
      <c r="T566" s="2" t="s">
        <v>24</v>
      </c>
      <c r="U566" s="31" t="str" cm="1">
        <f t="array" ref="U566">_xlfn.IFS(L566&lt;=5000,$Z$3,AND(L566&gt;5000,L566&lt;=15000),$Z$4,AND(L566&gt;15000,L566&lt;=30000),$Z$5,AND(L566&gt;30000,L566&lt;=50000),$Z$6,L566&gt;50000,$Z$7)</f>
        <v>Sangat Rendah</v>
      </c>
      <c r="V566" s="2"/>
    </row>
    <row r="567" spans="1:22" ht="15.75" customHeight="1" x14ac:dyDescent="0.25">
      <c r="A567" s="26"/>
      <c r="B567" s="2" t="s">
        <v>909</v>
      </c>
      <c r="C567" s="32">
        <v>45657.556770833333</v>
      </c>
      <c r="D567" s="53">
        <f>YEAR(Table1[[#This Row],[Order Date]])</f>
        <v>2024</v>
      </c>
      <c r="E567" s="2" t="s">
        <v>703</v>
      </c>
      <c r="F567" s="2" t="s">
        <v>122</v>
      </c>
      <c r="G567" s="2" t="s">
        <v>85</v>
      </c>
      <c r="H567" s="23">
        <v>35000</v>
      </c>
      <c r="I567" s="2">
        <v>3</v>
      </c>
      <c r="J567" s="31">
        <v>0</v>
      </c>
      <c r="K567" s="7">
        <f t="shared" si="32"/>
        <v>105000</v>
      </c>
      <c r="L567" s="7">
        <f t="shared" si="33"/>
        <v>0</v>
      </c>
      <c r="M567" s="7">
        <f t="shared" si="34"/>
        <v>105000</v>
      </c>
      <c r="N567" s="23">
        <v>78000</v>
      </c>
      <c r="O567" s="7">
        <f t="shared" si="35"/>
        <v>183000</v>
      </c>
      <c r="P567" s="2" t="s">
        <v>29</v>
      </c>
      <c r="Q567" t="str">
        <f>_xlfn.XLOOKUP(B567,Status!$A$2:$A$1867,Status!$B$2:$B$1867)</f>
        <v>Completed</v>
      </c>
      <c r="R567" s="2" t="s">
        <v>30</v>
      </c>
      <c r="S567" s="8">
        <v>5</v>
      </c>
      <c r="T567" s="2" t="s">
        <v>24</v>
      </c>
      <c r="U567" s="31" t="str" cm="1">
        <f t="array" ref="U567">_xlfn.IFS(L567&lt;=5000,$Z$3,AND(L567&gt;5000,L567&lt;=15000),$Z$4,AND(L567&gt;15000,L567&lt;=30000),$Z$5,AND(L567&gt;30000,L567&lt;=50000),$Z$6,L567&gt;50000,$Z$7)</f>
        <v>Sangat Rendah</v>
      </c>
      <c r="V567" s="2"/>
    </row>
    <row r="568" spans="1:22" ht="15.75" customHeight="1" x14ac:dyDescent="0.25">
      <c r="A568" s="26"/>
      <c r="B568" s="2" t="s">
        <v>910</v>
      </c>
      <c r="C568" s="32">
        <v>45657.661597222221</v>
      </c>
      <c r="D568" s="53">
        <f>YEAR(Table1[[#This Row],[Order Date]])</f>
        <v>2024</v>
      </c>
      <c r="E568" s="2" t="s">
        <v>87</v>
      </c>
      <c r="F568" s="2" t="s">
        <v>80</v>
      </c>
      <c r="G568" s="2" t="s">
        <v>41</v>
      </c>
      <c r="H568" s="23">
        <v>4000</v>
      </c>
      <c r="I568" s="2">
        <v>4</v>
      </c>
      <c r="J568" s="31">
        <v>10</v>
      </c>
      <c r="K568" s="7">
        <f t="shared" si="32"/>
        <v>16000</v>
      </c>
      <c r="L568" s="7">
        <f t="shared" si="33"/>
        <v>1600</v>
      </c>
      <c r="M568" s="7">
        <f t="shared" si="34"/>
        <v>14400</v>
      </c>
      <c r="N568" s="23">
        <v>74000</v>
      </c>
      <c r="O568" s="7">
        <f t="shared" si="35"/>
        <v>88400</v>
      </c>
      <c r="P568" s="2" t="s">
        <v>35</v>
      </c>
      <c r="Q568" t="str">
        <f>_xlfn.XLOOKUP(B568,Status!$A$2:$A$1867,Status!$B$2:$B$1867)</f>
        <v>Returned</v>
      </c>
      <c r="R568" s="2" t="s">
        <v>46</v>
      </c>
      <c r="S568" s="8">
        <v>5</v>
      </c>
      <c r="T568" s="2" t="s">
        <v>24</v>
      </c>
      <c r="U568" s="31" t="str" cm="1">
        <f t="array" ref="U568">_xlfn.IFS(L568&lt;=5000,$Z$3,AND(L568&gt;5000,L568&lt;=15000),$Z$4,AND(L568&gt;15000,L568&lt;=30000),$Z$5,AND(L568&gt;30000,L568&lt;=50000),$Z$6,L568&gt;50000,$Z$7)</f>
        <v>Sangat Rendah</v>
      </c>
      <c r="V568" s="2"/>
    </row>
    <row r="569" spans="1:22" ht="15.75" customHeight="1" x14ac:dyDescent="0.25">
      <c r="A569" s="26"/>
      <c r="B569" s="2" t="s">
        <v>911</v>
      </c>
      <c r="C569" s="32">
        <v>45657.785000000003</v>
      </c>
      <c r="D569" s="53">
        <f>YEAR(Table1[[#This Row],[Order Date]])</f>
        <v>2024</v>
      </c>
      <c r="E569" s="2" t="s">
        <v>812</v>
      </c>
      <c r="F569" s="2" t="s">
        <v>33</v>
      </c>
      <c r="G569" s="2" t="s">
        <v>174</v>
      </c>
      <c r="H569" s="23">
        <v>10000</v>
      </c>
      <c r="I569" s="2">
        <v>4</v>
      </c>
      <c r="J569" s="31">
        <v>10</v>
      </c>
      <c r="K569" s="7">
        <f t="shared" si="32"/>
        <v>40000</v>
      </c>
      <c r="L569" s="7">
        <f t="shared" si="33"/>
        <v>4000</v>
      </c>
      <c r="M569" s="7">
        <f t="shared" si="34"/>
        <v>36000</v>
      </c>
      <c r="N569" s="23">
        <v>76000</v>
      </c>
      <c r="O569" s="7">
        <f t="shared" si="35"/>
        <v>112000</v>
      </c>
      <c r="P569" s="2" t="s">
        <v>29</v>
      </c>
      <c r="Q569" t="str">
        <f>_xlfn.XLOOKUP(B569,Status!$A$2:$A$1867,Status!$B$2:$B$1867)</f>
        <v>Completed</v>
      </c>
      <c r="R569" s="2" t="s">
        <v>36</v>
      </c>
      <c r="S569" s="8">
        <v>1</v>
      </c>
      <c r="T569" s="2" t="s">
        <v>24</v>
      </c>
      <c r="U569" s="31" t="str" cm="1">
        <f t="array" ref="U569">_xlfn.IFS(L569&lt;=5000,$Z$3,AND(L569&gt;5000,L569&lt;=15000),$Z$4,AND(L569&gt;15000,L569&lt;=30000),$Z$5,AND(L569&gt;30000,L569&lt;=50000),$Z$6,L569&gt;50000,$Z$7)</f>
        <v>Sangat Rendah</v>
      </c>
      <c r="V569" s="2"/>
    </row>
    <row r="570" spans="1:22" ht="15.75" customHeight="1" x14ac:dyDescent="0.25">
      <c r="A570" s="26"/>
      <c r="B570" s="2" t="s">
        <v>911</v>
      </c>
      <c r="C570" s="32">
        <v>45657.785000000003</v>
      </c>
      <c r="D570" s="53">
        <f>YEAR(Table1[[#This Row],[Order Date]])</f>
        <v>2024</v>
      </c>
      <c r="E570" s="2" t="s">
        <v>812</v>
      </c>
      <c r="F570" s="2" t="s">
        <v>33</v>
      </c>
      <c r="G570" s="2" t="s">
        <v>75</v>
      </c>
      <c r="H570" s="23">
        <v>55000</v>
      </c>
      <c r="I570" s="2">
        <v>2</v>
      </c>
      <c r="J570" s="31">
        <v>15</v>
      </c>
      <c r="K570" s="7">
        <f t="shared" si="32"/>
        <v>110000</v>
      </c>
      <c r="L570" s="7">
        <f t="shared" si="33"/>
        <v>16500</v>
      </c>
      <c r="M570" s="7">
        <f t="shared" si="34"/>
        <v>93500</v>
      </c>
      <c r="N570" s="23">
        <v>0</v>
      </c>
      <c r="O570" s="7">
        <f t="shared" si="35"/>
        <v>93500</v>
      </c>
      <c r="P570" s="2" t="s">
        <v>29</v>
      </c>
      <c r="Q570" t="str">
        <f>_xlfn.XLOOKUP(B570,Status!$A$2:$A$1867,Status!$B$2:$B$1867)</f>
        <v>Completed</v>
      </c>
      <c r="R570" s="2" t="s">
        <v>36</v>
      </c>
      <c r="S570" s="8">
        <v>1</v>
      </c>
      <c r="T570" s="2" t="s">
        <v>24</v>
      </c>
      <c r="U570" s="31" t="str" cm="1">
        <f t="array" ref="U570">_xlfn.IFS(L570&lt;=5000,$Z$3,AND(L570&gt;5000,L570&lt;=15000),$Z$4,AND(L570&gt;15000,L570&lt;=30000),$Z$5,AND(L570&gt;30000,L570&lt;=50000),$Z$6,L570&gt;50000,$Z$7)</f>
        <v>Normal</v>
      </c>
      <c r="V570" s="2"/>
    </row>
    <row r="571" spans="1:22" ht="15.75" customHeight="1" x14ac:dyDescent="0.25">
      <c r="A571" s="26"/>
      <c r="B571" s="2" t="s">
        <v>912</v>
      </c>
      <c r="C571" s="32">
        <v>45657.819618055553</v>
      </c>
      <c r="D571" s="53">
        <f>YEAR(Table1[[#This Row],[Order Date]])</f>
        <v>2024</v>
      </c>
      <c r="E571" s="2" t="s">
        <v>619</v>
      </c>
      <c r="F571" s="2" t="s">
        <v>435</v>
      </c>
      <c r="G571" s="2" t="s">
        <v>50</v>
      </c>
      <c r="H571" s="23">
        <v>14000</v>
      </c>
      <c r="I571" s="2">
        <v>1</v>
      </c>
      <c r="J571" s="31">
        <v>20</v>
      </c>
      <c r="K571" s="7">
        <f t="shared" si="32"/>
        <v>14000</v>
      </c>
      <c r="L571" s="7">
        <f t="shared" si="33"/>
        <v>2800</v>
      </c>
      <c r="M571" s="7">
        <f t="shared" si="34"/>
        <v>11200</v>
      </c>
      <c r="N571" s="23">
        <v>67000</v>
      </c>
      <c r="O571" s="7">
        <f t="shared" si="35"/>
        <v>78200</v>
      </c>
      <c r="P571" s="2" t="s">
        <v>35</v>
      </c>
      <c r="Q571" t="str">
        <f>_xlfn.XLOOKUP(B571,Status!$A$2:$A$1867,Status!$B$2:$B$1867)</f>
        <v>Completed</v>
      </c>
      <c r="R571" s="2" t="s">
        <v>82</v>
      </c>
      <c r="S571" s="8">
        <v>4</v>
      </c>
      <c r="T571" s="2" t="s">
        <v>24</v>
      </c>
      <c r="U571" s="31" t="str" cm="1">
        <f t="array" ref="U571">_xlfn.IFS(L571&lt;=5000,$Z$3,AND(L571&gt;5000,L571&lt;=15000),$Z$4,AND(L571&gt;15000,L571&lt;=30000),$Z$5,AND(L571&gt;30000,L571&lt;=50000),$Z$6,L571&gt;50000,$Z$7)</f>
        <v>Sangat Rendah</v>
      </c>
      <c r="V571" s="2"/>
    </row>
    <row r="572" spans="1:22" ht="15.75" customHeight="1" x14ac:dyDescent="0.25">
      <c r="A572" s="26"/>
      <c r="B572" s="2" t="s">
        <v>913</v>
      </c>
      <c r="C572" s="32">
        <v>45657.956782407397</v>
      </c>
      <c r="D572" s="53">
        <f>YEAR(Table1[[#This Row],[Order Date]])</f>
        <v>2024</v>
      </c>
      <c r="E572" s="2" t="s">
        <v>385</v>
      </c>
      <c r="F572" s="2" t="s">
        <v>375</v>
      </c>
      <c r="G572" s="2" t="s">
        <v>110</v>
      </c>
      <c r="H572" s="23">
        <v>6000</v>
      </c>
      <c r="I572" s="2">
        <v>3</v>
      </c>
      <c r="J572" s="31">
        <v>20</v>
      </c>
      <c r="K572" s="7">
        <f t="shared" si="32"/>
        <v>18000</v>
      </c>
      <c r="L572" s="7">
        <f t="shared" si="33"/>
        <v>3600</v>
      </c>
      <c r="M572" s="7">
        <f t="shared" si="34"/>
        <v>14400</v>
      </c>
      <c r="N572" s="23">
        <v>21000</v>
      </c>
      <c r="O572" s="7">
        <f t="shared" si="35"/>
        <v>35400</v>
      </c>
      <c r="P572" s="2" t="s">
        <v>35</v>
      </c>
      <c r="Q572" t="str">
        <f>_xlfn.XLOOKUP(B572,Status!$A$2:$A$1867,Status!$B$2:$B$1867)</f>
        <v>Completed</v>
      </c>
      <c r="R572" s="2" t="s">
        <v>46</v>
      </c>
      <c r="S572" s="8">
        <v>5</v>
      </c>
      <c r="T572" s="2" t="s">
        <v>24</v>
      </c>
      <c r="U572" s="31" t="str" cm="1">
        <f t="array" ref="U572">_xlfn.IFS(L572&lt;=5000,$Z$3,AND(L572&gt;5000,L572&lt;=15000),$Z$4,AND(L572&gt;15000,L572&lt;=30000),$Z$5,AND(L572&gt;30000,L572&lt;=50000),$Z$6,L572&gt;50000,$Z$7)</f>
        <v>Sangat Rendah</v>
      </c>
      <c r="V572" s="2"/>
    </row>
    <row r="573" spans="1:22" ht="15.75" customHeight="1" x14ac:dyDescent="0.25">
      <c r="A573" s="26"/>
      <c r="B573" s="2" t="s">
        <v>914</v>
      </c>
      <c r="C573" s="32">
        <v>45658.068738425929</v>
      </c>
      <c r="D573" s="53">
        <f>YEAR(Table1[[#This Row],[Order Date]])</f>
        <v>2025</v>
      </c>
      <c r="E573" s="2" t="s">
        <v>273</v>
      </c>
      <c r="F573" s="2" t="s">
        <v>195</v>
      </c>
      <c r="G573" s="2" t="s">
        <v>54</v>
      </c>
      <c r="H573" s="23">
        <v>16000</v>
      </c>
      <c r="I573" s="2">
        <v>5</v>
      </c>
      <c r="J573" s="31">
        <v>0</v>
      </c>
      <c r="K573" s="7">
        <f t="shared" si="32"/>
        <v>80000</v>
      </c>
      <c r="L573" s="7">
        <f t="shared" si="33"/>
        <v>0</v>
      </c>
      <c r="M573" s="7">
        <f t="shared" si="34"/>
        <v>80000</v>
      </c>
      <c r="N573" s="23">
        <v>87000</v>
      </c>
      <c r="O573" s="7">
        <f t="shared" si="35"/>
        <v>167000</v>
      </c>
      <c r="P573" s="2" t="s">
        <v>35</v>
      </c>
      <c r="Q573" t="str">
        <f>_xlfn.XLOOKUP(B573,Status!$A$2:$A$1867,Status!$B$2:$B$1867)</f>
        <v>Completed</v>
      </c>
      <c r="R573" s="2" t="s">
        <v>36</v>
      </c>
      <c r="S573" s="8">
        <v>4</v>
      </c>
      <c r="T573" s="2" t="s">
        <v>24</v>
      </c>
      <c r="U573" s="31" t="str" cm="1">
        <f t="array" ref="U573">_xlfn.IFS(L573&lt;=5000,$Z$3,AND(L573&gt;5000,L573&lt;=15000),$Z$4,AND(L573&gt;15000,L573&lt;=30000),$Z$5,AND(L573&gt;30000,L573&lt;=50000),$Z$6,L573&gt;50000,$Z$7)</f>
        <v>Sangat Rendah</v>
      </c>
      <c r="V573" s="2"/>
    </row>
    <row r="574" spans="1:22" ht="15.75" customHeight="1" x14ac:dyDescent="0.25">
      <c r="A574" s="26"/>
      <c r="B574" s="2" t="s">
        <v>915</v>
      </c>
      <c r="C574" s="32">
        <v>45658.182245370372</v>
      </c>
      <c r="D574" s="53">
        <f>YEAR(Table1[[#This Row],[Order Date]])</f>
        <v>2025</v>
      </c>
      <c r="E574" s="2" t="s">
        <v>916</v>
      </c>
      <c r="F574" s="2" t="s">
        <v>96</v>
      </c>
      <c r="G574" s="2" t="s">
        <v>45</v>
      </c>
      <c r="H574" s="23">
        <v>40000</v>
      </c>
      <c r="I574" s="2">
        <v>4</v>
      </c>
      <c r="J574" s="31">
        <v>20</v>
      </c>
      <c r="K574" s="7">
        <f t="shared" si="32"/>
        <v>160000</v>
      </c>
      <c r="L574" s="7">
        <f t="shared" si="33"/>
        <v>32000</v>
      </c>
      <c r="M574" s="7">
        <f t="shared" si="34"/>
        <v>128000</v>
      </c>
      <c r="N574" s="23">
        <v>49000</v>
      </c>
      <c r="O574" s="7">
        <f t="shared" si="35"/>
        <v>177000</v>
      </c>
      <c r="P574" s="2" t="s">
        <v>22</v>
      </c>
      <c r="Q574" t="str">
        <f>_xlfn.XLOOKUP(B574,Status!$A$2:$A$1867,Status!$B$2:$B$1867)</f>
        <v>Completed</v>
      </c>
      <c r="R574" s="2" t="s">
        <v>23</v>
      </c>
      <c r="S574" s="8">
        <v>4</v>
      </c>
      <c r="T574" s="2" t="s">
        <v>24</v>
      </c>
      <c r="U574" s="31" t="str" cm="1">
        <f t="array" ref="U574">_xlfn.IFS(L574&lt;=5000,$Z$3,AND(L574&gt;5000,L574&lt;=15000),$Z$4,AND(L574&gt;15000,L574&lt;=30000),$Z$5,AND(L574&gt;30000,L574&lt;=50000),$Z$6,L574&gt;50000,$Z$7)</f>
        <v>Tinggi</v>
      </c>
      <c r="V574" s="2"/>
    </row>
    <row r="575" spans="1:22" ht="15.75" customHeight="1" x14ac:dyDescent="0.25">
      <c r="A575" s="26"/>
      <c r="B575" s="2" t="s">
        <v>917</v>
      </c>
      <c r="C575" s="32">
        <v>45658.31627314815</v>
      </c>
      <c r="D575" s="53">
        <f>YEAR(Table1[[#This Row],[Order Date]])</f>
        <v>2025</v>
      </c>
      <c r="E575" s="2" t="s">
        <v>918</v>
      </c>
      <c r="F575" s="2" t="s">
        <v>296</v>
      </c>
      <c r="G575" s="2" t="s">
        <v>136</v>
      </c>
      <c r="H575" s="23">
        <v>12000</v>
      </c>
      <c r="I575" s="2">
        <v>4</v>
      </c>
      <c r="J575" s="31">
        <v>20</v>
      </c>
      <c r="K575" s="7">
        <f t="shared" si="32"/>
        <v>48000</v>
      </c>
      <c r="L575" s="7">
        <f t="shared" si="33"/>
        <v>9600</v>
      </c>
      <c r="M575" s="7">
        <f t="shared" si="34"/>
        <v>38400</v>
      </c>
      <c r="N575" s="23">
        <v>79000</v>
      </c>
      <c r="O575" s="7">
        <f t="shared" si="35"/>
        <v>117400</v>
      </c>
      <c r="P575" s="2" t="s">
        <v>63</v>
      </c>
      <c r="Q575" t="str">
        <f>_xlfn.XLOOKUP(B575,Status!$A$2:$A$1867,Status!$B$2:$B$1867)</f>
        <v>Completed</v>
      </c>
      <c r="R575" s="2" t="s">
        <v>30</v>
      </c>
      <c r="S575" s="8">
        <v>2</v>
      </c>
      <c r="T575" s="2" t="s">
        <v>24</v>
      </c>
      <c r="U575" s="31" t="str" cm="1">
        <f t="array" ref="U575">_xlfn.IFS(L575&lt;=5000,$Z$3,AND(L575&gt;5000,L575&lt;=15000),$Z$4,AND(L575&gt;15000,L575&lt;=30000),$Z$5,AND(L575&gt;30000,L575&lt;=50000),$Z$6,L575&gt;50000,$Z$7)</f>
        <v>Rendah</v>
      </c>
      <c r="V575" s="2"/>
    </row>
    <row r="576" spans="1:22" ht="15.75" customHeight="1" x14ac:dyDescent="0.25">
      <c r="A576" s="26"/>
      <c r="B576" s="2" t="s">
        <v>919</v>
      </c>
      <c r="C576" s="32">
        <v>45658.476342592592</v>
      </c>
      <c r="D576" s="53">
        <f>YEAR(Table1[[#This Row],[Order Date]])</f>
        <v>2025</v>
      </c>
      <c r="E576" s="2" t="s">
        <v>203</v>
      </c>
      <c r="F576" s="2" t="s">
        <v>20</v>
      </c>
      <c r="G576" s="2" t="s">
        <v>104</v>
      </c>
      <c r="H576" s="23">
        <v>30000</v>
      </c>
      <c r="I576" s="2">
        <v>3</v>
      </c>
      <c r="J576" s="31">
        <v>20</v>
      </c>
      <c r="K576" s="7">
        <f t="shared" si="32"/>
        <v>90000</v>
      </c>
      <c r="L576" s="7">
        <f t="shared" si="33"/>
        <v>18000</v>
      </c>
      <c r="M576" s="7">
        <f t="shared" si="34"/>
        <v>72000</v>
      </c>
      <c r="N576" s="23">
        <v>15000</v>
      </c>
      <c r="O576" s="7">
        <f t="shared" si="35"/>
        <v>87000</v>
      </c>
      <c r="P576" s="2" t="s">
        <v>63</v>
      </c>
      <c r="Q576" t="str">
        <f>_xlfn.XLOOKUP(B576,Status!$A$2:$A$1867,Status!$B$2:$B$1867)</f>
        <v>Completed</v>
      </c>
      <c r="R576" s="2" t="s">
        <v>82</v>
      </c>
      <c r="S576" s="8">
        <v>4</v>
      </c>
      <c r="T576" s="2" t="s">
        <v>24</v>
      </c>
      <c r="U576" s="31" t="str" cm="1">
        <f t="array" ref="U576">_xlfn.IFS(L576&lt;=5000,$Z$3,AND(L576&gt;5000,L576&lt;=15000),$Z$4,AND(L576&gt;15000,L576&lt;=30000),$Z$5,AND(L576&gt;30000,L576&lt;=50000),$Z$6,L576&gt;50000,$Z$7)</f>
        <v>Normal</v>
      </c>
      <c r="V576" s="2"/>
    </row>
    <row r="577" spans="1:22" ht="15.75" customHeight="1" x14ac:dyDescent="0.25">
      <c r="A577" s="26"/>
      <c r="B577" s="2" t="s">
        <v>920</v>
      </c>
      <c r="C577" s="32">
        <v>45658.606747685182</v>
      </c>
      <c r="D577" s="53">
        <f>YEAR(Table1[[#This Row],[Order Date]])</f>
        <v>2025</v>
      </c>
      <c r="E577" s="2" t="s">
        <v>321</v>
      </c>
      <c r="F577" s="2" t="s">
        <v>80</v>
      </c>
      <c r="G577" s="2" t="s">
        <v>38</v>
      </c>
      <c r="H577" s="23">
        <v>28000</v>
      </c>
      <c r="I577" s="2">
        <v>5</v>
      </c>
      <c r="J577" s="31">
        <v>5</v>
      </c>
      <c r="K577" s="7">
        <f t="shared" si="32"/>
        <v>140000</v>
      </c>
      <c r="L577" s="7">
        <f t="shared" si="33"/>
        <v>7000</v>
      </c>
      <c r="M577" s="7">
        <f t="shared" si="34"/>
        <v>133000</v>
      </c>
      <c r="N577" s="23">
        <v>74000</v>
      </c>
      <c r="O577" s="7">
        <f t="shared" si="35"/>
        <v>207000</v>
      </c>
      <c r="P577" s="2" t="s">
        <v>35</v>
      </c>
      <c r="Q577" t="str">
        <f>_xlfn.XLOOKUP(B577,Status!$A$2:$A$1867,Status!$B$2:$B$1867)</f>
        <v>Completed</v>
      </c>
      <c r="R577" s="2" t="s">
        <v>46</v>
      </c>
      <c r="S577" s="8">
        <v>3</v>
      </c>
      <c r="T577" s="2" t="s">
        <v>24</v>
      </c>
      <c r="U577" s="31" t="str" cm="1">
        <f t="array" ref="U577">_xlfn.IFS(L577&lt;=5000,$Z$3,AND(L577&gt;5000,L577&lt;=15000),$Z$4,AND(L577&gt;15000,L577&lt;=30000),$Z$5,AND(L577&gt;30000,L577&lt;=50000),$Z$6,L577&gt;50000,$Z$7)</f>
        <v>Rendah</v>
      </c>
      <c r="V577" s="2"/>
    </row>
    <row r="578" spans="1:22" ht="15.75" customHeight="1" x14ac:dyDescent="0.25">
      <c r="A578" s="26"/>
      <c r="B578" s="2" t="s">
        <v>921</v>
      </c>
      <c r="C578" s="32">
        <v>45658.663425925923</v>
      </c>
      <c r="D578" s="53">
        <f>YEAR(Table1[[#This Row],[Order Date]])</f>
        <v>2025</v>
      </c>
      <c r="E578" s="2" t="s">
        <v>922</v>
      </c>
      <c r="F578" s="2" t="s">
        <v>33</v>
      </c>
      <c r="G578" s="2" t="s">
        <v>110</v>
      </c>
      <c r="H578" s="23">
        <v>6000</v>
      </c>
      <c r="I578" s="2">
        <v>4</v>
      </c>
      <c r="J578" s="31">
        <v>10</v>
      </c>
      <c r="K578" s="7">
        <f t="shared" si="32"/>
        <v>24000</v>
      </c>
      <c r="L578" s="7">
        <f t="shared" si="33"/>
        <v>2400</v>
      </c>
      <c r="M578" s="7">
        <f t="shared" si="34"/>
        <v>21600</v>
      </c>
      <c r="N578" s="23">
        <v>76000</v>
      </c>
      <c r="O578" s="7">
        <f t="shared" si="35"/>
        <v>97600</v>
      </c>
      <c r="P578" s="2" t="s">
        <v>29</v>
      </c>
      <c r="Q578" t="str">
        <f>_xlfn.XLOOKUP(B578,Status!$A$2:$A$1867,Status!$B$2:$B$1867)</f>
        <v>Returned</v>
      </c>
      <c r="R578" s="2" t="s">
        <v>36</v>
      </c>
      <c r="S578" s="8">
        <v>3</v>
      </c>
      <c r="T578" s="2" t="s">
        <v>37</v>
      </c>
      <c r="U578" s="31" t="str" cm="1">
        <f t="array" ref="U578">_xlfn.IFS(L578&lt;=5000,$Z$3,AND(L578&gt;5000,L578&lt;=15000),$Z$4,AND(L578&gt;15000,L578&lt;=30000),$Z$5,AND(L578&gt;30000,L578&lt;=50000),$Z$6,L578&gt;50000,$Z$7)</f>
        <v>Sangat Rendah</v>
      </c>
      <c r="V578" s="2"/>
    </row>
    <row r="579" spans="1:22" ht="15.75" customHeight="1" x14ac:dyDescent="0.25">
      <c r="A579" s="26"/>
      <c r="B579" s="2" t="s">
        <v>923</v>
      </c>
      <c r="C579" s="32">
        <v>45658.793900462973</v>
      </c>
      <c r="D579" s="53">
        <f>YEAR(Table1[[#This Row],[Order Date]])</f>
        <v>2025</v>
      </c>
      <c r="E579" s="2" t="s">
        <v>924</v>
      </c>
      <c r="F579" s="2" t="s">
        <v>20</v>
      </c>
      <c r="G579" s="2" t="s">
        <v>123</v>
      </c>
      <c r="H579" s="23">
        <v>22000</v>
      </c>
      <c r="I579" s="2">
        <v>1</v>
      </c>
      <c r="J579" s="31">
        <v>10</v>
      </c>
      <c r="K579" s="7">
        <f t="shared" si="32"/>
        <v>22000</v>
      </c>
      <c r="L579" s="7">
        <f t="shared" si="33"/>
        <v>2200</v>
      </c>
      <c r="M579" s="7">
        <f t="shared" si="34"/>
        <v>19800</v>
      </c>
      <c r="N579" s="23">
        <v>15000</v>
      </c>
      <c r="O579" s="7">
        <f t="shared" si="35"/>
        <v>34800</v>
      </c>
      <c r="P579" s="2" t="s">
        <v>35</v>
      </c>
      <c r="Q579" t="str">
        <f>_xlfn.XLOOKUP(B579,Status!$A$2:$A$1867,Status!$B$2:$B$1867)</f>
        <v>Completed</v>
      </c>
      <c r="R579" s="2" t="s">
        <v>30</v>
      </c>
      <c r="S579" s="8">
        <v>1</v>
      </c>
      <c r="T579" s="2" t="s">
        <v>37</v>
      </c>
      <c r="U579" s="31" t="str" cm="1">
        <f t="array" ref="U579">_xlfn.IFS(L579&lt;=5000,$Z$3,AND(L579&gt;5000,L579&lt;=15000),$Z$4,AND(L579&gt;15000,L579&lt;=30000),$Z$5,AND(L579&gt;30000,L579&lt;=50000),$Z$6,L579&gt;50000,$Z$7)</f>
        <v>Sangat Rendah</v>
      </c>
      <c r="V579" s="2"/>
    </row>
    <row r="580" spans="1:22" ht="15.75" customHeight="1" x14ac:dyDescent="0.25">
      <c r="A580" s="26"/>
      <c r="B580" s="2" t="s">
        <v>925</v>
      </c>
      <c r="C580" s="32">
        <v>45658.815000000002</v>
      </c>
      <c r="D580" s="53">
        <f>YEAR(Table1[[#This Row],[Order Date]])</f>
        <v>2025</v>
      </c>
      <c r="E580" s="2" t="s">
        <v>794</v>
      </c>
      <c r="F580" s="2" t="s">
        <v>61</v>
      </c>
      <c r="G580" s="2" t="s">
        <v>144</v>
      </c>
      <c r="H580" s="23">
        <v>18000</v>
      </c>
      <c r="I580" s="2">
        <v>1</v>
      </c>
      <c r="J580" s="31">
        <v>5</v>
      </c>
      <c r="K580" s="7">
        <f t="shared" ref="K580:K643" si="36">H580*I580</f>
        <v>18000</v>
      </c>
      <c r="L580" s="7">
        <f t="shared" ref="L580:L643" si="37">K580*(J580/100)</f>
        <v>900</v>
      </c>
      <c r="M580" s="7">
        <f t="shared" ref="M580:M643" si="38">K580-L580</f>
        <v>17100</v>
      </c>
      <c r="N580" s="23">
        <v>26000</v>
      </c>
      <c r="O580" s="7">
        <f t="shared" ref="O580:O643" si="39">SUM(M580:N580)</f>
        <v>43100</v>
      </c>
      <c r="P580" s="2" t="s">
        <v>29</v>
      </c>
      <c r="Q580" t="str">
        <f>_xlfn.XLOOKUP(B580,Status!$A$2:$A$1867,Status!$B$2:$B$1867)</f>
        <v>Completed</v>
      </c>
      <c r="R580" s="2" t="s">
        <v>30</v>
      </c>
      <c r="S580" s="8">
        <v>5</v>
      </c>
      <c r="T580" s="2" t="s">
        <v>37</v>
      </c>
      <c r="U580" s="31" t="str" cm="1">
        <f t="array" ref="U580">_xlfn.IFS(L580&lt;=5000,$Z$3,AND(L580&gt;5000,L580&lt;=15000),$Z$4,AND(L580&gt;15000,L580&lt;=30000),$Z$5,AND(L580&gt;30000,L580&lt;=50000),$Z$6,L580&gt;50000,$Z$7)</f>
        <v>Sangat Rendah</v>
      </c>
      <c r="V580" s="2"/>
    </row>
    <row r="581" spans="1:22" ht="15.75" customHeight="1" x14ac:dyDescent="0.25">
      <c r="A581" s="26"/>
      <c r="B581" s="2" t="s">
        <v>926</v>
      </c>
      <c r="C581" s="32">
        <v>45658.849780092591</v>
      </c>
      <c r="D581" s="53">
        <f>YEAR(Table1[[#This Row],[Order Date]])</f>
        <v>2025</v>
      </c>
      <c r="E581" s="2" t="s">
        <v>867</v>
      </c>
      <c r="F581" s="2" t="s">
        <v>20</v>
      </c>
      <c r="G581" s="2" t="s">
        <v>41</v>
      </c>
      <c r="H581" s="23">
        <v>4000</v>
      </c>
      <c r="I581" s="2">
        <v>1</v>
      </c>
      <c r="J581" s="31">
        <v>20</v>
      </c>
      <c r="K581" s="7">
        <f t="shared" si="36"/>
        <v>4000</v>
      </c>
      <c r="L581" s="7">
        <f t="shared" si="37"/>
        <v>800</v>
      </c>
      <c r="M581" s="7">
        <f t="shared" si="38"/>
        <v>3200</v>
      </c>
      <c r="N581" s="23">
        <v>15000</v>
      </c>
      <c r="O581" s="7">
        <f t="shared" si="39"/>
        <v>18200</v>
      </c>
      <c r="P581" s="2" t="s">
        <v>63</v>
      </c>
      <c r="Q581" t="str">
        <f>_xlfn.XLOOKUP(B581,Status!$A$2:$A$1867,Status!$B$2:$B$1867)</f>
        <v>Completed</v>
      </c>
      <c r="R581" s="2" t="s">
        <v>46</v>
      </c>
      <c r="S581" s="8">
        <v>3</v>
      </c>
      <c r="T581" s="2" t="s">
        <v>37</v>
      </c>
      <c r="U581" s="31" t="str" cm="1">
        <f t="array" ref="U581">_xlfn.IFS(L581&lt;=5000,$Z$3,AND(L581&gt;5000,L581&lt;=15000),$Z$4,AND(L581&gt;15000,L581&lt;=30000),$Z$5,AND(L581&gt;30000,L581&lt;=50000),$Z$6,L581&gt;50000,$Z$7)</f>
        <v>Sangat Rendah</v>
      </c>
      <c r="V581" s="2"/>
    </row>
    <row r="582" spans="1:22" ht="15.75" customHeight="1" x14ac:dyDescent="0.25">
      <c r="A582" s="26"/>
      <c r="B582" s="2" t="s">
        <v>927</v>
      </c>
      <c r="C582" s="32">
        <v>45659.141805555562</v>
      </c>
      <c r="D582" s="53">
        <f>YEAR(Table1[[#This Row],[Order Date]])</f>
        <v>2025</v>
      </c>
      <c r="E582" s="2" t="s">
        <v>281</v>
      </c>
      <c r="F582" s="2" t="s">
        <v>151</v>
      </c>
      <c r="G582" s="2" t="s">
        <v>138</v>
      </c>
      <c r="H582" s="23">
        <v>17000</v>
      </c>
      <c r="I582" s="2">
        <v>1</v>
      </c>
      <c r="J582" s="31">
        <v>10</v>
      </c>
      <c r="K582" s="7">
        <f t="shared" si="36"/>
        <v>17000</v>
      </c>
      <c r="L582" s="7">
        <f t="shared" si="37"/>
        <v>1700</v>
      </c>
      <c r="M582" s="7">
        <f t="shared" si="38"/>
        <v>15300</v>
      </c>
      <c r="N582" s="23">
        <v>55000</v>
      </c>
      <c r="O582" s="7">
        <f t="shared" si="39"/>
        <v>70300</v>
      </c>
      <c r="P582" s="2" t="s">
        <v>22</v>
      </c>
      <c r="Q582" t="str">
        <f>_xlfn.XLOOKUP(B582,Status!$A$2:$A$1867,Status!$B$2:$B$1867)</f>
        <v>Returned</v>
      </c>
      <c r="R582" s="2" t="s">
        <v>36</v>
      </c>
      <c r="S582" s="8">
        <v>2</v>
      </c>
      <c r="T582" s="2" t="s">
        <v>24</v>
      </c>
      <c r="U582" s="31" t="str" cm="1">
        <f t="array" ref="U582">_xlfn.IFS(L582&lt;=5000,$Z$3,AND(L582&gt;5000,L582&lt;=15000),$Z$4,AND(L582&gt;15000,L582&lt;=30000),$Z$5,AND(L582&gt;30000,L582&lt;=50000),$Z$6,L582&gt;50000,$Z$7)</f>
        <v>Sangat Rendah</v>
      </c>
      <c r="V582" s="2"/>
    </row>
    <row r="583" spans="1:22" ht="15.75" customHeight="1" x14ac:dyDescent="0.25">
      <c r="A583" s="26"/>
      <c r="B583" s="2" t="s">
        <v>928</v>
      </c>
      <c r="C583" s="32">
        <v>45659.260381944441</v>
      </c>
      <c r="D583" s="53">
        <f>YEAR(Table1[[#This Row],[Order Date]])</f>
        <v>2025</v>
      </c>
      <c r="E583" s="2" t="s">
        <v>649</v>
      </c>
      <c r="F583" s="2" t="s">
        <v>177</v>
      </c>
      <c r="G583" s="2" t="s">
        <v>67</v>
      </c>
      <c r="H583" s="23">
        <v>15000</v>
      </c>
      <c r="I583" s="2">
        <v>2</v>
      </c>
      <c r="J583" s="31">
        <v>0</v>
      </c>
      <c r="K583" s="7">
        <f t="shared" si="36"/>
        <v>30000</v>
      </c>
      <c r="L583" s="7">
        <f t="shared" si="37"/>
        <v>0</v>
      </c>
      <c r="M583" s="7">
        <f t="shared" si="38"/>
        <v>30000</v>
      </c>
      <c r="N583" s="23">
        <v>56000</v>
      </c>
      <c r="O583" s="7">
        <f t="shared" si="39"/>
        <v>86000</v>
      </c>
      <c r="P583" s="2" t="s">
        <v>63</v>
      </c>
      <c r="Q583" t="str">
        <f>_xlfn.XLOOKUP(B583,Status!$A$2:$A$1867,Status!$B$2:$B$1867)</f>
        <v>Completed</v>
      </c>
      <c r="R583" s="2" t="s">
        <v>23</v>
      </c>
      <c r="S583" s="8">
        <v>1</v>
      </c>
      <c r="T583" s="2" t="s">
        <v>24</v>
      </c>
      <c r="U583" s="31" t="str" cm="1">
        <f t="array" ref="U583">_xlfn.IFS(L583&lt;=5000,$Z$3,AND(L583&gt;5000,L583&lt;=15000),$Z$4,AND(L583&gt;15000,L583&lt;=30000),$Z$5,AND(L583&gt;30000,L583&lt;=50000),$Z$6,L583&gt;50000,$Z$7)</f>
        <v>Sangat Rendah</v>
      </c>
      <c r="V583" s="2"/>
    </row>
    <row r="584" spans="1:22" ht="15.75" customHeight="1" x14ac:dyDescent="0.25">
      <c r="A584" s="26"/>
      <c r="B584" s="2" t="s">
        <v>929</v>
      </c>
      <c r="C584" s="32">
        <v>45659.447696759264</v>
      </c>
      <c r="D584" s="53">
        <f>YEAR(Table1[[#This Row],[Order Date]])</f>
        <v>2025</v>
      </c>
      <c r="E584" s="2" t="s">
        <v>582</v>
      </c>
      <c r="F584" s="2" t="s">
        <v>435</v>
      </c>
      <c r="G584" s="2" t="s">
        <v>58</v>
      </c>
      <c r="H584" s="23">
        <v>16000</v>
      </c>
      <c r="I584" s="2">
        <v>2</v>
      </c>
      <c r="J584" s="31">
        <v>10</v>
      </c>
      <c r="K584" s="7">
        <f t="shared" si="36"/>
        <v>32000</v>
      </c>
      <c r="L584" s="7">
        <f t="shared" si="37"/>
        <v>3200</v>
      </c>
      <c r="M584" s="7">
        <f t="shared" si="38"/>
        <v>28800</v>
      </c>
      <c r="N584" s="23">
        <v>67000</v>
      </c>
      <c r="O584" s="7">
        <f t="shared" si="39"/>
        <v>95800</v>
      </c>
      <c r="P584" s="2" t="s">
        <v>22</v>
      </c>
      <c r="Q584" t="str">
        <f>_xlfn.XLOOKUP(B584,Status!$A$2:$A$1867,Status!$B$2:$B$1867)</f>
        <v>Completed</v>
      </c>
      <c r="R584" s="2" t="s">
        <v>30</v>
      </c>
      <c r="S584" s="8">
        <v>3</v>
      </c>
      <c r="T584" s="2" t="s">
        <v>24</v>
      </c>
      <c r="U584" s="31" t="str" cm="1">
        <f t="array" ref="U584">_xlfn.IFS(L584&lt;=5000,$Z$3,AND(L584&gt;5000,L584&lt;=15000),$Z$4,AND(L584&gt;15000,L584&lt;=30000),$Z$5,AND(L584&gt;30000,L584&lt;=50000),$Z$6,L584&gt;50000,$Z$7)</f>
        <v>Sangat Rendah</v>
      </c>
      <c r="V584" s="2"/>
    </row>
    <row r="585" spans="1:22" ht="15.75" customHeight="1" x14ac:dyDescent="0.25">
      <c r="A585" s="26"/>
      <c r="B585" s="2" t="s">
        <v>929</v>
      </c>
      <c r="C585" s="32">
        <v>45659.447696759264</v>
      </c>
      <c r="D585" s="53">
        <f>YEAR(Table1[[#This Row],[Order Date]])</f>
        <v>2025</v>
      </c>
      <c r="E585" s="2" t="s">
        <v>582</v>
      </c>
      <c r="F585" s="2" t="s">
        <v>435</v>
      </c>
      <c r="G585" s="2" t="s">
        <v>21</v>
      </c>
      <c r="H585" s="23">
        <v>45000</v>
      </c>
      <c r="I585" s="2">
        <v>1</v>
      </c>
      <c r="J585" s="31">
        <v>20</v>
      </c>
      <c r="K585" s="7">
        <f t="shared" si="36"/>
        <v>45000</v>
      </c>
      <c r="L585" s="7">
        <f t="shared" si="37"/>
        <v>9000</v>
      </c>
      <c r="M585" s="7">
        <f t="shared" si="38"/>
        <v>36000</v>
      </c>
      <c r="N585" s="23">
        <v>0</v>
      </c>
      <c r="O585" s="7">
        <f t="shared" si="39"/>
        <v>36000</v>
      </c>
      <c r="P585" s="2" t="s">
        <v>22</v>
      </c>
      <c r="Q585" t="str">
        <f>_xlfn.XLOOKUP(B585,Status!$A$2:$A$1867,Status!$B$2:$B$1867)</f>
        <v>Completed</v>
      </c>
      <c r="R585" s="2" t="s">
        <v>30</v>
      </c>
      <c r="S585" s="8">
        <v>3</v>
      </c>
      <c r="T585" s="2" t="s">
        <v>24</v>
      </c>
      <c r="U585" s="31" t="str" cm="1">
        <f t="array" ref="U585">_xlfn.IFS(L585&lt;=5000,$Z$3,AND(L585&gt;5000,L585&lt;=15000),$Z$4,AND(L585&gt;15000,L585&lt;=30000),$Z$5,AND(L585&gt;30000,L585&lt;=50000),$Z$6,L585&gt;50000,$Z$7)</f>
        <v>Rendah</v>
      </c>
      <c r="V585" s="2"/>
    </row>
    <row r="586" spans="1:22" ht="15.75" customHeight="1" x14ac:dyDescent="0.25">
      <c r="A586" s="26"/>
      <c r="B586" s="2" t="s">
        <v>930</v>
      </c>
      <c r="C586" s="32">
        <v>45659.823842592603</v>
      </c>
      <c r="D586" s="53">
        <f>YEAR(Table1[[#This Row],[Order Date]])</f>
        <v>2025</v>
      </c>
      <c r="E586" s="2" t="s">
        <v>468</v>
      </c>
      <c r="F586" s="2" t="s">
        <v>163</v>
      </c>
      <c r="G586" s="2" t="s">
        <v>190</v>
      </c>
      <c r="H586" s="23">
        <v>35000</v>
      </c>
      <c r="I586" s="2">
        <v>4</v>
      </c>
      <c r="J586" s="31">
        <v>15</v>
      </c>
      <c r="K586" s="7">
        <f t="shared" si="36"/>
        <v>140000</v>
      </c>
      <c r="L586" s="7">
        <f t="shared" si="37"/>
        <v>21000</v>
      </c>
      <c r="M586" s="7">
        <f t="shared" si="38"/>
        <v>119000</v>
      </c>
      <c r="N586" s="23">
        <v>50000</v>
      </c>
      <c r="O586" s="7">
        <f t="shared" si="39"/>
        <v>169000</v>
      </c>
      <c r="P586" s="2" t="s">
        <v>35</v>
      </c>
      <c r="Q586" t="str">
        <f>_xlfn.XLOOKUP(B586,Status!$A$2:$A$1867,Status!$B$2:$B$1867)</f>
        <v>Completed</v>
      </c>
      <c r="R586" s="2" t="s">
        <v>46</v>
      </c>
      <c r="S586" s="8">
        <v>2</v>
      </c>
      <c r="T586" s="2" t="s">
        <v>24</v>
      </c>
      <c r="U586" s="31" t="str" cm="1">
        <f t="array" ref="U586">_xlfn.IFS(L586&lt;=5000,$Z$3,AND(L586&gt;5000,L586&lt;=15000),$Z$4,AND(L586&gt;15000,L586&lt;=30000),$Z$5,AND(L586&gt;30000,L586&lt;=50000),$Z$6,L586&gt;50000,$Z$7)</f>
        <v>Normal</v>
      </c>
      <c r="V586" s="2"/>
    </row>
    <row r="587" spans="1:22" ht="15.75" customHeight="1" x14ac:dyDescent="0.25">
      <c r="A587" s="26"/>
      <c r="B587" s="2" t="s">
        <v>931</v>
      </c>
      <c r="C587" s="32">
        <v>45659.885300925933</v>
      </c>
      <c r="D587" s="53">
        <f>YEAR(Table1[[#This Row],[Order Date]])</f>
        <v>2025</v>
      </c>
      <c r="E587" s="2" t="s">
        <v>398</v>
      </c>
      <c r="F587" s="2" t="s">
        <v>182</v>
      </c>
      <c r="G587" s="2" t="s">
        <v>75</v>
      </c>
      <c r="H587" s="23">
        <v>55000</v>
      </c>
      <c r="I587" s="2">
        <v>1</v>
      </c>
      <c r="J587" s="31">
        <v>10</v>
      </c>
      <c r="K587" s="7">
        <f t="shared" si="36"/>
        <v>55000</v>
      </c>
      <c r="L587" s="7">
        <f t="shared" si="37"/>
        <v>5500</v>
      </c>
      <c r="M587" s="7">
        <f t="shared" si="38"/>
        <v>49500</v>
      </c>
      <c r="N587" s="23">
        <v>48000</v>
      </c>
      <c r="O587" s="7">
        <f t="shared" si="39"/>
        <v>97500</v>
      </c>
      <c r="P587" s="2" t="s">
        <v>22</v>
      </c>
      <c r="Q587" t="str">
        <f>_xlfn.XLOOKUP(B587,Status!$A$2:$A$1867,Status!$B$2:$B$1867)</f>
        <v>Returned</v>
      </c>
      <c r="R587" s="2" t="s">
        <v>82</v>
      </c>
      <c r="S587" s="8">
        <v>2</v>
      </c>
      <c r="T587" s="2" t="s">
        <v>24</v>
      </c>
      <c r="U587" s="31" t="str" cm="1">
        <f t="array" ref="U587">_xlfn.IFS(L587&lt;=5000,$Z$3,AND(L587&gt;5000,L587&lt;=15000),$Z$4,AND(L587&gt;15000,L587&lt;=30000),$Z$5,AND(L587&gt;30000,L587&lt;=50000),$Z$6,L587&gt;50000,$Z$7)</f>
        <v>Rendah</v>
      </c>
      <c r="V587" s="2"/>
    </row>
    <row r="588" spans="1:22" ht="15.75" customHeight="1" x14ac:dyDescent="0.25">
      <c r="A588" s="26"/>
      <c r="B588" s="2" t="s">
        <v>932</v>
      </c>
      <c r="C588" s="32">
        <v>45660.335324074083</v>
      </c>
      <c r="D588" s="53">
        <f>YEAR(Table1[[#This Row],[Order Date]])</f>
        <v>2025</v>
      </c>
      <c r="E588" s="2" t="s">
        <v>333</v>
      </c>
      <c r="F588" s="2" t="s">
        <v>107</v>
      </c>
      <c r="G588" s="2" t="s">
        <v>58</v>
      </c>
      <c r="H588" s="23">
        <v>16000</v>
      </c>
      <c r="I588" s="2">
        <v>1</v>
      </c>
      <c r="J588" s="31">
        <v>15</v>
      </c>
      <c r="K588" s="7">
        <f t="shared" si="36"/>
        <v>16000</v>
      </c>
      <c r="L588" s="7">
        <f t="shared" si="37"/>
        <v>2400</v>
      </c>
      <c r="M588" s="7">
        <f t="shared" si="38"/>
        <v>13600</v>
      </c>
      <c r="N588" s="23">
        <v>97000</v>
      </c>
      <c r="O588" s="7">
        <f t="shared" si="39"/>
        <v>110600</v>
      </c>
      <c r="P588" s="2" t="s">
        <v>63</v>
      </c>
      <c r="Q588" t="str">
        <f>_xlfn.XLOOKUP(B588,Status!$A$2:$A$1867,Status!$B$2:$B$1867)</f>
        <v>Returned</v>
      </c>
      <c r="R588" s="2" t="s">
        <v>36</v>
      </c>
      <c r="S588" s="8">
        <v>4</v>
      </c>
      <c r="T588" s="2" t="s">
        <v>37</v>
      </c>
      <c r="U588" s="31" t="str" cm="1">
        <f t="array" ref="U588">_xlfn.IFS(L588&lt;=5000,$Z$3,AND(L588&gt;5000,L588&lt;=15000),$Z$4,AND(L588&gt;15000,L588&lt;=30000),$Z$5,AND(L588&gt;30000,L588&lt;=50000),$Z$6,L588&gt;50000,$Z$7)</f>
        <v>Sangat Rendah</v>
      </c>
      <c r="V588" s="2"/>
    </row>
    <row r="589" spans="1:22" ht="15.75" customHeight="1" x14ac:dyDescent="0.25">
      <c r="A589" s="26"/>
      <c r="B589" s="2" t="s">
        <v>933</v>
      </c>
      <c r="C589" s="32">
        <v>45660.382800925923</v>
      </c>
      <c r="D589" s="53">
        <f>YEAR(Table1[[#This Row],[Order Date]])</f>
        <v>2025</v>
      </c>
      <c r="E589" s="2" t="s">
        <v>537</v>
      </c>
      <c r="F589" s="2" t="s">
        <v>57</v>
      </c>
      <c r="G589" s="2" t="s">
        <v>45</v>
      </c>
      <c r="H589" s="23">
        <v>40000</v>
      </c>
      <c r="I589" s="2">
        <v>4</v>
      </c>
      <c r="J589" s="31">
        <v>15</v>
      </c>
      <c r="K589" s="7">
        <f t="shared" si="36"/>
        <v>160000</v>
      </c>
      <c r="L589" s="7">
        <f t="shared" si="37"/>
        <v>24000</v>
      </c>
      <c r="M589" s="7">
        <f t="shared" si="38"/>
        <v>136000</v>
      </c>
      <c r="N589" s="23">
        <v>80000</v>
      </c>
      <c r="O589" s="7">
        <f t="shared" si="39"/>
        <v>216000</v>
      </c>
      <c r="P589" s="2" t="s">
        <v>63</v>
      </c>
      <c r="Q589" t="str">
        <f>_xlfn.XLOOKUP(B589,Status!$A$2:$A$1867,Status!$B$2:$B$1867)</f>
        <v>Completed</v>
      </c>
      <c r="R589" s="2" t="s">
        <v>82</v>
      </c>
      <c r="S589" s="8">
        <v>5</v>
      </c>
      <c r="T589" s="2" t="s">
        <v>37</v>
      </c>
      <c r="U589" s="31" t="str" cm="1">
        <f t="array" ref="U589">_xlfn.IFS(L589&lt;=5000,$Z$3,AND(L589&gt;5000,L589&lt;=15000),$Z$4,AND(L589&gt;15000,L589&lt;=30000),$Z$5,AND(L589&gt;30000,L589&lt;=50000),$Z$6,L589&gt;50000,$Z$7)</f>
        <v>Normal</v>
      </c>
      <c r="V589" s="2"/>
    </row>
    <row r="590" spans="1:22" ht="15.75" customHeight="1" x14ac:dyDescent="0.25">
      <c r="A590" s="26"/>
      <c r="B590" s="2" t="s">
        <v>934</v>
      </c>
      <c r="C590" s="32">
        <v>45660.525092592587</v>
      </c>
      <c r="D590" s="53">
        <f>YEAR(Table1[[#This Row],[Order Date]])</f>
        <v>2025</v>
      </c>
      <c r="E590" s="2" t="s">
        <v>642</v>
      </c>
      <c r="F590" s="2" t="s">
        <v>160</v>
      </c>
      <c r="G590" s="2" t="s">
        <v>190</v>
      </c>
      <c r="H590" s="23">
        <v>35000</v>
      </c>
      <c r="I590" s="2">
        <v>4</v>
      </c>
      <c r="J590" s="31">
        <v>15</v>
      </c>
      <c r="K590" s="7">
        <f t="shared" si="36"/>
        <v>140000</v>
      </c>
      <c r="L590" s="7">
        <f t="shared" si="37"/>
        <v>21000</v>
      </c>
      <c r="M590" s="7">
        <f t="shared" si="38"/>
        <v>119000</v>
      </c>
      <c r="N590" s="23">
        <v>68000</v>
      </c>
      <c r="O590" s="7">
        <f t="shared" si="39"/>
        <v>187000</v>
      </c>
      <c r="P590" s="2" t="s">
        <v>35</v>
      </c>
      <c r="Q590" t="str">
        <f>_xlfn.XLOOKUP(B590,Status!$A$2:$A$1867,Status!$B$2:$B$1867)</f>
        <v>Completed</v>
      </c>
      <c r="R590" s="2" t="s">
        <v>30</v>
      </c>
      <c r="S590" s="8">
        <v>4</v>
      </c>
      <c r="T590" s="2" t="s">
        <v>24</v>
      </c>
      <c r="U590" s="31" t="str" cm="1">
        <f t="array" ref="U590">_xlfn.IFS(L590&lt;=5000,$Z$3,AND(L590&gt;5000,L590&lt;=15000),$Z$4,AND(L590&gt;15000,L590&lt;=30000),$Z$5,AND(L590&gt;30000,L590&lt;=50000),$Z$6,L590&gt;50000,$Z$7)</f>
        <v>Normal</v>
      </c>
      <c r="V590" s="2"/>
    </row>
    <row r="591" spans="1:22" ht="15.75" customHeight="1" x14ac:dyDescent="0.25">
      <c r="A591" s="26"/>
      <c r="B591" s="2" t="s">
        <v>934</v>
      </c>
      <c r="C591" s="32">
        <v>45660.525092592587</v>
      </c>
      <c r="D591" s="53">
        <f>YEAR(Table1[[#This Row],[Order Date]])</f>
        <v>2025</v>
      </c>
      <c r="E591" s="2" t="s">
        <v>642</v>
      </c>
      <c r="F591" s="2" t="s">
        <v>160</v>
      </c>
      <c r="G591" s="2" t="s">
        <v>138</v>
      </c>
      <c r="H591" s="23">
        <v>17000</v>
      </c>
      <c r="I591" s="2">
        <v>5</v>
      </c>
      <c r="J591" s="31">
        <v>20</v>
      </c>
      <c r="K591" s="7">
        <f t="shared" si="36"/>
        <v>85000</v>
      </c>
      <c r="L591" s="7">
        <f t="shared" si="37"/>
        <v>17000</v>
      </c>
      <c r="M591" s="7">
        <f t="shared" si="38"/>
        <v>68000</v>
      </c>
      <c r="N591" s="23">
        <v>0</v>
      </c>
      <c r="O591" s="7">
        <f t="shared" si="39"/>
        <v>68000</v>
      </c>
      <c r="P591" s="2" t="s">
        <v>35</v>
      </c>
      <c r="Q591" t="str">
        <f>_xlfn.XLOOKUP(B591,Status!$A$2:$A$1867,Status!$B$2:$B$1867)</f>
        <v>Completed</v>
      </c>
      <c r="R591" s="2" t="s">
        <v>30</v>
      </c>
      <c r="S591" s="8">
        <v>4</v>
      </c>
      <c r="T591" s="2" t="s">
        <v>24</v>
      </c>
      <c r="U591" s="31" t="str" cm="1">
        <f t="array" ref="U591">_xlfn.IFS(L591&lt;=5000,$Z$3,AND(L591&gt;5000,L591&lt;=15000),$Z$4,AND(L591&gt;15000,L591&lt;=30000),$Z$5,AND(L591&gt;30000,L591&lt;=50000),$Z$6,L591&gt;50000,$Z$7)</f>
        <v>Normal</v>
      </c>
      <c r="V591" s="2"/>
    </row>
    <row r="592" spans="1:22" ht="15.75" customHeight="1" x14ac:dyDescent="0.25">
      <c r="A592" s="26"/>
      <c r="B592" s="2" t="s">
        <v>935</v>
      </c>
      <c r="C592" s="32">
        <v>45660.566180555557</v>
      </c>
      <c r="D592" s="53">
        <f>YEAR(Table1[[#This Row],[Order Date]])</f>
        <v>2025</v>
      </c>
      <c r="E592" s="2" t="s">
        <v>400</v>
      </c>
      <c r="F592" s="2" t="s">
        <v>27</v>
      </c>
      <c r="G592" s="2" t="s">
        <v>75</v>
      </c>
      <c r="H592" s="23">
        <v>55000</v>
      </c>
      <c r="I592" s="2">
        <v>4</v>
      </c>
      <c r="J592" s="31">
        <v>0</v>
      </c>
      <c r="K592" s="7">
        <f t="shared" si="36"/>
        <v>220000</v>
      </c>
      <c r="L592" s="7">
        <f t="shared" si="37"/>
        <v>0</v>
      </c>
      <c r="M592" s="7">
        <f t="shared" si="38"/>
        <v>220000</v>
      </c>
      <c r="N592" s="23">
        <v>17000</v>
      </c>
      <c r="O592" s="7">
        <f t="shared" si="39"/>
        <v>237000</v>
      </c>
      <c r="P592" s="2" t="s">
        <v>35</v>
      </c>
      <c r="Q592" t="str">
        <f>_xlfn.XLOOKUP(B592,Status!$A$2:$A$1867,Status!$B$2:$B$1867)</f>
        <v>Completed</v>
      </c>
      <c r="R592" s="2" t="s">
        <v>36</v>
      </c>
      <c r="S592" s="8">
        <v>3</v>
      </c>
      <c r="T592" s="2" t="s">
        <v>24</v>
      </c>
      <c r="U592" s="31" t="str" cm="1">
        <f t="array" ref="U592">_xlfn.IFS(L592&lt;=5000,$Z$3,AND(L592&gt;5000,L592&lt;=15000),$Z$4,AND(L592&gt;15000,L592&lt;=30000),$Z$5,AND(L592&gt;30000,L592&lt;=50000),$Z$6,L592&gt;50000,$Z$7)</f>
        <v>Sangat Rendah</v>
      </c>
      <c r="V592" s="2"/>
    </row>
    <row r="593" spans="1:22" ht="15.75" customHeight="1" x14ac:dyDescent="0.25">
      <c r="A593" s="26"/>
      <c r="B593" s="2" t="s">
        <v>936</v>
      </c>
      <c r="C593" s="32">
        <v>45660.567129629628</v>
      </c>
      <c r="D593" s="53">
        <f>YEAR(Table1[[#This Row],[Order Date]])</f>
        <v>2025</v>
      </c>
      <c r="E593" s="2" t="s">
        <v>626</v>
      </c>
      <c r="F593" s="2" t="s">
        <v>296</v>
      </c>
      <c r="G593" s="2" t="s">
        <v>41</v>
      </c>
      <c r="H593" s="23">
        <v>4000</v>
      </c>
      <c r="I593" s="2">
        <v>5</v>
      </c>
      <c r="J593" s="31">
        <v>10</v>
      </c>
      <c r="K593" s="7">
        <f t="shared" si="36"/>
        <v>20000</v>
      </c>
      <c r="L593" s="7">
        <f t="shared" si="37"/>
        <v>2000</v>
      </c>
      <c r="M593" s="7">
        <f t="shared" si="38"/>
        <v>18000</v>
      </c>
      <c r="N593" s="23">
        <v>79000</v>
      </c>
      <c r="O593" s="7">
        <f t="shared" si="39"/>
        <v>97000</v>
      </c>
      <c r="P593" s="2" t="s">
        <v>63</v>
      </c>
      <c r="Q593" t="str">
        <f>_xlfn.XLOOKUP(B593,Status!$A$2:$A$1867,Status!$B$2:$B$1867)</f>
        <v>Completed</v>
      </c>
      <c r="R593" s="2" t="s">
        <v>30</v>
      </c>
      <c r="S593" s="8">
        <v>2</v>
      </c>
      <c r="T593" s="2" t="s">
        <v>24</v>
      </c>
      <c r="U593" s="31" t="str" cm="1">
        <f t="array" ref="U593">_xlfn.IFS(L593&lt;=5000,$Z$3,AND(L593&gt;5000,L593&lt;=15000),$Z$4,AND(L593&gt;15000,L593&lt;=30000),$Z$5,AND(L593&gt;30000,L593&lt;=50000),$Z$6,L593&gt;50000,$Z$7)</f>
        <v>Sangat Rendah</v>
      </c>
      <c r="V593" s="2"/>
    </row>
    <row r="594" spans="1:22" ht="15.75" customHeight="1" x14ac:dyDescent="0.25">
      <c r="A594" s="26"/>
      <c r="B594" s="2" t="s">
        <v>937</v>
      </c>
      <c r="C594" s="32">
        <v>45660.773831018523</v>
      </c>
      <c r="D594" s="53">
        <f>YEAR(Table1[[#This Row],[Order Date]])</f>
        <v>2025</v>
      </c>
      <c r="E594" s="2" t="s">
        <v>722</v>
      </c>
      <c r="F594" s="2" t="s">
        <v>57</v>
      </c>
      <c r="G594" s="2" t="s">
        <v>85</v>
      </c>
      <c r="H594" s="23">
        <v>35000</v>
      </c>
      <c r="I594" s="2">
        <v>1</v>
      </c>
      <c r="J594" s="31">
        <v>5</v>
      </c>
      <c r="K594" s="7">
        <f t="shared" si="36"/>
        <v>35000</v>
      </c>
      <c r="L594" s="7">
        <f t="shared" si="37"/>
        <v>1750</v>
      </c>
      <c r="M594" s="7">
        <f t="shared" si="38"/>
        <v>33250</v>
      </c>
      <c r="N594" s="23">
        <v>80000</v>
      </c>
      <c r="O594" s="7">
        <f t="shared" si="39"/>
        <v>113250</v>
      </c>
      <c r="P594" s="2" t="s">
        <v>35</v>
      </c>
      <c r="Q594" t="str">
        <f>_xlfn.XLOOKUP(B594,Status!$A$2:$A$1867,Status!$B$2:$B$1867)</f>
        <v>Completed</v>
      </c>
      <c r="R594" s="2" t="s">
        <v>46</v>
      </c>
      <c r="S594" s="8">
        <v>2</v>
      </c>
      <c r="T594" s="2" t="s">
        <v>24</v>
      </c>
      <c r="U594" s="31" t="str" cm="1">
        <f t="array" ref="U594">_xlfn.IFS(L594&lt;=5000,$Z$3,AND(L594&gt;5000,L594&lt;=15000),$Z$4,AND(L594&gt;15000,L594&lt;=30000),$Z$5,AND(L594&gt;30000,L594&lt;=50000),$Z$6,L594&gt;50000,$Z$7)</f>
        <v>Sangat Rendah</v>
      </c>
      <c r="V594" s="2"/>
    </row>
    <row r="595" spans="1:22" ht="15.75" customHeight="1" x14ac:dyDescent="0.25">
      <c r="A595" s="26"/>
      <c r="B595" s="2" t="s">
        <v>938</v>
      </c>
      <c r="C595" s="32">
        <v>45661.125057870369</v>
      </c>
      <c r="D595" s="53">
        <f>YEAR(Table1[[#This Row],[Order Date]])</f>
        <v>2025</v>
      </c>
      <c r="E595" s="2" t="s">
        <v>457</v>
      </c>
      <c r="F595" s="2" t="s">
        <v>80</v>
      </c>
      <c r="G595" s="2" t="s">
        <v>41</v>
      </c>
      <c r="H595" s="23">
        <v>4000</v>
      </c>
      <c r="I595" s="2">
        <v>3</v>
      </c>
      <c r="J595" s="31">
        <v>15</v>
      </c>
      <c r="K595" s="7">
        <f t="shared" si="36"/>
        <v>12000</v>
      </c>
      <c r="L595" s="7">
        <f t="shared" si="37"/>
        <v>1800</v>
      </c>
      <c r="M595" s="7">
        <f t="shared" si="38"/>
        <v>10200</v>
      </c>
      <c r="N595" s="23">
        <v>74000</v>
      </c>
      <c r="O595" s="7">
        <f t="shared" si="39"/>
        <v>84200</v>
      </c>
      <c r="P595" s="2" t="s">
        <v>35</v>
      </c>
      <c r="Q595" t="str">
        <f>_xlfn.XLOOKUP(B595,Status!$A$2:$A$1867,Status!$B$2:$B$1867)</f>
        <v>Completed</v>
      </c>
      <c r="R595" s="2" t="s">
        <v>23</v>
      </c>
      <c r="S595" s="8">
        <v>1</v>
      </c>
      <c r="T595" s="2" t="s">
        <v>24</v>
      </c>
      <c r="U595" s="31" t="str" cm="1">
        <f t="array" ref="U595">_xlfn.IFS(L595&lt;=5000,$Z$3,AND(L595&gt;5000,L595&lt;=15000),$Z$4,AND(L595&gt;15000,L595&lt;=30000),$Z$5,AND(L595&gt;30000,L595&lt;=50000),$Z$6,L595&gt;50000,$Z$7)</f>
        <v>Sangat Rendah</v>
      </c>
      <c r="V595" s="2"/>
    </row>
    <row r="596" spans="1:22" ht="15.75" customHeight="1" x14ac:dyDescent="0.25">
      <c r="A596" s="26"/>
      <c r="B596" s="2" t="s">
        <v>938</v>
      </c>
      <c r="C596" s="32">
        <v>45661.125057870369</v>
      </c>
      <c r="D596" s="53">
        <f>YEAR(Table1[[#This Row],[Order Date]])</f>
        <v>2025</v>
      </c>
      <c r="E596" s="2" t="s">
        <v>457</v>
      </c>
      <c r="F596" s="2" t="s">
        <v>80</v>
      </c>
      <c r="G596" s="2" t="s">
        <v>138</v>
      </c>
      <c r="H596" s="23">
        <v>17000</v>
      </c>
      <c r="I596" s="2">
        <v>2</v>
      </c>
      <c r="J596" s="31">
        <v>10</v>
      </c>
      <c r="K596" s="7">
        <f t="shared" si="36"/>
        <v>34000</v>
      </c>
      <c r="L596" s="7">
        <f t="shared" si="37"/>
        <v>3400</v>
      </c>
      <c r="M596" s="7">
        <f t="shared" si="38"/>
        <v>30600</v>
      </c>
      <c r="N596" s="23">
        <v>0</v>
      </c>
      <c r="O596" s="7">
        <f t="shared" si="39"/>
        <v>30600</v>
      </c>
      <c r="P596" s="2" t="s">
        <v>35</v>
      </c>
      <c r="Q596" t="str">
        <f>_xlfn.XLOOKUP(B596,Status!$A$2:$A$1867,Status!$B$2:$B$1867)</f>
        <v>Completed</v>
      </c>
      <c r="R596" s="2" t="s">
        <v>23</v>
      </c>
      <c r="S596" s="8">
        <v>1</v>
      </c>
      <c r="T596" s="2" t="s">
        <v>24</v>
      </c>
      <c r="U596" s="31" t="str" cm="1">
        <f t="array" ref="U596">_xlfn.IFS(L596&lt;=5000,$Z$3,AND(L596&gt;5000,L596&lt;=15000),$Z$4,AND(L596&gt;15000,L596&lt;=30000),$Z$5,AND(L596&gt;30000,L596&lt;=50000),$Z$6,L596&gt;50000,$Z$7)</f>
        <v>Sangat Rendah</v>
      </c>
      <c r="V596" s="2"/>
    </row>
    <row r="597" spans="1:22" ht="15.75" customHeight="1" x14ac:dyDescent="0.25">
      <c r="A597" s="26"/>
      <c r="B597" s="2" t="s">
        <v>939</v>
      </c>
      <c r="C597" s="32">
        <v>45661.288460648153</v>
      </c>
      <c r="D597" s="53">
        <f>YEAR(Table1[[#This Row],[Order Date]])</f>
        <v>2025</v>
      </c>
      <c r="E597" s="2" t="s">
        <v>741</v>
      </c>
      <c r="F597" s="2" t="s">
        <v>189</v>
      </c>
      <c r="G597" s="2" t="s">
        <v>28</v>
      </c>
      <c r="H597" s="23">
        <v>5000</v>
      </c>
      <c r="I597" s="2">
        <v>5</v>
      </c>
      <c r="J597" s="31">
        <v>0</v>
      </c>
      <c r="K597" s="7">
        <f t="shared" si="36"/>
        <v>25000</v>
      </c>
      <c r="L597" s="7">
        <f t="shared" si="37"/>
        <v>0</v>
      </c>
      <c r="M597" s="7">
        <f t="shared" si="38"/>
        <v>25000</v>
      </c>
      <c r="N597" s="23">
        <v>57000</v>
      </c>
      <c r="O597" s="7">
        <f t="shared" si="39"/>
        <v>82000</v>
      </c>
      <c r="P597" s="2" t="s">
        <v>22</v>
      </c>
      <c r="Q597" t="str">
        <f>_xlfn.XLOOKUP(B597,Status!$A$2:$A$1867,Status!$B$2:$B$1867)</f>
        <v>Completed</v>
      </c>
      <c r="R597" s="2" t="s">
        <v>82</v>
      </c>
      <c r="S597" s="8">
        <v>1</v>
      </c>
      <c r="T597" s="2" t="s">
        <v>24</v>
      </c>
      <c r="U597" s="31" t="str" cm="1">
        <f t="array" ref="U597">_xlfn.IFS(L597&lt;=5000,$Z$3,AND(L597&gt;5000,L597&lt;=15000),$Z$4,AND(L597&gt;15000,L597&lt;=30000),$Z$5,AND(L597&gt;30000,L597&lt;=50000),$Z$6,L597&gt;50000,$Z$7)</f>
        <v>Sangat Rendah</v>
      </c>
      <c r="V597" s="2"/>
    </row>
    <row r="598" spans="1:22" ht="15.75" customHeight="1" x14ac:dyDescent="0.25">
      <c r="A598" s="26"/>
      <c r="B598" s="2" t="s">
        <v>940</v>
      </c>
      <c r="C598" s="32">
        <v>45661.564328703702</v>
      </c>
      <c r="D598" s="53">
        <f>YEAR(Table1[[#This Row],[Order Date]])</f>
        <v>2025</v>
      </c>
      <c r="E598" s="2" t="s">
        <v>305</v>
      </c>
      <c r="F598" s="2" t="s">
        <v>143</v>
      </c>
      <c r="G598" s="2" t="s">
        <v>58</v>
      </c>
      <c r="H598" s="23">
        <v>16000</v>
      </c>
      <c r="I598" s="2">
        <v>1</v>
      </c>
      <c r="J598" s="31">
        <v>5</v>
      </c>
      <c r="K598" s="7">
        <f t="shared" si="36"/>
        <v>16000</v>
      </c>
      <c r="L598" s="7">
        <f t="shared" si="37"/>
        <v>800</v>
      </c>
      <c r="M598" s="7">
        <f t="shared" si="38"/>
        <v>15200</v>
      </c>
      <c r="N598" s="23">
        <v>50000</v>
      </c>
      <c r="O598" s="7">
        <f t="shared" si="39"/>
        <v>65200</v>
      </c>
      <c r="P598" s="2" t="s">
        <v>63</v>
      </c>
      <c r="Q598" t="str">
        <f>_xlfn.XLOOKUP(B598,Status!$A$2:$A$1867,Status!$B$2:$B$1867)</f>
        <v>Completed</v>
      </c>
      <c r="R598" s="2" t="s">
        <v>46</v>
      </c>
      <c r="S598" s="8">
        <v>1</v>
      </c>
      <c r="T598" s="2" t="s">
        <v>24</v>
      </c>
      <c r="U598" s="31" t="str" cm="1">
        <f t="array" ref="U598">_xlfn.IFS(L598&lt;=5000,$Z$3,AND(L598&gt;5000,L598&lt;=15000),$Z$4,AND(L598&gt;15000,L598&lt;=30000),$Z$5,AND(L598&gt;30000,L598&lt;=50000),$Z$6,L598&gt;50000,$Z$7)</f>
        <v>Sangat Rendah</v>
      </c>
      <c r="V598" s="2"/>
    </row>
    <row r="599" spans="1:22" ht="15.75" customHeight="1" x14ac:dyDescent="0.25">
      <c r="A599" s="26"/>
      <c r="B599" s="2" t="s">
        <v>941</v>
      </c>
      <c r="C599" s="32">
        <v>45661.673703703702</v>
      </c>
      <c r="D599" s="53">
        <f>YEAR(Table1[[#This Row],[Order Date]])</f>
        <v>2025</v>
      </c>
      <c r="E599" s="2" t="s">
        <v>265</v>
      </c>
      <c r="F599" s="2" t="s">
        <v>119</v>
      </c>
      <c r="G599" s="2" t="s">
        <v>67</v>
      </c>
      <c r="H599" s="23">
        <v>15000</v>
      </c>
      <c r="I599" s="2">
        <v>1</v>
      </c>
      <c r="J599" s="31">
        <v>15</v>
      </c>
      <c r="K599" s="7">
        <f t="shared" si="36"/>
        <v>15000</v>
      </c>
      <c r="L599" s="7">
        <f t="shared" si="37"/>
        <v>2250</v>
      </c>
      <c r="M599" s="7">
        <f t="shared" si="38"/>
        <v>12750</v>
      </c>
      <c r="N599" s="23">
        <v>0</v>
      </c>
      <c r="O599" s="7">
        <f t="shared" si="39"/>
        <v>12750</v>
      </c>
      <c r="P599" s="2" t="s">
        <v>35</v>
      </c>
      <c r="Q599" t="str">
        <f>_xlfn.XLOOKUP(B599,Status!$A$2:$A$1867,Status!$B$2:$B$1867)</f>
        <v>Completed</v>
      </c>
      <c r="R599" s="2" t="s">
        <v>23</v>
      </c>
      <c r="S599" s="8">
        <v>1</v>
      </c>
      <c r="T599" s="2" t="s">
        <v>24</v>
      </c>
      <c r="U599" s="31" t="str" cm="1">
        <f t="array" ref="U599">_xlfn.IFS(L599&lt;=5000,$Z$3,AND(L599&gt;5000,L599&lt;=15000),$Z$4,AND(L599&gt;15000,L599&lt;=30000),$Z$5,AND(L599&gt;30000,L599&lt;=50000),$Z$6,L599&gt;50000,$Z$7)</f>
        <v>Sangat Rendah</v>
      </c>
      <c r="V599" s="2"/>
    </row>
    <row r="600" spans="1:22" ht="15.75" customHeight="1" x14ac:dyDescent="0.25">
      <c r="A600" s="26"/>
      <c r="B600" s="2" t="s">
        <v>942</v>
      </c>
      <c r="C600" s="32">
        <v>45661.797893518517</v>
      </c>
      <c r="D600" s="53">
        <f>YEAR(Table1[[#This Row],[Order Date]])</f>
        <v>2025</v>
      </c>
      <c r="E600" s="2" t="s">
        <v>532</v>
      </c>
      <c r="F600" s="2" t="s">
        <v>262</v>
      </c>
      <c r="G600" s="2" t="s">
        <v>174</v>
      </c>
      <c r="H600" s="23">
        <v>10000</v>
      </c>
      <c r="I600" s="2">
        <v>1</v>
      </c>
      <c r="J600" s="31">
        <v>5</v>
      </c>
      <c r="K600" s="7">
        <f t="shared" si="36"/>
        <v>10000</v>
      </c>
      <c r="L600" s="7">
        <f t="shared" si="37"/>
        <v>500</v>
      </c>
      <c r="M600" s="7">
        <f t="shared" si="38"/>
        <v>9500</v>
      </c>
      <c r="N600" s="23">
        <v>18000</v>
      </c>
      <c r="O600" s="7">
        <f t="shared" si="39"/>
        <v>27500</v>
      </c>
      <c r="P600" s="2" t="s">
        <v>22</v>
      </c>
      <c r="Q600" t="str">
        <f>_xlfn.XLOOKUP(B600,Status!$A$2:$A$1867,Status!$B$2:$B$1867)</f>
        <v>Completed</v>
      </c>
      <c r="R600" s="2" t="s">
        <v>23</v>
      </c>
      <c r="S600" s="8">
        <v>3</v>
      </c>
      <c r="T600" s="2" t="s">
        <v>24</v>
      </c>
      <c r="U600" s="31" t="str" cm="1">
        <f t="array" ref="U600">_xlfn.IFS(L600&lt;=5000,$Z$3,AND(L600&gt;5000,L600&lt;=15000),$Z$4,AND(L600&gt;15000,L600&lt;=30000),$Z$5,AND(L600&gt;30000,L600&lt;=50000),$Z$6,L600&gt;50000,$Z$7)</f>
        <v>Sangat Rendah</v>
      </c>
      <c r="V600" s="2"/>
    </row>
    <row r="601" spans="1:22" ht="15.75" customHeight="1" x14ac:dyDescent="0.25">
      <c r="A601" s="26"/>
      <c r="B601" s="2" t="s">
        <v>943</v>
      </c>
      <c r="C601" s="32">
        <v>45661.802129629628</v>
      </c>
      <c r="D601" s="53">
        <f>YEAR(Table1[[#This Row],[Order Date]])</f>
        <v>2025</v>
      </c>
      <c r="E601" s="2" t="s">
        <v>246</v>
      </c>
      <c r="F601" s="2" t="s">
        <v>238</v>
      </c>
      <c r="G601" s="2" t="s">
        <v>138</v>
      </c>
      <c r="H601" s="23">
        <v>17000</v>
      </c>
      <c r="I601" s="2">
        <v>5</v>
      </c>
      <c r="J601" s="31">
        <v>10</v>
      </c>
      <c r="K601" s="7">
        <f t="shared" si="36"/>
        <v>85000</v>
      </c>
      <c r="L601" s="7">
        <f t="shared" si="37"/>
        <v>8500</v>
      </c>
      <c r="M601" s="7">
        <f t="shared" si="38"/>
        <v>76500</v>
      </c>
      <c r="N601" s="23">
        <v>28000</v>
      </c>
      <c r="O601" s="7">
        <f t="shared" si="39"/>
        <v>104500</v>
      </c>
      <c r="P601" s="2" t="s">
        <v>63</v>
      </c>
      <c r="Q601" t="str">
        <f>_xlfn.XLOOKUP(B601,Status!$A$2:$A$1867,Status!$B$2:$B$1867)</f>
        <v>Returned</v>
      </c>
      <c r="R601" s="2" t="s">
        <v>36</v>
      </c>
      <c r="S601" s="8">
        <v>5</v>
      </c>
      <c r="T601" s="2" t="s">
        <v>24</v>
      </c>
      <c r="U601" s="31" t="str" cm="1">
        <f t="array" ref="U601">_xlfn.IFS(L601&lt;=5000,$Z$3,AND(L601&gt;5000,L601&lt;=15000),$Z$4,AND(L601&gt;15000,L601&lt;=30000),$Z$5,AND(L601&gt;30000,L601&lt;=50000),$Z$6,L601&gt;50000,$Z$7)</f>
        <v>Rendah</v>
      </c>
      <c r="V601" s="2"/>
    </row>
    <row r="602" spans="1:22" ht="15.75" customHeight="1" x14ac:dyDescent="0.25">
      <c r="A602" s="26"/>
      <c r="B602" s="2" t="s">
        <v>944</v>
      </c>
      <c r="C602" s="32">
        <v>45661.808518518519</v>
      </c>
      <c r="D602" s="53">
        <f>YEAR(Table1[[#This Row],[Order Date]])</f>
        <v>2025</v>
      </c>
      <c r="E602" s="2" t="s">
        <v>331</v>
      </c>
      <c r="F602" s="2" t="s">
        <v>20</v>
      </c>
      <c r="G602" s="2" t="s">
        <v>67</v>
      </c>
      <c r="H602" s="23">
        <v>15000</v>
      </c>
      <c r="I602" s="2">
        <v>3</v>
      </c>
      <c r="J602" s="31">
        <v>15</v>
      </c>
      <c r="K602" s="7">
        <f t="shared" si="36"/>
        <v>45000</v>
      </c>
      <c r="L602" s="7">
        <f t="shared" si="37"/>
        <v>6750</v>
      </c>
      <c r="M602" s="7">
        <f t="shared" si="38"/>
        <v>38250</v>
      </c>
      <c r="N602" s="23">
        <v>15000</v>
      </c>
      <c r="O602" s="7">
        <f t="shared" si="39"/>
        <v>53250</v>
      </c>
      <c r="P602" s="2" t="s">
        <v>29</v>
      </c>
      <c r="Q602" t="str">
        <f>_xlfn.XLOOKUP(B602,Status!$A$2:$A$1867,Status!$B$2:$B$1867)</f>
        <v>Completed</v>
      </c>
      <c r="R602" s="2" t="s">
        <v>82</v>
      </c>
      <c r="S602" s="8">
        <v>4</v>
      </c>
      <c r="T602" s="2" t="s">
        <v>37</v>
      </c>
      <c r="U602" s="31" t="str" cm="1">
        <f t="array" ref="U602">_xlfn.IFS(L602&lt;=5000,$Z$3,AND(L602&gt;5000,L602&lt;=15000),$Z$4,AND(L602&gt;15000,L602&lt;=30000),$Z$5,AND(L602&gt;30000,L602&lt;=50000),$Z$6,L602&gt;50000,$Z$7)</f>
        <v>Rendah</v>
      </c>
      <c r="V602" s="2"/>
    </row>
    <row r="603" spans="1:22" ht="15.75" customHeight="1" x14ac:dyDescent="0.25">
      <c r="A603" s="26"/>
      <c r="B603" s="2" t="s">
        <v>945</v>
      </c>
      <c r="C603" s="32">
        <v>45662.358553240738</v>
      </c>
      <c r="D603" s="53">
        <f>YEAR(Table1[[#This Row],[Order Date]])</f>
        <v>2025</v>
      </c>
      <c r="E603" s="2" t="s">
        <v>344</v>
      </c>
      <c r="F603" s="2" t="s">
        <v>195</v>
      </c>
      <c r="G603" s="2" t="s">
        <v>38</v>
      </c>
      <c r="H603" s="23">
        <v>28000</v>
      </c>
      <c r="I603" s="2">
        <v>5</v>
      </c>
      <c r="J603" s="31">
        <v>10</v>
      </c>
      <c r="K603" s="7">
        <f t="shared" si="36"/>
        <v>140000</v>
      </c>
      <c r="L603" s="7">
        <f t="shared" si="37"/>
        <v>14000</v>
      </c>
      <c r="M603" s="7">
        <f t="shared" si="38"/>
        <v>126000</v>
      </c>
      <c r="N603" s="23">
        <v>87000</v>
      </c>
      <c r="O603" s="7">
        <f t="shared" si="39"/>
        <v>213000</v>
      </c>
      <c r="P603" s="2" t="s">
        <v>22</v>
      </c>
      <c r="Q603" t="str">
        <f>_xlfn.XLOOKUP(B603,Status!$A$2:$A$1867,Status!$B$2:$B$1867)</f>
        <v>Returned</v>
      </c>
      <c r="R603" s="2" t="s">
        <v>23</v>
      </c>
      <c r="S603" s="8">
        <v>5</v>
      </c>
      <c r="T603" s="2" t="s">
        <v>24</v>
      </c>
      <c r="U603" s="31" t="str" cm="1">
        <f t="array" ref="U603">_xlfn.IFS(L603&lt;=5000,$Z$3,AND(L603&gt;5000,L603&lt;=15000),$Z$4,AND(L603&gt;15000,L603&lt;=30000),$Z$5,AND(L603&gt;30000,L603&lt;=50000),$Z$6,L603&gt;50000,$Z$7)</f>
        <v>Rendah</v>
      </c>
      <c r="V603" s="2"/>
    </row>
    <row r="604" spans="1:22" ht="15.75" customHeight="1" x14ac:dyDescent="0.25">
      <c r="A604" s="26"/>
      <c r="B604" s="2" t="s">
        <v>945</v>
      </c>
      <c r="C604" s="32">
        <v>45662.358553240738</v>
      </c>
      <c r="D604" s="53">
        <f>YEAR(Table1[[#This Row],[Order Date]])</f>
        <v>2025</v>
      </c>
      <c r="E604" s="2" t="s">
        <v>344</v>
      </c>
      <c r="F604" s="2" t="s">
        <v>195</v>
      </c>
      <c r="G604" s="2" t="s">
        <v>144</v>
      </c>
      <c r="H604" s="23">
        <v>18000</v>
      </c>
      <c r="I604" s="2">
        <v>4</v>
      </c>
      <c r="J604" s="31">
        <v>10</v>
      </c>
      <c r="K604" s="7">
        <f t="shared" si="36"/>
        <v>72000</v>
      </c>
      <c r="L604" s="7">
        <f t="shared" si="37"/>
        <v>7200</v>
      </c>
      <c r="M604" s="7">
        <f t="shared" si="38"/>
        <v>64800</v>
      </c>
      <c r="N604" s="23">
        <v>0</v>
      </c>
      <c r="O604" s="7">
        <f t="shared" si="39"/>
        <v>64800</v>
      </c>
      <c r="P604" s="2" t="s">
        <v>22</v>
      </c>
      <c r="Q604" t="str">
        <f>_xlfn.XLOOKUP(B604,Status!$A$2:$A$1867,Status!$B$2:$B$1867)</f>
        <v>Returned</v>
      </c>
      <c r="R604" s="2" t="s">
        <v>23</v>
      </c>
      <c r="S604" s="8">
        <v>5</v>
      </c>
      <c r="T604" s="2" t="s">
        <v>24</v>
      </c>
      <c r="U604" s="31" t="str" cm="1">
        <f t="array" ref="U604">_xlfn.IFS(L604&lt;=5000,$Z$3,AND(L604&gt;5000,L604&lt;=15000),$Z$4,AND(L604&gt;15000,L604&lt;=30000),$Z$5,AND(L604&gt;30000,L604&lt;=50000),$Z$6,L604&gt;50000,$Z$7)</f>
        <v>Rendah</v>
      </c>
      <c r="V604" s="2"/>
    </row>
    <row r="605" spans="1:22" ht="15.75" customHeight="1" x14ac:dyDescent="0.25">
      <c r="A605" s="26"/>
      <c r="B605" s="2" t="s">
        <v>946</v>
      </c>
      <c r="C605" s="32">
        <v>45662.811562499999</v>
      </c>
      <c r="D605" s="53">
        <f>YEAR(Table1[[#This Row],[Order Date]])</f>
        <v>2025</v>
      </c>
      <c r="E605" s="2" t="s">
        <v>311</v>
      </c>
      <c r="F605" s="2" t="s">
        <v>116</v>
      </c>
      <c r="G605" s="2" t="s">
        <v>186</v>
      </c>
      <c r="H605" s="23">
        <v>45000</v>
      </c>
      <c r="I605" s="2">
        <v>4</v>
      </c>
      <c r="J605" s="31">
        <v>0</v>
      </c>
      <c r="K605" s="7">
        <f t="shared" si="36"/>
        <v>180000</v>
      </c>
      <c r="L605" s="7">
        <f t="shared" si="37"/>
        <v>0</v>
      </c>
      <c r="M605" s="7">
        <f t="shared" si="38"/>
        <v>180000</v>
      </c>
      <c r="N605" s="23">
        <v>72000</v>
      </c>
      <c r="O605" s="7">
        <f t="shared" si="39"/>
        <v>252000</v>
      </c>
      <c r="P605" s="2" t="s">
        <v>35</v>
      </c>
      <c r="Q605" t="str">
        <f>_xlfn.XLOOKUP(B605,Status!$A$2:$A$1867,Status!$B$2:$B$1867)</f>
        <v>Completed</v>
      </c>
      <c r="R605" s="2" t="s">
        <v>36</v>
      </c>
      <c r="S605" s="8">
        <v>4</v>
      </c>
      <c r="T605" s="2" t="s">
        <v>24</v>
      </c>
      <c r="U605" s="31" t="str" cm="1">
        <f t="array" ref="U605">_xlfn.IFS(L605&lt;=5000,$Z$3,AND(L605&gt;5000,L605&lt;=15000),$Z$4,AND(L605&gt;15000,L605&lt;=30000),$Z$5,AND(L605&gt;30000,L605&lt;=50000),$Z$6,L605&gt;50000,$Z$7)</f>
        <v>Sangat Rendah</v>
      </c>
      <c r="V605" s="2"/>
    </row>
    <row r="606" spans="1:22" ht="15.75" customHeight="1" x14ac:dyDescent="0.25">
      <c r="A606" s="26"/>
      <c r="B606" s="2" t="s">
        <v>947</v>
      </c>
      <c r="C606" s="32">
        <v>45662.846122685187</v>
      </c>
      <c r="D606" s="53">
        <f>YEAR(Table1[[#This Row],[Order Date]])</f>
        <v>2025</v>
      </c>
      <c r="E606" s="2" t="s">
        <v>197</v>
      </c>
      <c r="F606" s="2" t="s">
        <v>119</v>
      </c>
      <c r="G606" s="2" t="s">
        <v>85</v>
      </c>
      <c r="H606" s="23">
        <v>35000</v>
      </c>
      <c r="I606" s="2">
        <v>3</v>
      </c>
      <c r="J606" s="31">
        <v>15</v>
      </c>
      <c r="K606" s="7">
        <f t="shared" si="36"/>
        <v>105000</v>
      </c>
      <c r="L606" s="7">
        <f t="shared" si="37"/>
        <v>15750</v>
      </c>
      <c r="M606" s="7">
        <f t="shared" si="38"/>
        <v>89250</v>
      </c>
      <c r="N606" s="23">
        <v>0</v>
      </c>
      <c r="O606" s="7">
        <f t="shared" si="39"/>
        <v>89250</v>
      </c>
      <c r="P606" s="2" t="s">
        <v>22</v>
      </c>
      <c r="Q606" t="str">
        <f>_xlfn.XLOOKUP(B606,Status!$A$2:$A$1867,Status!$B$2:$B$1867)</f>
        <v>Completed</v>
      </c>
      <c r="R606" s="2" t="s">
        <v>46</v>
      </c>
      <c r="S606" s="8">
        <v>1</v>
      </c>
      <c r="T606" s="2" t="s">
        <v>37</v>
      </c>
      <c r="U606" s="31" t="str" cm="1">
        <f t="array" ref="U606">_xlfn.IFS(L606&lt;=5000,$Z$3,AND(L606&gt;5000,L606&lt;=15000),$Z$4,AND(L606&gt;15000,L606&lt;=30000),$Z$5,AND(L606&gt;30000,L606&lt;=50000),$Z$6,L606&gt;50000,$Z$7)</f>
        <v>Normal</v>
      </c>
      <c r="V606" s="2"/>
    </row>
    <row r="607" spans="1:22" ht="15.75" customHeight="1" x14ac:dyDescent="0.25">
      <c r="A607" s="26"/>
      <c r="B607" s="2" t="s">
        <v>948</v>
      </c>
      <c r="C607" s="32">
        <v>45662.909571759257</v>
      </c>
      <c r="D607" s="53">
        <f>YEAR(Table1[[#This Row],[Order Date]])</f>
        <v>2025</v>
      </c>
      <c r="E607" s="2" t="s">
        <v>631</v>
      </c>
      <c r="F607" s="2" t="s">
        <v>20</v>
      </c>
      <c r="G607" s="2" t="s">
        <v>41</v>
      </c>
      <c r="H607" s="23">
        <v>4000</v>
      </c>
      <c r="I607" s="2">
        <v>3</v>
      </c>
      <c r="J607" s="31">
        <v>10</v>
      </c>
      <c r="K607" s="7">
        <f t="shared" si="36"/>
        <v>12000</v>
      </c>
      <c r="L607" s="7">
        <f t="shared" si="37"/>
        <v>1200</v>
      </c>
      <c r="M607" s="7">
        <f t="shared" si="38"/>
        <v>10800</v>
      </c>
      <c r="N607" s="23">
        <v>15000</v>
      </c>
      <c r="O607" s="7">
        <f t="shared" si="39"/>
        <v>25800</v>
      </c>
      <c r="P607" s="2" t="s">
        <v>22</v>
      </c>
      <c r="Q607" t="str">
        <f>_xlfn.XLOOKUP(B607,Status!$A$2:$A$1867,Status!$B$2:$B$1867)</f>
        <v>Completed</v>
      </c>
      <c r="R607" s="2" t="s">
        <v>23</v>
      </c>
      <c r="S607" s="8">
        <v>4</v>
      </c>
      <c r="T607" s="2" t="s">
        <v>37</v>
      </c>
      <c r="U607" s="31" t="str" cm="1">
        <f t="array" ref="U607">_xlfn.IFS(L607&lt;=5000,$Z$3,AND(L607&gt;5000,L607&lt;=15000),$Z$4,AND(L607&gt;15000,L607&lt;=30000),$Z$5,AND(L607&gt;30000,L607&lt;=50000),$Z$6,L607&gt;50000,$Z$7)</f>
        <v>Sangat Rendah</v>
      </c>
      <c r="V607" s="2"/>
    </row>
    <row r="608" spans="1:22" ht="15.75" customHeight="1" x14ac:dyDescent="0.25">
      <c r="A608" s="26"/>
      <c r="B608" s="2" t="s">
        <v>949</v>
      </c>
      <c r="C608" s="32">
        <v>45662.963043981479</v>
      </c>
      <c r="D608" s="53">
        <f>YEAR(Table1[[#This Row],[Order Date]])</f>
        <v>2025</v>
      </c>
      <c r="E608" s="2" t="s">
        <v>875</v>
      </c>
      <c r="F608" s="2" t="s">
        <v>170</v>
      </c>
      <c r="G608" s="2" t="s">
        <v>250</v>
      </c>
      <c r="H608" s="23">
        <v>18000</v>
      </c>
      <c r="I608" s="2">
        <v>3</v>
      </c>
      <c r="J608" s="31">
        <v>5</v>
      </c>
      <c r="K608" s="7">
        <f t="shared" si="36"/>
        <v>54000</v>
      </c>
      <c r="L608" s="7">
        <f t="shared" si="37"/>
        <v>2700</v>
      </c>
      <c r="M608" s="7">
        <f t="shared" si="38"/>
        <v>51300</v>
      </c>
      <c r="N608" s="23">
        <v>46000</v>
      </c>
      <c r="O608" s="7">
        <f t="shared" si="39"/>
        <v>97300</v>
      </c>
      <c r="P608" s="2" t="s">
        <v>29</v>
      </c>
      <c r="Q608" t="str">
        <f>_xlfn.XLOOKUP(B608,Status!$A$2:$A$1867,Status!$B$2:$B$1867)</f>
        <v>Completed</v>
      </c>
      <c r="R608" s="2" t="s">
        <v>30</v>
      </c>
      <c r="S608" s="8">
        <v>2</v>
      </c>
      <c r="T608" s="2" t="s">
        <v>24</v>
      </c>
      <c r="U608" s="31" t="str" cm="1">
        <f t="array" ref="U608">_xlfn.IFS(L608&lt;=5000,$Z$3,AND(L608&gt;5000,L608&lt;=15000),$Z$4,AND(L608&gt;15000,L608&lt;=30000),$Z$5,AND(L608&gt;30000,L608&lt;=50000),$Z$6,L608&gt;50000,$Z$7)</f>
        <v>Sangat Rendah</v>
      </c>
      <c r="V608" s="2"/>
    </row>
    <row r="609" spans="1:22" ht="15.75" customHeight="1" x14ac:dyDescent="0.25">
      <c r="A609" s="26"/>
      <c r="B609" s="2" t="s">
        <v>950</v>
      </c>
      <c r="C609" s="32">
        <v>45663.178402777783</v>
      </c>
      <c r="D609" s="53">
        <f>YEAR(Table1[[#This Row],[Order Date]])</f>
        <v>2025</v>
      </c>
      <c r="E609" s="2" t="s">
        <v>87</v>
      </c>
      <c r="F609" s="2" t="s">
        <v>80</v>
      </c>
      <c r="G609" s="2" t="s">
        <v>174</v>
      </c>
      <c r="H609" s="23">
        <v>10000</v>
      </c>
      <c r="I609" s="2">
        <v>2</v>
      </c>
      <c r="J609" s="31">
        <v>10</v>
      </c>
      <c r="K609" s="7">
        <f t="shared" si="36"/>
        <v>20000</v>
      </c>
      <c r="L609" s="7">
        <f t="shared" si="37"/>
        <v>2000</v>
      </c>
      <c r="M609" s="7">
        <f t="shared" si="38"/>
        <v>18000</v>
      </c>
      <c r="N609" s="23">
        <v>74000</v>
      </c>
      <c r="O609" s="7">
        <f t="shared" si="39"/>
        <v>92000</v>
      </c>
      <c r="P609" s="2" t="s">
        <v>35</v>
      </c>
      <c r="Q609" t="str">
        <f>_xlfn.XLOOKUP(B609,Status!$A$2:$A$1867,Status!$B$2:$B$1867)</f>
        <v>Completed</v>
      </c>
      <c r="R609" s="2" t="s">
        <v>82</v>
      </c>
      <c r="S609" s="8">
        <v>5</v>
      </c>
      <c r="T609" s="2" t="s">
        <v>24</v>
      </c>
      <c r="U609" s="31" t="str" cm="1">
        <f t="array" ref="U609">_xlfn.IFS(L609&lt;=5000,$Z$3,AND(L609&gt;5000,L609&lt;=15000),$Z$4,AND(L609&gt;15000,L609&lt;=30000),$Z$5,AND(L609&gt;30000,L609&lt;=50000),$Z$6,L609&gt;50000,$Z$7)</f>
        <v>Sangat Rendah</v>
      </c>
      <c r="V609" s="2"/>
    </row>
    <row r="610" spans="1:22" ht="15.75" customHeight="1" x14ac:dyDescent="0.25">
      <c r="A610" s="26"/>
      <c r="B610" s="2" t="s">
        <v>951</v>
      </c>
      <c r="C610" s="32">
        <v>45663.301747685182</v>
      </c>
      <c r="D610" s="53">
        <f>YEAR(Table1[[#This Row],[Order Date]])</f>
        <v>2025</v>
      </c>
      <c r="E610" s="2" t="s">
        <v>763</v>
      </c>
      <c r="F610" s="2" t="s">
        <v>74</v>
      </c>
      <c r="G610" s="2" t="s">
        <v>67</v>
      </c>
      <c r="H610" s="23">
        <v>15000</v>
      </c>
      <c r="I610" s="2">
        <v>3</v>
      </c>
      <c r="J610" s="31">
        <v>20</v>
      </c>
      <c r="K610" s="7">
        <f t="shared" si="36"/>
        <v>45000</v>
      </c>
      <c r="L610" s="7">
        <f t="shared" si="37"/>
        <v>9000</v>
      </c>
      <c r="M610" s="7">
        <f t="shared" si="38"/>
        <v>36000</v>
      </c>
      <c r="N610" s="23">
        <v>87000</v>
      </c>
      <c r="O610" s="7">
        <f t="shared" si="39"/>
        <v>123000</v>
      </c>
      <c r="P610" s="2" t="s">
        <v>22</v>
      </c>
      <c r="Q610" t="str">
        <f>_xlfn.XLOOKUP(B610,Status!$A$2:$A$1867,Status!$B$2:$B$1867)</f>
        <v>Completed</v>
      </c>
      <c r="R610" s="2" t="s">
        <v>46</v>
      </c>
      <c r="S610" s="8">
        <v>2</v>
      </c>
      <c r="T610" s="2" t="s">
        <v>24</v>
      </c>
      <c r="U610" s="31" t="str" cm="1">
        <f t="array" ref="U610">_xlfn.IFS(L610&lt;=5000,$Z$3,AND(L610&gt;5000,L610&lt;=15000),$Z$4,AND(L610&gt;15000,L610&lt;=30000),$Z$5,AND(L610&gt;30000,L610&lt;=50000),$Z$6,L610&gt;50000,$Z$7)</f>
        <v>Rendah</v>
      </c>
      <c r="V610" s="2"/>
    </row>
    <row r="611" spans="1:22" ht="15.75" customHeight="1" x14ac:dyDescent="0.25">
      <c r="A611" s="26"/>
      <c r="B611" s="2" t="s">
        <v>952</v>
      </c>
      <c r="C611" s="32">
        <v>45663.370370370372</v>
      </c>
      <c r="D611" s="53">
        <f>YEAR(Table1[[#This Row],[Order Date]])</f>
        <v>2025</v>
      </c>
      <c r="E611" s="2" t="s">
        <v>431</v>
      </c>
      <c r="F611" s="2" t="s">
        <v>33</v>
      </c>
      <c r="G611" s="2" t="s">
        <v>123</v>
      </c>
      <c r="H611" s="23">
        <v>22000</v>
      </c>
      <c r="I611" s="2">
        <v>1</v>
      </c>
      <c r="J611" s="31">
        <v>10</v>
      </c>
      <c r="K611" s="7">
        <f t="shared" si="36"/>
        <v>22000</v>
      </c>
      <c r="L611" s="7">
        <f t="shared" si="37"/>
        <v>2200</v>
      </c>
      <c r="M611" s="7">
        <f t="shared" si="38"/>
        <v>19800</v>
      </c>
      <c r="N611" s="23">
        <v>76000</v>
      </c>
      <c r="O611" s="7">
        <f t="shared" si="39"/>
        <v>95800</v>
      </c>
      <c r="P611" s="2" t="s">
        <v>22</v>
      </c>
      <c r="Q611" t="str">
        <f>_xlfn.XLOOKUP(B611,Status!$A$2:$A$1867,Status!$B$2:$B$1867)</f>
        <v>Completed</v>
      </c>
      <c r="R611" s="2" t="s">
        <v>82</v>
      </c>
      <c r="S611" s="8">
        <v>3</v>
      </c>
      <c r="T611" s="2" t="s">
        <v>24</v>
      </c>
      <c r="U611" s="31" t="str" cm="1">
        <f t="array" ref="U611">_xlfn.IFS(L611&lt;=5000,$Z$3,AND(L611&gt;5000,L611&lt;=15000),$Z$4,AND(L611&gt;15000,L611&lt;=30000),$Z$5,AND(L611&gt;30000,L611&lt;=50000),$Z$6,L611&gt;50000,$Z$7)</f>
        <v>Sangat Rendah</v>
      </c>
      <c r="V611" s="2"/>
    </row>
    <row r="612" spans="1:22" ht="15.75" customHeight="1" x14ac:dyDescent="0.25">
      <c r="A612" s="26"/>
      <c r="B612" s="2" t="s">
        <v>953</v>
      </c>
      <c r="C612" s="32">
        <v>45663.487719907411</v>
      </c>
      <c r="D612" s="53">
        <f>YEAR(Table1[[#This Row],[Order Date]])</f>
        <v>2025</v>
      </c>
      <c r="E612" s="2" t="s">
        <v>954</v>
      </c>
      <c r="F612" s="2" t="s">
        <v>44</v>
      </c>
      <c r="G612" s="2" t="s">
        <v>123</v>
      </c>
      <c r="H612" s="23">
        <v>22000</v>
      </c>
      <c r="I612" s="2">
        <v>4</v>
      </c>
      <c r="J612" s="31">
        <v>15</v>
      </c>
      <c r="K612" s="7">
        <f t="shared" si="36"/>
        <v>88000</v>
      </c>
      <c r="L612" s="7">
        <f t="shared" si="37"/>
        <v>13200</v>
      </c>
      <c r="M612" s="7">
        <f t="shared" si="38"/>
        <v>74800</v>
      </c>
      <c r="N612" s="23">
        <v>93000</v>
      </c>
      <c r="O612" s="7">
        <f t="shared" si="39"/>
        <v>167800</v>
      </c>
      <c r="P612" s="2" t="s">
        <v>22</v>
      </c>
      <c r="Q612" t="str">
        <f>_xlfn.XLOOKUP(B612,Status!$A$2:$A$1867,Status!$B$2:$B$1867)</f>
        <v>Completed</v>
      </c>
      <c r="R612" s="2" t="s">
        <v>23</v>
      </c>
      <c r="S612" s="8">
        <v>2</v>
      </c>
      <c r="T612" s="2" t="s">
        <v>24</v>
      </c>
      <c r="U612" s="31" t="str" cm="1">
        <f t="array" ref="U612">_xlfn.IFS(L612&lt;=5000,$Z$3,AND(L612&gt;5000,L612&lt;=15000),$Z$4,AND(L612&gt;15000,L612&lt;=30000),$Z$5,AND(L612&gt;30000,L612&lt;=50000),$Z$6,L612&gt;50000,$Z$7)</f>
        <v>Rendah</v>
      </c>
      <c r="V612" s="2"/>
    </row>
    <row r="613" spans="1:22" ht="15.75" customHeight="1" x14ac:dyDescent="0.25">
      <c r="A613" s="26"/>
      <c r="B613" s="2" t="s">
        <v>953</v>
      </c>
      <c r="C613" s="32">
        <v>45663.487719907411</v>
      </c>
      <c r="D613" s="53">
        <f>YEAR(Table1[[#This Row],[Order Date]])</f>
        <v>2025</v>
      </c>
      <c r="E613" s="2" t="s">
        <v>954</v>
      </c>
      <c r="F613" s="2" t="s">
        <v>44</v>
      </c>
      <c r="G613" s="2" t="s">
        <v>62</v>
      </c>
      <c r="H613" s="23">
        <v>50000</v>
      </c>
      <c r="I613" s="2">
        <v>2</v>
      </c>
      <c r="J613" s="31">
        <v>10</v>
      </c>
      <c r="K613" s="7">
        <f t="shared" si="36"/>
        <v>100000</v>
      </c>
      <c r="L613" s="7">
        <f t="shared" si="37"/>
        <v>10000</v>
      </c>
      <c r="M613" s="7">
        <f t="shared" si="38"/>
        <v>90000</v>
      </c>
      <c r="N613" s="23">
        <v>0</v>
      </c>
      <c r="O613" s="7">
        <f t="shared" si="39"/>
        <v>90000</v>
      </c>
      <c r="P613" s="2" t="s">
        <v>22</v>
      </c>
      <c r="Q613" t="str">
        <f>_xlfn.XLOOKUP(B613,Status!$A$2:$A$1867,Status!$B$2:$B$1867)</f>
        <v>Completed</v>
      </c>
      <c r="R613" s="2" t="s">
        <v>23</v>
      </c>
      <c r="S613" s="8">
        <v>2</v>
      </c>
      <c r="T613" s="2" t="s">
        <v>24</v>
      </c>
      <c r="U613" s="31" t="str" cm="1">
        <f t="array" ref="U613">_xlfn.IFS(L613&lt;=5000,$Z$3,AND(L613&gt;5000,L613&lt;=15000),$Z$4,AND(L613&gt;15000,L613&lt;=30000),$Z$5,AND(L613&gt;30000,L613&lt;=50000),$Z$6,L613&gt;50000,$Z$7)</f>
        <v>Rendah</v>
      </c>
      <c r="V613" s="2"/>
    </row>
    <row r="614" spans="1:22" ht="15.75" customHeight="1" x14ac:dyDescent="0.25">
      <c r="A614" s="26"/>
      <c r="B614" s="2" t="s">
        <v>955</v>
      </c>
      <c r="C614" s="32">
        <v>45663.562696759262</v>
      </c>
      <c r="D614" s="53">
        <f>YEAR(Table1[[#This Row],[Order Date]])</f>
        <v>2025</v>
      </c>
      <c r="E614" s="2" t="s">
        <v>60</v>
      </c>
      <c r="F614" s="2" t="s">
        <v>61</v>
      </c>
      <c r="G614" s="2" t="s">
        <v>45</v>
      </c>
      <c r="H614" s="23">
        <v>40000</v>
      </c>
      <c r="I614" s="2">
        <v>3</v>
      </c>
      <c r="J614" s="31">
        <v>0</v>
      </c>
      <c r="K614" s="7">
        <f t="shared" si="36"/>
        <v>120000</v>
      </c>
      <c r="L614" s="7">
        <f t="shared" si="37"/>
        <v>0</v>
      </c>
      <c r="M614" s="7">
        <f t="shared" si="38"/>
        <v>120000</v>
      </c>
      <c r="N614" s="23">
        <v>26000</v>
      </c>
      <c r="O614" s="7">
        <f t="shared" si="39"/>
        <v>146000</v>
      </c>
      <c r="P614" s="2" t="s">
        <v>29</v>
      </c>
      <c r="Q614" t="str">
        <f>_xlfn.XLOOKUP(B614,Status!$A$2:$A$1867,Status!$B$2:$B$1867)</f>
        <v>Completed</v>
      </c>
      <c r="R614" s="2" t="s">
        <v>36</v>
      </c>
      <c r="S614" s="8">
        <v>1</v>
      </c>
      <c r="T614" s="2" t="s">
        <v>24</v>
      </c>
      <c r="U614" s="31" t="str" cm="1">
        <f t="array" ref="U614">_xlfn.IFS(L614&lt;=5000,$Z$3,AND(L614&gt;5000,L614&lt;=15000),$Z$4,AND(L614&gt;15000,L614&lt;=30000),$Z$5,AND(L614&gt;30000,L614&lt;=50000),$Z$6,L614&gt;50000,$Z$7)</f>
        <v>Sangat Rendah</v>
      </c>
      <c r="V614" s="2"/>
    </row>
    <row r="615" spans="1:22" ht="15.75" customHeight="1" x14ac:dyDescent="0.25">
      <c r="A615" s="26"/>
      <c r="B615" s="2" t="s">
        <v>956</v>
      </c>
      <c r="C615" s="32">
        <v>45663.761481481481</v>
      </c>
      <c r="D615" s="53">
        <f>YEAR(Table1[[#This Row],[Order Date]])</f>
        <v>2025</v>
      </c>
      <c r="E615" s="2" t="s">
        <v>192</v>
      </c>
      <c r="F615" s="2" t="s">
        <v>107</v>
      </c>
      <c r="G615" s="2" t="s">
        <v>28</v>
      </c>
      <c r="H615" s="23">
        <v>5000</v>
      </c>
      <c r="I615" s="2">
        <v>2</v>
      </c>
      <c r="J615" s="31">
        <v>15</v>
      </c>
      <c r="K615" s="7">
        <f t="shared" si="36"/>
        <v>10000</v>
      </c>
      <c r="L615" s="7">
        <f t="shared" si="37"/>
        <v>1500</v>
      </c>
      <c r="M615" s="7">
        <f t="shared" si="38"/>
        <v>8500</v>
      </c>
      <c r="N615" s="23">
        <v>97000</v>
      </c>
      <c r="O615" s="7">
        <f t="shared" si="39"/>
        <v>105500</v>
      </c>
      <c r="P615" s="2" t="s">
        <v>63</v>
      </c>
      <c r="Q615" t="str">
        <f>_xlfn.XLOOKUP(B615,Status!$A$2:$A$1867,Status!$B$2:$B$1867)</f>
        <v>Completed</v>
      </c>
      <c r="R615" s="2" t="s">
        <v>46</v>
      </c>
      <c r="S615" s="8">
        <v>5</v>
      </c>
      <c r="T615" s="2" t="s">
        <v>24</v>
      </c>
      <c r="U615" s="31" t="str" cm="1">
        <f t="array" ref="U615">_xlfn.IFS(L615&lt;=5000,$Z$3,AND(L615&gt;5000,L615&lt;=15000),$Z$4,AND(L615&gt;15000,L615&lt;=30000),$Z$5,AND(L615&gt;30000,L615&lt;=50000),$Z$6,L615&gt;50000,$Z$7)</f>
        <v>Sangat Rendah</v>
      </c>
      <c r="V615" s="2"/>
    </row>
    <row r="616" spans="1:22" ht="15.75" customHeight="1" x14ac:dyDescent="0.25">
      <c r="A616" s="26"/>
      <c r="B616" s="2" t="s">
        <v>957</v>
      </c>
      <c r="C616" s="32">
        <v>45664.102361111109</v>
      </c>
      <c r="D616" s="53">
        <f>YEAR(Table1[[#This Row],[Order Date]])</f>
        <v>2025</v>
      </c>
      <c r="E616" s="2" t="s">
        <v>851</v>
      </c>
      <c r="F616" s="2" t="s">
        <v>66</v>
      </c>
      <c r="G616" s="2" t="s">
        <v>38</v>
      </c>
      <c r="H616" s="23">
        <v>28000</v>
      </c>
      <c r="I616" s="2">
        <v>4</v>
      </c>
      <c r="J616" s="31">
        <v>20</v>
      </c>
      <c r="K616" s="7">
        <f t="shared" si="36"/>
        <v>112000</v>
      </c>
      <c r="L616" s="7">
        <f t="shared" si="37"/>
        <v>22400</v>
      </c>
      <c r="M616" s="7">
        <f t="shared" si="38"/>
        <v>89600</v>
      </c>
      <c r="N616" s="23">
        <v>59000</v>
      </c>
      <c r="O616" s="7">
        <f t="shared" si="39"/>
        <v>148600</v>
      </c>
      <c r="P616" s="2" t="s">
        <v>29</v>
      </c>
      <c r="Q616" t="str">
        <f>_xlfn.XLOOKUP(B616,Status!$A$2:$A$1867,Status!$B$2:$B$1867)</f>
        <v>Completed</v>
      </c>
      <c r="R616" s="2" t="s">
        <v>36</v>
      </c>
      <c r="S616" s="8">
        <v>1</v>
      </c>
      <c r="T616" s="2" t="s">
        <v>37</v>
      </c>
      <c r="U616" s="31" t="str" cm="1">
        <f t="array" ref="U616">_xlfn.IFS(L616&lt;=5000,$Z$3,AND(L616&gt;5000,L616&lt;=15000),$Z$4,AND(L616&gt;15000,L616&lt;=30000),$Z$5,AND(L616&gt;30000,L616&lt;=50000),$Z$6,L616&gt;50000,$Z$7)</f>
        <v>Normal</v>
      </c>
      <c r="V616" s="2"/>
    </row>
    <row r="617" spans="1:22" ht="15.75" customHeight="1" x14ac:dyDescent="0.25">
      <c r="A617" s="26"/>
      <c r="B617" s="2" t="s">
        <v>958</v>
      </c>
      <c r="C617" s="32">
        <v>45664.147615740738</v>
      </c>
      <c r="D617" s="53">
        <f>YEAR(Table1[[#This Row],[Order Date]])</f>
        <v>2025</v>
      </c>
      <c r="E617" s="2" t="s">
        <v>959</v>
      </c>
      <c r="F617" s="2" t="s">
        <v>182</v>
      </c>
      <c r="G617" s="2" t="s">
        <v>138</v>
      </c>
      <c r="H617" s="23">
        <v>17000</v>
      </c>
      <c r="I617" s="2">
        <v>2</v>
      </c>
      <c r="J617" s="31">
        <v>5</v>
      </c>
      <c r="K617" s="7">
        <f t="shared" si="36"/>
        <v>34000</v>
      </c>
      <c r="L617" s="7">
        <f t="shared" si="37"/>
        <v>1700</v>
      </c>
      <c r="M617" s="7">
        <f t="shared" si="38"/>
        <v>32300</v>
      </c>
      <c r="N617" s="23">
        <v>48000</v>
      </c>
      <c r="O617" s="7">
        <f t="shared" si="39"/>
        <v>80300</v>
      </c>
      <c r="P617" s="2" t="s">
        <v>22</v>
      </c>
      <c r="Q617" t="str">
        <f>_xlfn.XLOOKUP(B617,Status!$A$2:$A$1867,Status!$B$2:$B$1867)</f>
        <v>Completed</v>
      </c>
      <c r="R617" s="2" t="s">
        <v>46</v>
      </c>
      <c r="S617" s="8">
        <v>2</v>
      </c>
      <c r="T617" s="2" t="s">
        <v>24</v>
      </c>
      <c r="U617" s="31" t="str" cm="1">
        <f t="array" ref="U617">_xlfn.IFS(L617&lt;=5000,$Z$3,AND(L617&gt;5000,L617&lt;=15000),$Z$4,AND(L617&gt;15000,L617&lt;=30000),$Z$5,AND(L617&gt;30000,L617&lt;=50000),$Z$6,L617&gt;50000,$Z$7)</f>
        <v>Sangat Rendah</v>
      </c>
      <c r="V617" s="2"/>
    </row>
    <row r="618" spans="1:22" ht="15.75" customHeight="1" x14ac:dyDescent="0.25">
      <c r="A618" s="26"/>
      <c r="B618" s="2" t="s">
        <v>960</v>
      </c>
      <c r="C618" s="32">
        <v>45664.243032407408</v>
      </c>
      <c r="D618" s="53">
        <f>YEAR(Table1[[#This Row],[Order Date]])</f>
        <v>2025</v>
      </c>
      <c r="E618" s="2" t="s">
        <v>355</v>
      </c>
      <c r="F618" s="2" t="s">
        <v>116</v>
      </c>
      <c r="G618" s="2" t="s">
        <v>190</v>
      </c>
      <c r="H618" s="23">
        <v>35000</v>
      </c>
      <c r="I618" s="2">
        <v>5</v>
      </c>
      <c r="J618" s="31">
        <v>15</v>
      </c>
      <c r="K618" s="7">
        <f t="shared" si="36"/>
        <v>175000</v>
      </c>
      <c r="L618" s="7">
        <f t="shared" si="37"/>
        <v>26250</v>
      </c>
      <c r="M618" s="7">
        <f t="shared" si="38"/>
        <v>148750</v>
      </c>
      <c r="N618" s="23">
        <v>72000</v>
      </c>
      <c r="O618" s="7">
        <f t="shared" si="39"/>
        <v>220750</v>
      </c>
      <c r="P618" s="2" t="s">
        <v>35</v>
      </c>
      <c r="Q618" t="str">
        <f>_xlfn.XLOOKUP(B618,Status!$A$2:$A$1867,Status!$B$2:$B$1867)</f>
        <v>Completed</v>
      </c>
      <c r="R618" s="2" t="s">
        <v>30</v>
      </c>
      <c r="S618" s="8">
        <v>3</v>
      </c>
      <c r="T618" s="2" t="s">
        <v>24</v>
      </c>
      <c r="U618" s="31" t="str" cm="1">
        <f t="array" ref="U618">_xlfn.IFS(L618&lt;=5000,$Z$3,AND(L618&gt;5000,L618&lt;=15000),$Z$4,AND(L618&gt;15000,L618&lt;=30000),$Z$5,AND(L618&gt;30000,L618&lt;=50000),$Z$6,L618&gt;50000,$Z$7)</f>
        <v>Normal</v>
      </c>
      <c r="V618" s="2"/>
    </row>
    <row r="619" spans="1:22" ht="15.75" customHeight="1" x14ac:dyDescent="0.25">
      <c r="A619" s="26"/>
      <c r="B619" s="2" t="s">
        <v>961</v>
      </c>
      <c r="C619" s="32">
        <v>45664.35565972222</v>
      </c>
      <c r="D619" s="53">
        <f>YEAR(Table1[[#This Row],[Order Date]])</f>
        <v>2025</v>
      </c>
      <c r="E619" s="2" t="s">
        <v>299</v>
      </c>
      <c r="F619" s="2" t="s">
        <v>163</v>
      </c>
      <c r="G619" s="2" t="s">
        <v>144</v>
      </c>
      <c r="H619" s="23">
        <v>18000</v>
      </c>
      <c r="I619" s="2">
        <v>2</v>
      </c>
      <c r="J619" s="31">
        <v>0</v>
      </c>
      <c r="K619" s="7">
        <f t="shared" si="36"/>
        <v>36000</v>
      </c>
      <c r="L619" s="7">
        <f t="shared" si="37"/>
        <v>0</v>
      </c>
      <c r="M619" s="7">
        <f t="shared" si="38"/>
        <v>36000</v>
      </c>
      <c r="N619" s="23">
        <v>50000</v>
      </c>
      <c r="O619" s="7">
        <f t="shared" si="39"/>
        <v>86000</v>
      </c>
      <c r="P619" s="2" t="s">
        <v>22</v>
      </c>
      <c r="Q619" t="str">
        <f>_xlfn.XLOOKUP(B619,Status!$A$2:$A$1867,Status!$B$2:$B$1867)</f>
        <v>Completed</v>
      </c>
      <c r="R619" s="2" t="s">
        <v>30</v>
      </c>
      <c r="S619" s="8">
        <v>3</v>
      </c>
      <c r="T619" s="2" t="s">
        <v>24</v>
      </c>
      <c r="U619" s="31" t="str" cm="1">
        <f t="array" ref="U619">_xlfn.IFS(L619&lt;=5000,$Z$3,AND(L619&gt;5000,L619&lt;=15000),$Z$4,AND(L619&gt;15000,L619&lt;=30000),$Z$5,AND(L619&gt;30000,L619&lt;=50000),$Z$6,L619&gt;50000,$Z$7)</f>
        <v>Sangat Rendah</v>
      </c>
      <c r="V619" s="2"/>
    </row>
    <row r="620" spans="1:22" ht="15.75" customHeight="1" x14ac:dyDescent="0.25">
      <c r="A620" s="26"/>
      <c r="B620" s="2" t="s">
        <v>962</v>
      </c>
      <c r="C620" s="32">
        <v>45664.535694444443</v>
      </c>
      <c r="D620" s="53">
        <f>YEAR(Table1[[#This Row],[Order Date]])</f>
        <v>2025</v>
      </c>
      <c r="E620" s="2" t="s">
        <v>613</v>
      </c>
      <c r="F620" s="2" t="s">
        <v>375</v>
      </c>
      <c r="G620" s="2" t="s">
        <v>21</v>
      </c>
      <c r="H620" s="23">
        <v>45000</v>
      </c>
      <c r="I620" s="2">
        <v>4</v>
      </c>
      <c r="J620" s="31">
        <v>0</v>
      </c>
      <c r="K620" s="7">
        <f t="shared" si="36"/>
        <v>180000</v>
      </c>
      <c r="L620" s="7">
        <f t="shared" si="37"/>
        <v>0</v>
      </c>
      <c r="M620" s="7">
        <f t="shared" si="38"/>
        <v>180000</v>
      </c>
      <c r="N620" s="23">
        <v>21000</v>
      </c>
      <c r="O620" s="7">
        <f t="shared" si="39"/>
        <v>201000</v>
      </c>
      <c r="P620" s="2" t="s">
        <v>63</v>
      </c>
      <c r="Q620" t="str">
        <f>_xlfn.XLOOKUP(B620,Status!$A$2:$A$1867,Status!$B$2:$B$1867)</f>
        <v>Cancelled</v>
      </c>
      <c r="R620" s="2" t="s">
        <v>82</v>
      </c>
      <c r="S620" s="8">
        <v>4</v>
      </c>
      <c r="T620" s="2" t="s">
        <v>24</v>
      </c>
      <c r="U620" s="31" t="str" cm="1">
        <f t="array" ref="U620">_xlfn.IFS(L620&lt;=5000,$Z$3,AND(L620&gt;5000,L620&lt;=15000),$Z$4,AND(L620&gt;15000,L620&lt;=30000),$Z$5,AND(L620&gt;30000,L620&lt;=50000),$Z$6,L620&gt;50000,$Z$7)</f>
        <v>Sangat Rendah</v>
      </c>
      <c r="V620" s="2"/>
    </row>
    <row r="621" spans="1:22" ht="15.75" customHeight="1" x14ac:dyDescent="0.25">
      <c r="A621" s="26"/>
      <c r="B621" s="2" t="s">
        <v>963</v>
      </c>
      <c r="C621" s="32">
        <v>45664.562488425923</v>
      </c>
      <c r="D621" s="53">
        <f>YEAR(Table1[[#This Row],[Order Date]])</f>
        <v>2025</v>
      </c>
      <c r="E621" s="2" t="s">
        <v>109</v>
      </c>
      <c r="F621" s="2" t="s">
        <v>49</v>
      </c>
      <c r="G621" s="2" t="s">
        <v>45</v>
      </c>
      <c r="H621" s="23">
        <v>40000</v>
      </c>
      <c r="I621" s="2">
        <v>1</v>
      </c>
      <c r="J621" s="31">
        <v>0</v>
      </c>
      <c r="K621" s="7">
        <f t="shared" si="36"/>
        <v>40000</v>
      </c>
      <c r="L621" s="7">
        <f t="shared" si="37"/>
        <v>0</v>
      </c>
      <c r="M621" s="7">
        <f t="shared" si="38"/>
        <v>40000</v>
      </c>
      <c r="N621" s="23">
        <v>43000</v>
      </c>
      <c r="O621" s="7">
        <f t="shared" si="39"/>
        <v>83000</v>
      </c>
      <c r="P621" s="2" t="s">
        <v>35</v>
      </c>
      <c r="Q621" t="str">
        <f>_xlfn.XLOOKUP(B621,Status!$A$2:$A$1867,Status!$B$2:$B$1867)</f>
        <v>Returned</v>
      </c>
      <c r="R621" s="2" t="s">
        <v>46</v>
      </c>
      <c r="S621" s="8">
        <v>1</v>
      </c>
      <c r="T621" s="2" t="s">
        <v>24</v>
      </c>
      <c r="U621" s="31" t="str" cm="1">
        <f t="array" ref="U621">_xlfn.IFS(L621&lt;=5000,$Z$3,AND(L621&gt;5000,L621&lt;=15000),$Z$4,AND(L621&gt;15000,L621&lt;=30000),$Z$5,AND(L621&gt;30000,L621&lt;=50000),$Z$6,L621&gt;50000,$Z$7)</f>
        <v>Sangat Rendah</v>
      </c>
      <c r="V621" s="2"/>
    </row>
    <row r="622" spans="1:22" ht="15.75" customHeight="1" x14ac:dyDescent="0.25">
      <c r="A622" s="26"/>
      <c r="B622" s="2" t="s">
        <v>963</v>
      </c>
      <c r="C622" s="32">
        <v>45664.562488425923</v>
      </c>
      <c r="D622" s="53">
        <f>YEAR(Table1[[#This Row],[Order Date]])</f>
        <v>2025</v>
      </c>
      <c r="E622" s="2" t="s">
        <v>109</v>
      </c>
      <c r="F622" s="2" t="s">
        <v>49</v>
      </c>
      <c r="G622" s="2" t="s">
        <v>81</v>
      </c>
      <c r="H622" s="23">
        <v>17000</v>
      </c>
      <c r="I622" s="2">
        <v>1</v>
      </c>
      <c r="J622" s="31">
        <v>10</v>
      </c>
      <c r="K622" s="7">
        <f t="shared" si="36"/>
        <v>17000</v>
      </c>
      <c r="L622" s="7">
        <f t="shared" si="37"/>
        <v>1700</v>
      </c>
      <c r="M622" s="7">
        <f t="shared" si="38"/>
        <v>15300</v>
      </c>
      <c r="N622" s="23">
        <v>0</v>
      </c>
      <c r="O622" s="7">
        <f t="shared" si="39"/>
        <v>15300</v>
      </c>
      <c r="P622" s="2" t="s">
        <v>35</v>
      </c>
      <c r="Q622" t="str">
        <f>_xlfn.XLOOKUP(B622,Status!$A$2:$A$1867,Status!$B$2:$B$1867)</f>
        <v>Returned</v>
      </c>
      <c r="R622" s="2" t="s">
        <v>46</v>
      </c>
      <c r="S622" s="8">
        <v>1</v>
      </c>
      <c r="T622" s="2" t="s">
        <v>24</v>
      </c>
      <c r="U622" s="31" t="str" cm="1">
        <f t="array" ref="U622">_xlfn.IFS(L622&lt;=5000,$Z$3,AND(L622&gt;5000,L622&lt;=15000),$Z$4,AND(L622&gt;15000,L622&lt;=30000),$Z$5,AND(L622&gt;30000,L622&lt;=50000),$Z$6,L622&gt;50000,$Z$7)</f>
        <v>Sangat Rendah</v>
      </c>
      <c r="V622" s="2"/>
    </row>
    <row r="623" spans="1:22" ht="15.75" customHeight="1" x14ac:dyDescent="0.25">
      <c r="A623" s="26"/>
      <c r="B623" s="2" t="s">
        <v>964</v>
      </c>
      <c r="C623" s="32">
        <v>45664.605219907397</v>
      </c>
      <c r="D623" s="53">
        <f>YEAR(Table1[[#This Row],[Order Date]])</f>
        <v>2025</v>
      </c>
      <c r="E623" s="2" t="s">
        <v>502</v>
      </c>
      <c r="F623" s="2" t="s">
        <v>107</v>
      </c>
      <c r="G623" s="2" t="s">
        <v>50</v>
      </c>
      <c r="H623" s="23">
        <v>14000</v>
      </c>
      <c r="I623" s="2">
        <v>4</v>
      </c>
      <c r="J623" s="31">
        <v>10</v>
      </c>
      <c r="K623" s="7">
        <f t="shared" si="36"/>
        <v>56000</v>
      </c>
      <c r="L623" s="7">
        <f t="shared" si="37"/>
        <v>5600</v>
      </c>
      <c r="M623" s="7">
        <f t="shared" si="38"/>
        <v>50400</v>
      </c>
      <c r="N623" s="23">
        <v>97000</v>
      </c>
      <c r="O623" s="7">
        <f t="shared" si="39"/>
        <v>147400</v>
      </c>
      <c r="P623" s="2" t="s">
        <v>29</v>
      </c>
      <c r="Q623" t="str">
        <f>_xlfn.XLOOKUP(B623,Status!$A$2:$A$1867,Status!$B$2:$B$1867)</f>
        <v>Completed</v>
      </c>
      <c r="R623" s="2" t="s">
        <v>23</v>
      </c>
      <c r="S623" s="8">
        <v>3</v>
      </c>
      <c r="T623" s="2" t="s">
        <v>24</v>
      </c>
      <c r="U623" s="31" t="str" cm="1">
        <f t="array" ref="U623">_xlfn.IFS(L623&lt;=5000,$Z$3,AND(L623&gt;5000,L623&lt;=15000),$Z$4,AND(L623&gt;15000,L623&lt;=30000),$Z$5,AND(L623&gt;30000,L623&lt;=50000),$Z$6,L623&gt;50000,$Z$7)</f>
        <v>Rendah</v>
      </c>
      <c r="V623" s="2"/>
    </row>
    <row r="624" spans="1:22" ht="15.75" customHeight="1" x14ac:dyDescent="0.25">
      <c r="A624" s="26"/>
      <c r="B624" s="2" t="s">
        <v>965</v>
      </c>
      <c r="C624" s="32">
        <v>45664.648668981477</v>
      </c>
      <c r="D624" s="53">
        <f>YEAR(Table1[[#This Row],[Order Date]])</f>
        <v>2025</v>
      </c>
      <c r="E624" s="2" t="s">
        <v>201</v>
      </c>
      <c r="F624" s="2" t="s">
        <v>107</v>
      </c>
      <c r="G624" s="2" t="s">
        <v>123</v>
      </c>
      <c r="H624" s="23">
        <v>22000</v>
      </c>
      <c r="I624" s="2">
        <v>5</v>
      </c>
      <c r="J624" s="31">
        <v>20</v>
      </c>
      <c r="K624" s="7">
        <f t="shared" si="36"/>
        <v>110000</v>
      </c>
      <c r="L624" s="7">
        <f t="shared" si="37"/>
        <v>22000</v>
      </c>
      <c r="M624" s="7">
        <f t="shared" si="38"/>
        <v>88000</v>
      </c>
      <c r="N624" s="23">
        <v>97000</v>
      </c>
      <c r="O624" s="7">
        <f t="shared" si="39"/>
        <v>185000</v>
      </c>
      <c r="P624" s="2" t="s">
        <v>29</v>
      </c>
      <c r="Q624" t="str">
        <f>_xlfn.XLOOKUP(B624,Status!$A$2:$A$1867,Status!$B$2:$B$1867)</f>
        <v>Completed</v>
      </c>
      <c r="R624" s="2" t="s">
        <v>30</v>
      </c>
      <c r="S624" s="8">
        <v>4</v>
      </c>
      <c r="T624" s="2" t="s">
        <v>24</v>
      </c>
      <c r="U624" s="31" t="str" cm="1">
        <f t="array" ref="U624">_xlfn.IFS(L624&lt;=5000,$Z$3,AND(L624&gt;5000,L624&lt;=15000),$Z$4,AND(L624&gt;15000,L624&lt;=30000),$Z$5,AND(L624&gt;30000,L624&lt;=50000),$Z$6,L624&gt;50000,$Z$7)</f>
        <v>Normal</v>
      </c>
      <c r="V624" s="2"/>
    </row>
    <row r="625" spans="1:22" ht="15.75" customHeight="1" x14ac:dyDescent="0.25">
      <c r="A625" s="26"/>
      <c r="B625" s="2" t="s">
        <v>966</v>
      </c>
      <c r="C625" s="32">
        <v>45664.860509259262</v>
      </c>
      <c r="D625" s="53">
        <f>YEAR(Table1[[#This Row],[Order Date]])</f>
        <v>2025</v>
      </c>
      <c r="E625" s="2" t="s">
        <v>570</v>
      </c>
      <c r="F625" s="2" t="s">
        <v>80</v>
      </c>
      <c r="G625" s="2" t="s">
        <v>136</v>
      </c>
      <c r="H625" s="23">
        <v>12000</v>
      </c>
      <c r="I625" s="2">
        <v>2</v>
      </c>
      <c r="J625" s="31">
        <v>10</v>
      </c>
      <c r="K625" s="7">
        <f t="shared" si="36"/>
        <v>24000</v>
      </c>
      <c r="L625" s="7">
        <f t="shared" si="37"/>
        <v>2400</v>
      </c>
      <c r="M625" s="7">
        <f t="shared" si="38"/>
        <v>21600</v>
      </c>
      <c r="N625" s="23">
        <v>74000</v>
      </c>
      <c r="O625" s="7">
        <f t="shared" si="39"/>
        <v>95600</v>
      </c>
      <c r="P625" s="2" t="s">
        <v>63</v>
      </c>
      <c r="Q625" t="str">
        <f>_xlfn.XLOOKUP(B625,Status!$A$2:$A$1867,Status!$B$2:$B$1867)</f>
        <v>Completed</v>
      </c>
      <c r="R625" s="2" t="s">
        <v>30</v>
      </c>
      <c r="S625" s="8">
        <v>1</v>
      </c>
      <c r="T625" s="2" t="s">
        <v>24</v>
      </c>
      <c r="U625" s="31" t="str" cm="1">
        <f t="array" ref="U625">_xlfn.IFS(L625&lt;=5000,$Z$3,AND(L625&gt;5000,L625&lt;=15000),$Z$4,AND(L625&gt;15000,L625&lt;=30000),$Z$5,AND(L625&gt;30000,L625&lt;=50000),$Z$6,L625&gt;50000,$Z$7)</f>
        <v>Sangat Rendah</v>
      </c>
      <c r="V625" s="2"/>
    </row>
    <row r="626" spans="1:22" ht="15.75" customHeight="1" x14ac:dyDescent="0.25">
      <c r="A626" s="26"/>
      <c r="B626" s="2" t="s">
        <v>967</v>
      </c>
      <c r="C626" s="32">
        <v>45664.912847222222</v>
      </c>
      <c r="D626" s="53">
        <f>YEAR(Table1[[#This Row],[Order Date]])</f>
        <v>2025</v>
      </c>
      <c r="E626" s="2" t="s">
        <v>201</v>
      </c>
      <c r="F626" s="2" t="s">
        <v>107</v>
      </c>
      <c r="G626" s="2" t="s">
        <v>50</v>
      </c>
      <c r="H626" s="23">
        <v>14000</v>
      </c>
      <c r="I626" s="2">
        <v>2</v>
      </c>
      <c r="J626" s="31">
        <v>0</v>
      </c>
      <c r="K626" s="7">
        <f t="shared" si="36"/>
        <v>28000</v>
      </c>
      <c r="L626" s="7">
        <f t="shared" si="37"/>
        <v>0</v>
      </c>
      <c r="M626" s="7">
        <f t="shared" si="38"/>
        <v>28000</v>
      </c>
      <c r="N626" s="23">
        <v>97000</v>
      </c>
      <c r="O626" s="7">
        <f t="shared" si="39"/>
        <v>125000</v>
      </c>
      <c r="P626" s="2" t="s">
        <v>35</v>
      </c>
      <c r="Q626" t="str">
        <f>_xlfn.XLOOKUP(B626,Status!$A$2:$A$1867,Status!$B$2:$B$1867)</f>
        <v>Completed</v>
      </c>
      <c r="R626" s="2" t="s">
        <v>30</v>
      </c>
      <c r="S626" s="8">
        <v>5</v>
      </c>
      <c r="T626" s="2" t="s">
        <v>24</v>
      </c>
      <c r="U626" s="31" t="str" cm="1">
        <f t="array" ref="U626">_xlfn.IFS(L626&lt;=5000,$Z$3,AND(L626&gt;5000,L626&lt;=15000),$Z$4,AND(L626&gt;15000,L626&lt;=30000),$Z$5,AND(L626&gt;30000,L626&lt;=50000),$Z$6,L626&gt;50000,$Z$7)</f>
        <v>Sangat Rendah</v>
      </c>
      <c r="V626" s="2"/>
    </row>
    <row r="627" spans="1:22" ht="15.75" customHeight="1" x14ac:dyDescent="0.25">
      <c r="A627" s="26"/>
      <c r="B627" s="2" t="s">
        <v>968</v>
      </c>
      <c r="C627" s="32">
        <v>45664.963333333333</v>
      </c>
      <c r="D627" s="53">
        <f>YEAR(Table1[[#This Row],[Order Date]])</f>
        <v>2025</v>
      </c>
      <c r="E627" s="2" t="s">
        <v>969</v>
      </c>
      <c r="F627" s="2" t="s">
        <v>177</v>
      </c>
      <c r="G627" s="2" t="s">
        <v>250</v>
      </c>
      <c r="H627" s="23">
        <v>18000</v>
      </c>
      <c r="I627" s="2">
        <v>3</v>
      </c>
      <c r="J627" s="31">
        <v>10</v>
      </c>
      <c r="K627" s="7">
        <f t="shared" si="36"/>
        <v>54000</v>
      </c>
      <c r="L627" s="7">
        <f t="shared" si="37"/>
        <v>5400</v>
      </c>
      <c r="M627" s="7">
        <f t="shared" si="38"/>
        <v>48600</v>
      </c>
      <c r="N627" s="23">
        <v>56000</v>
      </c>
      <c r="O627" s="7">
        <f t="shared" si="39"/>
        <v>104600</v>
      </c>
      <c r="P627" s="2" t="s">
        <v>29</v>
      </c>
      <c r="Q627" t="str">
        <f>_xlfn.XLOOKUP(B627,Status!$A$2:$A$1867,Status!$B$2:$B$1867)</f>
        <v>Completed</v>
      </c>
      <c r="R627" s="2" t="s">
        <v>82</v>
      </c>
      <c r="S627" s="8">
        <v>3</v>
      </c>
      <c r="T627" s="2" t="s">
        <v>24</v>
      </c>
      <c r="U627" s="31" t="str" cm="1">
        <f t="array" ref="U627">_xlfn.IFS(L627&lt;=5000,$Z$3,AND(L627&gt;5000,L627&lt;=15000),$Z$4,AND(L627&gt;15000,L627&lt;=30000),$Z$5,AND(L627&gt;30000,L627&lt;=50000),$Z$6,L627&gt;50000,$Z$7)</f>
        <v>Rendah</v>
      </c>
      <c r="V627" s="2"/>
    </row>
    <row r="628" spans="1:22" ht="15.75" customHeight="1" x14ac:dyDescent="0.25">
      <c r="A628" s="26"/>
      <c r="B628" s="2" t="s">
        <v>970</v>
      </c>
      <c r="C628" s="32">
        <v>45665.305381944447</v>
      </c>
      <c r="D628" s="53">
        <f>YEAR(Table1[[#This Row],[Order Date]])</f>
        <v>2025</v>
      </c>
      <c r="E628" s="2" t="s">
        <v>457</v>
      </c>
      <c r="F628" s="2" t="s">
        <v>80</v>
      </c>
      <c r="G628" s="2" t="s">
        <v>85</v>
      </c>
      <c r="H628" s="23">
        <v>35000</v>
      </c>
      <c r="I628" s="2">
        <v>4</v>
      </c>
      <c r="J628" s="31">
        <v>15</v>
      </c>
      <c r="K628" s="7">
        <f t="shared" si="36"/>
        <v>140000</v>
      </c>
      <c r="L628" s="7">
        <f t="shared" si="37"/>
        <v>21000</v>
      </c>
      <c r="M628" s="7">
        <f t="shared" si="38"/>
        <v>119000</v>
      </c>
      <c r="N628" s="23">
        <v>74000</v>
      </c>
      <c r="O628" s="7">
        <f t="shared" si="39"/>
        <v>193000</v>
      </c>
      <c r="P628" s="2" t="s">
        <v>63</v>
      </c>
      <c r="Q628" t="str">
        <f>_xlfn.XLOOKUP(B628,Status!$A$2:$A$1867,Status!$B$2:$B$1867)</f>
        <v>Completed</v>
      </c>
      <c r="R628" s="2" t="s">
        <v>82</v>
      </c>
      <c r="S628" s="8">
        <v>1</v>
      </c>
      <c r="T628" s="2" t="s">
        <v>24</v>
      </c>
      <c r="U628" s="31" t="str" cm="1">
        <f t="array" ref="U628">_xlfn.IFS(L628&lt;=5000,$Z$3,AND(L628&gt;5000,L628&lt;=15000),$Z$4,AND(L628&gt;15000,L628&lt;=30000),$Z$5,AND(L628&gt;30000,L628&lt;=50000),$Z$6,L628&gt;50000,$Z$7)</f>
        <v>Normal</v>
      </c>
      <c r="V628" s="2"/>
    </row>
    <row r="629" spans="1:22" ht="15.75" customHeight="1" x14ac:dyDescent="0.25">
      <c r="A629" s="26"/>
      <c r="B629" s="2" t="s">
        <v>970</v>
      </c>
      <c r="C629" s="32">
        <v>45665.305381944447</v>
      </c>
      <c r="D629" s="53">
        <f>YEAR(Table1[[#This Row],[Order Date]])</f>
        <v>2025</v>
      </c>
      <c r="E629" s="2" t="s">
        <v>457</v>
      </c>
      <c r="F629" s="2" t="s">
        <v>80</v>
      </c>
      <c r="G629" s="2" t="s">
        <v>88</v>
      </c>
      <c r="H629" s="23">
        <v>14000</v>
      </c>
      <c r="I629" s="2">
        <v>3</v>
      </c>
      <c r="J629" s="31">
        <v>10</v>
      </c>
      <c r="K629" s="7">
        <f t="shared" si="36"/>
        <v>42000</v>
      </c>
      <c r="L629" s="7">
        <f t="shared" si="37"/>
        <v>4200</v>
      </c>
      <c r="M629" s="7">
        <f t="shared" si="38"/>
        <v>37800</v>
      </c>
      <c r="N629" s="23">
        <v>0</v>
      </c>
      <c r="O629" s="7">
        <f t="shared" si="39"/>
        <v>37800</v>
      </c>
      <c r="P629" s="2" t="s">
        <v>63</v>
      </c>
      <c r="Q629" t="str">
        <f>_xlfn.XLOOKUP(B629,Status!$A$2:$A$1867,Status!$B$2:$B$1867)</f>
        <v>Completed</v>
      </c>
      <c r="R629" s="2" t="s">
        <v>82</v>
      </c>
      <c r="S629" s="8">
        <v>1</v>
      </c>
      <c r="T629" s="2" t="s">
        <v>24</v>
      </c>
      <c r="U629" s="31" t="str" cm="1">
        <f t="array" ref="U629">_xlfn.IFS(L629&lt;=5000,$Z$3,AND(L629&gt;5000,L629&lt;=15000),$Z$4,AND(L629&gt;15000,L629&lt;=30000),$Z$5,AND(L629&gt;30000,L629&lt;=50000),$Z$6,L629&gt;50000,$Z$7)</f>
        <v>Sangat Rendah</v>
      </c>
      <c r="V629" s="2"/>
    </row>
    <row r="630" spans="1:22" ht="15.75" customHeight="1" x14ac:dyDescent="0.25">
      <c r="A630" s="26"/>
      <c r="B630" s="2" t="s">
        <v>971</v>
      </c>
      <c r="C630" s="32">
        <v>45666.095324074071</v>
      </c>
      <c r="D630" s="53">
        <f>YEAR(Table1[[#This Row],[Order Date]])</f>
        <v>2025</v>
      </c>
      <c r="E630" s="2" t="s">
        <v>252</v>
      </c>
      <c r="F630" s="2" t="s">
        <v>131</v>
      </c>
      <c r="G630" s="2" t="s">
        <v>21</v>
      </c>
      <c r="H630" s="23">
        <v>45000</v>
      </c>
      <c r="I630" s="2">
        <v>1</v>
      </c>
      <c r="J630" s="31">
        <v>5</v>
      </c>
      <c r="K630" s="7">
        <f t="shared" si="36"/>
        <v>45000</v>
      </c>
      <c r="L630" s="7">
        <f t="shared" si="37"/>
        <v>2250</v>
      </c>
      <c r="M630" s="7">
        <f t="shared" si="38"/>
        <v>42750</v>
      </c>
      <c r="N630" s="23">
        <v>59000</v>
      </c>
      <c r="O630" s="7">
        <f t="shared" si="39"/>
        <v>101750</v>
      </c>
      <c r="P630" s="2" t="s">
        <v>22</v>
      </c>
      <c r="Q630" t="str">
        <f>_xlfn.XLOOKUP(B630,Status!$A$2:$A$1867,Status!$B$2:$B$1867)</f>
        <v>Returned</v>
      </c>
      <c r="R630" s="2" t="s">
        <v>46</v>
      </c>
      <c r="S630" s="8">
        <v>4</v>
      </c>
      <c r="T630" s="2" t="s">
        <v>24</v>
      </c>
      <c r="U630" s="31" t="str" cm="1">
        <f t="array" ref="U630">_xlfn.IFS(L630&lt;=5000,$Z$3,AND(L630&gt;5000,L630&lt;=15000),$Z$4,AND(L630&gt;15000,L630&lt;=30000),$Z$5,AND(L630&gt;30000,L630&lt;=50000),$Z$6,L630&gt;50000,$Z$7)</f>
        <v>Sangat Rendah</v>
      </c>
      <c r="V630" s="2"/>
    </row>
    <row r="631" spans="1:22" ht="15.75" customHeight="1" x14ac:dyDescent="0.25">
      <c r="A631" s="26"/>
      <c r="B631" s="2" t="s">
        <v>972</v>
      </c>
      <c r="C631" s="32">
        <v>45667.553425925929</v>
      </c>
      <c r="D631" s="53">
        <f>YEAR(Table1[[#This Row],[Order Date]])</f>
        <v>2025</v>
      </c>
      <c r="E631" s="2" t="s">
        <v>598</v>
      </c>
      <c r="F631" s="2" t="s">
        <v>61</v>
      </c>
      <c r="G631" s="2" t="s">
        <v>138</v>
      </c>
      <c r="H631" s="23">
        <v>17000</v>
      </c>
      <c r="I631" s="2">
        <v>4</v>
      </c>
      <c r="J631" s="31">
        <v>5</v>
      </c>
      <c r="K631" s="7">
        <f t="shared" si="36"/>
        <v>68000</v>
      </c>
      <c r="L631" s="7">
        <f t="shared" si="37"/>
        <v>3400</v>
      </c>
      <c r="M631" s="7">
        <f t="shared" si="38"/>
        <v>64600</v>
      </c>
      <c r="N631" s="23">
        <v>26000</v>
      </c>
      <c r="O631" s="7">
        <f t="shared" si="39"/>
        <v>90600</v>
      </c>
      <c r="P631" s="2" t="s">
        <v>35</v>
      </c>
      <c r="Q631" t="str">
        <f>_xlfn.XLOOKUP(B631,Status!$A$2:$A$1867,Status!$B$2:$B$1867)</f>
        <v>Returned</v>
      </c>
      <c r="R631" s="2" t="s">
        <v>23</v>
      </c>
      <c r="S631" s="8">
        <v>3</v>
      </c>
      <c r="T631" s="2" t="s">
        <v>24</v>
      </c>
      <c r="U631" s="31" t="str" cm="1">
        <f t="array" ref="U631">_xlfn.IFS(L631&lt;=5000,$Z$3,AND(L631&gt;5000,L631&lt;=15000),$Z$4,AND(L631&gt;15000,L631&lt;=30000),$Z$5,AND(L631&gt;30000,L631&lt;=50000),$Z$6,L631&gt;50000,$Z$7)</f>
        <v>Sangat Rendah</v>
      </c>
      <c r="V631" s="2"/>
    </row>
    <row r="632" spans="1:22" ht="15.75" customHeight="1" x14ac:dyDescent="0.25">
      <c r="A632" s="26"/>
      <c r="B632" s="2" t="s">
        <v>973</v>
      </c>
      <c r="C632" s="32">
        <v>45667.567615740743</v>
      </c>
      <c r="D632" s="53">
        <f>YEAR(Table1[[#This Row],[Order Date]])</f>
        <v>2025</v>
      </c>
      <c r="E632" s="2" t="s">
        <v>314</v>
      </c>
      <c r="F632" s="2" t="s">
        <v>113</v>
      </c>
      <c r="G632" s="2" t="s">
        <v>38</v>
      </c>
      <c r="H632" s="23">
        <v>28000</v>
      </c>
      <c r="I632" s="2">
        <v>5</v>
      </c>
      <c r="J632" s="31">
        <v>10</v>
      </c>
      <c r="K632" s="7">
        <f t="shared" si="36"/>
        <v>140000</v>
      </c>
      <c r="L632" s="7">
        <f t="shared" si="37"/>
        <v>14000</v>
      </c>
      <c r="M632" s="7">
        <f t="shared" si="38"/>
        <v>126000</v>
      </c>
      <c r="N632" s="23">
        <v>18000</v>
      </c>
      <c r="O632" s="7">
        <f t="shared" si="39"/>
        <v>144000</v>
      </c>
      <c r="P632" s="2" t="s">
        <v>63</v>
      </c>
      <c r="Q632" t="str">
        <f>_xlfn.XLOOKUP(B632,Status!$A$2:$A$1867,Status!$B$2:$B$1867)</f>
        <v>Completed</v>
      </c>
      <c r="R632" s="2" t="s">
        <v>36</v>
      </c>
      <c r="S632" s="8">
        <v>1</v>
      </c>
      <c r="T632" s="2" t="s">
        <v>24</v>
      </c>
      <c r="U632" s="31" t="str" cm="1">
        <f t="array" ref="U632">_xlfn.IFS(L632&lt;=5000,$Z$3,AND(L632&gt;5000,L632&lt;=15000),$Z$4,AND(L632&gt;15000,L632&lt;=30000),$Z$5,AND(L632&gt;30000,L632&lt;=50000),$Z$6,L632&gt;50000,$Z$7)</f>
        <v>Rendah</v>
      </c>
      <c r="V632" s="2"/>
    </row>
    <row r="633" spans="1:22" ht="15.75" customHeight="1" x14ac:dyDescent="0.25">
      <c r="A633" s="26"/>
      <c r="B633" s="2" t="s">
        <v>973</v>
      </c>
      <c r="C633" s="32">
        <v>45667.567615740743</v>
      </c>
      <c r="D633" s="53">
        <f>YEAR(Table1[[#This Row],[Order Date]])</f>
        <v>2025</v>
      </c>
      <c r="E633" s="2" t="s">
        <v>314</v>
      </c>
      <c r="F633" s="2" t="s">
        <v>113</v>
      </c>
      <c r="G633" s="2" t="s">
        <v>136</v>
      </c>
      <c r="H633" s="23">
        <v>12000</v>
      </c>
      <c r="I633" s="2">
        <v>3</v>
      </c>
      <c r="J633" s="31">
        <v>5</v>
      </c>
      <c r="K633" s="7">
        <f t="shared" si="36"/>
        <v>36000</v>
      </c>
      <c r="L633" s="7">
        <f t="shared" si="37"/>
        <v>1800</v>
      </c>
      <c r="M633" s="7">
        <f t="shared" si="38"/>
        <v>34200</v>
      </c>
      <c r="N633" s="23">
        <v>0</v>
      </c>
      <c r="O633" s="7">
        <f t="shared" si="39"/>
        <v>34200</v>
      </c>
      <c r="P633" s="2" t="s">
        <v>63</v>
      </c>
      <c r="Q633" t="str">
        <f>_xlfn.XLOOKUP(B633,Status!$A$2:$A$1867,Status!$B$2:$B$1867)</f>
        <v>Completed</v>
      </c>
      <c r="R633" s="2" t="s">
        <v>36</v>
      </c>
      <c r="S633" s="8">
        <v>1</v>
      </c>
      <c r="T633" s="2" t="s">
        <v>24</v>
      </c>
      <c r="U633" s="31" t="str" cm="1">
        <f t="array" ref="U633">_xlfn.IFS(L633&lt;=5000,$Z$3,AND(L633&gt;5000,L633&lt;=15000),$Z$4,AND(L633&gt;15000,L633&lt;=30000),$Z$5,AND(L633&gt;30000,L633&lt;=50000),$Z$6,L633&gt;50000,$Z$7)</f>
        <v>Sangat Rendah</v>
      </c>
      <c r="V633" s="2"/>
    </row>
    <row r="634" spans="1:22" ht="15.75" customHeight="1" x14ac:dyDescent="0.25">
      <c r="A634" s="26"/>
      <c r="B634" s="2" t="s">
        <v>974</v>
      </c>
      <c r="C634" s="32">
        <v>45667.742673611108</v>
      </c>
      <c r="D634" s="53">
        <f>YEAR(Table1[[#This Row],[Order Date]])</f>
        <v>2025</v>
      </c>
      <c r="E634" s="2" t="s">
        <v>796</v>
      </c>
      <c r="F634" s="2" t="s">
        <v>119</v>
      </c>
      <c r="G634" s="2" t="s">
        <v>174</v>
      </c>
      <c r="H634" s="23">
        <v>10000</v>
      </c>
      <c r="I634" s="2">
        <v>4</v>
      </c>
      <c r="J634" s="31">
        <v>15</v>
      </c>
      <c r="K634" s="7">
        <f t="shared" si="36"/>
        <v>40000</v>
      </c>
      <c r="L634" s="7">
        <f t="shared" si="37"/>
        <v>6000</v>
      </c>
      <c r="M634" s="7">
        <f t="shared" si="38"/>
        <v>34000</v>
      </c>
      <c r="N634" s="23">
        <v>0</v>
      </c>
      <c r="O634" s="7">
        <f t="shared" si="39"/>
        <v>34000</v>
      </c>
      <c r="P634" s="2" t="s">
        <v>29</v>
      </c>
      <c r="Q634" t="str">
        <f>_xlfn.XLOOKUP(B634,Status!$A$2:$A$1867,Status!$B$2:$B$1867)</f>
        <v>Completed</v>
      </c>
      <c r="R634" s="2" t="s">
        <v>23</v>
      </c>
      <c r="S634" s="8">
        <v>3</v>
      </c>
      <c r="T634" s="2" t="s">
        <v>24</v>
      </c>
      <c r="U634" s="31" t="str" cm="1">
        <f t="array" ref="U634">_xlfn.IFS(L634&lt;=5000,$Z$3,AND(L634&gt;5000,L634&lt;=15000),$Z$4,AND(L634&gt;15000,L634&lt;=30000),$Z$5,AND(L634&gt;30000,L634&lt;=50000),$Z$6,L634&gt;50000,$Z$7)</f>
        <v>Rendah</v>
      </c>
      <c r="V634" s="2"/>
    </row>
    <row r="635" spans="1:22" ht="15.75" customHeight="1" x14ac:dyDescent="0.25">
      <c r="A635" s="26"/>
      <c r="B635" s="2" t="s">
        <v>975</v>
      </c>
      <c r="C635" s="32">
        <v>45667.815451388888</v>
      </c>
      <c r="D635" s="53">
        <f>YEAR(Table1[[#This Row],[Order Date]])</f>
        <v>2025</v>
      </c>
      <c r="E635" s="2" t="s">
        <v>976</v>
      </c>
      <c r="F635" s="2" t="s">
        <v>182</v>
      </c>
      <c r="G635" s="2" t="s">
        <v>41</v>
      </c>
      <c r="H635" s="23">
        <v>4000</v>
      </c>
      <c r="I635" s="2">
        <v>3</v>
      </c>
      <c r="J635" s="31">
        <v>20</v>
      </c>
      <c r="K635" s="7">
        <f t="shared" si="36"/>
        <v>12000</v>
      </c>
      <c r="L635" s="7">
        <f t="shared" si="37"/>
        <v>2400</v>
      </c>
      <c r="M635" s="7">
        <f t="shared" si="38"/>
        <v>9600</v>
      </c>
      <c r="N635" s="23">
        <v>48000</v>
      </c>
      <c r="O635" s="7">
        <f t="shared" si="39"/>
        <v>57600</v>
      </c>
      <c r="P635" s="2" t="s">
        <v>29</v>
      </c>
      <c r="Q635" t="str">
        <f>_xlfn.XLOOKUP(B635,Status!$A$2:$A$1867,Status!$B$2:$B$1867)</f>
        <v>Completed</v>
      </c>
      <c r="R635" s="2" t="s">
        <v>30</v>
      </c>
      <c r="S635" s="8">
        <v>3</v>
      </c>
      <c r="T635" s="2" t="s">
        <v>24</v>
      </c>
      <c r="U635" s="31" t="str" cm="1">
        <f t="array" ref="U635">_xlfn.IFS(L635&lt;=5000,$Z$3,AND(L635&gt;5000,L635&lt;=15000),$Z$4,AND(L635&gt;15000,L635&lt;=30000),$Z$5,AND(L635&gt;30000,L635&lt;=50000),$Z$6,L635&gt;50000,$Z$7)</f>
        <v>Sangat Rendah</v>
      </c>
      <c r="V635" s="2"/>
    </row>
    <row r="636" spans="1:22" ht="15.75" customHeight="1" x14ac:dyDescent="0.25">
      <c r="A636" s="26"/>
      <c r="B636" s="2" t="s">
        <v>977</v>
      </c>
      <c r="C636" s="32">
        <v>45668.026458333326</v>
      </c>
      <c r="D636" s="53">
        <f>YEAR(Table1[[#This Row],[Order Date]])</f>
        <v>2025</v>
      </c>
      <c r="E636" s="2" t="s">
        <v>205</v>
      </c>
      <c r="F636" s="2" t="s">
        <v>96</v>
      </c>
      <c r="G636" s="2" t="s">
        <v>45</v>
      </c>
      <c r="H636" s="23">
        <v>40000</v>
      </c>
      <c r="I636" s="2">
        <v>1</v>
      </c>
      <c r="J636" s="31">
        <v>10</v>
      </c>
      <c r="K636" s="7">
        <f t="shared" si="36"/>
        <v>40000</v>
      </c>
      <c r="L636" s="7">
        <f t="shared" si="37"/>
        <v>4000</v>
      </c>
      <c r="M636" s="7">
        <f t="shared" si="38"/>
        <v>36000</v>
      </c>
      <c r="N636" s="23">
        <v>49000</v>
      </c>
      <c r="O636" s="7">
        <f t="shared" si="39"/>
        <v>85000</v>
      </c>
      <c r="P636" s="2" t="s">
        <v>63</v>
      </c>
      <c r="Q636" t="str">
        <f>_xlfn.XLOOKUP(B636,Status!$A$2:$A$1867,Status!$B$2:$B$1867)</f>
        <v>Returned</v>
      </c>
      <c r="R636" s="2" t="s">
        <v>82</v>
      </c>
      <c r="S636" s="8">
        <v>1</v>
      </c>
      <c r="T636" s="2" t="s">
        <v>24</v>
      </c>
      <c r="U636" s="31" t="str" cm="1">
        <f t="array" ref="U636">_xlfn.IFS(L636&lt;=5000,$Z$3,AND(L636&gt;5000,L636&lt;=15000),$Z$4,AND(L636&gt;15000,L636&lt;=30000),$Z$5,AND(L636&gt;30000,L636&lt;=50000),$Z$6,L636&gt;50000,$Z$7)</f>
        <v>Sangat Rendah</v>
      </c>
      <c r="V636" s="2"/>
    </row>
    <row r="637" spans="1:22" ht="15.75" customHeight="1" x14ac:dyDescent="0.25">
      <c r="A637" s="26"/>
      <c r="B637" s="2" t="s">
        <v>978</v>
      </c>
      <c r="C637" s="32">
        <v>45668.094340277778</v>
      </c>
      <c r="D637" s="53">
        <f>YEAR(Table1[[#This Row],[Order Date]])</f>
        <v>2025</v>
      </c>
      <c r="E637" s="2" t="s">
        <v>979</v>
      </c>
      <c r="F637" s="2" t="s">
        <v>49</v>
      </c>
      <c r="G637" s="2" t="s">
        <v>104</v>
      </c>
      <c r="H637" s="23">
        <v>30000</v>
      </c>
      <c r="I637" s="2">
        <v>3</v>
      </c>
      <c r="J637" s="31">
        <v>10</v>
      </c>
      <c r="K637" s="7">
        <f t="shared" si="36"/>
        <v>90000</v>
      </c>
      <c r="L637" s="7">
        <f t="shared" si="37"/>
        <v>9000</v>
      </c>
      <c r="M637" s="7">
        <f t="shared" si="38"/>
        <v>81000</v>
      </c>
      <c r="N637" s="23">
        <v>43000</v>
      </c>
      <c r="O637" s="7">
        <f t="shared" si="39"/>
        <v>124000</v>
      </c>
      <c r="P637" s="2" t="s">
        <v>35</v>
      </c>
      <c r="Q637" t="str">
        <f>_xlfn.XLOOKUP(B637,Status!$A$2:$A$1867,Status!$B$2:$B$1867)</f>
        <v>Completed</v>
      </c>
      <c r="R637" s="2" t="s">
        <v>46</v>
      </c>
      <c r="S637" s="8">
        <v>2</v>
      </c>
      <c r="T637" s="2" t="s">
        <v>24</v>
      </c>
      <c r="U637" s="31" t="str" cm="1">
        <f t="array" ref="U637">_xlfn.IFS(L637&lt;=5000,$Z$3,AND(L637&gt;5000,L637&lt;=15000),$Z$4,AND(L637&gt;15000,L637&lt;=30000),$Z$5,AND(L637&gt;30000,L637&lt;=50000),$Z$6,L637&gt;50000,$Z$7)</f>
        <v>Rendah</v>
      </c>
      <c r="V637" s="2"/>
    </row>
    <row r="638" spans="1:22" ht="15.75" customHeight="1" x14ac:dyDescent="0.25">
      <c r="A638" s="26"/>
      <c r="B638" s="2" t="s">
        <v>980</v>
      </c>
      <c r="C638" s="32">
        <v>45668.260451388887</v>
      </c>
      <c r="D638" s="53">
        <f>YEAR(Table1[[#This Row],[Order Date]])</f>
        <v>2025</v>
      </c>
      <c r="E638" s="2" t="s">
        <v>589</v>
      </c>
      <c r="F638" s="2" t="s">
        <v>262</v>
      </c>
      <c r="G638" s="2" t="s">
        <v>71</v>
      </c>
      <c r="H638" s="23">
        <v>40000</v>
      </c>
      <c r="I638" s="2">
        <v>2</v>
      </c>
      <c r="J638" s="31">
        <v>5</v>
      </c>
      <c r="K638" s="7">
        <f t="shared" si="36"/>
        <v>80000</v>
      </c>
      <c r="L638" s="7">
        <f t="shared" si="37"/>
        <v>4000</v>
      </c>
      <c r="M638" s="7">
        <f t="shared" si="38"/>
        <v>76000</v>
      </c>
      <c r="N638" s="23">
        <v>18000</v>
      </c>
      <c r="O638" s="7">
        <f t="shared" si="39"/>
        <v>94000</v>
      </c>
      <c r="P638" s="2" t="s">
        <v>35</v>
      </c>
      <c r="Q638" t="str">
        <f>_xlfn.XLOOKUP(B638,Status!$A$2:$A$1867,Status!$B$2:$B$1867)</f>
        <v>Cancelled</v>
      </c>
      <c r="R638" s="2" t="s">
        <v>82</v>
      </c>
      <c r="S638" s="8">
        <v>4</v>
      </c>
      <c r="T638" s="2" t="s">
        <v>37</v>
      </c>
      <c r="U638" s="31" t="str" cm="1">
        <f t="array" ref="U638">_xlfn.IFS(L638&lt;=5000,$Z$3,AND(L638&gt;5000,L638&lt;=15000),$Z$4,AND(L638&gt;15000,L638&lt;=30000),$Z$5,AND(L638&gt;30000,L638&lt;=50000),$Z$6,L638&gt;50000,$Z$7)</f>
        <v>Sangat Rendah</v>
      </c>
      <c r="V638" s="2"/>
    </row>
    <row r="639" spans="1:22" ht="15.75" customHeight="1" x14ac:dyDescent="0.25">
      <c r="A639" s="26"/>
      <c r="B639" s="2" t="s">
        <v>981</v>
      </c>
      <c r="C639" s="32">
        <v>45668.354583333326</v>
      </c>
      <c r="D639" s="53">
        <f>YEAR(Table1[[#This Row],[Order Date]])</f>
        <v>2025</v>
      </c>
      <c r="E639" s="2" t="s">
        <v>314</v>
      </c>
      <c r="F639" s="2" t="s">
        <v>113</v>
      </c>
      <c r="G639" s="2" t="s">
        <v>41</v>
      </c>
      <c r="H639" s="23">
        <v>4000</v>
      </c>
      <c r="I639" s="2">
        <v>3</v>
      </c>
      <c r="J639" s="31">
        <v>10</v>
      </c>
      <c r="K639" s="7">
        <f t="shared" si="36"/>
        <v>12000</v>
      </c>
      <c r="L639" s="7">
        <f t="shared" si="37"/>
        <v>1200</v>
      </c>
      <c r="M639" s="7">
        <f t="shared" si="38"/>
        <v>10800</v>
      </c>
      <c r="N639" s="23">
        <v>18000</v>
      </c>
      <c r="O639" s="7">
        <f t="shared" si="39"/>
        <v>28800</v>
      </c>
      <c r="P639" s="2" t="s">
        <v>29</v>
      </c>
      <c r="Q639" t="str">
        <f>_xlfn.XLOOKUP(B639,Status!$A$2:$A$1867,Status!$B$2:$B$1867)</f>
        <v>Cancelled</v>
      </c>
      <c r="R639" s="2" t="s">
        <v>36</v>
      </c>
      <c r="S639" s="8">
        <v>2</v>
      </c>
      <c r="T639" s="2" t="s">
        <v>24</v>
      </c>
      <c r="U639" s="31" t="str" cm="1">
        <f t="array" ref="U639">_xlfn.IFS(L639&lt;=5000,$Z$3,AND(L639&gt;5000,L639&lt;=15000),$Z$4,AND(L639&gt;15000,L639&lt;=30000),$Z$5,AND(L639&gt;30000,L639&lt;=50000),$Z$6,L639&gt;50000,$Z$7)</f>
        <v>Sangat Rendah</v>
      </c>
      <c r="V639" s="2"/>
    </row>
    <row r="640" spans="1:22" ht="15.75" customHeight="1" x14ac:dyDescent="0.25">
      <c r="A640" s="26"/>
      <c r="B640" s="2" t="s">
        <v>982</v>
      </c>
      <c r="C640" s="32">
        <v>45668.670682870368</v>
      </c>
      <c r="D640" s="53">
        <f>YEAR(Table1[[#This Row],[Order Date]])</f>
        <v>2025</v>
      </c>
      <c r="E640" s="2" t="s">
        <v>983</v>
      </c>
      <c r="F640" s="2" t="s">
        <v>262</v>
      </c>
      <c r="G640" s="2" t="s">
        <v>190</v>
      </c>
      <c r="H640" s="23">
        <v>35000</v>
      </c>
      <c r="I640" s="2">
        <v>2</v>
      </c>
      <c r="J640" s="31">
        <v>5</v>
      </c>
      <c r="K640" s="7">
        <f t="shared" si="36"/>
        <v>70000</v>
      </c>
      <c r="L640" s="7">
        <f t="shared" si="37"/>
        <v>3500</v>
      </c>
      <c r="M640" s="7">
        <f t="shared" si="38"/>
        <v>66500</v>
      </c>
      <c r="N640" s="23">
        <v>18000</v>
      </c>
      <c r="O640" s="7">
        <f t="shared" si="39"/>
        <v>84500</v>
      </c>
      <c r="P640" s="2" t="s">
        <v>35</v>
      </c>
      <c r="Q640" t="str">
        <f>_xlfn.XLOOKUP(B640,Status!$A$2:$A$1867,Status!$B$2:$B$1867)</f>
        <v>Returned</v>
      </c>
      <c r="R640" s="2" t="s">
        <v>46</v>
      </c>
      <c r="S640" s="8">
        <v>2</v>
      </c>
      <c r="T640" s="2" t="s">
        <v>37</v>
      </c>
      <c r="U640" s="31" t="str" cm="1">
        <f t="array" ref="U640">_xlfn.IFS(L640&lt;=5000,$Z$3,AND(L640&gt;5000,L640&lt;=15000),$Z$4,AND(L640&gt;15000,L640&lt;=30000),$Z$5,AND(L640&gt;30000,L640&lt;=50000),$Z$6,L640&gt;50000,$Z$7)</f>
        <v>Sangat Rendah</v>
      </c>
      <c r="V640" s="2"/>
    </row>
    <row r="641" spans="1:22" ht="15.75" customHeight="1" x14ac:dyDescent="0.25">
      <c r="A641" s="26"/>
      <c r="B641" s="2" t="s">
        <v>984</v>
      </c>
      <c r="C641" s="32">
        <v>45668.785856481481</v>
      </c>
      <c r="D641" s="53">
        <f>YEAR(Table1[[#This Row],[Order Date]])</f>
        <v>2025</v>
      </c>
      <c r="E641" s="2" t="s">
        <v>985</v>
      </c>
      <c r="F641" s="2" t="s">
        <v>53</v>
      </c>
      <c r="G641" s="2" t="s">
        <v>93</v>
      </c>
      <c r="H641" s="23">
        <v>25000</v>
      </c>
      <c r="I641" s="2">
        <v>4</v>
      </c>
      <c r="J641" s="31">
        <v>0</v>
      </c>
      <c r="K641" s="7">
        <f t="shared" si="36"/>
        <v>100000</v>
      </c>
      <c r="L641" s="7">
        <f t="shared" si="37"/>
        <v>0</v>
      </c>
      <c r="M641" s="7">
        <f t="shared" si="38"/>
        <v>100000</v>
      </c>
      <c r="N641" s="23">
        <v>18000</v>
      </c>
      <c r="O641" s="7">
        <f t="shared" si="39"/>
        <v>118000</v>
      </c>
      <c r="P641" s="2" t="s">
        <v>22</v>
      </c>
      <c r="Q641" t="str">
        <f>_xlfn.XLOOKUP(B641,Status!$A$2:$A$1867,Status!$B$2:$B$1867)</f>
        <v>Returned</v>
      </c>
      <c r="R641" s="2" t="s">
        <v>46</v>
      </c>
      <c r="S641" s="8">
        <v>5</v>
      </c>
      <c r="T641" s="2" t="s">
        <v>24</v>
      </c>
      <c r="U641" s="31" t="str" cm="1">
        <f t="array" ref="U641">_xlfn.IFS(L641&lt;=5000,$Z$3,AND(L641&gt;5000,L641&lt;=15000),$Z$4,AND(L641&gt;15000,L641&lt;=30000),$Z$5,AND(L641&gt;30000,L641&lt;=50000),$Z$6,L641&gt;50000,$Z$7)</f>
        <v>Sangat Rendah</v>
      </c>
      <c r="V641" s="2"/>
    </row>
    <row r="642" spans="1:22" ht="15.75" customHeight="1" x14ac:dyDescent="0.25">
      <c r="A642" s="26"/>
      <c r="B642" s="2" t="s">
        <v>986</v>
      </c>
      <c r="C642" s="32">
        <v>45668.833958333344</v>
      </c>
      <c r="D642" s="53">
        <f>YEAR(Table1[[#This Row],[Order Date]])</f>
        <v>2025</v>
      </c>
      <c r="E642" s="2" t="s">
        <v>497</v>
      </c>
      <c r="F642" s="2" t="s">
        <v>173</v>
      </c>
      <c r="G642" s="2" t="s">
        <v>174</v>
      </c>
      <c r="H642" s="23">
        <v>10000</v>
      </c>
      <c r="I642" s="2">
        <v>3</v>
      </c>
      <c r="J642" s="31">
        <v>15</v>
      </c>
      <c r="K642" s="7">
        <f t="shared" si="36"/>
        <v>30000</v>
      </c>
      <c r="L642" s="7">
        <f t="shared" si="37"/>
        <v>4500</v>
      </c>
      <c r="M642" s="7">
        <f t="shared" si="38"/>
        <v>25500</v>
      </c>
      <c r="N642" s="23">
        <v>49000</v>
      </c>
      <c r="O642" s="7">
        <f t="shared" si="39"/>
        <v>74500</v>
      </c>
      <c r="P642" s="2" t="s">
        <v>63</v>
      </c>
      <c r="Q642" t="str">
        <f>_xlfn.XLOOKUP(B642,Status!$A$2:$A$1867,Status!$B$2:$B$1867)</f>
        <v>Completed</v>
      </c>
      <c r="R642" s="2" t="s">
        <v>30</v>
      </c>
      <c r="S642" s="8">
        <v>3</v>
      </c>
      <c r="T642" s="2" t="s">
        <v>37</v>
      </c>
      <c r="U642" s="31" t="str" cm="1">
        <f t="array" ref="U642">_xlfn.IFS(L642&lt;=5000,$Z$3,AND(L642&gt;5000,L642&lt;=15000),$Z$4,AND(L642&gt;15000,L642&lt;=30000),$Z$5,AND(L642&gt;30000,L642&lt;=50000),$Z$6,L642&gt;50000,$Z$7)</f>
        <v>Sangat Rendah</v>
      </c>
      <c r="V642" s="2"/>
    </row>
    <row r="643" spans="1:22" ht="15.75" customHeight="1" x14ac:dyDescent="0.25">
      <c r="A643" s="26"/>
      <c r="B643" s="2" t="s">
        <v>987</v>
      </c>
      <c r="C643" s="32">
        <v>45668.920104166667</v>
      </c>
      <c r="D643" s="53">
        <f>YEAR(Table1[[#This Row],[Order Date]])</f>
        <v>2025</v>
      </c>
      <c r="E643" s="2" t="s">
        <v>211</v>
      </c>
      <c r="F643" s="2" t="s">
        <v>49</v>
      </c>
      <c r="G643" s="2" t="s">
        <v>85</v>
      </c>
      <c r="H643" s="23">
        <v>35000</v>
      </c>
      <c r="I643" s="2">
        <v>3</v>
      </c>
      <c r="J643" s="31">
        <v>5</v>
      </c>
      <c r="K643" s="7">
        <f t="shared" si="36"/>
        <v>105000</v>
      </c>
      <c r="L643" s="7">
        <f t="shared" si="37"/>
        <v>5250</v>
      </c>
      <c r="M643" s="7">
        <f t="shared" si="38"/>
        <v>99750</v>
      </c>
      <c r="N643" s="23">
        <v>43000</v>
      </c>
      <c r="O643" s="7">
        <f t="shared" si="39"/>
        <v>142750</v>
      </c>
      <c r="P643" s="2" t="s">
        <v>29</v>
      </c>
      <c r="Q643" t="str">
        <f>_xlfn.XLOOKUP(B643,Status!$A$2:$A$1867,Status!$B$2:$B$1867)</f>
        <v>Returned</v>
      </c>
      <c r="R643" s="2" t="s">
        <v>46</v>
      </c>
      <c r="S643" s="8">
        <v>3</v>
      </c>
      <c r="T643" s="2" t="s">
        <v>24</v>
      </c>
      <c r="U643" s="31" t="str" cm="1">
        <f t="array" ref="U643">_xlfn.IFS(L643&lt;=5000,$Z$3,AND(L643&gt;5000,L643&lt;=15000),$Z$4,AND(L643&gt;15000,L643&lt;=30000),$Z$5,AND(L643&gt;30000,L643&lt;=50000),$Z$6,L643&gt;50000,$Z$7)</f>
        <v>Rendah</v>
      </c>
      <c r="V643" s="2"/>
    </row>
    <row r="644" spans="1:22" ht="15.75" customHeight="1" x14ac:dyDescent="0.25">
      <c r="A644" s="26"/>
      <c r="B644" s="2" t="s">
        <v>988</v>
      </c>
      <c r="C644" s="32">
        <v>45669.207800925928</v>
      </c>
      <c r="D644" s="53">
        <f>YEAR(Table1[[#This Row],[Order Date]])</f>
        <v>2025</v>
      </c>
      <c r="E644" s="2" t="s">
        <v>451</v>
      </c>
      <c r="F644" s="2" t="s">
        <v>116</v>
      </c>
      <c r="G644" s="2" t="s">
        <v>104</v>
      </c>
      <c r="H644" s="23">
        <v>30000</v>
      </c>
      <c r="I644" s="2">
        <v>2</v>
      </c>
      <c r="J644" s="31">
        <v>10</v>
      </c>
      <c r="K644" s="7">
        <f t="shared" ref="K644:K707" si="40">H644*I644</f>
        <v>60000</v>
      </c>
      <c r="L644" s="7">
        <f t="shared" ref="L644:L707" si="41">K644*(J644/100)</f>
        <v>6000</v>
      </c>
      <c r="M644" s="7">
        <f t="shared" ref="M644:M707" si="42">K644-L644</f>
        <v>54000</v>
      </c>
      <c r="N644" s="23">
        <v>72000</v>
      </c>
      <c r="O644" s="7">
        <f t="shared" ref="O644:O707" si="43">SUM(M644:N644)</f>
        <v>126000</v>
      </c>
      <c r="P644" s="2" t="s">
        <v>63</v>
      </c>
      <c r="Q644" t="str">
        <f>_xlfn.XLOOKUP(B644,Status!$A$2:$A$1867,Status!$B$2:$B$1867)</f>
        <v>Cancelled</v>
      </c>
      <c r="R644" s="2" t="s">
        <v>30</v>
      </c>
      <c r="S644" s="8">
        <v>5</v>
      </c>
      <c r="T644" s="2" t="s">
        <v>24</v>
      </c>
      <c r="U644" s="31" t="str" cm="1">
        <f t="array" ref="U644">_xlfn.IFS(L644&lt;=5000,$Z$3,AND(L644&gt;5000,L644&lt;=15000),$Z$4,AND(L644&gt;15000,L644&lt;=30000),$Z$5,AND(L644&gt;30000,L644&lt;=50000),$Z$6,L644&gt;50000,$Z$7)</f>
        <v>Rendah</v>
      </c>
      <c r="V644" s="2"/>
    </row>
    <row r="645" spans="1:22" ht="15.75" customHeight="1" x14ac:dyDescent="0.25">
      <c r="A645" s="26"/>
      <c r="B645" s="2" t="s">
        <v>989</v>
      </c>
      <c r="C645" s="32">
        <v>45669.40253472222</v>
      </c>
      <c r="D645" s="53">
        <f>YEAR(Table1[[#This Row],[Order Date]])</f>
        <v>2025</v>
      </c>
      <c r="E645" s="2" t="s">
        <v>990</v>
      </c>
      <c r="F645" s="2" t="s">
        <v>173</v>
      </c>
      <c r="G645" s="2" t="s">
        <v>138</v>
      </c>
      <c r="H645" s="23">
        <v>17000</v>
      </c>
      <c r="I645" s="2">
        <v>4</v>
      </c>
      <c r="J645" s="31">
        <v>20</v>
      </c>
      <c r="K645" s="7">
        <f t="shared" si="40"/>
        <v>68000</v>
      </c>
      <c r="L645" s="7">
        <f t="shared" si="41"/>
        <v>13600</v>
      </c>
      <c r="M645" s="7">
        <f t="shared" si="42"/>
        <v>54400</v>
      </c>
      <c r="N645" s="23">
        <v>49000</v>
      </c>
      <c r="O645" s="7">
        <f t="shared" si="43"/>
        <v>103400</v>
      </c>
      <c r="P645" s="2" t="s">
        <v>22</v>
      </c>
      <c r="Q645" t="str">
        <f>_xlfn.XLOOKUP(B645,Status!$A$2:$A$1867,Status!$B$2:$B$1867)</f>
        <v>Completed</v>
      </c>
      <c r="R645" s="2" t="s">
        <v>82</v>
      </c>
      <c r="S645" s="8">
        <v>1</v>
      </c>
      <c r="T645" s="2" t="s">
        <v>24</v>
      </c>
      <c r="U645" s="31" t="str" cm="1">
        <f t="array" ref="U645">_xlfn.IFS(L645&lt;=5000,$Z$3,AND(L645&gt;5000,L645&lt;=15000),$Z$4,AND(L645&gt;15000,L645&lt;=30000),$Z$5,AND(L645&gt;30000,L645&lt;=50000),$Z$6,L645&gt;50000,$Z$7)</f>
        <v>Rendah</v>
      </c>
      <c r="V645" s="2"/>
    </row>
    <row r="646" spans="1:22" ht="15.75" customHeight="1" x14ac:dyDescent="0.25">
      <c r="A646" s="26"/>
      <c r="B646" s="2" t="s">
        <v>989</v>
      </c>
      <c r="C646" s="32">
        <v>45669.40253472222</v>
      </c>
      <c r="D646" s="53">
        <f>YEAR(Table1[[#This Row],[Order Date]])</f>
        <v>2025</v>
      </c>
      <c r="E646" s="2" t="s">
        <v>990</v>
      </c>
      <c r="F646" s="2" t="s">
        <v>173</v>
      </c>
      <c r="G646" s="2" t="s">
        <v>174</v>
      </c>
      <c r="H646" s="23">
        <v>10000</v>
      </c>
      <c r="I646" s="2">
        <v>4</v>
      </c>
      <c r="J646" s="31">
        <v>10</v>
      </c>
      <c r="K646" s="7">
        <f t="shared" si="40"/>
        <v>40000</v>
      </c>
      <c r="L646" s="7">
        <f t="shared" si="41"/>
        <v>4000</v>
      </c>
      <c r="M646" s="7">
        <f t="shared" si="42"/>
        <v>36000</v>
      </c>
      <c r="N646" s="23">
        <v>0</v>
      </c>
      <c r="O646" s="7">
        <f t="shared" si="43"/>
        <v>36000</v>
      </c>
      <c r="P646" s="2" t="s">
        <v>22</v>
      </c>
      <c r="Q646" t="str">
        <f>_xlfn.XLOOKUP(B646,Status!$A$2:$A$1867,Status!$B$2:$B$1867)</f>
        <v>Completed</v>
      </c>
      <c r="R646" s="2" t="s">
        <v>82</v>
      </c>
      <c r="S646" s="8">
        <v>1</v>
      </c>
      <c r="T646" s="2" t="s">
        <v>24</v>
      </c>
      <c r="U646" s="31" t="str" cm="1">
        <f t="array" ref="U646">_xlfn.IFS(L646&lt;=5000,$Z$3,AND(L646&gt;5000,L646&lt;=15000),$Z$4,AND(L646&gt;15000,L646&lt;=30000),$Z$5,AND(L646&gt;30000,L646&lt;=50000),$Z$6,L646&gt;50000,$Z$7)</f>
        <v>Sangat Rendah</v>
      </c>
      <c r="V646" s="2"/>
    </row>
    <row r="647" spans="1:22" ht="15.75" customHeight="1" x14ac:dyDescent="0.25">
      <c r="A647" s="26"/>
      <c r="B647" s="2" t="s">
        <v>991</v>
      </c>
      <c r="C647" s="32">
        <v>45669.504074074073</v>
      </c>
      <c r="D647" s="53">
        <f>YEAR(Table1[[#This Row],[Order Date]])</f>
        <v>2025</v>
      </c>
      <c r="E647" s="2" t="s">
        <v>983</v>
      </c>
      <c r="F647" s="2" t="s">
        <v>262</v>
      </c>
      <c r="G647" s="2" t="s">
        <v>104</v>
      </c>
      <c r="H647" s="23">
        <v>30000</v>
      </c>
      <c r="I647" s="2">
        <v>5</v>
      </c>
      <c r="J647" s="31">
        <v>5</v>
      </c>
      <c r="K647" s="7">
        <f t="shared" si="40"/>
        <v>150000</v>
      </c>
      <c r="L647" s="7">
        <f t="shared" si="41"/>
        <v>7500</v>
      </c>
      <c r="M647" s="7">
        <f t="shared" si="42"/>
        <v>142500</v>
      </c>
      <c r="N647" s="23">
        <v>18000</v>
      </c>
      <c r="O647" s="7">
        <f t="shared" si="43"/>
        <v>160500</v>
      </c>
      <c r="P647" s="2" t="s">
        <v>22</v>
      </c>
      <c r="Q647" t="str">
        <f>_xlfn.XLOOKUP(B647,Status!$A$2:$A$1867,Status!$B$2:$B$1867)</f>
        <v>Cancelled</v>
      </c>
      <c r="R647" s="2" t="s">
        <v>23</v>
      </c>
      <c r="S647" s="8">
        <v>4</v>
      </c>
      <c r="T647" s="2" t="s">
        <v>37</v>
      </c>
      <c r="U647" s="31" t="str" cm="1">
        <f t="array" ref="U647">_xlfn.IFS(L647&lt;=5000,$Z$3,AND(L647&gt;5000,L647&lt;=15000),$Z$4,AND(L647&gt;15000,L647&lt;=30000),$Z$5,AND(L647&gt;30000,L647&lt;=50000),$Z$6,L647&gt;50000,$Z$7)</f>
        <v>Rendah</v>
      </c>
      <c r="V647" s="2"/>
    </row>
    <row r="648" spans="1:22" ht="15.75" customHeight="1" x14ac:dyDescent="0.25">
      <c r="A648" s="26"/>
      <c r="B648" s="2" t="s">
        <v>992</v>
      </c>
      <c r="C648" s="32">
        <v>45669.956365740742</v>
      </c>
      <c r="D648" s="53">
        <f>YEAR(Table1[[#This Row],[Order Date]])</f>
        <v>2025</v>
      </c>
      <c r="E648" s="2" t="s">
        <v>277</v>
      </c>
      <c r="F648" s="2" t="s">
        <v>119</v>
      </c>
      <c r="G648" s="2" t="s">
        <v>110</v>
      </c>
      <c r="H648" s="23">
        <v>6000</v>
      </c>
      <c r="I648" s="2">
        <v>2</v>
      </c>
      <c r="J648" s="31">
        <v>0</v>
      </c>
      <c r="K648" s="7">
        <f t="shared" si="40"/>
        <v>12000</v>
      </c>
      <c r="L648" s="7">
        <f t="shared" si="41"/>
        <v>0</v>
      </c>
      <c r="M648" s="7">
        <f t="shared" si="42"/>
        <v>12000</v>
      </c>
      <c r="N648" s="23">
        <v>0</v>
      </c>
      <c r="O648" s="7">
        <f t="shared" si="43"/>
        <v>12000</v>
      </c>
      <c r="P648" s="2" t="s">
        <v>35</v>
      </c>
      <c r="Q648" t="str">
        <f>_xlfn.XLOOKUP(B648,Status!$A$2:$A$1867,Status!$B$2:$B$1867)</f>
        <v>Completed</v>
      </c>
      <c r="R648" s="2" t="s">
        <v>46</v>
      </c>
      <c r="S648" s="8">
        <v>5</v>
      </c>
      <c r="T648" s="2" t="s">
        <v>24</v>
      </c>
      <c r="U648" s="31" t="str" cm="1">
        <f t="array" ref="U648">_xlfn.IFS(L648&lt;=5000,$Z$3,AND(L648&gt;5000,L648&lt;=15000),$Z$4,AND(L648&gt;15000,L648&lt;=30000),$Z$5,AND(L648&gt;30000,L648&lt;=50000),$Z$6,L648&gt;50000,$Z$7)</f>
        <v>Sangat Rendah</v>
      </c>
      <c r="V648" s="2"/>
    </row>
    <row r="649" spans="1:22" ht="15.75" customHeight="1" x14ac:dyDescent="0.25">
      <c r="A649" s="26"/>
      <c r="B649" s="2" t="s">
        <v>993</v>
      </c>
      <c r="C649" s="32">
        <v>45670.63726851852</v>
      </c>
      <c r="D649" s="53">
        <f>YEAR(Table1[[#This Row],[Order Date]])</f>
        <v>2025</v>
      </c>
      <c r="E649" s="2" t="s">
        <v>551</v>
      </c>
      <c r="F649" s="2" t="s">
        <v>262</v>
      </c>
      <c r="G649" s="2" t="s">
        <v>144</v>
      </c>
      <c r="H649" s="23">
        <v>18000</v>
      </c>
      <c r="I649" s="2">
        <v>4</v>
      </c>
      <c r="J649" s="31">
        <v>10</v>
      </c>
      <c r="K649" s="7">
        <f t="shared" si="40"/>
        <v>72000</v>
      </c>
      <c r="L649" s="7">
        <f t="shared" si="41"/>
        <v>7200</v>
      </c>
      <c r="M649" s="7">
        <f t="shared" si="42"/>
        <v>64800</v>
      </c>
      <c r="N649" s="23">
        <v>18000</v>
      </c>
      <c r="O649" s="7">
        <f t="shared" si="43"/>
        <v>82800</v>
      </c>
      <c r="P649" s="2" t="s">
        <v>22</v>
      </c>
      <c r="Q649" t="str">
        <f>_xlfn.XLOOKUP(B649,Status!$A$2:$A$1867,Status!$B$2:$B$1867)</f>
        <v>Completed</v>
      </c>
      <c r="R649" s="2" t="s">
        <v>46</v>
      </c>
      <c r="S649" s="8">
        <v>3</v>
      </c>
      <c r="T649" s="2" t="s">
        <v>37</v>
      </c>
      <c r="U649" s="31" t="str" cm="1">
        <f t="array" ref="U649">_xlfn.IFS(L649&lt;=5000,$Z$3,AND(L649&gt;5000,L649&lt;=15000),$Z$4,AND(L649&gt;15000,L649&lt;=30000),$Z$5,AND(L649&gt;30000,L649&lt;=50000),$Z$6,L649&gt;50000,$Z$7)</f>
        <v>Rendah</v>
      </c>
      <c r="V649" s="2"/>
    </row>
    <row r="650" spans="1:22" ht="15.75" customHeight="1" x14ac:dyDescent="0.25">
      <c r="A650" s="26"/>
      <c r="B650" s="2" t="s">
        <v>994</v>
      </c>
      <c r="C650" s="32">
        <v>45670.812037037038</v>
      </c>
      <c r="D650" s="53">
        <f>YEAR(Table1[[#This Row],[Order Date]])</f>
        <v>2025</v>
      </c>
      <c r="E650" s="2" t="s">
        <v>340</v>
      </c>
      <c r="F650" s="2" t="s">
        <v>126</v>
      </c>
      <c r="G650" s="2" t="s">
        <v>34</v>
      </c>
      <c r="H650" s="23">
        <v>16000</v>
      </c>
      <c r="I650" s="2">
        <v>5</v>
      </c>
      <c r="J650" s="31">
        <v>0</v>
      </c>
      <c r="K650" s="7">
        <f t="shared" si="40"/>
        <v>80000</v>
      </c>
      <c r="L650" s="7">
        <f t="shared" si="41"/>
        <v>0</v>
      </c>
      <c r="M650" s="7">
        <f t="shared" si="42"/>
        <v>80000</v>
      </c>
      <c r="N650" s="23">
        <v>84000</v>
      </c>
      <c r="O650" s="7">
        <f t="shared" si="43"/>
        <v>164000</v>
      </c>
      <c r="P650" s="2" t="s">
        <v>63</v>
      </c>
      <c r="Q650" t="str">
        <f>_xlfn.XLOOKUP(B650,Status!$A$2:$A$1867,Status!$B$2:$B$1867)</f>
        <v>Completed</v>
      </c>
      <c r="R650" s="2" t="s">
        <v>46</v>
      </c>
      <c r="S650" s="8">
        <v>3</v>
      </c>
      <c r="T650" s="2" t="s">
        <v>37</v>
      </c>
      <c r="U650" s="31" t="str" cm="1">
        <f t="array" ref="U650">_xlfn.IFS(L650&lt;=5000,$Z$3,AND(L650&gt;5000,L650&lt;=15000),$Z$4,AND(L650&gt;15000,L650&lt;=30000),$Z$5,AND(L650&gt;30000,L650&lt;=50000),$Z$6,L650&gt;50000,$Z$7)</f>
        <v>Sangat Rendah</v>
      </c>
      <c r="V650" s="2"/>
    </row>
    <row r="651" spans="1:22" ht="15.75" customHeight="1" x14ac:dyDescent="0.25">
      <c r="A651" s="26"/>
      <c r="B651" s="2" t="s">
        <v>995</v>
      </c>
      <c r="C651" s="32">
        <v>45670.892187500001</v>
      </c>
      <c r="D651" s="53">
        <f>YEAR(Table1[[#This Row],[Order Date]])</f>
        <v>2025</v>
      </c>
      <c r="E651" s="2" t="s">
        <v>739</v>
      </c>
      <c r="F651" s="2" t="s">
        <v>177</v>
      </c>
      <c r="G651" s="2" t="s">
        <v>93</v>
      </c>
      <c r="H651" s="23">
        <v>25000</v>
      </c>
      <c r="I651" s="2">
        <v>3</v>
      </c>
      <c r="J651" s="31">
        <v>0</v>
      </c>
      <c r="K651" s="7">
        <f t="shared" si="40"/>
        <v>75000</v>
      </c>
      <c r="L651" s="7">
        <f t="shared" si="41"/>
        <v>0</v>
      </c>
      <c r="M651" s="7">
        <f t="shared" si="42"/>
        <v>75000</v>
      </c>
      <c r="N651" s="23">
        <v>56000</v>
      </c>
      <c r="O651" s="7">
        <f t="shared" si="43"/>
        <v>131000</v>
      </c>
      <c r="P651" s="2" t="s">
        <v>22</v>
      </c>
      <c r="Q651" t="str">
        <f>_xlfn.XLOOKUP(B651,Status!$A$2:$A$1867,Status!$B$2:$B$1867)</f>
        <v>Completed</v>
      </c>
      <c r="R651" s="2" t="s">
        <v>46</v>
      </c>
      <c r="S651" s="8">
        <v>3</v>
      </c>
      <c r="T651" s="2" t="s">
        <v>24</v>
      </c>
      <c r="U651" s="31" t="str" cm="1">
        <f t="array" ref="U651">_xlfn.IFS(L651&lt;=5000,$Z$3,AND(L651&gt;5000,L651&lt;=15000),$Z$4,AND(L651&gt;15000,L651&lt;=30000),$Z$5,AND(L651&gt;30000,L651&lt;=50000),$Z$6,L651&gt;50000,$Z$7)</f>
        <v>Sangat Rendah</v>
      </c>
      <c r="V651" s="2"/>
    </row>
    <row r="652" spans="1:22" ht="15.75" customHeight="1" x14ac:dyDescent="0.25">
      <c r="A652" s="26"/>
      <c r="B652" s="2" t="s">
        <v>996</v>
      </c>
      <c r="C652" s="32">
        <v>45671.350092592591</v>
      </c>
      <c r="D652" s="53">
        <f>YEAR(Table1[[#This Row],[Order Date]])</f>
        <v>2025</v>
      </c>
      <c r="E652" s="2" t="s">
        <v>836</v>
      </c>
      <c r="F652" s="2" t="s">
        <v>33</v>
      </c>
      <c r="G652" s="2" t="s">
        <v>71</v>
      </c>
      <c r="H652" s="23">
        <v>40000</v>
      </c>
      <c r="I652" s="2">
        <v>5</v>
      </c>
      <c r="J652" s="31">
        <v>10</v>
      </c>
      <c r="K652" s="7">
        <f t="shared" si="40"/>
        <v>200000</v>
      </c>
      <c r="L652" s="7">
        <f t="shared" si="41"/>
        <v>20000</v>
      </c>
      <c r="M652" s="7">
        <f t="shared" si="42"/>
        <v>180000</v>
      </c>
      <c r="N652" s="23">
        <v>76000</v>
      </c>
      <c r="O652" s="7">
        <f t="shared" si="43"/>
        <v>256000</v>
      </c>
      <c r="P652" s="2" t="s">
        <v>63</v>
      </c>
      <c r="Q652" t="str">
        <f>_xlfn.XLOOKUP(B652,Status!$A$2:$A$1867,Status!$B$2:$B$1867)</f>
        <v>Cancelled</v>
      </c>
      <c r="R652" s="2" t="s">
        <v>23</v>
      </c>
      <c r="S652" s="8">
        <v>5</v>
      </c>
      <c r="T652" s="2" t="s">
        <v>37</v>
      </c>
      <c r="U652" s="31" t="str" cm="1">
        <f t="array" ref="U652">_xlfn.IFS(L652&lt;=5000,$Z$3,AND(L652&gt;5000,L652&lt;=15000),$Z$4,AND(L652&gt;15000,L652&lt;=30000),$Z$5,AND(L652&gt;30000,L652&lt;=50000),$Z$6,L652&gt;50000,$Z$7)</f>
        <v>Normal</v>
      </c>
      <c r="V652" s="2"/>
    </row>
    <row r="653" spans="1:22" ht="15.75" customHeight="1" x14ac:dyDescent="0.25">
      <c r="A653" s="26"/>
      <c r="B653" s="2" t="s">
        <v>997</v>
      </c>
      <c r="C653" s="32">
        <v>45671.418981481482</v>
      </c>
      <c r="D653" s="53">
        <f>YEAR(Table1[[#This Row],[Order Date]])</f>
        <v>2025</v>
      </c>
      <c r="E653" s="2" t="s">
        <v>60</v>
      </c>
      <c r="F653" s="2" t="s">
        <v>61</v>
      </c>
      <c r="G653" s="2" t="s">
        <v>136</v>
      </c>
      <c r="H653" s="23">
        <v>12000</v>
      </c>
      <c r="I653" s="2">
        <v>4</v>
      </c>
      <c r="J653" s="31">
        <v>0</v>
      </c>
      <c r="K653" s="7">
        <f t="shared" si="40"/>
        <v>48000</v>
      </c>
      <c r="L653" s="7">
        <f t="shared" si="41"/>
        <v>0</v>
      </c>
      <c r="M653" s="7">
        <f t="shared" si="42"/>
        <v>48000</v>
      </c>
      <c r="N653" s="23">
        <v>26000</v>
      </c>
      <c r="O653" s="7">
        <f t="shared" si="43"/>
        <v>74000</v>
      </c>
      <c r="P653" s="2" t="s">
        <v>22</v>
      </c>
      <c r="Q653" t="str">
        <f>_xlfn.XLOOKUP(B653,Status!$A$2:$A$1867,Status!$B$2:$B$1867)</f>
        <v>Completed</v>
      </c>
      <c r="R653" s="2" t="s">
        <v>36</v>
      </c>
      <c r="S653" s="8">
        <v>2</v>
      </c>
      <c r="T653" s="2" t="s">
        <v>24</v>
      </c>
      <c r="U653" s="31" t="str" cm="1">
        <f t="array" ref="U653">_xlfn.IFS(L653&lt;=5000,$Z$3,AND(L653&gt;5000,L653&lt;=15000),$Z$4,AND(L653&gt;15000,L653&lt;=30000),$Z$5,AND(L653&gt;30000,L653&lt;=50000),$Z$6,L653&gt;50000,$Z$7)</f>
        <v>Sangat Rendah</v>
      </c>
      <c r="V653" s="2"/>
    </row>
    <row r="654" spans="1:22" ht="15.75" customHeight="1" x14ac:dyDescent="0.25">
      <c r="A654" s="26"/>
      <c r="B654" s="2" t="s">
        <v>998</v>
      </c>
      <c r="C654" s="32">
        <v>45671.572476851848</v>
      </c>
      <c r="D654" s="53">
        <f>YEAR(Table1[[#This Row],[Order Date]])</f>
        <v>2025</v>
      </c>
      <c r="E654" s="2" t="s">
        <v>79</v>
      </c>
      <c r="F654" s="2" t="s">
        <v>80</v>
      </c>
      <c r="G654" s="2" t="s">
        <v>75</v>
      </c>
      <c r="H654" s="23">
        <v>55000</v>
      </c>
      <c r="I654" s="2">
        <v>5</v>
      </c>
      <c r="J654" s="31">
        <v>20</v>
      </c>
      <c r="K654" s="7">
        <f t="shared" si="40"/>
        <v>275000</v>
      </c>
      <c r="L654" s="7">
        <f t="shared" si="41"/>
        <v>55000</v>
      </c>
      <c r="M654" s="7">
        <f t="shared" si="42"/>
        <v>220000</v>
      </c>
      <c r="N654" s="23">
        <v>74000</v>
      </c>
      <c r="O654" s="7">
        <f t="shared" si="43"/>
        <v>294000</v>
      </c>
      <c r="P654" s="2" t="s">
        <v>35</v>
      </c>
      <c r="Q654" t="str">
        <f>_xlfn.XLOOKUP(B654,Status!$A$2:$A$1867,Status!$B$2:$B$1867)</f>
        <v>Completed</v>
      </c>
      <c r="R654" s="2" t="s">
        <v>82</v>
      </c>
      <c r="S654" s="8">
        <v>4</v>
      </c>
      <c r="T654" s="2" t="s">
        <v>24</v>
      </c>
      <c r="U654" s="31" t="str" cm="1">
        <f t="array" ref="U654">_xlfn.IFS(L654&lt;=5000,$Z$3,AND(L654&gt;5000,L654&lt;=15000),$Z$4,AND(L654&gt;15000,L654&lt;=30000),$Z$5,AND(L654&gt;30000,L654&lt;=50000),$Z$6,L654&gt;50000,$Z$7)</f>
        <v>AllOut</v>
      </c>
      <c r="V654" s="2"/>
    </row>
    <row r="655" spans="1:22" ht="15.75" customHeight="1" x14ac:dyDescent="0.25">
      <c r="A655" s="26"/>
      <c r="B655" s="2" t="s">
        <v>999</v>
      </c>
      <c r="C655" s="32">
        <v>45671.795902777783</v>
      </c>
      <c r="D655" s="53">
        <f>YEAR(Table1[[#This Row],[Order Date]])</f>
        <v>2025</v>
      </c>
      <c r="E655" s="2" t="s">
        <v>353</v>
      </c>
      <c r="F655" s="2" t="s">
        <v>66</v>
      </c>
      <c r="G655" s="2" t="s">
        <v>34</v>
      </c>
      <c r="H655" s="23">
        <v>16000</v>
      </c>
      <c r="I655" s="2">
        <v>4</v>
      </c>
      <c r="J655" s="31">
        <v>0</v>
      </c>
      <c r="K655" s="7">
        <f t="shared" si="40"/>
        <v>64000</v>
      </c>
      <c r="L655" s="7">
        <f t="shared" si="41"/>
        <v>0</v>
      </c>
      <c r="M655" s="7">
        <f t="shared" si="42"/>
        <v>64000</v>
      </c>
      <c r="N655" s="23">
        <v>59000</v>
      </c>
      <c r="O655" s="7">
        <f t="shared" si="43"/>
        <v>123000</v>
      </c>
      <c r="P655" s="2" t="s">
        <v>35</v>
      </c>
      <c r="Q655" t="str">
        <f>_xlfn.XLOOKUP(B655,Status!$A$2:$A$1867,Status!$B$2:$B$1867)</f>
        <v>Completed</v>
      </c>
      <c r="R655" s="2" t="s">
        <v>82</v>
      </c>
      <c r="S655" s="8">
        <v>2</v>
      </c>
      <c r="T655" s="2" t="s">
        <v>24</v>
      </c>
      <c r="U655" s="31" t="str" cm="1">
        <f t="array" ref="U655">_xlfn.IFS(L655&lt;=5000,$Z$3,AND(L655&gt;5000,L655&lt;=15000),$Z$4,AND(L655&gt;15000,L655&lt;=30000),$Z$5,AND(L655&gt;30000,L655&lt;=50000),$Z$6,L655&gt;50000,$Z$7)</f>
        <v>Sangat Rendah</v>
      </c>
      <c r="V655" s="2"/>
    </row>
    <row r="656" spans="1:22" ht="15.75" customHeight="1" x14ac:dyDescent="0.25">
      <c r="A656" s="26"/>
      <c r="B656" s="2" t="s">
        <v>1000</v>
      </c>
      <c r="C656" s="32">
        <v>45671.801307870373</v>
      </c>
      <c r="D656" s="53">
        <f>YEAR(Table1[[#This Row],[Order Date]])</f>
        <v>2025</v>
      </c>
      <c r="E656" s="2" t="s">
        <v>118</v>
      </c>
      <c r="F656" s="2" t="s">
        <v>119</v>
      </c>
      <c r="G656" s="2" t="s">
        <v>28</v>
      </c>
      <c r="H656" s="23">
        <v>5000</v>
      </c>
      <c r="I656" s="2">
        <v>4</v>
      </c>
      <c r="J656" s="31">
        <v>5</v>
      </c>
      <c r="K656" s="7">
        <f t="shared" si="40"/>
        <v>20000</v>
      </c>
      <c r="L656" s="7">
        <f t="shared" si="41"/>
        <v>1000</v>
      </c>
      <c r="M656" s="7">
        <f t="shared" si="42"/>
        <v>19000</v>
      </c>
      <c r="N656" s="23">
        <v>0</v>
      </c>
      <c r="O656" s="7">
        <f t="shared" si="43"/>
        <v>19000</v>
      </c>
      <c r="P656" s="2" t="s">
        <v>63</v>
      </c>
      <c r="Q656" t="str">
        <f>_xlfn.XLOOKUP(B656,Status!$A$2:$A$1867,Status!$B$2:$B$1867)</f>
        <v>Completed</v>
      </c>
      <c r="R656" s="2" t="s">
        <v>46</v>
      </c>
      <c r="S656" s="8">
        <v>3</v>
      </c>
      <c r="T656" s="2" t="s">
        <v>24</v>
      </c>
      <c r="U656" s="31" t="str" cm="1">
        <f t="array" ref="U656">_xlfn.IFS(L656&lt;=5000,$Z$3,AND(L656&gt;5000,L656&lt;=15000),$Z$4,AND(L656&gt;15000,L656&lt;=30000),$Z$5,AND(L656&gt;30000,L656&lt;=50000),$Z$6,L656&gt;50000,$Z$7)</f>
        <v>Sangat Rendah</v>
      </c>
      <c r="V656" s="2"/>
    </row>
    <row r="657" spans="1:22" ht="15.75" customHeight="1" x14ac:dyDescent="0.25">
      <c r="A657" s="26"/>
      <c r="B657" s="2" t="s">
        <v>1001</v>
      </c>
      <c r="C657" s="32">
        <v>45672.026736111111</v>
      </c>
      <c r="D657" s="53">
        <f>YEAR(Table1[[#This Row],[Order Date]])</f>
        <v>2025</v>
      </c>
      <c r="E657" s="2" t="s">
        <v>441</v>
      </c>
      <c r="F657" s="2" t="s">
        <v>116</v>
      </c>
      <c r="G657" s="2" t="s">
        <v>38</v>
      </c>
      <c r="H657" s="23">
        <v>28000</v>
      </c>
      <c r="I657" s="2">
        <v>2</v>
      </c>
      <c r="J657" s="31">
        <v>20</v>
      </c>
      <c r="K657" s="7">
        <f t="shared" si="40"/>
        <v>56000</v>
      </c>
      <c r="L657" s="7">
        <f t="shared" si="41"/>
        <v>11200</v>
      </c>
      <c r="M657" s="7">
        <f t="shared" si="42"/>
        <v>44800</v>
      </c>
      <c r="N657" s="23">
        <v>72000</v>
      </c>
      <c r="O657" s="7">
        <f t="shared" si="43"/>
        <v>116800</v>
      </c>
      <c r="P657" s="2" t="s">
        <v>29</v>
      </c>
      <c r="Q657" t="str">
        <f>_xlfn.XLOOKUP(B657,Status!$A$2:$A$1867,Status!$B$2:$B$1867)</f>
        <v>Completed</v>
      </c>
      <c r="R657" s="2" t="s">
        <v>23</v>
      </c>
      <c r="S657" s="8">
        <v>2</v>
      </c>
      <c r="T657" s="2" t="s">
        <v>37</v>
      </c>
      <c r="U657" s="31" t="str" cm="1">
        <f t="array" ref="U657">_xlfn.IFS(L657&lt;=5000,$Z$3,AND(L657&gt;5000,L657&lt;=15000),$Z$4,AND(L657&gt;15000,L657&lt;=30000),$Z$5,AND(L657&gt;30000,L657&lt;=50000),$Z$6,L657&gt;50000,$Z$7)</f>
        <v>Rendah</v>
      </c>
      <c r="V657" s="2"/>
    </row>
    <row r="658" spans="1:22" ht="15.75" customHeight="1" x14ac:dyDescent="0.25">
      <c r="A658" s="26"/>
      <c r="B658" s="2" t="s">
        <v>1002</v>
      </c>
      <c r="C658" s="32">
        <v>45672.244618055563</v>
      </c>
      <c r="D658" s="53">
        <f>YEAR(Table1[[#This Row],[Order Date]])</f>
        <v>2025</v>
      </c>
      <c r="E658" s="2" t="s">
        <v>1003</v>
      </c>
      <c r="F658" s="2" t="s">
        <v>262</v>
      </c>
      <c r="G658" s="2" t="s">
        <v>38</v>
      </c>
      <c r="H658" s="23">
        <v>28000</v>
      </c>
      <c r="I658" s="2">
        <v>3</v>
      </c>
      <c r="J658" s="31">
        <v>0</v>
      </c>
      <c r="K658" s="7">
        <f t="shared" si="40"/>
        <v>84000</v>
      </c>
      <c r="L658" s="7">
        <f t="shared" si="41"/>
        <v>0</v>
      </c>
      <c r="M658" s="7">
        <f t="shared" si="42"/>
        <v>84000</v>
      </c>
      <c r="N658" s="23">
        <v>18000</v>
      </c>
      <c r="O658" s="7">
        <f t="shared" si="43"/>
        <v>102000</v>
      </c>
      <c r="P658" s="2" t="s">
        <v>22</v>
      </c>
      <c r="Q658" t="str">
        <f>_xlfn.XLOOKUP(B658,Status!$A$2:$A$1867,Status!$B$2:$B$1867)</f>
        <v>Completed</v>
      </c>
      <c r="R658" s="2" t="s">
        <v>82</v>
      </c>
      <c r="S658" s="8">
        <v>1</v>
      </c>
      <c r="T658" s="2" t="s">
        <v>24</v>
      </c>
      <c r="U658" s="31" t="str" cm="1">
        <f t="array" ref="U658">_xlfn.IFS(L658&lt;=5000,$Z$3,AND(L658&gt;5000,L658&lt;=15000),$Z$4,AND(L658&gt;15000,L658&lt;=30000),$Z$5,AND(L658&gt;30000,L658&lt;=50000),$Z$6,L658&gt;50000,$Z$7)</f>
        <v>Sangat Rendah</v>
      </c>
      <c r="V658" s="2"/>
    </row>
    <row r="659" spans="1:22" ht="15.75" customHeight="1" x14ac:dyDescent="0.25">
      <c r="A659" s="26"/>
      <c r="B659" s="2" t="s">
        <v>1004</v>
      </c>
      <c r="C659" s="32">
        <v>45672.429814814823</v>
      </c>
      <c r="D659" s="53">
        <f>YEAR(Table1[[#This Row],[Order Date]])</f>
        <v>2025</v>
      </c>
      <c r="E659" s="2" t="s">
        <v>1005</v>
      </c>
      <c r="F659" s="2" t="s">
        <v>122</v>
      </c>
      <c r="G659" s="2" t="s">
        <v>71</v>
      </c>
      <c r="H659" s="23">
        <v>40000</v>
      </c>
      <c r="I659" s="2">
        <v>1</v>
      </c>
      <c r="J659" s="31">
        <v>0</v>
      </c>
      <c r="K659" s="7">
        <f t="shared" si="40"/>
        <v>40000</v>
      </c>
      <c r="L659" s="7">
        <f t="shared" si="41"/>
        <v>0</v>
      </c>
      <c r="M659" s="7">
        <f t="shared" si="42"/>
        <v>40000</v>
      </c>
      <c r="N659" s="23">
        <v>78000</v>
      </c>
      <c r="O659" s="7">
        <f t="shared" si="43"/>
        <v>118000</v>
      </c>
      <c r="P659" s="2" t="s">
        <v>35</v>
      </c>
      <c r="Q659" t="str">
        <f>_xlfn.XLOOKUP(B659,Status!$A$2:$A$1867,Status!$B$2:$B$1867)</f>
        <v>Completed</v>
      </c>
      <c r="R659" s="2" t="s">
        <v>23</v>
      </c>
      <c r="S659" s="8">
        <v>5</v>
      </c>
      <c r="T659" s="2" t="s">
        <v>24</v>
      </c>
      <c r="U659" s="31" t="str" cm="1">
        <f t="array" ref="U659">_xlfn.IFS(L659&lt;=5000,$Z$3,AND(L659&gt;5000,L659&lt;=15000),$Z$4,AND(L659&gt;15000,L659&lt;=30000),$Z$5,AND(L659&gt;30000,L659&lt;=50000),$Z$6,L659&gt;50000,$Z$7)</f>
        <v>Sangat Rendah</v>
      </c>
      <c r="V659" s="2"/>
    </row>
    <row r="660" spans="1:22" ht="15.75" customHeight="1" x14ac:dyDescent="0.25">
      <c r="A660" s="26"/>
      <c r="B660" s="2" t="s">
        <v>1006</v>
      </c>
      <c r="C660" s="32">
        <v>45672.551921296297</v>
      </c>
      <c r="D660" s="53">
        <f>YEAR(Table1[[#This Row],[Order Date]])</f>
        <v>2025</v>
      </c>
      <c r="E660" s="2" t="s">
        <v>525</v>
      </c>
      <c r="F660" s="2" t="s">
        <v>96</v>
      </c>
      <c r="G660" s="2" t="s">
        <v>34</v>
      </c>
      <c r="H660" s="23">
        <v>16000</v>
      </c>
      <c r="I660" s="2">
        <v>3</v>
      </c>
      <c r="J660" s="31">
        <v>0</v>
      </c>
      <c r="K660" s="7">
        <f t="shared" si="40"/>
        <v>48000</v>
      </c>
      <c r="L660" s="7">
        <f t="shared" si="41"/>
        <v>0</v>
      </c>
      <c r="M660" s="7">
        <f t="shared" si="42"/>
        <v>48000</v>
      </c>
      <c r="N660" s="23">
        <v>49000</v>
      </c>
      <c r="O660" s="7">
        <f t="shared" si="43"/>
        <v>97000</v>
      </c>
      <c r="P660" s="2" t="s">
        <v>35</v>
      </c>
      <c r="Q660" t="str">
        <f>_xlfn.XLOOKUP(B660,Status!$A$2:$A$1867,Status!$B$2:$B$1867)</f>
        <v>Completed</v>
      </c>
      <c r="R660" s="2" t="s">
        <v>46</v>
      </c>
      <c r="S660" s="8">
        <v>3</v>
      </c>
      <c r="T660" s="2" t="s">
        <v>24</v>
      </c>
      <c r="U660" s="31" t="str" cm="1">
        <f t="array" ref="U660">_xlfn.IFS(L660&lt;=5000,$Z$3,AND(L660&gt;5000,L660&lt;=15000),$Z$4,AND(L660&gt;15000,L660&lt;=30000),$Z$5,AND(L660&gt;30000,L660&lt;=50000),$Z$6,L660&gt;50000,$Z$7)</f>
        <v>Sangat Rendah</v>
      </c>
      <c r="V660" s="2"/>
    </row>
    <row r="661" spans="1:22" ht="15.75" customHeight="1" x14ac:dyDescent="0.25">
      <c r="A661" s="26"/>
      <c r="B661" s="2" t="s">
        <v>1007</v>
      </c>
      <c r="C661" s="32">
        <v>45672.572013888886</v>
      </c>
      <c r="D661" s="53">
        <f>YEAR(Table1[[#This Row],[Order Date]])</f>
        <v>2025</v>
      </c>
      <c r="E661" s="2" t="s">
        <v>457</v>
      </c>
      <c r="F661" s="2" t="s">
        <v>80</v>
      </c>
      <c r="G661" s="2" t="s">
        <v>50</v>
      </c>
      <c r="H661" s="23">
        <v>14000</v>
      </c>
      <c r="I661" s="2">
        <v>5</v>
      </c>
      <c r="J661" s="31">
        <v>5</v>
      </c>
      <c r="K661" s="7">
        <f t="shared" si="40"/>
        <v>70000</v>
      </c>
      <c r="L661" s="7">
        <f t="shared" si="41"/>
        <v>3500</v>
      </c>
      <c r="M661" s="7">
        <f t="shared" si="42"/>
        <v>66500</v>
      </c>
      <c r="N661" s="23">
        <v>74000</v>
      </c>
      <c r="O661" s="7">
        <f t="shared" si="43"/>
        <v>140500</v>
      </c>
      <c r="P661" s="2" t="s">
        <v>22</v>
      </c>
      <c r="Q661" t="str">
        <f>_xlfn.XLOOKUP(B661,Status!$A$2:$A$1867,Status!$B$2:$B$1867)</f>
        <v>Completed</v>
      </c>
      <c r="R661" s="2" t="s">
        <v>36</v>
      </c>
      <c r="S661" s="8">
        <v>2</v>
      </c>
      <c r="T661" s="2" t="s">
        <v>24</v>
      </c>
      <c r="U661" s="31" t="str" cm="1">
        <f t="array" ref="U661">_xlfn.IFS(L661&lt;=5000,$Z$3,AND(L661&gt;5000,L661&lt;=15000),$Z$4,AND(L661&gt;15000,L661&lt;=30000),$Z$5,AND(L661&gt;30000,L661&lt;=50000),$Z$6,L661&gt;50000,$Z$7)</f>
        <v>Sangat Rendah</v>
      </c>
      <c r="V661" s="2"/>
    </row>
    <row r="662" spans="1:22" ht="15.75" customHeight="1" x14ac:dyDescent="0.25">
      <c r="A662" s="26"/>
      <c r="B662" s="2" t="s">
        <v>1008</v>
      </c>
      <c r="C662" s="32">
        <v>45672.579664351862</v>
      </c>
      <c r="D662" s="53">
        <f>YEAR(Table1[[#This Row],[Order Date]])</f>
        <v>2025</v>
      </c>
      <c r="E662" s="2" t="s">
        <v>389</v>
      </c>
      <c r="F662" s="2" t="s">
        <v>182</v>
      </c>
      <c r="G662" s="2" t="s">
        <v>93</v>
      </c>
      <c r="H662" s="23">
        <v>25000</v>
      </c>
      <c r="I662" s="2">
        <v>3</v>
      </c>
      <c r="J662" s="31">
        <v>0</v>
      </c>
      <c r="K662" s="7">
        <f t="shared" si="40"/>
        <v>75000</v>
      </c>
      <c r="L662" s="7">
        <f t="shared" si="41"/>
        <v>0</v>
      </c>
      <c r="M662" s="7">
        <f t="shared" si="42"/>
        <v>75000</v>
      </c>
      <c r="N662" s="23">
        <v>48000</v>
      </c>
      <c r="O662" s="7">
        <f t="shared" si="43"/>
        <v>123000</v>
      </c>
      <c r="P662" s="2" t="s">
        <v>22</v>
      </c>
      <c r="Q662" t="str">
        <f>_xlfn.XLOOKUP(B662,Status!$A$2:$A$1867,Status!$B$2:$B$1867)</f>
        <v>Completed</v>
      </c>
      <c r="R662" s="2" t="s">
        <v>30</v>
      </c>
      <c r="S662" s="8">
        <v>4</v>
      </c>
      <c r="T662" s="2" t="s">
        <v>24</v>
      </c>
      <c r="U662" s="31" t="str" cm="1">
        <f t="array" ref="U662">_xlfn.IFS(L662&lt;=5000,$Z$3,AND(L662&gt;5000,L662&lt;=15000),$Z$4,AND(L662&gt;15000,L662&lt;=30000),$Z$5,AND(L662&gt;30000,L662&lt;=50000),$Z$6,L662&gt;50000,$Z$7)</f>
        <v>Sangat Rendah</v>
      </c>
      <c r="V662" s="2"/>
    </row>
    <row r="663" spans="1:22" ht="15.75" customHeight="1" x14ac:dyDescent="0.25">
      <c r="A663" s="26"/>
      <c r="B663" s="2" t="s">
        <v>1009</v>
      </c>
      <c r="C663" s="32">
        <v>45672.77065972222</v>
      </c>
      <c r="D663" s="53">
        <f>YEAR(Table1[[#This Row],[Order Date]])</f>
        <v>2025</v>
      </c>
      <c r="E663" s="2" t="s">
        <v>43</v>
      </c>
      <c r="F663" s="2" t="s">
        <v>44</v>
      </c>
      <c r="G663" s="2" t="s">
        <v>85</v>
      </c>
      <c r="H663" s="23">
        <v>35000</v>
      </c>
      <c r="I663" s="2">
        <v>3</v>
      </c>
      <c r="J663" s="31">
        <v>10</v>
      </c>
      <c r="K663" s="7">
        <f t="shared" si="40"/>
        <v>105000</v>
      </c>
      <c r="L663" s="7">
        <f t="shared" si="41"/>
        <v>10500</v>
      </c>
      <c r="M663" s="7">
        <f t="shared" si="42"/>
        <v>94500</v>
      </c>
      <c r="N663" s="23">
        <v>93000</v>
      </c>
      <c r="O663" s="7">
        <f t="shared" si="43"/>
        <v>187500</v>
      </c>
      <c r="P663" s="2" t="s">
        <v>29</v>
      </c>
      <c r="Q663" t="str">
        <f>_xlfn.XLOOKUP(B663,Status!$A$2:$A$1867,Status!$B$2:$B$1867)</f>
        <v>Completed</v>
      </c>
      <c r="R663" s="2" t="s">
        <v>30</v>
      </c>
      <c r="S663" s="8">
        <v>4</v>
      </c>
      <c r="T663" s="2" t="s">
        <v>24</v>
      </c>
      <c r="U663" s="31" t="str" cm="1">
        <f t="array" ref="U663">_xlfn.IFS(L663&lt;=5000,$Z$3,AND(L663&gt;5000,L663&lt;=15000),$Z$4,AND(L663&gt;15000,L663&lt;=30000),$Z$5,AND(L663&gt;30000,L663&lt;=50000),$Z$6,L663&gt;50000,$Z$7)</f>
        <v>Rendah</v>
      </c>
      <c r="V663" s="2"/>
    </row>
    <row r="664" spans="1:22" ht="15.75" customHeight="1" x14ac:dyDescent="0.25">
      <c r="A664" s="26"/>
      <c r="B664" s="2" t="s">
        <v>1010</v>
      </c>
      <c r="C664" s="32">
        <v>45673.124606481477</v>
      </c>
      <c r="D664" s="53">
        <f>YEAR(Table1[[#This Row],[Order Date]])</f>
        <v>2025</v>
      </c>
      <c r="E664" s="2" t="s">
        <v>201</v>
      </c>
      <c r="F664" s="2" t="s">
        <v>107</v>
      </c>
      <c r="G664" s="2" t="s">
        <v>104</v>
      </c>
      <c r="H664" s="23">
        <v>30000</v>
      </c>
      <c r="I664" s="2">
        <v>3</v>
      </c>
      <c r="J664" s="31">
        <v>5</v>
      </c>
      <c r="K664" s="7">
        <f t="shared" si="40"/>
        <v>90000</v>
      </c>
      <c r="L664" s="7">
        <f t="shared" si="41"/>
        <v>4500</v>
      </c>
      <c r="M664" s="7">
        <f t="shared" si="42"/>
        <v>85500</v>
      </c>
      <c r="N664" s="23">
        <v>97000</v>
      </c>
      <c r="O664" s="7">
        <f t="shared" si="43"/>
        <v>182500</v>
      </c>
      <c r="P664" s="2" t="s">
        <v>29</v>
      </c>
      <c r="Q664" t="str">
        <f>_xlfn.XLOOKUP(B664,Status!$A$2:$A$1867,Status!$B$2:$B$1867)</f>
        <v>Completed</v>
      </c>
      <c r="R664" s="2" t="s">
        <v>30</v>
      </c>
      <c r="S664" s="8">
        <v>5</v>
      </c>
      <c r="T664" s="2" t="s">
        <v>24</v>
      </c>
      <c r="U664" s="31" t="str" cm="1">
        <f t="array" ref="U664">_xlfn.IFS(L664&lt;=5000,$Z$3,AND(L664&gt;5000,L664&lt;=15000),$Z$4,AND(L664&gt;15000,L664&lt;=30000),$Z$5,AND(L664&gt;30000,L664&lt;=50000),$Z$6,L664&gt;50000,$Z$7)</f>
        <v>Sangat Rendah</v>
      </c>
      <c r="V664" s="2"/>
    </row>
    <row r="665" spans="1:22" ht="15.75" customHeight="1" x14ac:dyDescent="0.25">
      <c r="A665" s="26"/>
      <c r="B665" s="2" t="s">
        <v>1010</v>
      </c>
      <c r="C665" s="32">
        <v>45673.124606481477</v>
      </c>
      <c r="D665" s="53">
        <f>YEAR(Table1[[#This Row],[Order Date]])</f>
        <v>2025</v>
      </c>
      <c r="E665" s="2" t="s">
        <v>201</v>
      </c>
      <c r="F665" s="2" t="s">
        <v>107</v>
      </c>
      <c r="G665" s="2" t="s">
        <v>41</v>
      </c>
      <c r="H665" s="23">
        <v>4000</v>
      </c>
      <c r="I665" s="2">
        <v>2</v>
      </c>
      <c r="J665" s="31">
        <v>15</v>
      </c>
      <c r="K665" s="7">
        <f t="shared" si="40"/>
        <v>8000</v>
      </c>
      <c r="L665" s="7">
        <f t="shared" si="41"/>
        <v>1200</v>
      </c>
      <c r="M665" s="7">
        <f t="shared" si="42"/>
        <v>6800</v>
      </c>
      <c r="N665" s="23">
        <v>0</v>
      </c>
      <c r="O665" s="7">
        <f t="shared" si="43"/>
        <v>6800</v>
      </c>
      <c r="P665" s="2" t="s">
        <v>29</v>
      </c>
      <c r="Q665" t="str">
        <f>_xlfn.XLOOKUP(B665,Status!$A$2:$A$1867,Status!$B$2:$B$1867)</f>
        <v>Completed</v>
      </c>
      <c r="R665" s="2" t="s">
        <v>30</v>
      </c>
      <c r="S665" s="8">
        <v>5</v>
      </c>
      <c r="T665" s="2" t="s">
        <v>24</v>
      </c>
      <c r="U665" s="31" t="str" cm="1">
        <f t="array" ref="U665">_xlfn.IFS(L665&lt;=5000,$Z$3,AND(L665&gt;5000,L665&lt;=15000),$Z$4,AND(L665&gt;15000,L665&lt;=30000),$Z$5,AND(L665&gt;30000,L665&lt;=50000),$Z$6,L665&gt;50000,$Z$7)</f>
        <v>Sangat Rendah</v>
      </c>
      <c r="V665" s="2"/>
    </row>
    <row r="666" spans="1:22" ht="15.75" customHeight="1" x14ac:dyDescent="0.25">
      <c r="A666" s="26"/>
      <c r="B666" s="2" t="s">
        <v>1011</v>
      </c>
      <c r="C666" s="32">
        <v>45673.358749999999</v>
      </c>
      <c r="D666" s="53">
        <f>YEAR(Table1[[#This Row],[Order Date]])</f>
        <v>2025</v>
      </c>
      <c r="E666" s="2" t="s">
        <v>1012</v>
      </c>
      <c r="F666" s="2" t="s">
        <v>177</v>
      </c>
      <c r="G666" s="2" t="s">
        <v>62</v>
      </c>
      <c r="H666" s="23">
        <v>50000</v>
      </c>
      <c r="I666" s="2">
        <v>2</v>
      </c>
      <c r="J666" s="31">
        <v>10</v>
      </c>
      <c r="K666" s="7">
        <f t="shared" si="40"/>
        <v>100000</v>
      </c>
      <c r="L666" s="7">
        <f t="shared" si="41"/>
        <v>10000</v>
      </c>
      <c r="M666" s="7">
        <f t="shared" si="42"/>
        <v>90000</v>
      </c>
      <c r="N666" s="23">
        <v>56000</v>
      </c>
      <c r="O666" s="7">
        <f t="shared" si="43"/>
        <v>146000</v>
      </c>
      <c r="P666" s="2" t="s">
        <v>29</v>
      </c>
      <c r="Q666" t="str">
        <f>_xlfn.XLOOKUP(B666,Status!$A$2:$A$1867,Status!$B$2:$B$1867)</f>
        <v>Completed</v>
      </c>
      <c r="R666" s="2" t="s">
        <v>46</v>
      </c>
      <c r="S666" s="8">
        <v>5</v>
      </c>
      <c r="T666" s="2" t="s">
        <v>37</v>
      </c>
      <c r="U666" s="31" t="str" cm="1">
        <f t="array" ref="U666">_xlfn.IFS(L666&lt;=5000,$Z$3,AND(L666&gt;5000,L666&lt;=15000),$Z$4,AND(L666&gt;15000,L666&lt;=30000),$Z$5,AND(L666&gt;30000,L666&lt;=50000),$Z$6,L666&gt;50000,$Z$7)</f>
        <v>Rendah</v>
      </c>
      <c r="V666" s="2"/>
    </row>
    <row r="667" spans="1:22" ht="15.75" customHeight="1" x14ac:dyDescent="0.25">
      <c r="A667" s="26"/>
      <c r="B667" s="2" t="s">
        <v>1013</v>
      </c>
      <c r="C667" s="32">
        <v>45673.649826388893</v>
      </c>
      <c r="D667" s="53">
        <f>YEAR(Table1[[#This Row],[Order Date]])</f>
        <v>2025</v>
      </c>
      <c r="E667" s="2" t="s">
        <v>446</v>
      </c>
      <c r="F667" s="2" t="s">
        <v>296</v>
      </c>
      <c r="G667" s="2" t="s">
        <v>38</v>
      </c>
      <c r="H667" s="23">
        <v>28000</v>
      </c>
      <c r="I667" s="2">
        <v>2</v>
      </c>
      <c r="J667" s="31">
        <v>20</v>
      </c>
      <c r="K667" s="7">
        <f t="shared" si="40"/>
        <v>56000</v>
      </c>
      <c r="L667" s="7">
        <f t="shared" si="41"/>
        <v>11200</v>
      </c>
      <c r="M667" s="7">
        <f t="shared" si="42"/>
        <v>44800</v>
      </c>
      <c r="N667" s="23">
        <v>79000</v>
      </c>
      <c r="O667" s="7">
        <f t="shared" si="43"/>
        <v>123800</v>
      </c>
      <c r="P667" s="2" t="s">
        <v>63</v>
      </c>
      <c r="Q667" t="str">
        <f>_xlfn.XLOOKUP(B667,Status!$A$2:$A$1867,Status!$B$2:$B$1867)</f>
        <v>Returned</v>
      </c>
      <c r="R667" s="2" t="s">
        <v>82</v>
      </c>
      <c r="S667" s="8">
        <v>3</v>
      </c>
      <c r="T667" s="2" t="s">
        <v>37</v>
      </c>
      <c r="U667" s="31" t="str" cm="1">
        <f t="array" ref="U667">_xlfn.IFS(L667&lt;=5000,$Z$3,AND(L667&gt;5000,L667&lt;=15000),$Z$4,AND(L667&gt;15000,L667&lt;=30000),$Z$5,AND(L667&gt;30000,L667&lt;=50000),$Z$6,L667&gt;50000,$Z$7)</f>
        <v>Rendah</v>
      </c>
      <c r="V667" s="2"/>
    </row>
    <row r="668" spans="1:22" ht="15.75" customHeight="1" x14ac:dyDescent="0.25">
      <c r="A668" s="26"/>
      <c r="B668" s="2" t="s">
        <v>1014</v>
      </c>
      <c r="C668" s="32">
        <v>45673.654374999998</v>
      </c>
      <c r="D668" s="53">
        <f>YEAR(Table1[[#This Row],[Order Date]])</f>
        <v>2025</v>
      </c>
      <c r="E668" s="2" t="s">
        <v>711</v>
      </c>
      <c r="F668" s="2" t="s">
        <v>177</v>
      </c>
      <c r="G668" s="2" t="s">
        <v>123</v>
      </c>
      <c r="H668" s="23">
        <v>22000</v>
      </c>
      <c r="I668" s="2">
        <v>4</v>
      </c>
      <c r="J668" s="31">
        <v>15</v>
      </c>
      <c r="K668" s="7">
        <f t="shared" si="40"/>
        <v>88000</v>
      </c>
      <c r="L668" s="7">
        <f t="shared" si="41"/>
        <v>13200</v>
      </c>
      <c r="M668" s="7">
        <f t="shared" si="42"/>
        <v>74800</v>
      </c>
      <c r="N668" s="23">
        <v>56000</v>
      </c>
      <c r="O668" s="7">
        <f t="shared" si="43"/>
        <v>130800</v>
      </c>
      <c r="P668" s="2" t="s">
        <v>63</v>
      </c>
      <c r="Q668" t="str">
        <f>_xlfn.XLOOKUP(B668,Status!$A$2:$A$1867,Status!$B$2:$B$1867)</f>
        <v>Completed</v>
      </c>
      <c r="R668" s="2" t="s">
        <v>82</v>
      </c>
      <c r="S668" s="8">
        <v>4</v>
      </c>
      <c r="T668" s="2" t="s">
        <v>24</v>
      </c>
      <c r="U668" s="31" t="str" cm="1">
        <f t="array" ref="U668">_xlfn.IFS(L668&lt;=5000,$Z$3,AND(L668&gt;5000,L668&lt;=15000),$Z$4,AND(L668&gt;15000,L668&lt;=30000),$Z$5,AND(L668&gt;30000,L668&lt;=50000),$Z$6,L668&gt;50000,$Z$7)</f>
        <v>Rendah</v>
      </c>
      <c r="V668" s="2"/>
    </row>
    <row r="669" spans="1:22" ht="15.75" customHeight="1" x14ac:dyDescent="0.25">
      <c r="A669" s="26"/>
      <c r="B669" s="2" t="s">
        <v>1015</v>
      </c>
      <c r="C669" s="32">
        <v>45673.704085648147</v>
      </c>
      <c r="D669" s="53">
        <f>YEAR(Table1[[#This Row],[Order Date]])</f>
        <v>2025</v>
      </c>
      <c r="E669" s="2" t="s">
        <v>323</v>
      </c>
      <c r="F669" s="2" t="s">
        <v>103</v>
      </c>
      <c r="G669" s="2" t="s">
        <v>21</v>
      </c>
      <c r="H669" s="23">
        <v>45000</v>
      </c>
      <c r="I669" s="2">
        <v>3</v>
      </c>
      <c r="J669" s="31">
        <v>10</v>
      </c>
      <c r="K669" s="7">
        <f t="shared" si="40"/>
        <v>135000</v>
      </c>
      <c r="L669" s="7">
        <f t="shared" si="41"/>
        <v>13500</v>
      </c>
      <c r="M669" s="7">
        <f t="shared" si="42"/>
        <v>121500</v>
      </c>
      <c r="N669" s="23">
        <v>85000</v>
      </c>
      <c r="O669" s="7">
        <f t="shared" si="43"/>
        <v>206500</v>
      </c>
      <c r="P669" s="2" t="s">
        <v>22</v>
      </c>
      <c r="Q669" t="str">
        <f>_xlfn.XLOOKUP(B669,Status!$A$2:$A$1867,Status!$B$2:$B$1867)</f>
        <v>Completed</v>
      </c>
      <c r="R669" s="2" t="s">
        <v>30</v>
      </c>
      <c r="S669" s="8">
        <v>2</v>
      </c>
      <c r="T669" s="2" t="s">
        <v>24</v>
      </c>
      <c r="U669" s="31" t="str" cm="1">
        <f t="array" ref="U669">_xlfn.IFS(L669&lt;=5000,$Z$3,AND(L669&gt;5000,L669&lt;=15000),$Z$4,AND(L669&gt;15000,L669&lt;=30000),$Z$5,AND(L669&gt;30000,L669&lt;=50000),$Z$6,L669&gt;50000,$Z$7)</f>
        <v>Rendah</v>
      </c>
      <c r="V669" s="2"/>
    </row>
    <row r="670" spans="1:22" ht="15.75" customHeight="1" x14ac:dyDescent="0.25">
      <c r="A670" s="26"/>
      <c r="B670" s="2" t="s">
        <v>1016</v>
      </c>
      <c r="C670" s="32">
        <v>45673.794293981482</v>
      </c>
      <c r="D670" s="53">
        <f>YEAR(Table1[[#This Row],[Order Date]])</f>
        <v>2025</v>
      </c>
      <c r="E670" s="2" t="s">
        <v>495</v>
      </c>
      <c r="F670" s="2" t="s">
        <v>44</v>
      </c>
      <c r="G670" s="2" t="s">
        <v>144</v>
      </c>
      <c r="H670" s="23">
        <v>18000</v>
      </c>
      <c r="I670" s="2">
        <v>1</v>
      </c>
      <c r="J670" s="31">
        <v>20</v>
      </c>
      <c r="K670" s="7">
        <f t="shared" si="40"/>
        <v>18000</v>
      </c>
      <c r="L670" s="7">
        <f t="shared" si="41"/>
        <v>3600</v>
      </c>
      <c r="M670" s="7">
        <f t="shared" si="42"/>
        <v>14400</v>
      </c>
      <c r="N670" s="23">
        <v>93000</v>
      </c>
      <c r="O670" s="7">
        <f t="shared" si="43"/>
        <v>107400</v>
      </c>
      <c r="P670" s="2" t="s">
        <v>35</v>
      </c>
      <c r="Q670" t="str">
        <f>_xlfn.XLOOKUP(B670,Status!$A$2:$A$1867,Status!$B$2:$B$1867)</f>
        <v>Cancelled</v>
      </c>
      <c r="R670" s="2" t="s">
        <v>23</v>
      </c>
      <c r="S670" s="8">
        <v>3</v>
      </c>
      <c r="T670" s="2" t="s">
        <v>37</v>
      </c>
      <c r="U670" s="31" t="str" cm="1">
        <f t="array" ref="U670">_xlfn.IFS(L670&lt;=5000,$Z$3,AND(L670&gt;5000,L670&lt;=15000),$Z$4,AND(L670&gt;15000,L670&lt;=30000),$Z$5,AND(L670&gt;30000,L670&lt;=50000),$Z$6,L670&gt;50000,$Z$7)</f>
        <v>Sangat Rendah</v>
      </c>
      <c r="V670" s="2"/>
    </row>
    <row r="671" spans="1:22" ht="15.75" customHeight="1" x14ac:dyDescent="0.25">
      <c r="A671" s="26"/>
      <c r="B671" s="2" t="s">
        <v>1017</v>
      </c>
      <c r="C671" s="32">
        <v>45673.907708333332</v>
      </c>
      <c r="D671" s="53">
        <f>YEAR(Table1[[#This Row],[Order Date]])</f>
        <v>2025</v>
      </c>
      <c r="E671" s="2" t="s">
        <v>722</v>
      </c>
      <c r="F671" s="2" t="s">
        <v>57</v>
      </c>
      <c r="G671" s="2" t="s">
        <v>38</v>
      </c>
      <c r="H671" s="23">
        <v>28000</v>
      </c>
      <c r="I671" s="2">
        <v>1</v>
      </c>
      <c r="J671" s="31">
        <v>5</v>
      </c>
      <c r="K671" s="7">
        <f t="shared" si="40"/>
        <v>28000</v>
      </c>
      <c r="L671" s="7">
        <f t="shared" si="41"/>
        <v>1400</v>
      </c>
      <c r="M671" s="7">
        <f t="shared" si="42"/>
        <v>26600</v>
      </c>
      <c r="N671" s="23">
        <v>80000</v>
      </c>
      <c r="O671" s="7">
        <f t="shared" si="43"/>
        <v>106600</v>
      </c>
      <c r="P671" s="2" t="s">
        <v>22</v>
      </c>
      <c r="Q671" t="str">
        <f>_xlfn.XLOOKUP(B671,Status!$A$2:$A$1867,Status!$B$2:$B$1867)</f>
        <v>Completed</v>
      </c>
      <c r="R671" s="2" t="s">
        <v>46</v>
      </c>
      <c r="S671" s="8">
        <v>2</v>
      </c>
      <c r="T671" s="2" t="s">
        <v>24</v>
      </c>
      <c r="U671" s="31" t="str" cm="1">
        <f t="array" ref="U671">_xlfn.IFS(L671&lt;=5000,$Z$3,AND(L671&gt;5000,L671&lt;=15000),$Z$4,AND(L671&gt;15000,L671&lt;=30000),$Z$5,AND(L671&gt;30000,L671&lt;=50000),$Z$6,L671&gt;50000,$Z$7)</f>
        <v>Sangat Rendah</v>
      </c>
      <c r="V671" s="2"/>
    </row>
    <row r="672" spans="1:22" ht="15.75" customHeight="1" x14ac:dyDescent="0.25">
      <c r="A672" s="26"/>
      <c r="B672" s="2" t="s">
        <v>1018</v>
      </c>
      <c r="C672" s="32">
        <v>45674.179270833331</v>
      </c>
      <c r="D672" s="53">
        <f>YEAR(Table1[[#This Row],[Order Date]])</f>
        <v>2025</v>
      </c>
      <c r="E672" s="2" t="s">
        <v>412</v>
      </c>
      <c r="F672" s="2" t="s">
        <v>70</v>
      </c>
      <c r="G672" s="2" t="s">
        <v>110</v>
      </c>
      <c r="H672" s="23">
        <v>6000</v>
      </c>
      <c r="I672" s="2">
        <v>5</v>
      </c>
      <c r="J672" s="31">
        <v>20</v>
      </c>
      <c r="K672" s="7">
        <f t="shared" si="40"/>
        <v>30000</v>
      </c>
      <c r="L672" s="7">
        <f t="shared" si="41"/>
        <v>6000</v>
      </c>
      <c r="M672" s="7">
        <f t="shared" si="42"/>
        <v>24000</v>
      </c>
      <c r="N672" s="23">
        <v>89000</v>
      </c>
      <c r="O672" s="7">
        <f t="shared" si="43"/>
        <v>113000</v>
      </c>
      <c r="P672" s="2" t="s">
        <v>22</v>
      </c>
      <c r="Q672" t="str">
        <f>_xlfn.XLOOKUP(B672,Status!$A$2:$A$1867,Status!$B$2:$B$1867)</f>
        <v>Completed</v>
      </c>
      <c r="R672" s="2" t="s">
        <v>30</v>
      </c>
      <c r="S672" s="8">
        <v>5</v>
      </c>
      <c r="T672" s="2" t="s">
        <v>24</v>
      </c>
      <c r="U672" s="31" t="str" cm="1">
        <f t="array" ref="U672">_xlfn.IFS(L672&lt;=5000,$Z$3,AND(L672&gt;5000,L672&lt;=15000),$Z$4,AND(L672&gt;15000,L672&lt;=30000),$Z$5,AND(L672&gt;30000,L672&lt;=50000),$Z$6,L672&gt;50000,$Z$7)</f>
        <v>Rendah</v>
      </c>
      <c r="V672" s="2"/>
    </row>
    <row r="673" spans="1:22" ht="15.75" customHeight="1" x14ac:dyDescent="0.25">
      <c r="A673" s="26"/>
      <c r="B673" s="2" t="s">
        <v>1019</v>
      </c>
      <c r="C673" s="32">
        <v>45674.37940972222</v>
      </c>
      <c r="D673" s="53">
        <f>YEAR(Table1[[#This Row],[Order Date]])</f>
        <v>2025</v>
      </c>
      <c r="E673" s="2" t="s">
        <v>918</v>
      </c>
      <c r="F673" s="2" t="s">
        <v>296</v>
      </c>
      <c r="G673" s="2" t="s">
        <v>174</v>
      </c>
      <c r="H673" s="23">
        <v>10000</v>
      </c>
      <c r="I673" s="2">
        <v>4</v>
      </c>
      <c r="J673" s="31">
        <v>15</v>
      </c>
      <c r="K673" s="7">
        <f t="shared" si="40"/>
        <v>40000</v>
      </c>
      <c r="L673" s="7">
        <f t="shared" si="41"/>
        <v>6000</v>
      </c>
      <c r="M673" s="7">
        <f t="shared" si="42"/>
        <v>34000</v>
      </c>
      <c r="N673" s="23">
        <v>79000</v>
      </c>
      <c r="O673" s="7">
        <f t="shared" si="43"/>
        <v>113000</v>
      </c>
      <c r="P673" s="2" t="s">
        <v>63</v>
      </c>
      <c r="Q673" t="str">
        <f>_xlfn.XLOOKUP(B673,Status!$A$2:$A$1867,Status!$B$2:$B$1867)</f>
        <v>Completed</v>
      </c>
      <c r="R673" s="2" t="s">
        <v>30</v>
      </c>
      <c r="S673" s="8">
        <v>2</v>
      </c>
      <c r="T673" s="2" t="s">
        <v>24</v>
      </c>
      <c r="U673" s="31" t="str" cm="1">
        <f t="array" ref="U673">_xlfn.IFS(L673&lt;=5000,$Z$3,AND(L673&gt;5000,L673&lt;=15000),$Z$4,AND(L673&gt;15000,L673&lt;=30000),$Z$5,AND(L673&gt;30000,L673&lt;=50000),$Z$6,L673&gt;50000,$Z$7)</f>
        <v>Rendah</v>
      </c>
      <c r="V673" s="2"/>
    </row>
    <row r="674" spans="1:22" ht="15.75" customHeight="1" x14ac:dyDescent="0.25">
      <c r="A674" s="26"/>
      <c r="B674" s="2" t="s">
        <v>1020</v>
      </c>
      <c r="C674" s="32">
        <v>45674.63821759259</v>
      </c>
      <c r="D674" s="53">
        <f>YEAR(Table1[[#This Row],[Order Date]])</f>
        <v>2025</v>
      </c>
      <c r="E674" s="2" t="s">
        <v>656</v>
      </c>
      <c r="F674" s="2" t="s">
        <v>195</v>
      </c>
      <c r="G674" s="2" t="s">
        <v>67</v>
      </c>
      <c r="H674" s="23">
        <v>15000</v>
      </c>
      <c r="I674" s="2">
        <v>1</v>
      </c>
      <c r="J674" s="31">
        <v>0</v>
      </c>
      <c r="K674" s="7">
        <f t="shared" si="40"/>
        <v>15000</v>
      </c>
      <c r="L674" s="7">
        <f t="shared" si="41"/>
        <v>0</v>
      </c>
      <c r="M674" s="7">
        <f t="shared" si="42"/>
        <v>15000</v>
      </c>
      <c r="N674" s="23">
        <v>87000</v>
      </c>
      <c r="O674" s="7">
        <f t="shared" si="43"/>
        <v>102000</v>
      </c>
      <c r="P674" s="2" t="s">
        <v>35</v>
      </c>
      <c r="Q674" t="str">
        <f>_xlfn.XLOOKUP(B674,Status!$A$2:$A$1867,Status!$B$2:$B$1867)</f>
        <v>Completed</v>
      </c>
      <c r="R674" s="2" t="s">
        <v>30</v>
      </c>
      <c r="S674" s="8">
        <v>4</v>
      </c>
      <c r="T674" s="2" t="s">
        <v>37</v>
      </c>
      <c r="U674" s="31" t="str" cm="1">
        <f t="array" ref="U674">_xlfn.IFS(L674&lt;=5000,$Z$3,AND(L674&gt;5000,L674&lt;=15000),$Z$4,AND(L674&gt;15000,L674&lt;=30000),$Z$5,AND(L674&gt;30000,L674&lt;=50000),$Z$6,L674&gt;50000,$Z$7)</f>
        <v>Sangat Rendah</v>
      </c>
      <c r="V674" s="2"/>
    </row>
    <row r="675" spans="1:22" ht="15.75" customHeight="1" x14ac:dyDescent="0.25">
      <c r="A675" s="26"/>
      <c r="B675" s="2" t="s">
        <v>1021</v>
      </c>
      <c r="C675" s="32">
        <v>45674.68172453704</v>
      </c>
      <c r="D675" s="53">
        <f>YEAR(Table1[[#This Row],[Order Date]])</f>
        <v>2025</v>
      </c>
      <c r="E675" s="2" t="s">
        <v>1022</v>
      </c>
      <c r="F675" s="2" t="s">
        <v>177</v>
      </c>
      <c r="G675" s="2" t="s">
        <v>174</v>
      </c>
      <c r="H675" s="23">
        <v>10000</v>
      </c>
      <c r="I675" s="2">
        <v>4</v>
      </c>
      <c r="J675" s="31">
        <v>15</v>
      </c>
      <c r="K675" s="7">
        <f t="shared" si="40"/>
        <v>40000</v>
      </c>
      <c r="L675" s="7">
        <f t="shared" si="41"/>
        <v>6000</v>
      </c>
      <c r="M675" s="7">
        <f t="shared" si="42"/>
        <v>34000</v>
      </c>
      <c r="N675" s="23">
        <v>56000</v>
      </c>
      <c r="O675" s="7">
        <f t="shared" si="43"/>
        <v>90000</v>
      </c>
      <c r="P675" s="2" t="s">
        <v>22</v>
      </c>
      <c r="Q675" t="str">
        <f>_xlfn.XLOOKUP(B675,Status!$A$2:$A$1867,Status!$B$2:$B$1867)</f>
        <v>Completed</v>
      </c>
      <c r="R675" s="2" t="s">
        <v>23</v>
      </c>
      <c r="S675" s="8">
        <v>2</v>
      </c>
      <c r="T675" s="2" t="s">
        <v>24</v>
      </c>
      <c r="U675" s="31" t="str" cm="1">
        <f t="array" ref="U675">_xlfn.IFS(L675&lt;=5000,$Z$3,AND(L675&gt;5000,L675&lt;=15000),$Z$4,AND(L675&gt;15000,L675&lt;=30000),$Z$5,AND(L675&gt;30000,L675&lt;=50000),$Z$6,L675&gt;50000,$Z$7)</f>
        <v>Rendah</v>
      </c>
      <c r="V675" s="2"/>
    </row>
    <row r="676" spans="1:22" ht="15.75" customHeight="1" x14ac:dyDescent="0.25">
      <c r="A676" s="26"/>
      <c r="B676" s="2" t="s">
        <v>1023</v>
      </c>
      <c r="C676" s="32">
        <v>45674.723275462973</v>
      </c>
      <c r="D676" s="53">
        <f>YEAR(Table1[[#This Row],[Order Date]])</f>
        <v>2025</v>
      </c>
      <c r="E676" s="2" t="s">
        <v>834</v>
      </c>
      <c r="F676" s="2" t="s">
        <v>177</v>
      </c>
      <c r="G676" s="2" t="s">
        <v>110</v>
      </c>
      <c r="H676" s="23">
        <v>6000</v>
      </c>
      <c r="I676" s="2">
        <v>1</v>
      </c>
      <c r="J676" s="31">
        <v>20</v>
      </c>
      <c r="K676" s="7">
        <f t="shared" si="40"/>
        <v>6000</v>
      </c>
      <c r="L676" s="7">
        <f t="shared" si="41"/>
        <v>1200</v>
      </c>
      <c r="M676" s="7">
        <f t="shared" si="42"/>
        <v>4800</v>
      </c>
      <c r="N676" s="23">
        <v>56000</v>
      </c>
      <c r="O676" s="7">
        <f t="shared" si="43"/>
        <v>60800</v>
      </c>
      <c r="P676" s="2" t="s">
        <v>29</v>
      </c>
      <c r="Q676" t="str">
        <f>_xlfn.XLOOKUP(B676,Status!$A$2:$A$1867,Status!$B$2:$B$1867)</f>
        <v>Returned</v>
      </c>
      <c r="R676" s="2" t="s">
        <v>82</v>
      </c>
      <c r="S676" s="8">
        <v>4</v>
      </c>
      <c r="T676" s="2" t="s">
        <v>37</v>
      </c>
      <c r="U676" s="31" t="str" cm="1">
        <f t="array" ref="U676">_xlfn.IFS(L676&lt;=5000,$Z$3,AND(L676&gt;5000,L676&lt;=15000),$Z$4,AND(L676&gt;15000,L676&lt;=30000),$Z$5,AND(L676&gt;30000,L676&lt;=50000),$Z$6,L676&gt;50000,$Z$7)</f>
        <v>Sangat Rendah</v>
      </c>
      <c r="V676" s="2"/>
    </row>
    <row r="677" spans="1:22" ht="15.75" customHeight="1" x14ac:dyDescent="0.25">
      <c r="A677" s="26"/>
      <c r="B677" s="2" t="s">
        <v>1024</v>
      </c>
      <c r="C677" s="32">
        <v>45674.734398148154</v>
      </c>
      <c r="D677" s="53">
        <f>YEAR(Table1[[#This Row],[Order Date]])</f>
        <v>2025</v>
      </c>
      <c r="E677" s="2" t="s">
        <v>1025</v>
      </c>
      <c r="F677" s="2" t="s">
        <v>119</v>
      </c>
      <c r="G677" s="2" t="s">
        <v>34</v>
      </c>
      <c r="H677" s="23">
        <v>16000</v>
      </c>
      <c r="I677" s="2">
        <v>4</v>
      </c>
      <c r="J677" s="31">
        <v>5</v>
      </c>
      <c r="K677" s="7">
        <f t="shared" si="40"/>
        <v>64000</v>
      </c>
      <c r="L677" s="7">
        <f t="shared" si="41"/>
        <v>3200</v>
      </c>
      <c r="M677" s="7">
        <f t="shared" si="42"/>
        <v>60800</v>
      </c>
      <c r="N677" s="23">
        <v>0</v>
      </c>
      <c r="O677" s="7">
        <f t="shared" si="43"/>
        <v>60800</v>
      </c>
      <c r="P677" s="2" t="s">
        <v>29</v>
      </c>
      <c r="Q677" t="str">
        <f>_xlfn.XLOOKUP(B677,Status!$A$2:$A$1867,Status!$B$2:$B$1867)</f>
        <v>Completed</v>
      </c>
      <c r="R677" s="2" t="s">
        <v>23</v>
      </c>
      <c r="S677" s="8">
        <v>5</v>
      </c>
      <c r="T677" s="2" t="s">
        <v>24</v>
      </c>
      <c r="U677" s="31" t="str" cm="1">
        <f t="array" ref="U677">_xlfn.IFS(L677&lt;=5000,$Z$3,AND(L677&gt;5000,L677&lt;=15000),$Z$4,AND(L677&gt;15000,L677&lt;=30000),$Z$5,AND(L677&gt;30000,L677&lt;=50000),$Z$6,L677&gt;50000,$Z$7)</f>
        <v>Sangat Rendah</v>
      </c>
      <c r="V677" s="2"/>
    </row>
    <row r="678" spans="1:22" ht="15.75" customHeight="1" x14ac:dyDescent="0.25">
      <c r="A678" s="26"/>
      <c r="B678" s="2" t="s">
        <v>1026</v>
      </c>
      <c r="C678" s="32">
        <v>45675.224085648151</v>
      </c>
      <c r="D678" s="53">
        <f>YEAR(Table1[[#This Row],[Order Date]])</f>
        <v>2025</v>
      </c>
      <c r="E678" s="2" t="s">
        <v>748</v>
      </c>
      <c r="F678" s="2" t="s">
        <v>160</v>
      </c>
      <c r="G678" s="2" t="s">
        <v>174</v>
      </c>
      <c r="H678" s="23">
        <v>10000</v>
      </c>
      <c r="I678" s="2">
        <v>1</v>
      </c>
      <c r="J678" s="31">
        <v>20</v>
      </c>
      <c r="K678" s="7">
        <f t="shared" si="40"/>
        <v>10000</v>
      </c>
      <c r="L678" s="7">
        <f t="shared" si="41"/>
        <v>2000</v>
      </c>
      <c r="M678" s="7">
        <f t="shared" si="42"/>
        <v>8000</v>
      </c>
      <c r="N678" s="23">
        <v>68000</v>
      </c>
      <c r="O678" s="7">
        <f t="shared" si="43"/>
        <v>76000</v>
      </c>
      <c r="P678" s="2" t="s">
        <v>35</v>
      </c>
      <c r="Q678" t="str">
        <f>_xlfn.XLOOKUP(B678,Status!$A$2:$A$1867,Status!$B$2:$B$1867)</f>
        <v>Completed</v>
      </c>
      <c r="R678" s="2" t="s">
        <v>23</v>
      </c>
      <c r="S678" s="8">
        <v>5</v>
      </c>
      <c r="T678" s="2" t="s">
        <v>24</v>
      </c>
      <c r="U678" s="31" t="str" cm="1">
        <f t="array" ref="U678">_xlfn.IFS(L678&lt;=5000,$Z$3,AND(L678&gt;5000,L678&lt;=15000),$Z$4,AND(L678&gt;15000,L678&lt;=30000),$Z$5,AND(L678&gt;30000,L678&lt;=50000),$Z$6,L678&gt;50000,$Z$7)</f>
        <v>Sangat Rendah</v>
      </c>
      <c r="V678" s="2"/>
    </row>
    <row r="679" spans="1:22" ht="15.75" customHeight="1" x14ac:dyDescent="0.25">
      <c r="A679" s="26"/>
      <c r="B679" s="2" t="s">
        <v>1027</v>
      </c>
      <c r="C679" s="32">
        <v>45675.290925925918</v>
      </c>
      <c r="D679" s="53">
        <f>YEAR(Table1[[#This Row],[Order Date]])</f>
        <v>2025</v>
      </c>
      <c r="E679" s="2" t="s">
        <v>434</v>
      </c>
      <c r="F679" s="2" t="s">
        <v>435</v>
      </c>
      <c r="G679" s="2" t="s">
        <v>41</v>
      </c>
      <c r="H679" s="23">
        <v>4000</v>
      </c>
      <c r="I679" s="2">
        <v>2</v>
      </c>
      <c r="J679" s="31">
        <v>5</v>
      </c>
      <c r="K679" s="7">
        <f t="shared" si="40"/>
        <v>8000</v>
      </c>
      <c r="L679" s="7">
        <f t="shared" si="41"/>
        <v>400</v>
      </c>
      <c r="M679" s="7">
        <f t="shared" si="42"/>
        <v>7600</v>
      </c>
      <c r="N679" s="23">
        <v>67000</v>
      </c>
      <c r="O679" s="7">
        <f t="shared" si="43"/>
        <v>74600</v>
      </c>
      <c r="P679" s="2" t="s">
        <v>22</v>
      </c>
      <c r="Q679" t="str">
        <f>_xlfn.XLOOKUP(B679,Status!$A$2:$A$1867,Status!$B$2:$B$1867)</f>
        <v>Returned</v>
      </c>
      <c r="R679" s="2" t="s">
        <v>82</v>
      </c>
      <c r="S679" s="8">
        <v>2</v>
      </c>
      <c r="T679" s="2" t="s">
        <v>24</v>
      </c>
      <c r="U679" s="31" t="str" cm="1">
        <f t="array" ref="U679">_xlfn.IFS(L679&lt;=5000,$Z$3,AND(L679&gt;5000,L679&lt;=15000),$Z$4,AND(L679&gt;15000,L679&lt;=30000),$Z$5,AND(L679&gt;30000,L679&lt;=50000),$Z$6,L679&gt;50000,$Z$7)</f>
        <v>Sangat Rendah</v>
      </c>
      <c r="V679" s="2"/>
    </row>
    <row r="680" spans="1:22" ht="15.75" customHeight="1" x14ac:dyDescent="0.25">
      <c r="A680" s="26"/>
      <c r="B680" s="2" t="s">
        <v>1028</v>
      </c>
      <c r="C680" s="32">
        <v>45675.588506944441</v>
      </c>
      <c r="D680" s="53">
        <f>YEAR(Table1[[#This Row],[Order Date]])</f>
        <v>2025</v>
      </c>
      <c r="E680" s="2" t="s">
        <v>443</v>
      </c>
      <c r="F680" s="2" t="s">
        <v>53</v>
      </c>
      <c r="G680" s="2" t="s">
        <v>62</v>
      </c>
      <c r="H680" s="23">
        <v>50000</v>
      </c>
      <c r="I680" s="2">
        <v>3</v>
      </c>
      <c r="J680" s="31">
        <v>20</v>
      </c>
      <c r="K680" s="7">
        <f t="shared" si="40"/>
        <v>150000</v>
      </c>
      <c r="L680" s="7">
        <f t="shared" si="41"/>
        <v>30000</v>
      </c>
      <c r="M680" s="7">
        <f t="shared" si="42"/>
        <v>120000</v>
      </c>
      <c r="N680" s="23">
        <v>18000</v>
      </c>
      <c r="O680" s="7">
        <f t="shared" si="43"/>
        <v>138000</v>
      </c>
      <c r="P680" s="2" t="s">
        <v>29</v>
      </c>
      <c r="Q680" t="str">
        <f>_xlfn.XLOOKUP(B680,Status!$A$2:$A$1867,Status!$B$2:$B$1867)</f>
        <v>Completed</v>
      </c>
      <c r="R680" s="2" t="s">
        <v>23</v>
      </c>
      <c r="S680" s="8">
        <v>5</v>
      </c>
      <c r="T680" s="2" t="s">
        <v>24</v>
      </c>
      <c r="U680" s="31" t="str" cm="1">
        <f t="array" ref="U680">_xlfn.IFS(L680&lt;=5000,$Z$3,AND(L680&gt;5000,L680&lt;=15000),$Z$4,AND(L680&gt;15000,L680&lt;=30000),$Z$5,AND(L680&gt;30000,L680&lt;=50000),$Z$6,L680&gt;50000,$Z$7)</f>
        <v>Normal</v>
      </c>
      <c r="V680" s="2"/>
    </row>
    <row r="681" spans="1:22" ht="15.75" customHeight="1" x14ac:dyDescent="0.25">
      <c r="A681" s="26"/>
      <c r="B681" s="2" t="s">
        <v>1029</v>
      </c>
      <c r="C681" s="32">
        <v>45675.945648148147</v>
      </c>
      <c r="D681" s="53">
        <f>YEAR(Table1[[#This Row],[Order Date]])</f>
        <v>2025</v>
      </c>
      <c r="E681" s="2" t="s">
        <v>383</v>
      </c>
      <c r="F681" s="2" t="s">
        <v>122</v>
      </c>
      <c r="G681" s="2" t="s">
        <v>250</v>
      </c>
      <c r="H681" s="23">
        <v>18000</v>
      </c>
      <c r="I681" s="2">
        <v>4</v>
      </c>
      <c r="J681" s="31">
        <v>20</v>
      </c>
      <c r="K681" s="7">
        <f t="shared" si="40"/>
        <v>72000</v>
      </c>
      <c r="L681" s="7">
        <f t="shared" si="41"/>
        <v>14400</v>
      </c>
      <c r="M681" s="7">
        <f t="shared" si="42"/>
        <v>57600</v>
      </c>
      <c r="N681" s="23">
        <v>78000</v>
      </c>
      <c r="O681" s="7">
        <f t="shared" si="43"/>
        <v>135600</v>
      </c>
      <c r="P681" s="2" t="s">
        <v>22</v>
      </c>
      <c r="Q681" t="str">
        <f>_xlfn.XLOOKUP(B681,Status!$A$2:$A$1867,Status!$B$2:$B$1867)</f>
        <v>Completed</v>
      </c>
      <c r="R681" s="2" t="s">
        <v>46</v>
      </c>
      <c r="S681" s="8">
        <v>2</v>
      </c>
      <c r="T681" s="2" t="s">
        <v>24</v>
      </c>
      <c r="U681" s="31" t="str" cm="1">
        <f t="array" ref="U681">_xlfn.IFS(L681&lt;=5000,$Z$3,AND(L681&gt;5000,L681&lt;=15000),$Z$4,AND(L681&gt;15000,L681&lt;=30000),$Z$5,AND(L681&gt;30000,L681&lt;=50000),$Z$6,L681&gt;50000,$Z$7)</f>
        <v>Rendah</v>
      </c>
      <c r="V681" s="2"/>
    </row>
    <row r="682" spans="1:22" ht="15.75" customHeight="1" x14ac:dyDescent="0.25">
      <c r="A682" s="26"/>
      <c r="B682" s="2" t="s">
        <v>1030</v>
      </c>
      <c r="C682" s="32">
        <v>45676.33221064815</v>
      </c>
      <c r="D682" s="53">
        <f>YEAR(Table1[[#This Row],[Order Date]])</f>
        <v>2025</v>
      </c>
      <c r="E682" s="2" t="s">
        <v>121</v>
      </c>
      <c r="F682" s="2" t="s">
        <v>122</v>
      </c>
      <c r="G682" s="2" t="s">
        <v>38</v>
      </c>
      <c r="H682" s="23">
        <v>28000</v>
      </c>
      <c r="I682" s="2">
        <v>5</v>
      </c>
      <c r="J682" s="31">
        <v>10</v>
      </c>
      <c r="K682" s="7">
        <f t="shared" si="40"/>
        <v>140000</v>
      </c>
      <c r="L682" s="7">
        <f t="shared" si="41"/>
        <v>14000</v>
      </c>
      <c r="M682" s="7">
        <f t="shared" si="42"/>
        <v>126000</v>
      </c>
      <c r="N682" s="23">
        <v>78000</v>
      </c>
      <c r="O682" s="7">
        <f t="shared" si="43"/>
        <v>204000</v>
      </c>
      <c r="P682" s="2" t="s">
        <v>63</v>
      </c>
      <c r="Q682" t="str">
        <f>_xlfn.XLOOKUP(B682,Status!$A$2:$A$1867,Status!$B$2:$B$1867)</f>
        <v>Completed</v>
      </c>
      <c r="R682" s="2" t="s">
        <v>23</v>
      </c>
      <c r="S682" s="8">
        <v>5</v>
      </c>
      <c r="T682" s="2" t="s">
        <v>24</v>
      </c>
      <c r="U682" s="31" t="str" cm="1">
        <f t="array" ref="U682">_xlfn.IFS(L682&lt;=5000,$Z$3,AND(L682&gt;5000,L682&lt;=15000),$Z$4,AND(L682&gt;15000,L682&lt;=30000),$Z$5,AND(L682&gt;30000,L682&lt;=50000),$Z$6,L682&gt;50000,$Z$7)</f>
        <v>Rendah</v>
      </c>
      <c r="V682" s="2"/>
    </row>
    <row r="683" spans="1:22" ht="15.75" customHeight="1" x14ac:dyDescent="0.25">
      <c r="A683" s="26"/>
      <c r="B683" s="2" t="s">
        <v>1031</v>
      </c>
      <c r="C683" s="32">
        <v>45676.351226851853</v>
      </c>
      <c r="D683" s="53">
        <f>YEAR(Table1[[#This Row],[Order Date]])</f>
        <v>2025</v>
      </c>
      <c r="E683" s="2" t="s">
        <v>705</v>
      </c>
      <c r="F683" s="2" t="s">
        <v>189</v>
      </c>
      <c r="G683" s="2" t="s">
        <v>38</v>
      </c>
      <c r="H683" s="23">
        <v>28000</v>
      </c>
      <c r="I683" s="2">
        <v>2</v>
      </c>
      <c r="J683" s="31">
        <v>20</v>
      </c>
      <c r="K683" s="7">
        <f t="shared" si="40"/>
        <v>56000</v>
      </c>
      <c r="L683" s="7">
        <f t="shared" si="41"/>
        <v>11200</v>
      </c>
      <c r="M683" s="7">
        <f t="shared" si="42"/>
        <v>44800</v>
      </c>
      <c r="N683" s="23">
        <v>57000</v>
      </c>
      <c r="O683" s="7">
        <f t="shared" si="43"/>
        <v>101800</v>
      </c>
      <c r="P683" s="2" t="s">
        <v>29</v>
      </c>
      <c r="Q683" t="str">
        <f>_xlfn.XLOOKUP(B683,Status!$A$2:$A$1867,Status!$B$2:$B$1867)</f>
        <v>Completed</v>
      </c>
      <c r="R683" s="2" t="s">
        <v>82</v>
      </c>
      <c r="S683" s="8">
        <v>4</v>
      </c>
      <c r="T683" s="2" t="s">
        <v>24</v>
      </c>
      <c r="U683" s="31" t="str" cm="1">
        <f t="array" ref="U683">_xlfn.IFS(L683&lt;=5000,$Z$3,AND(L683&gt;5000,L683&lt;=15000),$Z$4,AND(L683&gt;15000,L683&lt;=30000),$Z$5,AND(L683&gt;30000,L683&lt;=50000),$Z$6,L683&gt;50000,$Z$7)</f>
        <v>Rendah</v>
      </c>
      <c r="V683" s="2"/>
    </row>
    <row r="684" spans="1:22" ht="15.75" customHeight="1" x14ac:dyDescent="0.25">
      <c r="A684" s="26"/>
      <c r="B684" s="2" t="s">
        <v>1032</v>
      </c>
      <c r="C684" s="32">
        <v>45676.408773148149</v>
      </c>
      <c r="D684" s="53">
        <f>YEAR(Table1[[#This Row],[Order Date]])</f>
        <v>2025</v>
      </c>
      <c r="E684" s="2" t="s">
        <v>1033</v>
      </c>
      <c r="F684" s="2" t="s">
        <v>122</v>
      </c>
      <c r="G684" s="2" t="s">
        <v>38</v>
      </c>
      <c r="H684" s="23">
        <v>28000</v>
      </c>
      <c r="I684" s="2">
        <v>2</v>
      </c>
      <c r="J684" s="31">
        <v>15</v>
      </c>
      <c r="K684" s="7">
        <f t="shared" si="40"/>
        <v>56000</v>
      </c>
      <c r="L684" s="7">
        <f t="shared" si="41"/>
        <v>8400</v>
      </c>
      <c r="M684" s="7">
        <f t="shared" si="42"/>
        <v>47600</v>
      </c>
      <c r="N684" s="23">
        <v>78000</v>
      </c>
      <c r="O684" s="7">
        <f t="shared" si="43"/>
        <v>125600</v>
      </c>
      <c r="P684" s="2" t="s">
        <v>35</v>
      </c>
      <c r="Q684" t="str">
        <f>_xlfn.XLOOKUP(B684,Status!$A$2:$A$1867,Status!$B$2:$B$1867)</f>
        <v>Completed</v>
      </c>
      <c r="R684" s="2" t="s">
        <v>23</v>
      </c>
      <c r="S684" s="8">
        <v>3</v>
      </c>
      <c r="T684" s="2" t="s">
        <v>24</v>
      </c>
      <c r="U684" s="31" t="str" cm="1">
        <f t="array" ref="U684">_xlfn.IFS(L684&lt;=5000,$Z$3,AND(L684&gt;5000,L684&lt;=15000),$Z$4,AND(L684&gt;15000,L684&lt;=30000),$Z$5,AND(L684&gt;30000,L684&lt;=50000),$Z$6,L684&gt;50000,$Z$7)</f>
        <v>Rendah</v>
      </c>
      <c r="V684" s="2"/>
    </row>
    <row r="685" spans="1:22" ht="15.75" customHeight="1" x14ac:dyDescent="0.25">
      <c r="A685" s="26"/>
      <c r="B685" s="2" t="s">
        <v>1034</v>
      </c>
      <c r="C685" s="32">
        <v>45676.610335648147</v>
      </c>
      <c r="D685" s="53">
        <f>YEAR(Table1[[#This Row],[Order Date]])</f>
        <v>2025</v>
      </c>
      <c r="E685" s="2" t="s">
        <v>1035</v>
      </c>
      <c r="F685" s="2" t="s">
        <v>66</v>
      </c>
      <c r="G685" s="2" t="s">
        <v>21</v>
      </c>
      <c r="H685" s="23">
        <v>45000</v>
      </c>
      <c r="I685" s="2">
        <v>4</v>
      </c>
      <c r="J685" s="31">
        <v>15</v>
      </c>
      <c r="K685" s="7">
        <f t="shared" si="40"/>
        <v>180000</v>
      </c>
      <c r="L685" s="7">
        <f t="shared" si="41"/>
        <v>27000</v>
      </c>
      <c r="M685" s="7">
        <f t="shared" si="42"/>
        <v>153000</v>
      </c>
      <c r="N685" s="23">
        <v>59000</v>
      </c>
      <c r="O685" s="7">
        <f t="shared" si="43"/>
        <v>212000</v>
      </c>
      <c r="P685" s="2" t="s">
        <v>29</v>
      </c>
      <c r="Q685" t="str">
        <f>_xlfn.XLOOKUP(B685,Status!$A$2:$A$1867,Status!$B$2:$B$1867)</f>
        <v>Completed</v>
      </c>
      <c r="R685" s="2" t="s">
        <v>23</v>
      </c>
      <c r="S685" s="8">
        <v>4</v>
      </c>
      <c r="T685" s="2" t="s">
        <v>24</v>
      </c>
      <c r="U685" s="31" t="str" cm="1">
        <f t="array" ref="U685">_xlfn.IFS(L685&lt;=5000,$Z$3,AND(L685&gt;5000,L685&lt;=15000),$Z$4,AND(L685&gt;15000,L685&lt;=30000),$Z$5,AND(L685&gt;30000,L685&lt;=50000),$Z$6,L685&gt;50000,$Z$7)</f>
        <v>Normal</v>
      </c>
      <c r="V685" s="2"/>
    </row>
    <row r="686" spans="1:22" ht="15.75" customHeight="1" x14ac:dyDescent="0.25">
      <c r="A686" s="26"/>
      <c r="B686" s="2" t="s">
        <v>1034</v>
      </c>
      <c r="C686" s="32">
        <v>45676.610335648147</v>
      </c>
      <c r="D686" s="53">
        <f>YEAR(Table1[[#This Row],[Order Date]])</f>
        <v>2025</v>
      </c>
      <c r="E686" s="2" t="s">
        <v>1035</v>
      </c>
      <c r="F686" s="2" t="s">
        <v>66</v>
      </c>
      <c r="G686" s="2" t="s">
        <v>54</v>
      </c>
      <c r="H686" s="23">
        <v>16000</v>
      </c>
      <c r="I686" s="2">
        <v>1</v>
      </c>
      <c r="J686" s="31">
        <v>10</v>
      </c>
      <c r="K686" s="7">
        <f t="shared" si="40"/>
        <v>16000</v>
      </c>
      <c r="L686" s="7">
        <f t="shared" si="41"/>
        <v>1600</v>
      </c>
      <c r="M686" s="7">
        <f t="shared" si="42"/>
        <v>14400</v>
      </c>
      <c r="N686" s="23">
        <v>0</v>
      </c>
      <c r="O686" s="7">
        <f t="shared" si="43"/>
        <v>14400</v>
      </c>
      <c r="P686" s="2" t="s">
        <v>29</v>
      </c>
      <c r="Q686" t="str">
        <f>_xlfn.XLOOKUP(B686,Status!$A$2:$A$1867,Status!$B$2:$B$1867)</f>
        <v>Completed</v>
      </c>
      <c r="R686" s="2" t="s">
        <v>23</v>
      </c>
      <c r="S686" s="8">
        <v>4</v>
      </c>
      <c r="T686" s="2" t="s">
        <v>24</v>
      </c>
      <c r="U686" s="31" t="str" cm="1">
        <f t="array" ref="U686">_xlfn.IFS(L686&lt;=5000,$Z$3,AND(L686&gt;5000,L686&lt;=15000),$Z$4,AND(L686&gt;15000,L686&lt;=30000),$Z$5,AND(L686&gt;30000,L686&lt;=50000),$Z$6,L686&gt;50000,$Z$7)</f>
        <v>Sangat Rendah</v>
      </c>
      <c r="V686" s="2"/>
    </row>
    <row r="687" spans="1:22" ht="15.75" customHeight="1" x14ac:dyDescent="0.25">
      <c r="A687" s="26"/>
      <c r="B687" s="2" t="s">
        <v>1036</v>
      </c>
      <c r="C687" s="32">
        <v>45676.735034722216</v>
      </c>
      <c r="D687" s="53">
        <f>YEAR(Table1[[#This Row],[Order Date]])</f>
        <v>2025</v>
      </c>
      <c r="E687" s="2" t="s">
        <v>748</v>
      </c>
      <c r="F687" s="2" t="s">
        <v>160</v>
      </c>
      <c r="G687" s="2" t="s">
        <v>62</v>
      </c>
      <c r="H687" s="23">
        <v>50000</v>
      </c>
      <c r="I687" s="2">
        <v>5</v>
      </c>
      <c r="J687" s="31">
        <v>20</v>
      </c>
      <c r="K687" s="7">
        <f t="shared" si="40"/>
        <v>250000</v>
      </c>
      <c r="L687" s="7">
        <f t="shared" si="41"/>
        <v>50000</v>
      </c>
      <c r="M687" s="7">
        <f t="shared" si="42"/>
        <v>200000</v>
      </c>
      <c r="N687" s="23">
        <v>68000</v>
      </c>
      <c r="O687" s="7">
        <f t="shared" si="43"/>
        <v>268000</v>
      </c>
      <c r="P687" s="2" t="s">
        <v>63</v>
      </c>
      <c r="Q687" t="str">
        <f>_xlfn.XLOOKUP(B687,Status!$A$2:$A$1867,Status!$B$2:$B$1867)</f>
        <v>Completed</v>
      </c>
      <c r="R687" s="2" t="s">
        <v>82</v>
      </c>
      <c r="S687" s="8">
        <v>3</v>
      </c>
      <c r="T687" s="2" t="s">
        <v>24</v>
      </c>
      <c r="U687" s="31" t="str" cm="1">
        <f t="array" ref="U687">_xlfn.IFS(L687&lt;=5000,$Z$3,AND(L687&gt;5000,L687&lt;=15000),$Z$4,AND(L687&gt;15000,L687&lt;=30000),$Z$5,AND(L687&gt;30000,L687&lt;=50000),$Z$6,L687&gt;50000,$Z$7)</f>
        <v>Tinggi</v>
      </c>
      <c r="V687" s="2"/>
    </row>
    <row r="688" spans="1:22" ht="15.75" customHeight="1" x14ac:dyDescent="0.25">
      <c r="A688" s="26"/>
      <c r="B688" s="2" t="s">
        <v>1037</v>
      </c>
      <c r="C688" s="32">
        <v>45676.761990740742</v>
      </c>
      <c r="D688" s="53">
        <f>YEAR(Table1[[#This Row],[Order Date]])</f>
        <v>2025</v>
      </c>
      <c r="E688" s="2" t="s">
        <v>1038</v>
      </c>
      <c r="F688" s="2" t="s">
        <v>53</v>
      </c>
      <c r="G688" s="2" t="s">
        <v>174</v>
      </c>
      <c r="H688" s="23">
        <v>10000</v>
      </c>
      <c r="I688" s="2">
        <v>3</v>
      </c>
      <c r="J688" s="31">
        <v>5</v>
      </c>
      <c r="K688" s="7">
        <f t="shared" si="40"/>
        <v>30000</v>
      </c>
      <c r="L688" s="7">
        <f t="shared" si="41"/>
        <v>1500</v>
      </c>
      <c r="M688" s="7">
        <f t="shared" si="42"/>
        <v>28500</v>
      </c>
      <c r="N688" s="23">
        <v>18000</v>
      </c>
      <c r="O688" s="7">
        <f t="shared" si="43"/>
        <v>46500</v>
      </c>
      <c r="P688" s="2" t="s">
        <v>29</v>
      </c>
      <c r="Q688" t="str">
        <f>_xlfn.XLOOKUP(B688,Status!$A$2:$A$1867,Status!$B$2:$B$1867)</f>
        <v>Completed</v>
      </c>
      <c r="R688" s="2" t="s">
        <v>46</v>
      </c>
      <c r="S688" s="8">
        <v>3</v>
      </c>
      <c r="T688" s="2" t="s">
        <v>24</v>
      </c>
      <c r="U688" s="31" t="str" cm="1">
        <f t="array" ref="U688">_xlfn.IFS(L688&lt;=5000,$Z$3,AND(L688&gt;5000,L688&lt;=15000),$Z$4,AND(L688&gt;15000,L688&lt;=30000),$Z$5,AND(L688&gt;30000,L688&lt;=50000),$Z$6,L688&gt;50000,$Z$7)</f>
        <v>Sangat Rendah</v>
      </c>
      <c r="V688" s="2"/>
    </row>
    <row r="689" spans="1:22" ht="15.75" customHeight="1" x14ac:dyDescent="0.25">
      <c r="A689" s="26"/>
      <c r="B689" s="2" t="s">
        <v>1039</v>
      </c>
      <c r="C689" s="32">
        <v>45676.824733796297</v>
      </c>
      <c r="D689" s="53">
        <f>YEAR(Table1[[#This Row],[Order Date]])</f>
        <v>2025</v>
      </c>
      <c r="E689" s="2" t="s">
        <v>1040</v>
      </c>
      <c r="F689" s="2" t="s">
        <v>61</v>
      </c>
      <c r="G689" s="2" t="s">
        <v>110</v>
      </c>
      <c r="H689" s="23">
        <v>6000</v>
      </c>
      <c r="I689" s="2">
        <v>2</v>
      </c>
      <c r="J689" s="31">
        <v>20</v>
      </c>
      <c r="K689" s="7">
        <f t="shared" si="40"/>
        <v>12000</v>
      </c>
      <c r="L689" s="7">
        <f t="shared" si="41"/>
        <v>2400</v>
      </c>
      <c r="M689" s="7">
        <f t="shared" si="42"/>
        <v>9600</v>
      </c>
      <c r="N689" s="23">
        <v>26000</v>
      </c>
      <c r="O689" s="7">
        <f t="shared" si="43"/>
        <v>35600</v>
      </c>
      <c r="P689" s="2" t="s">
        <v>29</v>
      </c>
      <c r="Q689" t="str">
        <f>_xlfn.XLOOKUP(B689,Status!$A$2:$A$1867,Status!$B$2:$B$1867)</f>
        <v>Completed</v>
      </c>
      <c r="R689" s="2" t="s">
        <v>30</v>
      </c>
      <c r="S689" s="8">
        <v>1</v>
      </c>
      <c r="T689" s="2" t="s">
        <v>24</v>
      </c>
      <c r="U689" s="31" t="str" cm="1">
        <f t="array" ref="U689">_xlfn.IFS(L689&lt;=5000,$Z$3,AND(L689&gt;5000,L689&lt;=15000),$Z$4,AND(L689&gt;15000,L689&lt;=30000),$Z$5,AND(L689&gt;30000,L689&lt;=50000),$Z$6,L689&gt;50000,$Z$7)</f>
        <v>Sangat Rendah</v>
      </c>
      <c r="V689" s="2"/>
    </row>
    <row r="690" spans="1:22" ht="15.75" customHeight="1" x14ac:dyDescent="0.25">
      <c r="A690" s="26"/>
      <c r="B690" s="2" t="s">
        <v>1041</v>
      </c>
      <c r="C690" s="32">
        <v>45676.858136574083</v>
      </c>
      <c r="D690" s="53">
        <f>YEAR(Table1[[#This Row],[Order Date]])</f>
        <v>2025</v>
      </c>
      <c r="E690" s="2" t="s">
        <v>56</v>
      </c>
      <c r="F690" s="2" t="s">
        <v>57</v>
      </c>
      <c r="G690" s="2" t="s">
        <v>81</v>
      </c>
      <c r="H690" s="23">
        <v>17000</v>
      </c>
      <c r="I690" s="2">
        <v>2</v>
      </c>
      <c r="J690" s="31">
        <v>0</v>
      </c>
      <c r="K690" s="7">
        <f t="shared" si="40"/>
        <v>34000</v>
      </c>
      <c r="L690" s="7">
        <f t="shared" si="41"/>
        <v>0</v>
      </c>
      <c r="M690" s="7">
        <f t="shared" si="42"/>
        <v>34000</v>
      </c>
      <c r="N690" s="23">
        <v>80000</v>
      </c>
      <c r="O690" s="7">
        <f t="shared" si="43"/>
        <v>114000</v>
      </c>
      <c r="P690" s="2" t="s">
        <v>29</v>
      </c>
      <c r="Q690" t="str">
        <f>_xlfn.XLOOKUP(B690,Status!$A$2:$A$1867,Status!$B$2:$B$1867)</f>
        <v>Completed</v>
      </c>
      <c r="R690" s="2" t="s">
        <v>36</v>
      </c>
      <c r="S690" s="8">
        <v>4</v>
      </c>
      <c r="T690" s="2" t="s">
        <v>24</v>
      </c>
      <c r="U690" s="31" t="str" cm="1">
        <f t="array" ref="U690">_xlfn.IFS(L690&lt;=5000,$Z$3,AND(L690&gt;5000,L690&lt;=15000),$Z$4,AND(L690&gt;15000,L690&lt;=30000),$Z$5,AND(L690&gt;30000,L690&lt;=50000),$Z$6,L690&gt;50000,$Z$7)</f>
        <v>Sangat Rendah</v>
      </c>
      <c r="V690" s="2"/>
    </row>
    <row r="691" spans="1:22" ht="15.75" customHeight="1" x14ac:dyDescent="0.25">
      <c r="A691" s="26"/>
      <c r="B691" s="2" t="s">
        <v>1042</v>
      </c>
      <c r="C691" s="32">
        <v>45676.972048611111</v>
      </c>
      <c r="D691" s="53">
        <f>YEAR(Table1[[#This Row],[Order Date]])</f>
        <v>2025</v>
      </c>
      <c r="E691" s="2" t="s">
        <v>900</v>
      </c>
      <c r="F691" s="2" t="s">
        <v>27</v>
      </c>
      <c r="G691" s="2" t="s">
        <v>28</v>
      </c>
      <c r="H691" s="23">
        <v>5000</v>
      </c>
      <c r="I691" s="2">
        <v>3</v>
      </c>
      <c r="J691" s="31">
        <v>10</v>
      </c>
      <c r="K691" s="7">
        <f t="shared" si="40"/>
        <v>15000</v>
      </c>
      <c r="L691" s="7">
        <f t="shared" si="41"/>
        <v>1500</v>
      </c>
      <c r="M691" s="7">
        <f t="shared" si="42"/>
        <v>13500</v>
      </c>
      <c r="N691" s="23">
        <v>17000</v>
      </c>
      <c r="O691" s="7">
        <f t="shared" si="43"/>
        <v>30500</v>
      </c>
      <c r="P691" s="2" t="s">
        <v>63</v>
      </c>
      <c r="Q691" t="str">
        <f>_xlfn.XLOOKUP(B691,Status!$A$2:$A$1867,Status!$B$2:$B$1867)</f>
        <v>Completed</v>
      </c>
      <c r="R691" s="2" t="s">
        <v>46</v>
      </c>
      <c r="S691" s="8">
        <v>4</v>
      </c>
      <c r="T691" s="2" t="s">
        <v>24</v>
      </c>
      <c r="U691" s="31" t="str" cm="1">
        <f t="array" ref="U691">_xlfn.IFS(L691&lt;=5000,$Z$3,AND(L691&gt;5000,L691&lt;=15000),$Z$4,AND(L691&gt;15000,L691&lt;=30000),$Z$5,AND(L691&gt;30000,L691&lt;=50000),$Z$6,L691&gt;50000,$Z$7)</f>
        <v>Sangat Rendah</v>
      </c>
      <c r="V691" s="2"/>
    </row>
    <row r="692" spans="1:22" ht="15.75" customHeight="1" x14ac:dyDescent="0.25">
      <c r="A692" s="26"/>
      <c r="B692" s="2" t="s">
        <v>1043</v>
      </c>
      <c r="C692" s="32">
        <v>45677.306423611109</v>
      </c>
      <c r="D692" s="53">
        <f>YEAR(Table1[[#This Row],[Order Date]])</f>
        <v>2025</v>
      </c>
      <c r="E692" s="2" t="s">
        <v>532</v>
      </c>
      <c r="F692" s="2" t="s">
        <v>262</v>
      </c>
      <c r="G692" s="2" t="s">
        <v>21</v>
      </c>
      <c r="H692" s="23">
        <v>45000</v>
      </c>
      <c r="I692" s="2">
        <v>5</v>
      </c>
      <c r="J692" s="31">
        <v>15</v>
      </c>
      <c r="K692" s="7">
        <f t="shared" si="40"/>
        <v>225000</v>
      </c>
      <c r="L692" s="7">
        <f t="shared" si="41"/>
        <v>33750</v>
      </c>
      <c r="M692" s="7">
        <f t="shared" si="42"/>
        <v>191250</v>
      </c>
      <c r="N692" s="23">
        <v>18000</v>
      </c>
      <c r="O692" s="7">
        <f t="shared" si="43"/>
        <v>209250</v>
      </c>
      <c r="P692" s="2" t="s">
        <v>29</v>
      </c>
      <c r="Q692" t="str">
        <f>_xlfn.XLOOKUP(B692,Status!$A$2:$A$1867,Status!$B$2:$B$1867)</f>
        <v>Completed</v>
      </c>
      <c r="R692" s="2" t="s">
        <v>30</v>
      </c>
      <c r="S692" s="8">
        <v>3</v>
      </c>
      <c r="T692" s="2" t="s">
        <v>24</v>
      </c>
      <c r="U692" s="31" t="str" cm="1">
        <f t="array" ref="U692">_xlfn.IFS(L692&lt;=5000,$Z$3,AND(L692&gt;5000,L692&lt;=15000),$Z$4,AND(L692&gt;15000,L692&lt;=30000),$Z$5,AND(L692&gt;30000,L692&lt;=50000),$Z$6,L692&gt;50000,$Z$7)</f>
        <v>Tinggi</v>
      </c>
      <c r="V692" s="2"/>
    </row>
    <row r="693" spans="1:22" ht="15.75" customHeight="1" x14ac:dyDescent="0.25">
      <c r="A693" s="26"/>
      <c r="B693" s="2" t="s">
        <v>1043</v>
      </c>
      <c r="C693" s="32">
        <v>45677.306423611109</v>
      </c>
      <c r="D693" s="53">
        <f>YEAR(Table1[[#This Row],[Order Date]])</f>
        <v>2025</v>
      </c>
      <c r="E693" s="2" t="s">
        <v>532</v>
      </c>
      <c r="F693" s="2" t="s">
        <v>262</v>
      </c>
      <c r="G693" s="2" t="s">
        <v>58</v>
      </c>
      <c r="H693" s="23">
        <v>16000</v>
      </c>
      <c r="I693" s="2">
        <v>4</v>
      </c>
      <c r="J693" s="31">
        <v>0</v>
      </c>
      <c r="K693" s="7">
        <f t="shared" si="40"/>
        <v>64000</v>
      </c>
      <c r="L693" s="7">
        <f t="shared" si="41"/>
        <v>0</v>
      </c>
      <c r="M693" s="7">
        <f t="shared" si="42"/>
        <v>64000</v>
      </c>
      <c r="N693" s="23">
        <v>0</v>
      </c>
      <c r="O693" s="7">
        <f t="shared" si="43"/>
        <v>64000</v>
      </c>
      <c r="P693" s="2" t="s">
        <v>29</v>
      </c>
      <c r="Q693" t="str">
        <f>_xlfn.XLOOKUP(B693,Status!$A$2:$A$1867,Status!$B$2:$B$1867)</f>
        <v>Completed</v>
      </c>
      <c r="R693" s="2" t="s">
        <v>30</v>
      </c>
      <c r="S693" s="8">
        <v>3</v>
      </c>
      <c r="T693" s="2" t="s">
        <v>24</v>
      </c>
      <c r="U693" s="31" t="str" cm="1">
        <f t="array" ref="U693">_xlfn.IFS(L693&lt;=5000,$Z$3,AND(L693&gt;5000,L693&lt;=15000),$Z$4,AND(L693&gt;15000,L693&lt;=30000),$Z$5,AND(L693&gt;30000,L693&lt;=50000),$Z$6,L693&gt;50000,$Z$7)</f>
        <v>Sangat Rendah</v>
      </c>
      <c r="V693" s="2"/>
    </row>
    <row r="694" spans="1:22" ht="15.75" customHeight="1" x14ac:dyDescent="0.25">
      <c r="A694" s="26"/>
      <c r="B694" s="2" t="s">
        <v>1044</v>
      </c>
      <c r="C694" s="32">
        <v>45677.359699074077</v>
      </c>
      <c r="D694" s="53">
        <f>YEAR(Table1[[#This Row],[Order Date]])</f>
        <v>2025</v>
      </c>
      <c r="E694" s="2" t="s">
        <v>844</v>
      </c>
      <c r="F694" s="2" t="s">
        <v>119</v>
      </c>
      <c r="G694" s="2" t="s">
        <v>54</v>
      </c>
      <c r="H694" s="23">
        <v>16000</v>
      </c>
      <c r="I694" s="2">
        <v>1</v>
      </c>
      <c r="J694" s="31">
        <v>0</v>
      </c>
      <c r="K694" s="7">
        <f t="shared" si="40"/>
        <v>16000</v>
      </c>
      <c r="L694" s="7">
        <f t="shared" si="41"/>
        <v>0</v>
      </c>
      <c r="M694" s="7">
        <f t="shared" si="42"/>
        <v>16000</v>
      </c>
      <c r="N694" s="23">
        <v>0</v>
      </c>
      <c r="O694" s="7">
        <f t="shared" si="43"/>
        <v>16000</v>
      </c>
      <c r="P694" s="2" t="s">
        <v>29</v>
      </c>
      <c r="Q694" t="str">
        <f>_xlfn.XLOOKUP(B694,Status!$A$2:$A$1867,Status!$B$2:$B$1867)</f>
        <v>Returned</v>
      </c>
      <c r="R694" s="2" t="s">
        <v>36</v>
      </c>
      <c r="S694" s="8">
        <v>4</v>
      </c>
      <c r="T694" s="2" t="s">
        <v>24</v>
      </c>
      <c r="U694" s="31" t="str" cm="1">
        <f t="array" ref="U694">_xlfn.IFS(L694&lt;=5000,$Z$3,AND(L694&gt;5000,L694&lt;=15000),$Z$4,AND(L694&gt;15000,L694&lt;=30000),$Z$5,AND(L694&gt;30000,L694&lt;=50000),$Z$6,L694&gt;50000,$Z$7)</f>
        <v>Sangat Rendah</v>
      </c>
      <c r="V694" s="2"/>
    </row>
    <row r="695" spans="1:22" ht="15.75" customHeight="1" x14ac:dyDescent="0.25">
      <c r="A695" s="26"/>
      <c r="B695" s="2" t="s">
        <v>1045</v>
      </c>
      <c r="C695" s="32">
        <v>45677.636365740742</v>
      </c>
      <c r="D695" s="53">
        <f>YEAR(Table1[[#This Row],[Order Date]])</f>
        <v>2025</v>
      </c>
      <c r="E695" s="2" t="s">
        <v>457</v>
      </c>
      <c r="F695" s="2" t="s">
        <v>80</v>
      </c>
      <c r="G695" s="2" t="s">
        <v>144</v>
      </c>
      <c r="H695" s="23">
        <v>18000</v>
      </c>
      <c r="I695" s="2">
        <v>5</v>
      </c>
      <c r="J695" s="31">
        <v>0</v>
      </c>
      <c r="K695" s="7">
        <f t="shared" si="40"/>
        <v>90000</v>
      </c>
      <c r="L695" s="7">
        <f t="shared" si="41"/>
        <v>0</v>
      </c>
      <c r="M695" s="7">
        <f t="shared" si="42"/>
        <v>90000</v>
      </c>
      <c r="N695" s="23">
        <v>74000</v>
      </c>
      <c r="O695" s="7">
        <f t="shared" si="43"/>
        <v>164000</v>
      </c>
      <c r="P695" s="2" t="s">
        <v>22</v>
      </c>
      <c r="Q695" t="str">
        <f>_xlfn.XLOOKUP(B695,Status!$A$2:$A$1867,Status!$B$2:$B$1867)</f>
        <v>Completed</v>
      </c>
      <c r="R695" s="2" t="s">
        <v>36</v>
      </c>
      <c r="S695" s="8">
        <v>1</v>
      </c>
      <c r="T695" s="2" t="s">
        <v>24</v>
      </c>
      <c r="U695" s="31" t="str" cm="1">
        <f t="array" ref="U695">_xlfn.IFS(L695&lt;=5000,$Z$3,AND(L695&gt;5000,L695&lt;=15000),$Z$4,AND(L695&gt;15000,L695&lt;=30000),$Z$5,AND(L695&gt;30000,L695&lt;=50000),$Z$6,L695&gt;50000,$Z$7)</f>
        <v>Sangat Rendah</v>
      </c>
      <c r="V695" s="2"/>
    </row>
    <row r="696" spans="1:22" ht="15.75" customHeight="1" x14ac:dyDescent="0.25">
      <c r="A696" s="26"/>
      <c r="B696" s="2" t="s">
        <v>1046</v>
      </c>
      <c r="C696" s="32">
        <v>45677.75513888889</v>
      </c>
      <c r="D696" s="53">
        <f>YEAR(Table1[[#This Row],[Order Date]])</f>
        <v>2025</v>
      </c>
      <c r="E696" s="2" t="s">
        <v>1047</v>
      </c>
      <c r="F696" s="2" t="s">
        <v>160</v>
      </c>
      <c r="G696" s="2" t="s">
        <v>67</v>
      </c>
      <c r="H696" s="23">
        <v>15000</v>
      </c>
      <c r="I696" s="2">
        <v>5</v>
      </c>
      <c r="J696" s="31">
        <v>5</v>
      </c>
      <c r="K696" s="7">
        <f t="shared" si="40"/>
        <v>75000</v>
      </c>
      <c r="L696" s="7">
        <f t="shared" si="41"/>
        <v>3750</v>
      </c>
      <c r="M696" s="7">
        <f t="shared" si="42"/>
        <v>71250</v>
      </c>
      <c r="N696" s="23">
        <v>68000</v>
      </c>
      <c r="O696" s="7">
        <f t="shared" si="43"/>
        <v>139250</v>
      </c>
      <c r="P696" s="2" t="s">
        <v>29</v>
      </c>
      <c r="Q696" t="str">
        <f>_xlfn.XLOOKUP(B696,Status!$A$2:$A$1867,Status!$B$2:$B$1867)</f>
        <v>Completed</v>
      </c>
      <c r="R696" s="2" t="s">
        <v>46</v>
      </c>
      <c r="S696" s="8">
        <v>4</v>
      </c>
      <c r="T696" s="2" t="s">
        <v>24</v>
      </c>
      <c r="U696" s="31" t="str" cm="1">
        <f t="array" ref="U696">_xlfn.IFS(L696&lt;=5000,$Z$3,AND(L696&gt;5000,L696&lt;=15000),$Z$4,AND(L696&gt;15000,L696&lt;=30000),$Z$5,AND(L696&gt;30000,L696&lt;=50000),$Z$6,L696&gt;50000,$Z$7)</f>
        <v>Sangat Rendah</v>
      </c>
      <c r="V696" s="2"/>
    </row>
    <row r="697" spans="1:22" ht="15.75" customHeight="1" x14ac:dyDescent="0.25">
      <c r="A697" s="26"/>
      <c r="B697" s="2" t="s">
        <v>1048</v>
      </c>
      <c r="C697" s="32">
        <v>45677.83971064815</v>
      </c>
      <c r="D697" s="53">
        <f>YEAR(Table1[[#This Row],[Order Date]])</f>
        <v>2025</v>
      </c>
      <c r="E697" s="2" t="s">
        <v>504</v>
      </c>
      <c r="F697" s="2" t="s">
        <v>195</v>
      </c>
      <c r="G697" s="2" t="s">
        <v>50</v>
      </c>
      <c r="H697" s="23">
        <v>14000</v>
      </c>
      <c r="I697" s="2">
        <v>3</v>
      </c>
      <c r="J697" s="31">
        <v>10</v>
      </c>
      <c r="K697" s="7">
        <f t="shared" si="40"/>
        <v>42000</v>
      </c>
      <c r="L697" s="7">
        <f t="shared" si="41"/>
        <v>4200</v>
      </c>
      <c r="M697" s="7">
        <f t="shared" si="42"/>
        <v>37800</v>
      </c>
      <c r="N697" s="23">
        <v>87000</v>
      </c>
      <c r="O697" s="7">
        <f t="shared" si="43"/>
        <v>124800</v>
      </c>
      <c r="P697" s="2" t="s">
        <v>35</v>
      </c>
      <c r="Q697" t="str">
        <f>_xlfn.XLOOKUP(B697,Status!$A$2:$A$1867,Status!$B$2:$B$1867)</f>
        <v>Completed</v>
      </c>
      <c r="R697" s="2" t="s">
        <v>23</v>
      </c>
      <c r="S697" s="8">
        <v>5</v>
      </c>
      <c r="T697" s="2" t="s">
        <v>24</v>
      </c>
      <c r="U697" s="31" t="str" cm="1">
        <f t="array" ref="U697">_xlfn.IFS(L697&lt;=5000,$Z$3,AND(L697&gt;5000,L697&lt;=15000),$Z$4,AND(L697&gt;15000,L697&lt;=30000),$Z$5,AND(L697&gt;30000,L697&lt;=50000),$Z$6,L697&gt;50000,$Z$7)</f>
        <v>Sangat Rendah</v>
      </c>
      <c r="V697" s="2"/>
    </row>
    <row r="698" spans="1:22" ht="15.75" customHeight="1" x14ac:dyDescent="0.25">
      <c r="A698" s="26"/>
      <c r="B698" s="2" t="s">
        <v>1049</v>
      </c>
      <c r="C698" s="32">
        <v>45678.375023148154</v>
      </c>
      <c r="D698" s="53">
        <f>YEAR(Table1[[#This Row],[Order Date]])</f>
        <v>2025</v>
      </c>
      <c r="E698" s="2" t="s">
        <v>1050</v>
      </c>
      <c r="F698" s="2" t="s">
        <v>92</v>
      </c>
      <c r="G698" s="2" t="s">
        <v>144</v>
      </c>
      <c r="H698" s="23">
        <v>18000</v>
      </c>
      <c r="I698" s="2">
        <v>4</v>
      </c>
      <c r="J698" s="31">
        <v>10</v>
      </c>
      <c r="K698" s="7">
        <f t="shared" si="40"/>
        <v>72000</v>
      </c>
      <c r="L698" s="7">
        <f t="shared" si="41"/>
        <v>7200</v>
      </c>
      <c r="M698" s="7">
        <f t="shared" si="42"/>
        <v>64800</v>
      </c>
      <c r="N698" s="23">
        <v>30000</v>
      </c>
      <c r="O698" s="7">
        <f t="shared" si="43"/>
        <v>94800</v>
      </c>
      <c r="P698" s="2" t="s">
        <v>22</v>
      </c>
      <c r="Q698" t="str">
        <f>_xlfn.XLOOKUP(B698,Status!$A$2:$A$1867,Status!$B$2:$B$1867)</f>
        <v>Completed</v>
      </c>
      <c r="R698" s="2" t="s">
        <v>36</v>
      </c>
      <c r="S698" s="8">
        <v>5</v>
      </c>
      <c r="T698" s="2" t="s">
        <v>24</v>
      </c>
      <c r="U698" s="31" t="str" cm="1">
        <f t="array" ref="U698">_xlfn.IFS(L698&lt;=5000,$Z$3,AND(L698&gt;5000,L698&lt;=15000),$Z$4,AND(L698&gt;15000,L698&lt;=30000),$Z$5,AND(L698&gt;30000,L698&lt;=50000),$Z$6,L698&gt;50000,$Z$7)</f>
        <v>Rendah</v>
      </c>
      <c r="V698" s="2"/>
    </row>
    <row r="699" spans="1:22" ht="15.75" customHeight="1" x14ac:dyDescent="0.25">
      <c r="A699" s="26"/>
      <c r="B699" s="2" t="s">
        <v>1051</v>
      </c>
      <c r="C699" s="32">
        <v>45678.638749999998</v>
      </c>
      <c r="D699" s="53">
        <f>YEAR(Table1[[#This Row],[Order Date]])</f>
        <v>2025</v>
      </c>
      <c r="E699" s="2" t="s">
        <v>570</v>
      </c>
      <c r="F699" s="2" t="s">
        <v>80</v>
      </c>
      <c r="G699" s="2" t="s">
        <v>58</v>
      </c>
      <c r="H699" s="23">
        <v>16000</v>
      </c>
      <c r="I699" s="2">
        <v>2</v>
      </c>
      <c r="J699" s="31">
        <v>20</v>
      </c>
      <c r="K699" s="7">
        <f t="shared" si="40"/>
        <v>32000</v>
      </c>
      <c r="L699" s="7">
        <f t="shared" si="41"/>
        <v>6400</v>
      </c>
      <c r="M699" s="7">
        <f t="shared" si="42"/>
        <v>25600</v>
      </c>
      <c r="N699" s="23">
        <v>74000</v>
      </c>
      <c r="O699" s="7">
        <f t="shared" si="43"/>
        <v>99600</v>
      </c>
      <c r="P699" s="2" t="s">
        <v>22</v>
      </c>
      <c r="Q699" t="str">
        <f>_xlfn.XLOOKUP(B699,Status!$A$2:$A$1867,Status!$B$2:$B$1867)</f>
        <v>Completed</v>
      </c>
      <c r="R699" s="2" t="s">
        <v>36</v>
      </c>
      <c r="S699" s="8">
        <v>2</v>
      </c>
      <c r="T699" s="2" t="s">
        <v>24</v>
      </c>
      <c r="U699" s="31" t="str" cm="1">
        <f t="array" ref="U699">_xlfn.IFS(L699&lt;=5000,$Z$3,AND(L699&gt;5000,L699&lt;=15000),$Z$4,AND(L699&gt;15000,L699&lt;=30000),$Z$5,AND(L699&gt;30000,L699&lt;=50000),$Z$6,L699&gt;50000,$Z$7)</f>
        <v>Rendah</v>
      </c>
      <c r="V699" s="2"/>
    </row>
    <row r="700" spans="1:22" ht="15.75" customHeight="1" x14ac:dyDescent="0.25">
      <c r="A700" s="26"/>
      <c r="B700" s="2" t="s">
        <v>1052</v>
      </c>
      <c r="C700" s="32">
        <v>45678.796331018522</v>
      </c>
      <c r="D700" s="53">
        <f>YEAR(Table1[[#This Row],[Order Date]])</f>
        <v>2025</v>
      </c>
      <c r="E700" s="2" t="s">
        <v>1053</v>
      </c>
      <c r="F700" s="2" t="s">
        <v>80</v>
      </c>
      <c r="G700" s="2" t="s">
        <v>104</v>
      </c>
      <c r="H700" s="23">
        <v>30000</v>
      </c>
      <c r="I700" s="2">
        <v>4</v>
      </c>
      <c r="J700" s="31">
        <v>0</v>
      </c>
      <c r="K700" s="7">
        <f t="shared" si="40"/>
        <v>120000</v>
      </c>
      <c r="L700" s="7">
        <f t="shared" si="41"/>
        <v>0</v>
      </c>
      <c r="M700" s="7">
        <f t="shared" si="42"/>
        <v>120000</v>
      </c>
      <c r="N700" s="23">
        <v>74000</v>
      </c>
      <c r="O700" s="7">
        <f t="shared" si="43"/>
        <v>194000</v>
      </c>
      <c r="P700" s="2" t="s">
        <v>35</v>
      </c>
      <c r="Q700" t="str">
        <f>_xlfn.XLOOKUP(B700,Status!$A$2:$A$1867,Status!$B$2:$B$1867)</f>
        <v>Returned</v>
      </c>
      <c r="R700" s="2" t="s">
        <v>36</v>
      </c>
      <c r="S700" s="8">
        <v>1</v>
      </c>
      <c r="T700" s="2" t="s">
        <v>24</v>
      </c>
      <c r="U700" s="31" t="str" cm="1">
        <f t="array" ref="U700">_xlfn.IFS(L700&lt;=5000,$Z$3,AND(L700&gt;5000,L700&lt;=15000),$Z$4,AND(L700&gt;15000,L700&lt;=30000),$Z$5,AND(L700&gt;30000,L700&lt;=50000),$Z$6,L700&gt;50000,$Z$7)</f>
        <v>Sangat Rendah</v>
      </c>
      <c r="V700" s="2"/>
    </row>
    <row r="701" spans="1:22" ht="15.75" customHeight="1" x14ac:dyDescent="0.25">
      <c r="A701" s="26"/>
      <c r="B701" s="2" t="s">
        <v>1054</v>
      </c>
      <c r="C701" s="32">
        <v>45678.822465277779</v>
      </c>
      <c r="D701" s="53">
        <f>YEAR(Table1[[#This Row],[Order Date]])</f>
        <v>2025</v>
      </c>
      <c r="E701" s="2" t="s">
        <v>1055</v>
      </c>
      <c r="F701" s="2" t="s">
        <v>57</v>
      </c>
      <c r="G701" s="2" t="s">
        <v>75</v>
      </c>
      <c r="H701" s="23">
        <v>55000</v>
      </c>
      <c r="I701" s="2">
        <v>3</v>
      </c>
      <c r="J701" s="31">
        <v>0</v>
      </c>
      <c r="K701" s="7">
        <f t="shared" si="40"/>
        <v>165000</v>
      </c>
      <c r="L701" s="7">
        <f t="shared" si="41"/>
        <v>0</v>
      </c>
      <c r="M701" s="7">
        <f t="shared" si="42"/>
        <v>165000</v>
      </c>
      <c r="N701" s="23">
        <v>80000</v>
      </c>
      <c r="O701" s="7">
        <f t="shared" si="43"/>
        <v>245000</v>
      </c>
      <c r="P701" s="2" t="s">
        <v>35</v>
      </c>
      <c r="Q701" t="str">
        <f>_xlfn.XLOOKUP(B701,Status!$A$2:$A$1867,Status!$B$2:$B$1867)</f>
        <v>Completed</v>
      </c>
      <c r="R701" s="2" t="s">
        <v>36</v>
      </c>
      <c r="S701" s="8">
        <v>5</v>
      </c>
      <c r="T701" s="2" t="s">
        <v>24</v>
      </c>
      <c r="U701" s="31" t="str" cm="1">
        <f t="array" ref="U701">_xlfn.IFS(L701&lt;=5000,$Z$3,AND(L701&gt;5000,L701&lt;=15000),$Z$4,AND(L701&gt;15000,L701&lt;=30000),$Z$5,AND(L701&gt;30000,L701&lt;=50000),$Z$6,L701&gt;50000,$Z$7)</f>
        <v>Sangat Rendah</v>
      </c>
      <c r="V701" s="2"/>
    </row>
    <row r="702" spans="1:22" ht="15.75" customHeight="1" x14ac:dyDescent="0.25">
      <c r="A702" s="26"/>
      <c r="B702" s="2" t="s">
        <v>1056</v>
      </c>
      <c r="C702" s="32">
        <v>45678.930277777778</v>
      </c>
      <c r="D702" s="53">
        <f>YEAR(Table1[[#This Row],[Order Date]])</f>
        <v>2025</v>
      </c>
      <c r="E702" s="2" t="s">
        <v>56</v>
      </c>
      <c r="F702" s="2" t="s">
        <v>57</v>
      </c>
      <c r="G702" s="2" t="s">
        <v>123</v>
      </c>
      <c r="H702" s="23">
        <v>22000</v>
      </c>
      <c r="I702" s="2">
        <v>3</v>
      </c>
      <c r="J702" s="31">
        <v>5</v>
      </c>
      <c r="K702" s="7">
        <f t="shared" si="40"/>
        <v>66000</v>
      </c>
      <c r="L702" s="7">
        <f t="shared" si="41"/>
        <v>3300</v>
      </c>
      <c r="M702" s="7">
        <f t="shared" si="42"/>
        <v>62700</v>
      </c>
      <c r="N702" s="23">
        <v>80000</v>
      </c>
      <c r="O702" s="7">
        <f t="shared" si="43"/>
        <v>142700</v>
      </c>
      <c r="P702" s="2" t="s">
        <v>35</v>
      </c>
      <c r="Q702" t="str">
        <f>_xlfn.XLOOKUP(B702,Status!$A$2:$A$1867,Status!$B$2:$B$1867)</f>
        <v>Completed</v>
      </c>
      <c r="R702" s="2" t="s">
        <v>82</v>
      </c>
      <c r="S702" s="8">
        <v>4</v>
      </c>
      <c r="T702" s="2" t="s">
        <v>24</v>
      </c>
      <c r="U702" s="31" t="str" cm="1">
        <f t="array" ref="U702">_xlfn.IFS(L702&lt;=5000,$Z$3,AND(L702&gt;5000,L702&lt;=15000),$Z$4,AND(L702&gt;15000,L702&lt;=30000),$Z$5,AND(L702&gt;30000,L702&lt;=50000),$Z$6,L702&gt;50000,$Z$7)</f>
        <v>Sangat Rendah</v>
      </c>
      <c r="V702" s="2"/>
    </row>
    <row r="703" spans="1:22" ht="15.75" customHeight="1" x14ac:dyDescent="0.25">
      <c r="A703" s="26"/>
      <c r="B703" s="2" t="s">
        <v>1057</v>
      </c>
      <c r="C703" s="32">
        <v>45679.285439814812</v>
      </c>
      <c r="D703" s="53">
        <f>YEAR(Table1[[#This Row],[Order Date]])</f>
        <v>2025</v>
      </c>
      <c r="E703" s="2" t="s">
        <v>638</v>
      </c>
      <c r="F703" s="2" t="s">
        <v>195</v>
      </c>
      <c r="G703" s="2" t="s">
        <v>21</v>
      </c>
      <c r="H703" s="23">
        <v>45000</v>
      </c>
      <c r="I703" s="2">
        <v>1</v>
      </c>
      <c r="J703" s="31">
        <v>10</v>
      </c>
      <c r="K703" s="7">
        <f t="shared" si="40"/>
        <v>45000</v>
      </c>
      <c r="L703" s="7">
        <f t="shared" si="41"/>
        <v>4500</v>
      </c>
      <c r="M703" s="7">
        <f t="shared" si="42"/>
        <v>40500</v>
      </c>
      <c r="N703" s="23">
        <v>87000</v>
      </c>
      <c r="O703" s="7">
        <f t="shared" si="43"/>
        <v>127500</v>
      </c>
      <c r="P703" s="2" t="s">
        <v>35</v>
      </c>
      <c r="Q703" t="str">
        <f>_xlfn.XLOOKUP(B703,Status!$A$2:$A$1867,Status!$B$2:$B$1867)</f>
        <v>Returned</v>
      </c>
      <c r="R703" s="2" t="s">
        <v>36</v>
      </c>
      <c r="S703" s="8">
        <v>2</v>
      </c>
      <c r="T703" s="2" t="s">
        <v>37</v>
      </c>
      <c r="U703" s="31" t="str" cm="1">
        <f t="array" ref="U703">_xlfn.IFS(L703&lt;=5000,$Z$3,AND(L703&gt;5000,L703&lt;=15000),$Z$4,AND(L703&gt;15000,L703&lt;=30000),$Z$5,AND(L703&gt;30000,L703&lt;=50000),$Z$6,L703&gt;50000,$Z$7)</f>
        <v>Sangat Rendah</v>
      </c>
      <c r="V703" s="2"/>
    </row>
    <row r="704" spans="1:22" ht="15.75" customHeight="1" x14ac:dyDescent="0.25">
      <c r="A704" s="26"/>
      <c r="B704" s="2" t="s">
        <v>1058</v>
      </c>
      <c r="C704" s="32">
        <v>45679.472071759257</v>
      </c>
      <c r="D704" s="53">
        <f>YEAR(Table1[[#This Row],[Order Date]])</f>
        <v>2025</v>
      </c>
      <c r="E704" s="2" t="s">
        <v>256</v>
      </c>
      <c r="F704" s="2" t="s">
        <v>107</v>
      </c>
      <c r="G704" s="2" t="s">
        <v>144</v>
      </c>
      <c r="H704" s="23">
        <v>18000</v>
      </c>
      <c r="I704" s="2">
        <v>1</v>
      </c>
      <c r="J704" s="31">
        <v>15</v>
      </c>
      <c r="K704" s="7">
        <f t="shared" si="40"/>
        <v>18000</v>
      </c>
      <c r="L704" s="7">
        <f t="shared" si="41"/>
        <v>2700</v>
      </c>
      <c r="M704" s="7">
        <f t="shared" si="42"/>
        <v>15300</v>
      </c>
      <c r="N704" s="23">
        <v>97000</v>
      </c>
      <c r="O704" s="7">
        <f t="shared" si="43"/>
        <v>112300</v>
      </c>
      <c r="P704" s="2" t="s">
        <v>35</v>
      </c>
      <c r="Q704" t="str">
        <f>_xlfn.XLOOKUP(B704,Status!$A$2:$A$1867,Status!$B$2:$B$1867)</f>
        <v>Returned</v>
      </c>
      <c r="R704" s="2" t="s">
        <v>82</v>
      </c>
      <c r="S704" s="8">
        <v>4</v>
      </c>
      <c r="T704" s="2" t="s">
        <v>24</v>
      </c>
      <c r="U704" s="31" t="str" cm="1">
        <f t="array" ref="U704">_xlfn.IFS(L704&lt;=5000,$Z$3,AND(L704&gt;5000,L704&lt;=15000),$Z$4,AND(L704&gt;15000,L704&lt;=30000),$Z$5,AND(L704&gt;30000,L704&lt;=50000),$Z$6,L704&gt;50000,$Z$7)</f>
        <v>Sangat Rendah</v>
      </c>
      <c r="V704" s="2"/>
    </row>
    <row r="705" spans="1:22" ht="15.75" customHeight="1" x14ac:dyDescent="0.25">
      <c r="A705" s="26"/>
      <c r="B705" s="2" t="s">
        <v>1059</v>
      </c>
      <c r="C705" s="32">
        <v>45679.556388888886</v>
      </c>
      <c r="D705" s="53">
        <f>YEAR(Table1[[#This Row],[Order Date]])</f>
        <v>2025</v>
      </c>
      <c r="E705" s="2" t="s">
        <v>515</v>
      </c>
      <c r="F705" s="2" t="s">
        <v>182</v>
      </c>
      <c r="G705" s="2" t="s">
        <v>28</v>
      </c>
      <c r="H705" s="23">
        <v>5000</v>
      </c>
      <c r="I705" s="2">
        <v>3</v>
      </c>
      <c r="J705" s="31">
        <v>0</v>
      </c>
      <c r="K705" s="7">
        <f t="shared" si="40"/>
        <v>15000</v>
      </c>
      <c r="L705" s="7">
        <f t="shared" si="41"/>
        <v>0</v>
      </c>
      <c r="M705" s="7">
        <f t="shared" si="42"/>
        <v>15000</v>
      </c>
      <c r="N705" s="23">
        <v>48000</v>
      </c>
      <c r="O705" s="7">
        <f t="shared" si="43"/>
        <v>63000</v>
      </c>
      <c r="P705" s="2" t="s">
        <v>29</v>
      </c>
      <c r="Q705" t="str">
        <f>_xlfn.XLOOKUP(B705,Status!$A$2:$A$1867,Status!$B$2:$B$1867)</f>
        <v>Completed</v>
      </c>
      <c r="R705" s="2" t="s">
        <v>36</v>
      </c>
      <c r="S705" s="8">
        <v>5</v>
      </c>
      <c r="T705" s="2" t="s">
        <v>24</v>
      </c>
      <c r="U705" s="31" t="str" cm="1">
        <f t="array" ref="U705">_xlfn.IFS(L705&lt;=5000,$Z$3,AND(L705&gt;5000,L705&lt;=15000),$Z$4,AND(L705&gt;15000,L705&lt;=30000),$Z$5,AND(L705&gt;30000,L705&lt;=50000),$Z$6,L705&gt;50000,$Z$7)</f>
        <v>Sangat Rendah</v>
      </c>
      <c r="V705" s="2"/>
    </row>
    <row r="706" spans="1:22" ht="15.75" customHeight="1" x14ac:dyDescent="0.25">
      <c r="A706" s="26"/>
      <c r="B706" s="2" t="s">
        <v>1060</v>
      </c>
      <c r="C706" s="32">
        <v>45680.066099537027</v>
      </c>
      <c r="D706" s="53">
        <f>YEAR(Table1[[#This Row],[Order Date]])</f>
        <v>2025</v>
      </c>
      <c r="E706" s="2" t="s">
        <v>1061</v>
      </c>
      <c r="F706" s="2" t="s">
        <v>44</v>
      </c>
      <c r="G706" s="2" t="s">
        <v>81</v>
      </c>
      <c r="H706" s="23">
        <v>17000</v>
      </c>
      <c r="I706" s="2">
        <v>3</v>
      </c>
      <c r="J706" s="31">
        <v>20</v>
      </c>
      <c r="K706" s="7">
        <f t="shared" si="40"/>
        <v>51000</v>
      </c>
      <c r="L706" s="7">
        <f t="shared" si="41"/>
        <v>10200</v>
      </c>
      <c r="M706" s="7">
        <f t="shared" si="42"/>
        <v>40800</v>
      </c>
      <c r="N706" s="23">
        <v>93000</v>
      </c>
      <c r="O706" s="7">
        <f t="shared" si="43"/>
        <v>133800</v>
      </c>
      <c r="P706" s="2" t="s">
        <v>22</v>
      </c>
      <c r="Q706" t="str">
        <f>_xlfn.XLOOKUP(B706,Status!$A$2:$A$1867,Status!$B$2:$B$1867)</f>
        <v>Completed</v>
      </c>
      <c r="R706" s="2" t="s">
        <v>23</v>
      </c>
      <c r="S706" s="8">
        <v>1</v>
      </c>
      <c r="T706" s="2" t="s">
        <v>37</v>
      </c>
      <c r="U706" s="31" t="str" cm="1">
        <f t="array" ref="U706">_xlfn.IFS(L706&lt;=5000,$Z$3,AND(L706&gt;5000,L706&lt;=15000),$Z$4,AND(L706&gt;15000,L706&lt;=30000),$Z$5,AND(L706&gt;30000,L706&lt;=50000),$Z$6,L706&gt;50000,$Z$7)</f>
        <v>Rendah</v>
      </c>
      <c r="V706" s="2"/>
    </row>
    <row r="707" spans="1:22" ht="15.75" customHeight="1" x14ac:dyDescent="0.25">
      <c r="A707" s="26"/>
      <c r="B707" s="2" t="s">
        <v>1062</v>
      </c>
      <c r="C707" s="32">
        <v>45680.241643518522</v>
      </c>
      <c r="D707" s="53">
        <f>YEAR(Table1[[#This Row],[Order Date]])</f>
        <v>2025</v>
      </c>
      <c r="E707" s="2" t="s">
        <v>1063</v>
      </c>
      <c r="F707" s="2" t="s">
        <v>96</v>
      </c>
      <c r="G707" s="2" t="s">
        <v>138</v>
      </c>
      <c r="H707" s="23">
        <v>17000</v>
      </c>
      <c r="I707" s="2">
        <v>2</v>
      </c>
      <c r="J707" s="31">
        <v>15</v>
      </c>
      <c r="K707" s="7">
        <f t="shared" si="40"/>
        <v>34000</v>
      </c>
      <c r="L707" s="7">
        <f t="shared" si="41"/>
        <v>5100</v>
      </c>
      <c r="M707" s="7">
        <f t="shared" si="42"/>
        <v>28900</v>
      </c>
      <c r="N707" s="23">
        <v>49000</v>
      </c>
      <c r="O707" s="7">
        <f t="shared" si="43"/>
        <v>77900</v>
      </c>
      <c r="P707" s="2" t="s">
        <v>22</v>
      </c>
      <c r="Q707" t="str">
        <f>_xlfn.XLOOKUP(B707,Status!$A$2:$A$1867,Status!$B$2:$B$1867)</f>
        <v>Completed</v>
      </c>
      <c r="R707" s="2" t="s">
        <v>36</v>
      </c>
      <c r="S707" s="8">
        <v>1</v>
      </c>
      <c r="T707" s="2" t="s">
        <v>24</v>
      </c>
      <c r="U707" s="31" t="str" cm="1">
        <f t="array" ref="U707">_xlfn.IFS(L707&lt;=5000,$Z$3,AND(L707&gt;5000,L707&lt;=15000),$Z$4,AND(L707&gt;15000,L707&lt;=30000),$Z$5,AND(L707&gt;30000,L707&lt;=50000),$Z$6,L707&gt;50000,$Z$7)</f>
        <v>Rendah</v>
      </c>
      <c r="V707" s="2"/>
    </row>
    <row r="708" spans="1:22" ht="15.75" customHeight="1" x14ac:dyDescent="0.25">
      <c r="A708" s="26"/>
      <c r="B708" s="2" t="s">
        <v>1064</v>
      </c>
      <c r="C708" s="32">
        <v>45680.610115740739</v>
      </c>
      <c r="D708" s="53">
        <f>YEAR(Table1[[#This Row],[Order Date]])</f>
        <v>2025</v>
      </c>
      <c r="E708" s="2" t="s">
        <v>220</v>
      </c>
      <c r="F708" s="2" t="s">
        <v>53</v>
      </c>
      <c r="G708" s="2" t="s">
        <v>41</v>
      </c>
      <c r="H708" s="23">
        <v>4000</v>
      </c>
      <c r="I708" s="2">
        <v>2</v>
      </c>
      <c r="J708" s="31">
        <v>15</v>
      </c>
      <c r="K708" s="7">
        <f t="shared" ref="K708:K771" si="44">H708*I708</f>
        <v>8000</v>
      </c>
      <c r="L708" s="7">
        <f t="shared" ref="L708:L771" si="45">K708*(J708/100)</f>
        <v>1200</v>
      </c>
      <c r="M708" s="7">
        <f t="shared" ref="M708:M771" si="46">K708-L708</f>
        <v>6800</v>
      </c>
      <c r="N708" s="23">
        <v>18000</v>
      </c>
      <c r="O708" s="7">
        <f t="shared" ref="O708:O771" si="47">SUM(M708:N708)</f>
        <v>24800</v>
      </c>
      <c r="P708" s="2" t="s">
        <v>63</v>
      </c>
      <c r="Q708" t="str">
        <f>_xlfn.XLOOKUP(B708,Status!$A$2:$A$1867,Status!$B$2:$B$1867)</f>
        <v>Completed</v>
      </c>
      <c r="R708" s="2" t="s">
        <v>23</v>
      </c>
      <c r="S708" s="8">
        <v>1</v>
      </c>
      <c r="T708" s="2" t="s">
        <v>24</v>
      </c>
      <c r="U708" s="31" t="str" cm="1">
        <f t="array" ref="U708">_xlfn.IFS(L708&lt;=5000,$Z$3,AND(L708&gt;5000,L708&lt;=15000),$Z$4,AND(L708&gt;15000,L708&lt;=30000),$Z$5,AND(L708&gt;30000,L708&lt;=50000),$Z$6,L708&gt;50000,$Z$7)</f>
        <v>Sangat Rendah</v>
      </c>
      <c r="V708" s="2"/>
    </row>
    <row r="709" spans="1:22" ht="15.75" customHeight="1" x14ac:dyDescent="0.25">
      <c r="A709" s="26"/>
      <c r="B709" s="2" t="s">
        <v>1065</v>
      </c>
      <c r="C709" s="32">
        <v>45680.813449074078</v>
      </c>
      <c r="D709" s="53">
        <f>YEAR(Table1[[#This Row],[Order Date]])</f>
        <v>2025</v>
      </c>
      <c r="E709" s="2" t="s">
        <v>1066</v>
      </c>
      <c r="F709" s="2" t="s">
        <v>113</v>
      </c>
      <c r="G709" s="2" t="s">
        <v>67</v>
      </c>
      <c r="H709" s="23">
        <v>15000</v>
      </c>
      <c r="I709" s="2">
        <v>3</v>
      </c>
      <c r="J709" s="31">
        <v>15</v>
      </c>
      <c r="K709" s="7">
        <f t="shared" si="44"/>
        <v>45000</v>
      </c>
      <c r="L709" s="7">
        <f t="shared" si="45"/>
        <v>6750</v>
      </c>
      <c r="M709" s="7">
        <f t="shared" si="46"/>
        <v>38250</v>
      </c>
      <c r="N709" s="23">
        <v>18000</v>
      </c>
      <c r="O709" s="7">
        <f t="shared" si="47"/>
        <v>56250</v>
      </c>
      <c r="P709" s="2" t="s">
        <v>35</v>
      </c>
      <c r="Q709" t="str">
        <f>_xlfn.XLOOKUP(B709,Status!$A$2:$A$1867,Status!$B$2:$B$1867)</f>
        <v>Returned</v>
      </c>
      <c r="R709" s="2" t="s">
        <v>82</v>
      </c>
      <c r="S709" s="8">
        <v>3</v>
      </c>
      <c r="T709" s="2" t="s">
        <v>24</v>
      </c>
      <c r="U709" s="31" t="str" cm="1">
        <f t="array" ref="U709">_xlfn.IFS(L709&lt;=5000,$Z$3,AND(L709&gt;5000,L709&lt;=15000),$Z$4,AND(L709&gt;15000,L709&lt;=30000),$Z$5,AND(L709&gt;30000,L709&lt;=50000),$Z$6,L709&gt;50000,$Z$7)</f>
        <v>Rendah</v>
      </c>
      <c r="V709" s="2"/>
    </row>
    <row r="710" spans="1:22" ht="15.75" customHeight="1" x14ac:dyDescent="0.25">
      <c r="A710" s="26"/>
      <c r="B710" s="2" t="s">
        <v>1067</v>
      </c>
      <c r="C710" s="32">
        <v>45680.820555555547</v>
      </c>
      <c r="D710" s="53">
        <f>YEAR(Table1[[#This Row],[Order Date]])</f>
        <v>2025</v>
      </c>
      <c r="E710" s="2" t="s">
        <v>985</v>
      </c>
      <c r="F710" s="2" t="s">
        <v>53</v>
      </c>
      <c r="G710" s="2" t="s">
        <v>144</v>
      </c>
      <c r="H710" s="23">
        <v>18000</v>
      </c>
      <c r="I710" s="2">
        <v>5</v>
      </c>
      <c r="J710" s="31">
        <v>20</v>
      </c>
      <c r="K710" s="7">
        <f t="shared" si="44"/>
        <v>90000</v>
      </c>
      <c r="L710" s="7">
        <f t="shared" si="45"/>
        <v>18000</v>
      </c>
      <c r="M710" s="7">
        <f t="shared" si="46"/>
        <v>72000</v>
      </c>
      <c r="N710" s="23">
        <v>18000</v>
      </c>
      <c r="O710" s="7">
        <f t="shared" si="47"/>
        <v>90000</v>
      </c>
      <c r="P710" s="2" t="s">
        <v>29</v>
      </c>
      <c r="Q710" t="str">
        <f>_xlfn.XLOOKUP(B710,Status!$A$2:$A$1867,Status!$B$2:$B$1867)</f>
        <v>Completed</v>
      </c>
      <c r="R710" s="2" t="s">
        <v>23</v>
      </c>
      <c r="S710" s="8">
        <v>3</v>
      </c>
      <c r="T710" s="2" t="s">
        <v>24</v>
      </c>
      <c r="U710" s="31" t="str" cm="1">
        <f t="array" ref="U710">_xlfn.IFS(L710&lt;=5000,$Z$3,AND(L710&gt;5000,L710&lt;=15000),$Z$4,AND(L710&gt;15000,L710&lt;=30000),$Z$5,AND(L710&gt;30000,L710&lt;=50000),$Z$6,L710&gt;50000,$Z$7)</f>
        <v>Normal</v>
      </c>
      <c r="V710" s="2"/>
    </row>
    <row r="711" spans="1:22" ht="15.75" customHeight="1" x14ac:dyDescent="0.25">
      <c r="A711" s="26"/>
      <c r="B711" s="2" t="s">
        <v>1068</v>
      </c>
      <c r="C711" s="32">
        <v>45680.968819444453</v>
      </c>
      <c r="D711" s="53">
        <f>YEAR(Table1[[#This Row],[Order Date]])</f>
        <v>2025</v>
      </c>
      <c r="E711" s="2" t="s">
        <v>1069</v>
      </c>
      <c r="F711" s="2" t="s">
        <v>189</v>
      </c>
      <c r="G711" s="2" t="s">
        <v>45</v>
      </c>
      <c r="H711" s="23">
        <v>40000</v>
      </c>
      <c r="I711" s="2">
        <v>2</v>
      </c>
      <c r="J711" s="31">
        <v>15</v>
      </c>
      <c r="K711" s="7">
        <f t="shared" si="44"/>
        <v>80000</v>
      </c>
      <c r="L711" s="7">
        <f t="shared" si="45"/>
        <v>12000</v>
      </c>
      <c r="M711" s="7">
        <f t="shared" si="46"/>
        <v>68000</v>
      </c>
      <c r="N711" s="23">
        <v>57000</v>
      </c>
      <c r="O711" s="7">
        <f t="shared" si="47"/>
        <v>125000</v>
      </c>
      <c r="P711" s="2" t="s">
        <v>29</v>
      </c>
      <c r="Q711" t="str">
        <f>_xlfn.XLOOKUP(B711,Status!$A$2:$A$1867,Status!$B$2:$B$1867)</f>
        <v>Returned</v>
      </c>
      <c r="R711" s="2" t="s">
        <v>30</v>
      </c>
      <c r="S711" s="8">
        <v>1</v>
      </c>
      <c r="T711" s="2" t="s">
        <v>24</v>
      </c>
      <c r="U711" s="31" t="str" cm="1">
        <f t="array" ref="U711">_xlfn.IFS(L711&lt;=5000,$Z$3,AND(L711&gt;5000,L711&lt;=15000),$Z$4,AND(L711&gt;15000,L711&lt;=30000),$Z$5,AND(L711&gt;30000,L711&lt;=50000),$Z$6,L711&gt;50000,$Z$7)</f>
        <v>Rendah</v>
      </c>
      <c r="V711" s="2"/>
    </row>
    <row r="712" spans="1:22" ht="15.75" customHeight="1" x14ac:dyDescent="0.25">
      <c r="A712" s="26"/>
      <c r="B712" s="2" t="s">
        <v>1070</v>
      </c>
      <c r="C712" s="32">
        <v>45681.229664351849</v>
      </c>
      <c r="D712" s="53">
        <f>YEAR(Table1[[#This Row],[Order Date]])</f>
        <v>2025</v>
      </c>
      <c r="E712" s="2" t="s">
        <v>572</v>
      </c>
      <c r="F712" s="2" t="s">
        <v>33</v>
      </c>
      <c r="G712" s="2" t="s">
        <v>50</v>
      </c>
      <c r="H712" s="23">
        <v>14000</v>
      </c>
      <c r="I712" s="2">
        <v>1</v>
      </c>
      <c r="J712" s="31">
        <v>5</v>
      </c>
      <c r="K712" s="7">
        <f t="shared" si="44"/>
        <v>14000</v>
      </c>
      <c r="L712" s="7">
        <f t="shared" si="45"/>
        <v>700</v>
      </c>
      <c r="M712" s="7">
        <f t="shared" si="46"/>
        <v>13300</v>
      </c>
      <c r="N712" s="23">
        <v>76000</v>
      </c>
      <c r="O712" s="7">
        <f t="shared" si="47"/>
        <v>89300</v>
      </c>
      <c r="P712" s="2" t="s">
        <v>63</v>
      </c>
      <c r="Q712" t="str">
        <f>_xlfn.XLOOKUP(B712,Status!$A$2:$A$1867,Status!$B$2:$B$1867)</f>
        <v>Completed</v>
      </c>
      <c r="R712" s="2" t="s">
        <v>23</v>
      </c>
      <c r="S712" s="8">
        <v>5</v>
      </c>
      <c r="T712" s="2" t="s">
        <v>24</v>
      </c>
      <c r="U712" s="31" t="str" cm="1">
        <f t="array" ref="U712">_xlfn.IFS(L712&lt;=5000,$Z$3,AND(L712&gt;5000,L712&lt;=15000),$Z$4,AND(L712&gt;15000,L712&lt;=30000),$Z$5,AND(L712&gt;30000,L712&lt;=50000),$Z$6,L712&gt;50000,$Z$7)</f>
        <v>Sangat Rendah</v>
      </c>
      <c r="V712" s="2"/>
    </row>
    <row r="713" spans="1:22" ht="15.75" customHeight="1" x14ac:dyDescent="0.25">
      <c r="A713" s="26"/>
      <c r="B713" s="2" t="s">
        <v>1071</v>
      </c>
      <c r="C713" s="32">
        <v>45681.394502314812</v>
      </c>
      <c r="D713" s="53">
        <f>YEAR(Table1[[#This Row],[Order Date]])</f>
        <v>2025</v>
      </c>
      <c r="E713" s="2" t="s">
        <v>568</v>
      </c>
      <c r="F713" s="2" t="s">
        <v>435</v>
      </c>
      <c r="G713" s="2" t="s">
        <v>45</v>
      </c>
      <c r="H713" s="23">
        <v>40000</v>
      </c>
      <c r="I713" s="2">
        <v>3</v>
      </c>
      <c r="J713" s="31">
        <v>5</v>
      </c>
      <c r="K713" s="7">
        <f t="shared" si="44"/>
        <v>120000</v>
      </c>
      <c r="L713" s="7">
        <f t="shared" si="45"/>
        <v>6000</v>
      </c>
      <c r="M713" s="7">
        <f t="shared" si="46"/>
        <v>114000</v>
      </c>
      <c r="N713" s="23">
        <v>67000</v>
      </c>
      <c r="O713" s="7">
        <f t="shared" si="47"/>
        <v>181000</v>
      </c>
      <c r="P713" s="2" t="s">
        <v>35</v>
      </c>
      <c r="Q713" t="str">
        <f>_xlfn.XLOOKUP(B713,Status!$A$2:$A$1867,Status!$B$2:$B$1867)</f>
        <v>Completed</v>
      </c>
      <c r="R713" s="2" t="s">
        <v>30</v>
      </c>
      <c r="S713" s="8">
        <v>3</v>
      </c>
      <c r="T713" s="2" t="s">
        <v>24</v>
      </c>
      <c r="U713" s="31" t="str" cm="1">
        <f t="array" ref="U713">_xlfn.IFS(L713&lt;=5000,$Z$3,AND(L713&gt;5000,L713&lt;=15000),$Z$4,AND(L713&gt;15000,L713&lt;=30000),$Z$5,AND(L713&gt;30000,L713&lt;=50000),$Z$6,L713&gt;50000,$Z$7)</f>
        <v>Rendah</v>
      </c>
      <c r="V713" s="2"/>
    </row>
    <row r="714" spans="1:22" ht="15.75" customHeight="1" x14ac:dyDescent="0.25">
      <c r="A714" s="26"/>
      <c r="B714" s="2" t="s">
        <v>1072</v>
      </c>
      <c r="C714" s="32">
        <v>45681.422662037039</v>
      </c>
      <c r="D714" s="53">
        <f>YEAR(Table1[[#This Row],[Order Date]])</f>
        <v>2025</v>
      </c>
      <c r="E714" s="2" t="s">
        <v>1073</v>
      </c>
      <c r="F714" s="2" t="s">
        <v>27</v>
      </c>
      <c r="G714" s="2" t="s">
        <v>62</v>
      </c>
      <c r="H714" s="23">
        <v>50000</v>
      </c>
      <c r="I714" s="2">
        <v>5</v>
      </c>
      <c r="J714" s="31">
        <v>10</v>
      </c>
      <c r="K714" s="7">
        <f t="shared" si="44"/>
        <v>250000</v>
      </c>
      <c r="L714" s="7">
        <f t="shared" si="45"/>
        <v>25000</v>
      </c>
      <c r="M714" s="7">
        <f t="shared" si="46"/>
        <v>225000</v>
      </c>
      <c r="N714" s="23">
        <v>17000</v>
      </c>
      <c r="O714" s="7">
        <f t="shared" si="47"/>
        <v>242000</v>
      </c>
      <c r="P714" s="2" t="s">
        <v>29</v>
      </c>
      <c r="Q714" t="str">
        <f>_xlfn.XLOOKUP(B714,Status!$A$2:$A$1867,Status!$B$2:$B$1867)</f>
        <v>Completed</v>
      </c>
      <c r="R714" s="2" t="s">
        <v>30</v>
      </c>
      <c r="S714" s="8">
        <v>1</v>
      </c>
      <c r="T714" s="2" t="s">
        <v>24</v>
      </c>
      <c r="U714" s="31" t="str" cm="1">
        <f t="array" ref="U714">_xlfn.IFS(L714&lt;=5000,$Z$3,AND(L714&gt;5000,L714&lt;=15000),$Z$4,AND(L714&gt;15000,L714&lt;=30000),$Z$5,AND(L714&gt;30000,L714&lt;=50000),$Z$6,L714&gt;50000,$Z$7)</f>
        <v>Normal</v>
      </c>
      <c r="V714" s="2"/>
    </row>
    <row r="715" spans="1:22" ht="15.75" customHeight="1" x14ac:dyDescent="0.25">
      <c r="A715" s="26"/>
      <c r="B715" s="2" t="s">
        <v>1074</v>
      </c>
      <c r="C715" s="32">
        <v>45681.651539351849</v>
      </c>
      <c r="D715" s="53">
        <f>YEAR(Table1[[#This Row],[Order Date]])</f>
        <v>2025</v>
      </c>
      <c r="E715" s="2" t="s">
        <v>808</v>
      </c>
      <c r="F715" s="2" t="s">
        <v>61</v>
      </c>
      <c r="G715" s="2" t="s">
        <v>190</v>
      </c>
      <c r="H715" s="23">
        <v>35000</v>
      </c>
      <c r="I715" s="2">
        <v>4</v>
      </c>
      <c r="J715" s="31">
        <v>20</v>
      </c>
      <c r="K715" s="7">
        <f t="shared" si="44"/>
        <v>140000</v>
      </c>
      <c r="L715" s="7">
        <f t="shared" si="45"/>
        <v>28000</v>
      </c>
      <c r="M715" s="7">
        <f t="shared" si="46"/>
        <v>112000</v>
      </c>
      <c r="N715" s="23">
        <v>26000</v>
      </c>
      <c r="O715" s="7">
        <f t="shared" si="47"/>
        <v>138000</v>
      </c>
      <c r="P715" s="2" t="s">
        <v>35</v>
      </c>
      <c r="Q715" t="str">
        <f>_xlfn.XLOOKUP(B715,Status!$A$2:$A$1867,Status!$B$2:$B$1867)</f>
        <v>Completed</v>
      </c>
      <c r="R715" s="2" t="s">
        <v>30</v>
      </c>
      <c r="S715" s="8">
        <v>5</v>
      </c>
      <c r="T715" s="2" t="s">
        <v>24</v>
      </c>
      <c r="U715" s="31" t="str" cm="1">
        <f t="array" ref="U715">_xlfn.IFS(L715&lt;=5000,$Z$3,AND(L715&gt;5000,L715&lt;=15000),$Z$4,AND(L715&gt;15000,L715&lt;=30000),$Z$5,AND(L715&gt;30000,L715&lt;=50000),$Z$6,L715&gt;50000,$Z$7)</f>
        <v>Normal</v>
      </c>
      <c r="V715" s="2"/>
    </row>
    <row r="716" spans="1:22" ht="15.75" customHeight="1" x14ac:dyDescent="0.25">
      <c r="A716" s="26"/>
      <c r="B716" s="2" t="s">
        <v>1075</v>
      </c>
      <c r="C716" s="32">
        <v>45681.790972222218</v>
      </c>
      <c r="D716" s="53">
        <f>YEAR(Table1[[#This Row],[Order Date]])</f>
        <v>2025</v>
      </c>
      <c r="E716" s="2" t="s">
        <v>140</v>
      </c>
      <c r="F716" s="2" t="s">
        <v>92</v>
      </c>
      <c r="G716" s="2" t="s">
        <v>67</v>
      </c>
      <c r="H716" s="23">
        <v>15000</v>
      </c>
      <c r="I716" s="2">
        <v>3</v>
      </c>
      <c r="J716" s="31">
        <v>15</v>
      </c>
      <c r="K716" s="7">
        <f t="shared" si="44"/>
        <v>45000</v>
      </c>
      <c r="L716" s="7">
        <f t="shared" si="45"/>
        <v>6750</v>
      </c>
      <c r="M716" s="7">
        <f t="shared" si="46"/>
        <v>38250</v>
      </c>
      <c r="N716" s="23">
        <v>30000</v>
      </c>
      <c r="O716" s="7">
        <f t="shared" si="47"/>
        <v>68250</v>
      </c>
      <c r="P716" s="2" t="s">
        <v>63</v>
      </c>
      <c r="Q716" t="str">
        <f>_xlfn.XLOOKUP(B716,Status!$A$2:$A$1867,Status!$B$2:$B$1867)</f>
        <v>Completed</v>
      </c>
      <c r="R716" s="2" t="s">
        <v>36</v>
      </c>
      <c r="S716" s="8">
        <v>1</v>
      </c>
      <c r="T716" s="2" t="s">
        <v>24</v>
      </c>
      <c r="U716" s="31" t="str" cm="1">
        <f t="array" ref="U716">_xlfn.IFS(L716&lt;=5000,$Z$3,AND(L716&gt;5000,L716&lt;=15000),$Z$4,AND(L716&gt;15000,L716&lt;=30000),$Z$5,AND(L716&gt;30000,L716&lt;=50000),$Z$6,L716&gt;50000,$Z$7)</f>
        <v>Rendah</v>
      </c>
      <c r="V716" s="2"/>
    </row>
    <row r="717" spans="1:22" ht="15.75" customHeight="1" x14ac:dyDescent="0.25">
      <c r="A717" s="26"/>
      <c r="B717" s="2" t="s">
        <v>1076</v>
      </c>
      <c r="C717" s="32">
        <v>45681.946469907409</v>
      </c>
      <c r="D717" s="53">
        <f>YEAR(Table1[[#This Row],[Order Date]])</f>
        <v>2025</v>
      </c>
      <c r="E717" s="2" t="s">
        <v>1033</v>
      </c>
      <c r="F717" s="2" t="s">
        <v>122</v>
      </c>
      <c r="G717" s="2" t="s">
        <v>123</v>
      </c>
      <c r="H717" s="23">
        <v>22000</v>
      </c>
      <c r="I717" s="2">
        <v>3</v>
      </c>
      <c r="J717" s="31">
        <v>15</v>
      </c>
      <c r="K717" s="7">
        <f t="shared" si="44"/>
        <v>66000</v>
      </c>
      <c r="L717" s="7">
        <f t="shared" si="45"/>
        <v>9900</v>
      </c>
      <c r="M717" s="7">
        <f t="shared" si="46"/>
        <v>56100</v>
      </c>
      <c r="N717" s="23">
        <v>78000</v>
      </c>
      <c r="O717" s="7">
        <f t="shared" si="47"/>
        <v>134100</v>
      </c>
      <c r="P717" s="2" t="s">
        <v>63</v>
      </c>
      <c r="Q717" t="str">
        <f>_xlfn.XLOOKUP(B717,Status!$A$2:$A$1867,Status!$B$2:$B$1867)</f>
        <v>Completed</v>
      </c>
      <c r="R717" s="2" t="s">
        <v>30</v>
      </c>
      <c r="S717" s="8">
        <v>3</v>
      </c>
      <c r="T717" s="2" t="s">
        <v>24</v>
      </c>
      <c r="U717" s="31" t="str" cm="1">
        <f t="array" ref="U717">_xlfn.IFS(L717&lt;=5000,$Z$3,AND(L717&gt;5000,L717&lt;=15000),$Z$4,AND(L717&gt;15000,L717&lt;=30000),$Z$5,AND(L717&gt;30000,L717&lt;=50000),$Z$6,L717&gt;50000,$Z$7)</f>
        <v>Rendah</v>
      </c>
      <c r="V717" s="2"/>
    </row>
    <row r="718" spans="1:22" ht="15.75" customHeight="1" x14ac:dyDescent="0.25">
      <c r="A718" s="26"/>
      <c r="B718" s="2" t="s">
        <v>1077</v>
      </c>
      <c r="C718" s="32">
        <v>45682.091898148137</v>
      </c>
      <c r="D718" s="53">
        <f>YEAR(Table1[[#This Row],[Order Date]])</f>
        <v>2025</v>
      </c>
      <c r="E718" s="2" t="s">
        <v>363</v>
      </c>
      <c r="F718" s="2" t="s">
        <v>189</v>
      </c>
      <c r="G718" s="2" t="s">
        <v>93</v>
      </c>
      <c r="H718" s="23">
        <v>25000</v>
      </c>
      <c r="I718" s="2">
        <v>3</v>
      </c>
      <c r="J718" s="31">
        <v>5</v>
      </c>
      <c r="K718" s="7">
        <f t="shared" si="44"/>
        <v>75000</v>
      </c>
      <c r="L718" s="7">
        <f t="shared" si="45"/>
        <v>3750</v>
      </c>
      <c r="M718" s="7">
        <f t="shared" si="46"/>
        <v>71250</v>
      </c>
      <c r="N718" s="23">
        <v>57000</v>
      </c>
      <c r="O718" s="7">
        <f t="shared" si="47"/>
        <v>128250</v>
      </c>
      <c r="P718" s="2" t="s">
        <v>63</v>
      </c>
      <c r="Q718" t="str">
        <f>_xlfn.XLOOKUP(B718,Status!$A$2:$A$1867,Status!$B$2:$B$1867)</f>
        <v>Completed</v>
      </c>
      <c r="R718" s="2" t="s">
        <v>30</v>
      </c>
      <c r="S718" s="8">
        <v>4</v>
      </c>
      <c r="T718" s="2" t="s">
        <v>24</v>
      </c>
      <c r="U718" s="31" t="str" cm="1">
        <f t="array" ref="U718">_xlfn.IFS(L718&lt;=5000,$Z$3,AND(L718&gt;5000,L718&lt;=15000),$Z$4,AND(L718&gt;15000,L718&lt;=30000),$Z$5,AND(L718&gt;30000,L718&lt;=50000),$Z$6,L718&gt;50000,$Z$7)</f>
        <v>Sangat Rendah</v>
      </c>
      <c r="V718" s="2"/>
    </row>
    <row r="719" spans="1:22" ht="15.75" customHeight="1" x14ac:dyDescent="0.25">
      <c r="A719" s="26"/>
      <c r="B719" s="2" t="s">
        <v>1078</v>
      </c>
      <c r="C719" s="32">
        <v>45682.285428240742</v>
      </c>
      <c r="D719" s="53">
        <f>YEAR(Table1[[#This Row],[Order Date]])</f>
        <v>2025</v>
      </c>
      <c r="E719" s="2" t="s">
        <v>235</v>
      </c>
      <c r="F719" s="2" t="s">
        <v>189</v>
      </c>
      <c r="G719" s="2" t="s">
        <v>62</v>
      </c>
      <c r="H719" s="23">
        <v>50000</v>
      </c>
      <c r="I719" s="2">
        <v>5</v>
      </c>
      <c r="J719" s="31">
        <v>10</v>
      </c>
      <c r="K719" s="7">
        <f t="shared" si="44"/>
        <v>250000</v>
      </c>
      <c r="L719" s="7">
        <f t="shared" si="45"/>
        <v>25000</v>
      </c>
      <c r="M719" s="7">
        <f t="shared" si="46"/>
        <v>225000</v>
      </c>
      <c r="N719" s="23">
        <v>57000</v>
      </c>
      <c r="O719" s="7">
        <f t="shared" si="47"/>
        <v>282000</v>
      </c>
      <c r="P719" s="2" t="s">
        <v>22</v>
      </c>
      <c r="Q719" t="str">
        <f>_xlfn.XLOOKUP(B719,Status!$A$2:$A$1867,Status!$B$2:$B$1867)</f>
        <v>Completed</v>
      </c>
      <c r="R719" s="2" t="s">
        <v>46</v>
      </c>
      <c r="S719" s="8">
        <v>3</v>
      </c>
      <c r="T719" s="2" t="s">
        <v>37</v>
      </c>
      <c r="U719" s="31" t="str" cm="1">
        <f t="array" ref="U719">_xlfn.IFS(L719&lt;=5000,$Z$3,AND(L719&gt;5000,L719&lt;=15000),$Z$4,AND(L719&gt;15000,L719&lt;=30000),$Z$5,AND(L719&gt;30000,L719&lt;=50000),$Z$6,L719&gt;50000,$Z$7)</f>
        <v>Normal</v>
      </c>
      <c r="V719" s="2"/>
    </row>
    <row r="720" spans="1:22" ht="15.75" customHeight="1" x14ac:dyDescent="0.25">
      <c r="A720" s="26"/>
      <c r="B720" s="2" t="s">
        <v>1079</v>
      </c>
      <c r="C720" s="32">
        <v>45682.301770833343</v>
      </c>
      <c r="D720" s="53">
        <f>YEAR(Table1[[#This Row],[Order Date]])</f>
        <v>2025</v>
      </c>
      <c r="E720" s="2" t="s">
        <v>56</v>
      </c>
      <c r="F720" s="2" t="s">
        <v>57</v>
      </c>
      <c r="G720" s="2" t="s">
        <v>144</v>
      </c>
      <c r="H720" s="23">
        <v>18000</v>
      </c>
      <c r="I720" s="2">
        <v>5</v>
      </c>
      <c r="J720" s="31">
        <v>20</v>
      </c>
      <c r="K720" s="7">
        <f t="shared" si="44"/>
        <v>90000</v>
      </c>
      <c r="L720" s="7">
        <f t="shared" si="45"/>
        <v>18000</v>
      </c>
      <c r="M720" s="7">
        <f t="shared" si="46"/>
        <v>72000</v>
      </c>
      <c r="N720" s="23">
        <v>80000</v>
      </c>
      <c r="O720" s="7">
        <f t="shared" si="47"/>
        <v>152000</v>
      </c>
      <c r="P720" s="2" t="s">
        <v>29</v>
      </c>
      <c r="Q720" t="str">
        <f>_xlfn.XLOOKUP(B720,Status!$A$2:$A$1867,Status!$B$2:$B$1867)</f>
        <v>Completed</v>
      </c>
      <c r="R720" s="2" t="s">
        <v>30</v>
      </c>
      <c r="S720" s="8">
        <v>3</v>
      </c>
      <c r="T720" s="2" t="s">
        <v>24</v>
      </c>
      <c r="U720" s="31" t="str" cm="1">
        <f t="array" ref="U720">_xlfn.IFS(L720&lt;=5000,$Z$3,AND(L720&gt;5000,L720&lt;=15000),$Z$4,AND(L720&gt;15000,L720&lt;=30000),$Z$5,AND(L720&gt;30000,L720&lt;=50000),$Z$6,L720&gt;50000,$Z$7)</f>
        <v>Normal</v>
      </c>
      <c r="V720" s="2"/>
    </row>
    <row r="721" spans="1:22" ht="15.75" customHeight="1" x14ac:dyDescent="0.25">
      <c r="A721" s="26"/>
      <c r="B721" s="2" t="s">
        <v>1080</v>
      </c>
      <c r="C721" s="32">
        <v>45682.525972222233</v>
      </c>
      <c r="D721" s="53">
        <f>YEAR(Table1[[#This Row],[Order Date]])</f>
        <v>2025</v>
      </c>
      <c r="E721" s="2" t="s">
        <v>582</v>
      </c>
      <c r="F721" s="2" t="s">
        <v>435</v>
      </c>
      <c r="G721" s="2" t="s">
        <v>28</v>
      </c>
      <c r="H721" s="23">
        <v>5000</v>
      </c>
      <c r="I721" s="2">
        <v>5</v>
      </c>
      <c r="J721" s="31">
        <v>10</v>
      </c>
      <c r="K721" s="7">
        <f t="shared" si="44"/>
        <v>25000</v>
      </c>
      <c r="L721" s="7">
        <f t="shared" si="45"/>
        <v>2500</v>
      </c>
      <c r="M721" s="7">
        <f t="shared" si="46"/>
        <v>22500</v>
      </c>
      <c r="N721" s="23">
        <v>67000</v>
      </c>
      <c r="O721" s="7">
        <f t="shared" si="47"/>
        <v>89500</v>
      </c>
      <c r="P721" s="2" t="s">
        <v>22</v>
      </c>
      <c r="Q721" t="str">
        <f>_xlfn.XLOOKUP(B721,Status!$A$2:$A$1867,Status!$B$2:$B$1867)</f>
        <v>Completed</v>
      </c>
      <c r="R721" s="2" t="s">
        <v>30</v>
      </c>
      <c r="S721" s="8">
        <v>4</v>
      </c>
      <c r="T721" s="2" t="s">
        <v>24</v>
      </c>
      <c r="U721" s="31" t="str" cm="1">
        <f t="array" ref="U721">_xlfn.IFS(L721&lt;=5000,$Z$3,AND(L721&gt;5000,L721&lt;=15000),$Z$4,AND(L721&gt;15000,L721&lt;=30000),$Z$5,AND(L721&gt;30000,L721&lt;=50000),$Z$6,L721&gt;50000,$Z$7)</f>
        <v>Sangat Rendah</v>
      </c>
      <c r="V721" s="2"/>
    </row>
    <row r="722" spans="1:22" ht="15.75" customHeight="1" x14ac:dyDescent="0.25">
      <c r="A722" s="26"/>
      <c r="B722" s="2" t="s">
        <v>1081</v>
      </c>
      <c r="C722" s="32">
        <v>45682.660451388889</v>
      </c>
      <c r="D722" s="53">
        <f>YEAR(Table1[[#This Row],[Order Date]])</f>
        <v>2025</v>
      </c>
      <c r="E722" s="2" t="s">
        <v>194</v>
      </c>
      <c r="F722" s="2" t="s">
        <v>195</v>
      </c>
      <c r="G722" s="2" t="s">
        <v>104</v>
      </c>
      <c r="H722" s="23">
        <v>30000</v>
      </c>
      <c r="I722" s="2">
        <v>4</v>
      </c>
      <c r="J722" s="31">
        <v>15</v>
      </c>
      <c r="K722" s="7">
        <f t="shared" si="44"/>
        <v>120000</v>
      </c>
      <c r="L722" s="7">
        <f t="shared" si="45"/>
        <v>18000</v>
      </c>
      <c r="M722" s="7">
        <f t="shared" si="46"/>
        <v>102000</v>
      </c>
      <c r="N722" s="23">
        <v>87000</v>
      </c>
      <c r="O722" s="7">
        <f t="shared" si="47"/>
        <v>189000</v>
      </c>
      <c r="P722" s="2" t="s">
        <v>29</v>
      </c>
      <c r="Q722" t="str">
        <f>_xlfn.XLOOKUP(B722,Status!$A$2:$A$1867,Status!$B$2:$B$1867)</f>
        <v>Completed</v>
      </c>
      <c r="R722" s="2" t="s">
        <v>23</v>
      </c>
      <c r="S722" s="8">
        <v>5</v>
      </c>
      <c r="T722" s="2" t="s">
        <v>24</v>
      </c>
      <c r="U722" s="31" t="str" cm="1">
        <f t="array" ref="U722">_xlfn.IFS(L722&lt;=5000,$Z$3,AND(L722&gt;5000,L722&lt;=15000),$Z$4,AND(L722&gt;15000,L722&lt;=30000),$Z$5,AND(L722&gt;30000,L722&lt;=50000),$Z$6,L722&gt;50000,$Z$7)</f>
        <v>Normal</v>
      </c>
      <c r="V722" s="2"/>
    </row>
    <row r="723" spans="1:22" ht="15.75" customHeight="1" x14ac:dyDescent="0.25">
      <c r="A723" s="26"/>
      <c r="B723" s="2" t="s">
        <v>1082</v>
      </c>
      <c r="C723" s="32">
        <v>45682.917245370372</v>
      </c>
      <c r="D723" s="53">
        <f>YEAR(Table1[[#This Row],[Order Date]])</f>
        <v>2025</v>
      </c>
      <c r="E723" s="2" t="s">
        <v>1083</v>
      </c>
      <c r="F723" s="2" t="s">
        <v>170</v>
      </c>
      <c r="G723" s="2" t="s">
        <v>34</v>
      </c>
      <c r="H723" s="23">
        <v>16000</v>
      </c>
      <c r="I723" s="2">
        <v>3</v>
      </c>
      <c r="J723" s="31">
        <v>20</v>
      </c>
      <c r="K723" s="7">
        <f t="shared" si="44"/>
        <v>48000</v>
      </c>
      <c r="L723" s="7">
        <f t="shared" si="45"/>
        <v>9600</v>
      </c>
      <c r="M723" s="7">
        <f t="shared" si="46"/>
        <v>38400</v>
      </c>
      <c r="N723" s="23">
        <v>46000</v>
      </c>
      <c r="O723" s="7">
        <f t="shared" si="47"/>
        <v>84400</v>
      </c>
      <c r="P723" s="2" t="s">
        <v>22</v>
      </c>
      <c r="Q723" t="str">
        <f>_xlfn.XLOOKUP(B723,Status!$A$2:$A$1867,Status!$B$2:$B$1867)</f>
        <v>Completed</v>
      </c>
      <c r="R723" s="2" t="s">
        <v>46</v>
      </c>
      <c r="S723" s="8">
        <v>2</v>
      </c>
      <c r="T723" s="2" t="s">
        <v>24</v>
      </c>
      <c r="U723" s="31" t="str" cm="1">
        <f t="array" ref="U723">_xlfn.IFS(L723&lt;=5000,$Z$3,AND(L723&gt;5000,L723&lt;=15000),$Z$4,AND(L723&gt;15000,L723&lt;=30000),$Z$5,AND(L723&gt;30000,L723&lt;=50000),$Z$6,L723&gt;50000,$Z$7)</f>
        <v>Rendah</v>
      </c>
      <c r="V723" s="2"/>
    </row>
    <row r="724" spans="1:22" ht="15.75" customHeight="1" x14ac:dyDescent="0.25">
      <c r="A724" s="26"/>
      <c r="B724" s="2" t="s">
        <v>1084</v>
      </c>
      <c r="C724" s="32">
        <v>45683.408587962957</v>
      </c>
      <c r="D724" s="53">
        <f>YEAR(Table1[[#This Row],[Order Date]])</f>
        <v>2025</v>
      </c>
      <c r="E724" s="2" t="s">
        <v>959</v>
      </c>
      <c r="F724" s="2" t="s">
        <v>182</v>
      </c>
      <c r="G724" s="2" t="s">
        <v>93</v>
      </c>
      <c r="H724" s="23">
        <v>25000</v>
      </c>
      <c r="I724" s="2">
        <v>5</v>
      </c>
      <c r="J724" s="31">
        <v>0</v>
      </c>
      <c r="K724" s="7">
        <f t="shared" si="44"/>
        <v>125000</v>
      </c>
      <c r="L724" s="7">
        <f t="shared" si="45"/>
        <v>0</v>
      </c>
      <c r="M724" s="7">
        <f t="shared" si="46"/>
        <v>125000</v>
      </c>
      <c r="N724" s="23">
        <v>48000</v>
      </c>
      <c r="O724" s="7">
        <f t="shared" si="47"/>
        <v>173000</v>
      </c>
      <c r="P724" s="2" t="s">
        <v>35</v>
      </c>
      <c r="Q724" t="str">
        <f>_xlfn.XLOOKUP(B724,Status!$A$2:$A$1867,Status!$B$2:$B$1867)</f>
        <v>Completed</v>
      </c>
      <c r="R724" s="2" t="s">
        <v>23</v>
      </c>
      <c r="S724" s="8">
        <v>5</v>
      </c>
      <c r="T724" s="2" t="s">
        <v>24</v>
      </c>
      <c r="U724" s="31" t="str" cm="1">
        <f t="array" ref="U724">_xlfn.IFS(L724&lt;=5000,$Z$3,AND(L724&gt;5000,L724&lt;=15000),$Z$4,AND(L724&gt;15000,L724&lt;=30000),$Z$5,AND(L724&gt;30000,L724&lt;=50000),$Z$6,L724&gt;50000,$Z$7)</f>
        <v>Sangat Rendah</v>
      </c>
      <c r="V724" s="2"/>
    </row>
    <row r="725" spans="1:22" ht="15.75" customHeight="1" x14ac:dyDescent="0.25">
      <c r="A725" s="26"/>
      <c r="B725" s="2" t="s">
        <v>1085</v>
      </c>
      <c r="C725" s="32">
        <v>45683.608252314807</v>
      </c>
      <c r="D725" s="53">
        <f>YEAR(Table1[[#This Row],[Order Date]])</f>
        <v>2025</v>
      </c>
      <c r="E725" s="2" t="s">
        <v>408</v>
      </c>
      <c r="F725" s="2" t="s">
        <v>74</v>
      </c>
      <c r="G725" s="2" t="s">
        <v>50</v>
      </c>
      <c r="H725" s="23">
        <v>14000</v>
      </c>
      <c r="I725" s="2">
        <v>2</v>
      </c>
      <c r="J725" s="31">
        <v>15</v>
      </c>
      <c r="K725" s="7">
        <f t="shared" si="44"/>
        <v>28000</v>
      </c>
      <c r="L725" s="7">
        <f t="shared" si="45"/>
        <v>4200</v>
      </c>
      <c r="M725" s="7">
        <f t="shared" si="46"/>
        <v>23800</v>
      </c>
      <c r="N725" s="23">
        <v>87000</v>
      </c>
      <c r="O725" s="7">
        <f t="shared" si="47"/>
        <v>110800</v>
      </c>
      <c r="P725" s="2" t="s">
        <v>22</v>
      </c>
      <c r="Q725" t="str">
        <f>_xlfn.XLOOKUP(B725,Status!$A$2:$A$1867,Status!$B$2:$B$1867)</f>
        <v>Completed</v>
      </c>
      <c r="R725" s="2" t="s">
        <v>82</v>
      </c>
      <c r="S725" s="8">
        <v>3</v>
      </c>
      <c r="T725" s="2" t="s">
        <v>24</v>
      </c>
      <c r="U725" s="31" t="str" cm="1">
        <f t="array" ref="U725">_xlfn.IFS(L725&lt;=5000,$Z$3,AND(L725&gt;5000,L725&lt;=15000),$Z$4,AND(L725&gt;15000,L725&lt;=30000),$Z$5,AND(L725&gt;30000,L725&lt;=50000),$Z$6,L725&gt;50000,$Z$7)</f>
        <v>Sangat Rendah</v>
      </c>
      <c r="V725" s="2"/>
    </row>
    <row r="726" spans="1:22" ht="15.75" customHeight="1" x14ac:dyDescent="0.25">
      <c r="A726" s="26"/>
      <c r="B726" s="2" t="s">
        <v>1086</v>
      </c>
      <c r="C726" s="32">
        <v>45683.758414351847</v>
      </c>
      <c r="D726" s="53">
        <f>YEAR(Table1[[#This Row],[Order Date]])</f>
        <v>2025</v>
      </c>
      <c r="E726" s="2" t="s">
        <v>1087</v>
      </c>
      <c r="F726" s="2" t="s">
        <v>143</v>
      </c>
      <c r="G726" s="2" t="s">
        <v>21</v>
      </c>
      <c r="H726" s="23">
        <v>45000</v>
      </c>
      <c r="I726" s="2">
        <v>5</v>
      </c>
      <c r="J726" s="31">
        <v>0</v>
      </c>
      <c r="K726" s="7">
        <f t="shared" si="44"/>
        <v>225000</v>
      </c>
      <c r="L726" s="7">
        <f t="shared" si="45"/>
        <v>0</v>
      </c>
      <c r="M726" s="7">
        <f t="shared" si="46"/>
        <v>225000</v>
      </c>
      <c r="N726" s="23">
        <v>50000</v>
      </c>
      <c r="O726" s="7">
        <f t="shared" si="47"/>
        <v>275000</v>
      </c>
      <c r="P726" s="2" t="s">
        <v>29</v>
      </c>
      <c r="Q726" t="str">
        <f>_xlfn.XLOOKUP(B726,Status!$A$2:$A$1867,Status!$B$2:$B$1867)</f>
        <v>Completed</v>
      </c>
      <c r="R726" s="2" t="s">
        <v>82</v>
      </c>
      <c r="S726" s="8">
        <v>5</v>
      </c>
      <c r="T726" s="2" t="s">
        <v>24</v>
      </c>
      <c r="U726" s="31" t="str" cm="1">
        <f t="array" ref="U726">_xlfn.IFS(L726&lt;=5000,$Z$3,AND(L726&gt;5000,L726&lt;=15000),$Z$4,AND(L726&gt;15000,L726&lt;=30000),$Z$5,AND(L726&gt;30000,L726&lt;=50000),$Z$6,L726&gt;50000,$Z$7)</f>
        <v>Sangat Rendah</v>
      </c>
      <c r="V726" s="2"/>
    </row>
    <row r="727" spans="1:22" ht="15.75" customHeight="1" x14ac:dyDescent="0.25">
      <c r="A727" s="26"/>
      <c r="B727" s="2" t="s">
        <v>1088</v>
      </c>
      <c r="C727" s="32">
        <v>45683.790763888886</v>
      </c>
      <c r="D727" s="53">
        <f>YEAR(Table1[[#This Row],[Order Date]])</f>
        <v>2025</v>
      </c>
      <c r="E727" s="2" t="s">
        <v>763</v>
      </c>
      <c r="F727" s="2" t="s">
        <v>74</v>
      </c>
      <c r="G727" s="2" t="s">
        <v>81</v>
      </c>
      <c r="H727" s="23">
        <v>17000</v>
      </c>
      <c r="I727" s="2">
        <v>4</v>
      </c>
      <c r="J727" s="31">
        <v>0</v>
      </c>
      <c r="K727" s="7">
        <f t="shared" si="44"/>
        <v>68000</v>
      </c>
      <c r="L727" s="7">
        <f t="shared" si="45"/>
        <v>0</v>
      </c>
      <c r="M727" s="7">
        <f t="shared" si="46"/>
        <v>68000</v>
      </c>
      <c r="N727" s="23">
        <v>87000</v>
      </c>
      <c r="O727" s="7">
        <f t="shared" si="47"/>
        <v>155000</v>
      </c>
      <c r="P727" s="2" t="s">
        <v>63</v>
      </c>
      <c r="Q727" t="str">
        <f>_xlfn.XLOOKUP(B727,Status!$A$2:$A$1867,Status!$B$2:$B$1867)</f>
        <v>Completed</v>
      </c>
      <c r="R727" s="2" t="s">
        <v>82</v>
      </c>
      <c r="S727" s="8">
        <v>4</v>
      </c>
      <c r="T727" s="2" t="s">
        <v>24</v>
      </c>
      <c r="U727" s="31" t="str" cm="1">
        <f t="array" ref="U727">_xlfn.IFS(L727&lt;=5000,$Z$3,AND(L727&gt;5000,L727&lt;=15000),$Z$4,AND(L727&gt;15000,L727&lt;=30000),$Z$5,AND(L727&gt;30000,L727&lt;=50000),$Z$6,L727&gt;50000,$Z$7)</f>
        <v>Sangat Rendah</v>
      </c>
      <c r="V727" s="2"/>
    </row>
    <row r="728" spans="1:22" ht="15.75" customHeight="1" x14ac:dyDescent="0.25">
      <c r="A728" s="26"/>
      <c r="B728" s="2" t="s">
        <v>1089</v>
      </c>
      <c r="C728" s="32">
        <v>45684.484722222223</v>
      </c>
      <c r="D728" s="53">
        <f>YEAR(Table1[[#This Row],[Order Date]])</f>
        <v>2025</v>
      </c>
      <c r="E728" s="2" t="s">
        <v>412</v>
      </c>
      <c r="F728" s="2" t="s">
        <v>70</v>
      </c>
      <c r="G728" s="2" t="s">
        <v>110</v>
      </c>
      <c r="H728" s="23">
        <v>6000</v>
      </c>
      <c r="I728" s="2">
        <v>5</v>
      </c>
      <c r="J728" s="31">
        <v>10</v>
      </c>
      <c r="K728" s="7">
        <f t="shared" si="44"/>
        <v>30000</v>
      </c>
      <c r="L728" s="7">
        <f t="shared" si="45"/>
        <v>3000</v>
      </c>
      <c r="M728" s="7">
        <f t="shared" si="46"/>
        <v>27000</v>
      </c>
      <c r="N728" s="23">
        <v>89000</v>
      </c>
      <c r="O728" s="7">
        <f t="shared" si="47"/>
        <v>116000</v>
      </c>
      <c r="P728" s="2" t="s">
        <v>22</v>
      </c>
      <c r="Q728" t="str">
        <f>_xlfn.XLOOKUP(B728,Status!$A$2:$A$1867,Status!$B$2:$B$1867)</f>
        <v>Returned</v>
      </c>
      <c r="R728" s="2" t="s">
        <v>36</v>
      </c>
      <c r="S728" s="8">
        <v>5</v>
      </c>
      <c r="T728" s="2" t="s">
        <v>24</v>
      </c>
      <c r="U728" s="31" t="str" cm="1">
        <f t="array" ref="U728">_xlfn.IFS(L728&lt;=5000,$Z$3,AND(L728&gt;5000,L728&lt;=15000),$Z$4,AND(L728&gt;15000,L728&lt;=30000),$Z$5,AND(L728&gt;30000,L728&lt;=50000),$Z$6,L728&gt;50000,$Z$7)</f>
        <v>Sangat Rendah</v>
      </c>
      <c r="V728" s="2"/>
    </row>
    <row r="729" spans="1:22" ht="15.75" customHeight="1" x14ac:dyDescent="0.25">
      <c r="A729" s="26"/>
      <c r="B729" s="2" t="s">
        <v>1090</v>
      </c>
      <c r="C729" s="32">
        <v>45684.688935185193</v>
      </c>
      <c r="D729" s="53">
        <f>YEAR(Table1[[#This Row],[Order Date]])</f>
        <v>2025</v>
      </c>
      <c r="E729" s="2" t="s">
        <v>1091</v>
      </c>
      <c r="F729" s="2" t="s">
        <v>160</v>
      </c>
      <c r="G729" s="2" t="s">
        <v>62</v>
      </c>
      <c r="H729" s="23">
        <v>50000</v>
      </c>
      <c r="I729" s="2">
        <v>2</v>
      </c>
      <c r="J729" s="31">
        <v>10</v>
      </c>
      <c r="K729" s="7">
        <f t="shared" si="44"/>
        <v>100000</v>
      </c>
      <c r="L729" s="7">
        <f t="shared" si="45"/>
        <v>10000</v>
      </c>
      <c r="M729" s="7">
        <f t="shared" si="46"/>
        <v>90000</v>
      </c>
      <c r="N729" s="23">
        <v>68000</v>
      </c>
      <c r="O729" s="7">
        <f t="shared" si="47"/>
        <v>158000</v>
      </c>
      <c r="P729" s="2" t="s">
        <v>22</v>
      </c>
      <c r="Q729" t="str">
        <f>_xlfn.XLOOKUP(B729,Status!$A$2:$A$1867,Status!$B$2:$B$1867)</f>
        <v>Completed</v>
      </c>
      <c r="R729" s="2" t="s">
        <v>30</v>
      </c>
      <c r="S729" s="8">
        <v>4</v>
      </c>
      <c r="T729" s="2" t="s">
        <v>37</v>
      </c>
      <c r="U729" s="31" t="str" cm="1">
        <f t="array" ref="U729">_xlfn.IFS(L729&lt;=5000,$Z$3,AND(L729&gt;5000,L729&lt;=15000),$Z$4,AND(L729&gt;15000,L729&lt;=30000),$Z$5,AND(L729&gt;30000,L729&lt;=50000),$Z$6,L729&gt;50000,$Z$7)</f>
        <v>Rendah</v>
      </c>
      <c r="V729" s="2"/>
    </row>
    <row r="730" spans="1:22" ht="15.75" customHeight="1" x14ac:dyDescent="0.25">
      <c r="A730" s="26"/>
      <c r="B730" s="2" t="s">
        <v>1092</v>
      </c>
      <c r="C730" s="32">
        <v>45685.353761574072</v>
      </c>
      <c r="D730" s="53">
        <f>YEAR(Table1[[#This Row],[Order Date]])</f>
        <v>2025</v>
      </c>
      <c r="E730" s="2" t="s">
        <v>596</v>
      </c>
      <c r="F730" s="2" t="s">
        <v>70</v>
      </c>
      <c r="G730" s="2" t="s">
        <v>45</v>
      </c>
      <c r="H730" s="23">
        <v>40000</v>
      </c>
      <c r="I730" s="2">
        <v>1</v>
      </c>
      <c r="J730" s="31">
        <v>15</v>
      </c>
      <c r="K730" s="7">
        <f t="shared" si="44"/>
        <v>40000</v>
      </c>
      <c r="L730" s="7">
        <f t="shared" si="45"/>
        <v>6000</v>
      </c>
      <c r="M730" s="7">
        <f t="shared" si="46"/>
        <v>34000</v>
      </c>
      <c r="N730" s="23">
        <v>89000</v>
      </c>
      <c r="O730" s="7">
        <f t="shared" si="47"/>
        <v>123000</v>
      </c>
      <c r="P730" s="2" t="s">
        <v>29</v>
      </c>
      <c r="Q730" t="str">
        <f>_xlfn.XLOOKUP(B730,Status!$A$2:$A$1867,Status!$B$2:$B$1867)</f>
        <v>Completed</v>
      </c>
      <c r="R730" s="2" t="s">
        <v>30</v>
      </c>
      <c r="S730" s="8">
        <v>4</v>
      </c>
      <c r="T730" s="2" t="s">
        <v>24</v>
      </c>
      <c r="U730" s="31" t="str" cm="1">
        <f t="array" ref="U730">_xlfn.IFS(L730&lt;=5000,$Z$3,AND(L730&gt;5000,L730&lt;=15000),$Z$4,AND(L730&gt;15000,L730&lt;=30000),$Z$5,AND(L730&gt;30000,L730&lt;=50000),$Z$6,L730&gt;50000,$Z$7)</f>
        <v>Rendah</v>
      </c>
      <c r="V730" s="2"/>
    </row>
    <row r="731" spans="1:22" ht="15.75" customHeight="1" x14ac:dyDescent="0.25">
      <c r="A731" s="26"/>
      <c r="B731" s="2" t="s">
        <v>1093</v>
      </c>
      <c r="C731" s="32">
        <v>45685.369444444441</v>
      </c>
      <c r="D731" s="53">
        <f>YEAR(Table1[[#This Row],[Order Date]])</f>
        <v>2025</v>
      </c>
      <c r="E731" s="2" t="s">
        <v>40</v>
      </c>
      <c r="F731" s="2" t="s">
        <v>27</v>
      </c>
      <c r="G731" s="2" t="s">
        <v>88</v>
      </c>
      <c r="H731" s="23">
        <v>14000</v>
      </c>
      <c r="I731" s="2">
        <v>2</v>
      </c>
      <c r="J731" s="31">
        <v>15</v>
      </c>
      <c r="K731" s="7">
        <f t="shared" si="44"/>
        <v>28000</v>
      </c>
      <c r="L731" s="7">
        <f t="shared" si="45"/>
        <v>4200</v>
      </c>
      <c r="M731" s="7">
        <f t="shared" si="46"/>
        <v>23800</v>
      </c>
      <c r="N731" s="23">
        <v>17000</v>
      </c>
      <c r="O731" s="7">
        <f t="shared" si="47"/>
        <v>40800</v>
      </c>
      <c r="P731" s="2" t="s">
        <v>29</v>
      </c>
      <c r="Q731" t="str">
        <f>_xlfn.XLOOKUP(B731,Status!$A$2:$A$1867,Status!$B$2:$B$1867)</f>
        <v>Completed</v>
      </c>
      <c r="R731" s="2" t="s">
        <v>23</v>
      </c>
      <c r="S731" s="8">
        <v>4</v>
      </c>
      <c r="T731" s="2" t="s">
        <v>24</v>
      </c>
      <c r="U731" s="31" t="str" cm="1">
        <f t="array" ref="U731">_xlfn.IFS(L731&lt;=5000,$Z$3,AND(L731&gt;5000,L731&lt;=15000),$Z$4,AND(L731&gt;15000,L731&lt;=30000),$Z$5,AND(L731&gt;30000,L731&lt;=50000),$Z$6,L731&gt;50000,$Z$7)</f>
        <v>Sangat Rendah</v>
      </c>
      <c r="V731" s="2"/>
    </row>
    <row r="732" spans="1:22" ht="15.75" customHeight="1" x14ac:dyDescent="0.25">
      <c r="A732" s="26"/>
      <c r="B732" s="2" t="s">
        <v>1094</v>
      </c>
      <c r="C732" s="32">
        <v>45685.746377314812</v>
      </c>
      <c r="D732" s="53">
        <f>YEAR(Table1[[#This Row],[Order Date]])</f>
        <v>2025</v>
      </c>
      <c r="E732" s="2" t="s">
        <v>1069</v>
      </c>
      <c r="F732" s="2" t="s">
        <v>189</v>
      </c>
      <c r="G732" s="2" t="s">
        <v>28</v>
      </c>
      <c r="H732" s="23">
        <v>5000</v>
      </c>
      <c r="I732" s="2">
        <v>1</v>
      </c>
      <c r="J732" s="31">
        <v>15</v>
      </c>
      <c r="K732" s="7">
        <f t="shared" si="44"/>
        <v>5000</v>
      </c>
      <c r="L732" s="7">
        <f t="shared" si="45"/>
        <v>750</v>
      </c>
      <c r="M732" s="7">
        <f t="shared" si="46"/>
        <v>4250</v>
      </c>
      <c r="N732" s="23">
        <v>57000</v>
      </c>
      <c r="O732" s="7">
        <f t="shared" si="47"/>
        <v>61250</v>
      </c>
      <c r="P732" s="2" t="s">
        <v>35</v>
      </c>
      <c r="Q732" t="str">
        <f>_xlfn.XLOOKUP(B732,Status!$A$2:$A$1867,Status!$B$2:$B$1867)</f>
        <v>Completed</v>
      </c>
      <c r="R732" s="2" t="s">
        <v>36</v>
      </c>
      <c r="S732" s="8">
        <v>2</v>
      </c>
      <c r="T732" s="2" t="s">
        <v>24</v>
      </c>
      <c r="U732" s="31" t="str" cm="1">
        <f t="array" ref="U732">_xlfn.IFS(L732&lt;=5000,$Z$3,AND(L732&gt;5000,L732&lt;=15000),$Z$4,AND(L732&gt;15000,L732&lt;=30000),$Z$5,AND(L732&gt;30000,L732&lt;=50000),$Z$6,L732&gt;50000,$Z$7)</f>
        <v>Sangat Rendah</v>
      </c>
      <c r="V732" s="2"/>
    </row>
    <row r="733" spans="1:22" ht="15.75" customHeight="1" x14ac:dyDescent="0.25">
      <c r="A733" s="26"/>
      <c r="B733" s="2" t="s">
        <v>1095</v>
      </c>
      <c r="C733" s="32">
        <v>45686.106516203698</v>
      </c>
      <c r="D733" s="53">
        <f>YEAR(Table1[[#This Row],[Order Date]])</f>
        <v>2025</v>
      </c>
      <c r="E733" s="2" t="s">
        <v>875</v>
      </c>
      <c r="F733" s="2" t="s">
        <v>170</v>
      </c>
      <c r="G733" s="2" t="s">
        <v>93</v>
      </c>
      <c r="H733" s="23">
        <v>25000</v>
      </c>
      <c r="I733" s="2">
        <v>4</v>
      </c>
      <c r="J733" s="31">
        <v>0</v>
      </c>
      <c r="K733" s="7">
        <f t="shared" si="44"/>
        <v>100000</v>
      </c>
      <c r="L733" s="7">
        <f t="shared" si="45"/>
        <v>0</v>
      </c>
      <c r="M733" s="7">
        <f t="shared" si="46"/>
        <v>100000</v>
      </c>
      <c r="N733" s="23">
        <v>46000</v>
      </c>
      <c r="O733" s="7">
        <f t="shared" si="47"/>
        <v>146000</v>
      </c>
      <c r="P733" s="2" t="s">
        <v>63</v>
      </c>
      <c r="Q733" t="str">
        <f>_xlfn.XLOOKUP(B733,Status!$A$2:$A$1867,Status!$B$2:$B$1867)</f>
        <v>Completed</v>
      </c>
      <c r="R733" s="2" t="s">
        <v>30</v>
      </c>
      <c r="S733" s="8">
        <v>1</v>
      </c>
      <c r="T733" s="2" t="s">
        <v>24</v>
      </c>
      <c r="U733" s="31" t="str" cm="1">
        <f t="array" ref="U733">_xlfn.IFS(L733&lt;=5000,$Z$3,AND(L733&gt;5000,L733&lt;=15000),$Z$4,AND(L733&gt;15000,L733&lt;=30000),$Z$5,AND(L733&gt;30000,L733&lt;=50000),$Z$6,L733&gt;50000,$Z$7)</f>
        <v>Sangat Rendah</v>
      </c>
      <c r="V733" s="2"/>
    </row>
    <row r="734" spans="1:22" ht="15.75" customHeight="1" x14ac:dyDescent="0.25">
      <c r="A734" s="26"/>
      <c r="B734" s="2" t="s">
        <v>1096</v>
      </c>
      <c r="C734" s="32">
        <v>45686.161377314813</v>
      </c>
      <c r="D734" s="53">
        <f>YEAR(Table1[[#This Row],[Order Date]])</f>
        <v>2025</v>
      </c>
      <c r="E734" s="2" t="s">
        <v>389</v>
      </c>
      <c r="F734" s="2" t="s">
        <v>182</v>
      </c>
      <c r="G734" s="2" t="s">
        <v>88</v>
      </c>
      <c r="H734" s="23">
        <v>14000</v>
      </c>
      <c r="I734" s="2">
        <v>2</v>
      </c>
      <c r="J734" s="31">
        <v>10</v>
      </c>
      <c r="K734" s="7">
        <f t="shared" si="44"/>
        <v>28000</v>
      </c>
      <c r="L734" s="7">
        <f t="shared" si="45"/>
        <v>2800</v>
      </c>
      <c r="M734" s="7">
        <f t="shared" si="46"/>
        <v>25200</v>
      </c>
      <c r="N734" s="23">
        <v>48000</v>
      </c>
      <c r="O734" s="7">
        <f t="shared" si="47"/>
        <v>73200</v>
      </c>
      <c r="P734" s="2" t="s">
        <v>35</v>
      </c>
      <c r="Q734" t="str">
        <f>_xlfn.XLOOKUP(B734,Status!$A$2:$A$1867,Status!$B$2:$B$1867)</f>
        <v>Completed</v>
      </c>
      <c r="R734" s="2" t="s">
        <v>23</v>
      </c>
      <c r="S734" s="8">
        <v>4</v>
      </c>
      <c r="T734" s="2" t="s">
        <v>24</v>
      </c>
      <c r="U734" s="31" t="str" cm="1">
        <f t="array" ref="U734">_xlfn.IFS(L734&lt;=5000,$Z$3,AND(L734&gt;5000,L734&lt;=15000),$Z$4,AND(L734&gt;15000,L734&lt;=30000),$Z$5,AND(L734&gt;30000,L734&lt;=50000),$Z$6,L734&gt;50000,$Z$7)</f>
        <v>Sangat Rendah</v>
      </c>
      <c r="V734" s="2"/>
    </row>
    <row r="735" spans="1:22" ht="15.75" customHeight="1" x14ac:dyDescent="0.25">
      <c r="A735" s="26"/>
      <c r="B735" s="2" t="s">
        <v>1097</v>
      </c>
      <c r="C735" s="32">
        <v>45686.323159722233</v>
      </c>
      <c r="D735" s="53">
        <f>YEAR(Table1[[#This Row],[Order Date]])</f>
        <v>2025</v>
      </c>
      <c r="E735" s="2" t="s">
        <v>1098</v>
      </c>
      <c r="F735" s="2" t="s">
        <v>126</v>
      </c>
      <c r="G735" s="2" t="s">
        <v>58</v>
      </c>
      <c r="H735" s="23">
        <v>16000</v>
      </c>
      <c r="I735" s="2">
        <v>1</v>
      </c>
      <c r="J735" s="31">
        <v>10</v>
      </c>
      <c r="K735" s="7">
        <f t="shared" si="44"/>
        <v>16000</v>
      </c>
      <c r="L735" s="7">
        <f t="shared" si="45"/>
        <v>1600</v>
      </c>
      <c r="M735" s="7">
        <f t="shared" si="46"/>
        <v>14400</v>
      </c>
      <c r="N735" s="23">
        <v>84000</v>
      </c>
      <c r="O735" s="7">
        <f t="shared" si="47"/>
        <v>98400</v>
      </c>
      <c r="P735" s="2" t="s">
        <v>22</v>
      </c>
      <c r="Q735" t="str">
        <f>_xlfn.XLOOKUP(B735,Status!$A$2:$A$1867,Status!$B$2:$B$1867)</f>
        <v>Completed</v>
      </c>
      <c r="R735" s="2" t="s">
        <v>82</v>
      </c>
      <c r="S735" s="8">
        <v>2</v>
      </c>
      <c r="T735" s="2" t="s">
        <v>37</v>
      </c>
      <c r="U735" s="31" t="str" cm="1">
        <f t="array" ref="U735">_xlfn.IFS(L735&lt;=5000,$Z$3,AND(L735&gt;5000,L735&lt;=15000),$Z$4,AND(L735&gt;15000,L735&lt;=30000),$Z$5,AND(L735&gt;30000,L735&lt;=50000),$Z$6,L735&gt;50000,$Z$7)</f>
        <v>Sangat Rendah</v>
      </c>
      <c r="V735" s="2"/>
    </row>
    <row r="736" spans="1:22" ht="15.75" customHeight="1" x14ac:dyDescent="0.25">
      <c r="A736" s="26"/>
      <c r="B736" s="2" t="s">
        <v>1099</v>
      </c>
      <c r="C736" s="32">
        <v>45686.779074074067</v>
      </c>
      <c r="D736" s="53">
        <f>YEAR(Table1[[#This Row],[Order Date]])</f>
        <v>2025</v>
      </c>
      <c r="E736" s="2" t="s">
        <v>340</v>
      </c>
      <c r="F736" s="2" t="s">
        <v>126</v>
      </c>
      <c r="G736" s="2" t="s">
        <v>28</v>
      </c>
      <c r="H736" s="23">
        <v>5000</v>
      </c>
      <c r="I736" s="2">
        <v>3</v>
      </c>
      <c r="J736" s="31">
        <v>15</v>
      </c>
      <c r="K736" s="7">
        <f t="shared" si="44"/>
        <v>15000</v>
      </c>
      <c r="L736" s="7">
        <f t="shared" si="45"/>
        <v>2250</v>
      </c>
      <c r="M736" s="7">
        <f t="shared" si="46"/>
        <v>12750</v>
      </c>
      <c r="N736" s="23">
        <v>84000</v>
      </c>
      <c r="O736" s="7">
        <f t="shared" si="47"/>
        <v>96750</v>
      </c>
      <c r="P736" s="2" t="s">
        <v>29</v>
      </c>
      <c r="Q736" t="str">
        <f>_xlfn.XLOOKUP(B736,Status!$A$2:$A$1867,Status!$B$2:$B$1867)</f>
        <v>Completed</v>
      </c>
      <c r="R736" s="2" t="s">
        <v>36</v>
      </c>
      <c r="S736" s="8">
        <v>4</v>
      </c>
      <c r="T736" s="2" t="s">
        <v>37</v>
      </c>
      <c r="U736" s="31" t="str" cm="1">
        <f t="array" ref="U736">_xlfn.IFS(L736&lt;=5000,$Z$3,AND(L736&gt;5000,L736&lt;=15000),$Z$4,AND(L736&gt;15000,L736&lt;=30000),$Z$5,AND(L736&gt;30000,L736&lt;=50000),$Z$6,L736&gt;50000,$Z$7)</f>
        <v>Sangat Rendah</v>
      </c>
      <c r="V736" s="2"/>
    </row>
    <row r="737" spans="1:22" ht="15.75" customHeight="1" x14ac:dyDescent="0.25">
      <c r="A737" s="26"/>
      <c r="B737" s="2" t="s">
        <v>1100</v>
      </c>
      <c r="C737" s="32">
        <v>45687.633761574078</v>
      </c>
      <c r="D737" s="53">
        <f>YEAR(Table1[[#This Row],[Order Date]])</f>
        <v>2025</v>
      </c>
      <c r="E737" s="2" t="s">
        <v>598</v>
      </c>
      <c r="F737" s="2" t="s">
        <v>61</v>
      </c>
      <c r="G737" s="2" t="s">
        <v>41</v>
      </c>
      <c r="H737" s="23">
        <v>4000</v>
      </c>
      <c r="I737" s="2">
        <v>2</v>
      </c>
      <c r="J737" s="31">
        <v>5</v>
      </c>
      <c r="K737" s="7">
        <f t="shared" si="44"/>
        <v>8000</v>
      </c>
      <c r="L737" s="7">
        <f t="shared" si="45"/>
        <v>400</v>
      </c>
      <c r="M737" s="7">
        <f t="shared" si="46"/>
        <v>7600</v>
      </c>
      <c r="N737" s="23">
        <v>26000</v>
      </c>
      <c r="O737" s="7">
        <f t="shared" si="47"/>
        <v>33600</v>
      </c>
      <c r="P737" s="2" t="s">
        <v>29</v>
      </c>
      <c r="Q737" t="str">
        <f>_xlfn.XLOOKUP(B737,Status!$A$2:$A$1867,Status!$B$2:$B$1867)</f>
        <v>Completed</v>
      </c>
      <c r="R737" s="2" t="s">
        <v>36</v>
      </c>
      <c r="S737" s="8">
        <v>1</v>
      </c>
      <c r="T737" s="2" t="s">
        <v>24</v>
      </c>
      <c r="U737" s="31" t="str" cm="1">
        <f t="array" ref="U737">_xlfn.IFS(L737&lt;=5000,$Z$3,AND(L737&gt;5000,L737&lt;=15000),$Z$4,AND(L737&gt;15000,L737&lt;=30000),$Z$5,AND(L737&gt;30000,L737&lt;=50000),$Z$6,L737&gt;50000,$Z$7)</f>
        <v>Sangat Rendah</v>
      </c>
      <c r="V737" s="2"/>
    </row>
    <row r="738" spans="1:22" ht="15.75" customHeight="1" x14ac:dyDescent="0.25">
      <c r="A738" s="26"/>
      <c r="B738" s="2" t="s">
        <v>1100</v>
      </c>
      <c r="C738" s="32">
        <v>45687.633761574078</v>
      </c>
      <c r="D738" s="53">
        <f>YEAR(Table1[[#This Row],[Order Date]])</f>
        <v>2025</v>
      </c>
      <c r="E738" s="2" t="s">
        <v>598</v>
      </c>
      <c r="F738" s="2" t="s">
        <v>61</v>
      </c>
      <c r="G738" s="2" t="s">
        <v>110</v>
      </c>
      <c r="H738" s="23">
        <v>6000</v>
      </c>
      <c r="I738" s="2">
        <v>1</v>
      </c>
      <c r="J738" s="31">
        <v>20</v>
      </c>
      <c r="K738" s="7">
        <f t="shared" si="44"/>
        <v>6000</v>
      </c>
      <c r="L738" s="7">
        <f t="shared" si="45"/>
        <v>1200</v>
      </c>
      <c r="M738" s="7">
        <f t="shared" si="46"/>
        <v>4800</v>
      </c>
      <c r="N738" s="23">
        <v>0</v>
      </c>
      <c r="O738" s="7">
        <f t="shared" si="47"/>
        <v>4800</v>
      </c>
      <c r="P738" s="2" t="s">
        <v>29</v>
      </c>
      <c r="Q738" t="str">
        <f>_xlfn.XLOOKUP(B738,Status!$A$2:$A$1867,Status!$B$2:$B$1867)</f>
        <v>Completed</v>
      </c>
      <c r="R738" s="2" t="s">
        <v>36</v>
      </c>
      <c r="S738" s="8">
        <v>1</v>
      </c>
      <c r="T738" s="2" t="s">
        <v>24</v>
      </c>
      <c r="U738" s="31" t="str" cm="1">
        <f t="array" ref="U738">_xlfn.IFS(L738&lt;=5000,$Z$3,AND(L738&gt;5000,L738&lt;=15000),$Z$4,AND(L738&gt;15000,L738&lt;=30000),$Z$5,AND(L738&gt;30000,L738&lt;=50000),$Z$6,L738&gt;50000,$Z$7)</f>
        <v>Sangat Rendah</v>
      </c>
      <c r="V738" s="2"/>
    </row>
    <row r="739" spans="1:22" ht="15.75" customHeight="1" x14ac:dyDescent="0.25">
      <c r="A739" s="26"/>
      <c r="B739" s="2" t="s">
        <v>1101</v>
      </c>
      <c r="C739" s="32">
        <v>45687.905613425923</v>
      </c>
      <c r="D739" s="53">
        <f>YEAR(Table1[[#This Row],[Order Date]])</f>
        <v>2025</v>
      </c>
      <c r="E739" s="2" t="s">
        <v>52</v>
      </c>
      <c r="F739" s="2" t="s">
        <v>53</v>
      </c>
      <c r="G739" s="2" t="s">
        <v>50</v>
      </c>
      <c r="H739" s="23">
        <v>14000</v>
      </c>
      <c r="I739" s="2">
        <v>1</v>
      </c>
      <c r="J739" s="31">
        <v>15</v>
      </c>
      <c r="K739" s="7">
        <f t="shared" si="44"/>
        <v>14000</v>
      </c>
      <c r="L739" s="7">
        <f t="shared" si="45"/>
        <v>2100</v>
      </c>
      <c r="M739" s="7">
        <f t="shared" si="46"/>
        <v>11900</v>
      </c>
      <c r="N739" s="23">
        <v>18000</v>
      </c>
      <c r="O739" s="7">
        <f t="shared" si="47"/>
        <v>29900</v>
      </c>
      <c r="P739" s="2" t="s">
        <v>29</v>
      </c>
      <c r="Q739" t="str">
        <f>_xlfn.XLOOKUP(B739,Status!$A$2:$A$1867,Status!$B$2:$B$1867)</f>
        <v>Completed</v>
      </c>
      <c r="R739" s="2" t="s">
        <v>82</v>
      </c>
      <c r="S739" s="8">
        <v>4</v>
      </c>
      <c r="T739" s="2" t="s">
        <v>24</v>
      </c>
      <c r="U739" s="31" t="str" cm="1">
        <f t="array" ref="U739">_xlfn.IFS(L739&lt;=5000,$Z$3,AND(L739&gt;5000,L739&lt;=15000),$Z$4,AND(L739&gt;15000,L739&lt;=30000),$Z$5,AND(L739&gt;30000,L739&lt;=50000),$Z$6,L739&gt;50000,$Z$7)</f>
        <v>Sangat Rendah</v>
      </c>
      <c r="V739" s="2"/>
    </row>
    <row r="740" spans="1:22" ht="15.75" customHeight="1" x14ac:dyDescent="0.25">
      <c r="A740" s="26"/>
      <c r="B740" s="2" t="s">
        <v>1102</v>
      </c>
      <c r="C740" s="32">
        <v>45688.018125000002</v>
      </c>
      <c r="D740" s="53">
        <f>YEAR(Table1[[#This Row],[Order Date]])</f>
        <v>2025</v>
      </c>
      <c r="E740" s="2" t="s">
        <v>638</v>
      </c>
      <c r="F740" s="2" t="s">
        <v>195</v>
      </c>
      <c r="G740" s="2" t="s">
        <v>41</v>
      </c>
      <c r="H740" s="23">
        <v>4000</v>
      </c>
      <c r="I740" s="2">
        <v>5</v>
      </c>
      <c r="J740" s="31">
        <v>0</v>
      </c>
      <c r="K740" s="7">
        <f t="shared" si="44"/>
        <v>20000</v>
      </c>
      <c r="L740" s="7">
        <f t="shared" si="45"/>
        <v>0</v>
      </c>
      <c r="M740" s="7">
        <f t="shared" si="46"/>
        <v>20000</v>
      </c>
      <c r="N740" s="23">
        <v>87000</v>
      </c>
      <c r="O740" s="7">
        <f t="shared" si="47"/>
        <v>107000</v>
      </c>
      <c r="P740" s="2" t="s">
        <v>22</v>
      </c>
      <c r="Q740" t="str">
        <f>_xlfn.XLOOKUP(B740,Status!$A$2:$A$1867,Status!$B$2:$B$1867)</f>
        <v>Completed</v>
      </c>
      <c r="R740" s="2" t="s">
        <v>46</v>
      </c>
      <c r="S740" s="8">
        <v>3</v>
      </c>
      <c r="T740" s="2" t="s">
        <v>37</v>
      </c>
      <c r="U740" s="31" t="str" cm="1">
        <f t="array" ref="U740">_xlfn.IFS(L740&lt;=5000,$Z$3,AND(L740&gt;5000,L740&lt;=15000),$Z$4,AND(L740&gt;15000,L740&lt;=30000),$Z$5,AND(L740&gt;30000,L740&lt;=50000),$Z$6,L740&gt;50000,$Z$7)</f>
        <v>Sangat Rendah</v>
      </c>
      <c r="V740" s="2"/>
    </row>
    <row r="741" spans="1:22" ht="15.75" customHeight="1" x14ac:dyDescent="0.25">
      <c r="A741" s="26"/>
      <c r="B741" s="2" t="s">
        <v>1103</v>
      </c>
      <c r="C741" s="32">
        <v>45688.090949074067</v>
      </c>
      <c r="D741" s="53">
        <f>YEAR(Table1[[#This Row],[Order Date]])</f>
        <v>2025</v>
      </c>
      <c r="E741" s="2" t="s">
        <v>488</v>
      </c>
      <c r="F741" s="2" t="s">
        <v>49</v>
      </c>
      <c r="G741" s="2" t="s">
        <v>123</v>
      </c>
      <c r="H741" s="23">
        <v>22000</v>
      </c>
      <c r="I741" s="2">
        <v>5</v>
      </c>
      <c r="J741" s="31">
        <v>10</v>
      </c>
      <c r="K741" s="7">
        <f t="shared" si="44"/>
        <v>110000</v>
      </c>
      <c r="L741" s="7">
        <f t="shared" si="45"/>
        <v>11000</v>
      </c>
      <c r="M741" s="7">
        <f t="shared" si="46"/>
        <v>99000</v>
      </c>
      <c r="N741" s="23">
        <v>43000</v>
      </c>
      <c r="O741" s="7">
        <f t="shared" si="47"/>
        <v>142000</v>
      </c>
      <c r="P741" s="2" t="s">
        <v>35</v>
      </c>
      <c r="Q741" t="str">
        <f>_xlfn.XLOOKUP(B741,Status!$A$2:$A$1867,Status!$B$2:$B$1867)</f>
        <v>Completed</v>
      </c>
      <c r="R741" s="2" t="s">
        <v>46</v>
      </c>
      <c r="S741" s="8">
        <v>4</v>
      </c>
      <c r="T741" s="2" t="s">
        <v>24</v>
      </c>
      <c r="U741" s="31" t="str" cm="1">
        <f t="array" ref="U741">_xlfn.IFS(L741&lt;=5000,$Z$3,AND(L741&gt;5000,L741&lt;=15000),$Z$4,AND(L741&gt;15000,L741&lt;=30000),$Z$5,AND(L741&gt;30000,L741&lt;=50000),$Z$6,L741&gt;50000,$Z$7)</f>
        <v>Rendah</v>
      </c>
      <c r="V741" s="2"/>
    </row>
    <row r="742" spans="1:22" ht="15.75" customHeight="1" x14ac:dyDescent="0.25">
      <c r="A742" s="26"/>
      <c r="B742" s="2" t="s">
        <v>1104</v>
      </c>
      <c r="C742" s="32">
        <v>45688.387233796297</v>
      </c>
      <c r="D742" s="53">
        <f>YEAR(Table1[[#This Row],[Order Date]])</f>
        <v>2025</v>
      </c>
      <c r="E742" s="2" t="s">
        <v>649</v>
      </c>
      <c r="F742" s="2" t="s">
        <v>177</v>
      </c>
      <c r="G742" s="2" t="s">
        <v>75</v>
      </c>
      <c r="H742" s="23">
        <v>55000</v>
      </c>
      <c r="I742" s="2">
        <v>5</v>
      </c>
      <c r="J742" s="31">
        <v>10</v>
      </c>
      <c r="K742" s="7">
        <f t="shared" si="44"/>
        <v>275000</v>
      </c>
      <c r="L742" s="7">
        <f t="shared" si="45"/>
        <v>27500</v>
      </c>
      <c r="M742" s="7">
        <f t="shared" si="46"/>
        <v>247500</v>
      </c>
      <c r="N742" s="23">
        <v>56000</v>
      </c>
      <c r="O742" s="7">
        <f t="shared" si="47"/>
        <v>303500</v>
      </c>
      <c r="P742" s="2" t="s">
        <v>29</v>
      </c>
      <c r="Q742" t="str">
        <f>_xlfn.XLOOKUP(B742,Status!$A$2:$A$1867,Status!$B$2:$B$1867)</f>
        <v>Completed</v>
      </c>
      <c r="R742" s="2" t="s">
        <v>36</v>
      </c>
      <c r="S742" s="8">
        <v>1</v>
      </c>
      <c r="T742" s="2" t="s">
        <v>24</v>
      </c>
      <c r="U742" s="31" t="str" cm="1">
        <f t="array" ref="U742">_xlfn.IFS(L742&lt;=5000,$Z$3,AND(L742&gt;5000,L742&lt;=15000),$Z$4,AND(L742&gt;15000,L742&lt;=30000),$Z$5,AND(L742&gt;30000,L742&lt;=50000),$Z$6,L742&gt;50000,$Z$7)</f>
        <v>Normal</v>
      </c>
      <c r="V742" s="2"/>
    </row>
    <row r="743" spans="1:22" ht="15.75" customHeight="1" x14ac:dyDescent="0.25">
      <c r="A743" s="26"/>
      <c r="B743" s="2" t="s">
        <v>1105</v>
      </c>
      <c r="C743" s="32">
        <v>45688.695543981477</v>
      </c>
      <c r="D743" s="53">
        <f>YEAR(Table1[[#This Row],[Order Date]])</f>
        <v>2025</v>
      </c>
      <c r="E743" s="2" t="s">
        <v>1106</v>
      </c>
      <c r="F743" s="2" t="s">
        <v>70</v>
      </c>
      <c r="G743" s="2" t="s">
        <v>138</v>
      </c>
      <c r="H743" s="23">
        <v>17000</v>
      </c>
      <c r="I743" s="2">
        <v>4</v>
      </c>
      <c r="J743" s="31">
        <v>10</v>
      </c>
      <c r="K743" s="7">
        <f t="shared" si="44"/>
        <v>68000</v>
      </c>
      <c r="L743" s="7">
        <f t="shared" si="45"/>
        <v>6800</v>
      </c>
      <c r="M743" s="7">
        <f t="shared" si="46"/>
        <v>61200</v>
      </c>
      <c r="N743" s="23">
        <v>89000</v>
      </c>
      <c r="O743" s="7">
        <f t="shared" si="47"/>
        <v>150200</v>
      </c>
      <c r="P743" s="2" t="s">
        <v>63</v>
      </c>
      <c r="Q743" t="str">
        <f>_xlfn.XLOOKUP(B743,Status!$A$2:$A$1867,Status!$B$2:$B$1867)</f>
        <v>Cancelled</v>
      </c>
      <c r="R743" s="2" t="s">
        <v>30</v>
      </c>
      <c r="S743" s="8">
        <v>1</v>
      </c>
      <c r="T743" s="2" t="s">
        <v>24</v>
      </c>
      <c r="U743" s="31" t="str" cm="1">
        <f t="array" ref="U743">_xlfn.IFS(L743&lt;=5000,$Z$3,AND(L743&gt;5000,L743&lt;=15000),$Z$4,AND(L743&gt;15000,L743&lt;=30000),$Z$5,AND(L743&gt;30000,L743&lt;=50000),$Z$6,L743&gt;50000,$Z$7)</f>
        <v>Rendah</v>
      </c>
      <c r="V743" s="2"/>
    </row>
    <row r="744" spans="1:22" ht="15.75" customHeight="1" x14ac:dyDescent="0.25">
      <c r="A744" s="26"/>
      <c r="B744" s="2" t="s">
        <v>1107</v>
      </c>
      <c r="C744" s="32">
        <v>45688.908587962957</v>
      </c>
      <c r="D744" s="53">
        <f>YEAR(Table1[[#This Row],[Order Date]])</f>
        <v>2025</v>
      </c>
      <c r="E744" s="2" t="s">
        <v>309</v>
      </c>
      <c r="F744" s="2" t="s">
        <v>107</v>
      </c>
      <c r="G744" s="2" t="s">
        <v>71</v>
      </c>
      <c r="H744" s="23">
        <v>40000</v>
      </c>
      <c r="I744" s="2">
        <v>3</v>
      </c>
      <c r="J744" s="31">
        <v>5</v>
      </c>
      <c r="K744" s="7">
        <f t="shared" si="44"/>
        <v>120000</v>
      </c>
      <c r="L744" s="7">
        <f t="shared" si="45"/>
        <v>6000</v>
      </c>
      <c r="M744" s="7">
        <f t="shared" si="46"/>
        <v>114000</v>
      </c>
      <c r="N744" s="23">
        <v>97000</v>
      </c>
      <c r="O744" s="7">
        <f t="shared" si="47"/>
        <v>211000</v>
      </c>
      <c r="P744" s="2" t="s">
        <v>35</v>
      </c>
      <c r="Q744" t="str">
        <f>_xlfn.XLOOKUP(B744,Status!$A$2:$A$1867,Status!$B$2:$B$1867)</f>
        <v>Completed</v>
      </c>
      <c r="R744" s="2" t="s">
        <v>23</v>
      </c>
      <c r="S744" s="8">
        <v>3</v>
      </c>
      <c r="T744" s="2" t="s">
        <v>37</v>
      </c>
      <c r="U744" s="31" t="str" cm="1">
        <f t="array" ref="U744">_xlfn.IFS(L744&lt;=5000,$Z$3,AND(L744&gt;5000,L744&lt;=15000),$Z$4,AND(L744&gt;15000,L744&lt;=30000),$Z$5,AND(L744&gt;30000,L744&lt;=50000),$Z$6,L744&gt;50000,$Z$7)</f>
        <v>Rendah</v>
      </c>
      <c r="V744" s="2"/>
    </row>
    <row r="745" spans="1:22" ht="15.75" customHeight="1" x14ac:dyDescent="0.25">
      <c r="A745" s="26"/>
      <c r="B745" s="2" t="s">
        <v>1108</v>
      </c>
      <c r="C745" s="32">
        <v>45689.01189814815</v>
      </c>
      <c r="D745" s="53">
        <f>YEAR(Table1[[#This Row],[Order Date]])</f>
        <v>2025</v>
      </c>
      <c r="E745" s="2" t="s">
        <v>669</v>
      </c>
      <c r="F745" s="2" t="s">
        <v>151</v>
      </c>
      <c r="G745" s="2" t="s">
        <v>110</v>
      </c>
      <c r="H745" s="23">
        <v>6000</v>
      </c>
      <c r="I745" s="2">
        <v>1</v>
      </c>
      <c r="J745" s="31">
        <v>20</v>
      </c>
      <c r="K745" s="7">
        <f t="shared" si="44"/>
        <v>6000</v>
      </c>
      <c r="L745" s="7">
        <f t="shared" si="45"/>
        <v>1200</v>
      </c>
      <c r="M745" s="7">
        <f t="shared" si="46"/>
        <v>4800</v>
      </c>
      <c r="N745" s="23">
        <v>55000</v>
      </c>
      <c r="O745" s="7">
        <f t="shared" si="47"/>
        <v>59800</v>
      </c>
      <c r="P745" s="2" t="s">
        <v>63</v>
      </c>
      <c r="Q745" t="str">
        <f>_xlfn.XLOOKUP(B745,Status!$A$2:$A$1867,Status!$B$2:$B$1867)</f>
        <v>Completed</v>
      </c>
      <c r="R745" s="2" t="s">
        <v>36</v>
      </c>
      <c r="S745" s="8">
        <v>3</v>
      </c>
      <c r="T745" s="2" t="s">
        <v>24</v>
      </c>
      <c r="U745" s="31" t="str" cm="1">
        <f t="array" ref="U745">_xlfn.IFS(L745&lt;=5000,$Z$3,AND(L745&gt;5000,L745&lt;=15000),$Z$4,AND(L745&gt;15000,L745&lt;=30000),$Z$5,AND(L745&gt;30000,L745&lt;=50000),$Z$6,L745&gt;50000,$Z$7)</f>
        <v>Sangat Rendah</v>
      </c>
      <c r="V745" s="2"/>
    </row>
    <row r="746" spans="1:22" ht="15.75" customHeight="1" x14ac:dyDescent="0.25">
      <c r="A746" s="26"/>
      <c r="B746" s="2" t="s">
        <v>1109</v>
      </c>
      <c r="C746" s="32">
        <v>45689.021377314813</v>
      </c>
      <c r="D746" s="53">
        <f>YEAR(Table1[[#This Row],[Order Date]])</f>
        <v>2025</v>
      </c>
      <c r="E746" s="2" t="s">
        <v>125</v>
      </c>
      <c r="F746" s="2" t="s">
        <v>126</v>
      </c>
      <c r="G746" s="2" t="s">
        <v>85</v>
      </c>
      <c r="H746" s="23">
        <v>35000</v>
      </c>
      <c r="I746" s="2">
        <v>3</v>
      </c>
      <c r="J746" s="31">
        <v>0</v>
      </c>
      <c r="K746" s="7">
        <f t="shared" si="44"/>
        <v>105000</v>
      </c>
      <c r="L746" s="7">
        <f t="shared" si="45"/>
        <v>0</v>
      </c>
      <c r="M746" s="7">
        <f t="shared" si="46"/>
        <v>105000</v>
      </c>
      <c r="N746" s="23">
        <v>84000</v>
      </c>
      <c r="O746" s="7">
        <f t="shared" si="47"/>
        <v>189000</v>
      </c>
      <c r="P746" s="2" t="s">
        <v>35</v>
      </c>
      <c r="Q746" t="str">
        <f>_xlfn.XLOOKUP(B746,Status!$A$2:$A$1867,Status!$B$2:$B$1867)</f>
        <v>Completed</v>
      </c>
      <c r="R746" s="2" t="s">
        <v>36</v>
      </c>
      <c r="S746" s="8">
        <v>2</v>
      </c>
      <c r="T746" s="2" t="s">
        <v>24</v>
      </c>
      <c r="U746" s="31" t="str" cm="1">
        <f t="array" ref="U746">_xlfn.IFS(L746&lt;=5000,$Z$3,AND(L746&gt;5000,L746&lt;=15000),$Z$4,AND(L746&gt;15000,L746&lt;=30000),$Z$5,AND(L746&gt;30000,L746&lt;=50000),$Z$6,L746&gt;50000,$Z$7)</f>
        <v>Sangat Rendah</v>
      </c>
      <c r="V746" s="2"/>
    </row>
    <row r="747" spans="1:22" ht="15.75" customHeight="1" x14ac:dyDescent="0.25">
      <c r="A747" s="26"/>
      <c r="B747" s="2" t="s">
        <v>1110</v>
      </c>
      <c r="C747" s="32">
        <v>45689.042731481481</v>
      </c>
      <c r="D747" s="53">
        <f>YEAR(Table1[[#This Row],[Order Date]])</f>
        <v>2025</v>
      </c>
      <c r="E747" s="2" t="s">
        <v>1111</v>
      </c>
      <c r="F747" s="2" t="s">
        <v>151</v>
      </c>
      <c r="G747" s="2" t="s">
        <v>138</v>
      </c>
      <c r="H747" s="23">
        <v>17000</v>
      </c>
      <c r="I747" s="2">
        <v>1</v>
      </c>
      <c r="J747" s="31">
        <v>5</v>
      </c>
      <c r="K747" s="7">
        <f t="shared" si="44"/>
        <v>17000</v>
      </c>
      <c r="L747" s="7">
        <f t="shared" si="45"/>
        <v>850</v>
      </c>
      <c r="M747" s="7">
        <f t="shared" si="46"/>
        <v>16150</v>
      </c>
      <c r="N747" s="23">
        <v>55000</v>
      </c>
      <c r="O747" s="7">
        <f t="shared" si="47"/>
        <v>71150</v>
      </c>
      <c r="P747" s="2" t="s">
        <v>35</v>
      </c>
      <c r="Q747" t="str">
        <f>_xlfn.XLOOKUP(B747,Status!$A$2:$A$1867,Status!$B$2:$B$1867)</f>
        <v>Completed</v>
      </c>
      <c r="R747" s="2" t="s">
        <v>30</v>
      </c>
      <c r="S747" s="8">
        <v>2</v>
      </c>
      <c r="T747" s="2" t="s">
        <v>37</v>
      </c>
      <c r="U747" s="31" t="str" cm="1">
        <f t="array" ref="U747">_xlfn.IFS(L747&lt;=5000,$Z$3,AND(L747&gt;5000,L747&lt;=15000),$Z$4,AND(L747&gt;15000,L747&lt;=30000),$Z$5,AND(L747&gt;30000,L747&lt;=50000),$Z$6,L747&gt;50000,$Z$7)</f>
        <v>Sangat Rendah</v>
      </c>
      <c r="V747" s="2"/>
    </row>
    <row r="748" spans="1:22" ht="15.75" customHeight="1" x14ac:dyDescent="0.25">
      <c r="A748" s="26"/>
      <c r="B748" s="2" t="s">
        <v>1112</v>
      </c>
      <c r="C748" s="32">
        <v>45689.339363425926</v>
      </c>
      <c r="D748" s="53">
        <f>YEAR(Table1[[#This Row],[Order Date]])</f>
        <v>2025</v>
      </c>
      <c r="E748" s="2" t="s">
        <v>483</v>
      </c>
      <c r="F748" s="2" t="s">
        <v>170</v>
      </c>
      <c r="G748" s="2" t="s">
        <v>75</v>
      </c>
      <c r="H748" s="23">
        <v>55000</v>
      </c>
      <c r="I748" s="2">
        <v>2</v>
      </c>
      <c r="J748" s="31">
        <v>20</v>
      </c>
      <c r="K748" s="7">
        <f t="shared" si="44"/>
        <v>110000</v>
      </c>
      <c r="L748" s="7">
        <f t="shared" si="45"/>
        <v>22000</v>
      </c>
      <c r="M748" s="7">
        <f t="shared" si="46"/>
        <v>88000</v>
      </c>
      <c r="N748" s="23">
        <v>46000</v>
      </c>
      <c r="O748" s="7">
        <f t="shared" si="47"/>
        <v>134000</v>
      </c>
      <c r="P748" s="2" t="s">
        <v>22</v>
      </c>
      <c r="Q748" t="str">
        <f>_xlfn.XLOOKUP(B748,Status!$A$2:$A$1867,Status!$B$2:$B$1867)</f>
        <v>Cancelled</v>
      </c>
      <c r="R748" s="2" t="s">
        <v>30</v>
      </c>
      <c r="S748" s="8">
        <v>2</v>
      </c>
      <c r="T748" s="2" t="s">
        <v>24</v>
      </c>
      <c r="U748" s="31" t="str" cm="1">
        <f t="array" ref="U748">_xlfn.IFS(L748&lt;=5000,$Z$3,AND(L748&gt;5000,L748&lt;=15000),$Z$4,AND(L748&gt;15000,L748&lt;=30000),$Z$5,AND(L748&gt;30000,L748&lt;=50000),$Z$6,L748&gt;50000,$Z$7)</f>
        <v>Normal</v>
      </c>
      <c r="V748" s="2"/>
    </row>
    <row r="749" spans="1:22" ht="15.75" customHeight="1" x14ac:dyDescent="0.25">
      <c r="A749" s="26"/>
      <c r="B749" s="2" t="s">
        <v>1113</v>
      </c>
      <c r="C749" s="32">
        <v>45689.554756944453</v>
      </c>
      <c r="D749" s="53">
        <f>YEAR(Table1[[#This Row],[Order Date]])</f>
        <v>2025</v>
      </c>
      <c r="E749" s="2" t="s">
        <v>741</v>
      </c>
      <c r="F749" s="2" t="s">
        <v>189</v>
      </c>
      <c r="G749" s="2" t="s">
        <v>144</v>
      </c>
      <c r="H749" s="23">
        <v>18000</v>
      </c>
      <c r="I749" s="2">
        <v>5</v>
      </c>
      <c r="J749" s="31">
        <v>20</v>
      </c>
      <c r="K749" s="7">
        <f t="shared" si="44"/>
        <v>90000</v>
      </c>
      <c r="L749" s="7">
        <f t="shared" si="45"/>
        <v>18000</v>
      </c>
      <c r="M749" s="7">
        <f t="shared" si="46"/>
        <v>72000</v>
      </c>
      <c r="N749" s="23">
        <v>57000</v>
      </c>
      <c r="O749" s="7">
        <f t="shared" si="47"/>
        <v>129000</v>
      </c>
      <c r="P749" s="2" t="s">
        <v>22</v>
      </c>
      <c r="Q749" t="str">
        <f>_xlfn.XLOOKUP(B749,Status!$A$2:$A$1867,Status!$B$2:$B$1867)</f>
        <v>Completed</v>
      </c>
      <c r="R749" s="2" t="s">
        <v>30</v>
      </c>
      <c r="S749" s="8">
        <v>3</v>
      </c>
      <c r="T749" s="2" t="s">
        <v>24</v>
      </c>
      <c r="U749" s="31" t="str" cm="1">
        <f t="array" ref="U749">_xlfn.IFS(L749&lt;=5000,$Z$3,AND(L749&gt;5000,L749&lt;=15000),$Z$4,AND(L749&gt;15000,L749&lt;=30000),$Z$5,AND(L749&gt;30000,L749&lt;=50000),$Z$6,L749&gt;50000,$Z$7)</f>
        <v>Normal</v>
      </c>
      <c r="V749" s="2"/>
    </row>
    <row r="750" spans="1:22" ht="15.75" customHeight="1" x14ac:dyDescent="0.25">
      <c r="A750" s="26"/>
      <c r="B750" s="2" t="s">
        <v>1114</v>
      </c>
      <c r="C750" s="32">
        <v>45689.659432870372</v>
      </c>
      <c r="D750" s="53">
        <f>YEAR(Table1[[#This Row],[Order Date]])</f>
        <v>2025</v>
      </c>
      <c r="E750" s="2" t="s">
        <v>461</v>
      </c>
      <c r="F750" s="2" t="s">
        <v>92</v>
      </c>
      <c r="G750" s="2" t="s">
        <v>62</v>
      </c>
      <c r="H750" s="23">
        <v>50000</v>
      </c>
      <c r="I750" s="2">
        <v>1</v>
      </c>
      <c r="J750" s="31">
        <v>15</v>
      </c>
      <c r="K750" s="7">
        <f t="shared" si="44"/>
        <v>50000</v>
      </c>
      <c r="L750" s="7">
        <f t="shared" si="45"/>
        <v>7500</v>
      </c>
      <c r="M750" s="7">
        <f t="shared" si="46"/>
        <v>42500</v>
      </c>
      <c r="N750" s="23">
        <v>30000</v>
      </c>
      <c r="O750" s="7">
        <f t="shared" si="47"/>
        <v>72500</v>
      </c>
      <c r="P750" s="2" t="s">
        <v>29</v>
      </c>
      <c r="Q750" t="str">
        <f>_xlfn.XLOOKUP(B750,Status!$A$2:$A$1867,Status!$B$2:$B$1867)</f>
        <v>Completed</v>
      </c>
      <c r="R750" s="2" t="s">
        <v>46</v>
      </c>
      <c r="S750" s="8">
        <v>3</v>
      </c>
      <c r="T750" s="2" t="s">
        <v>37</v>
      </c>
      <c r="U750" s="31" t="str" cm="1">
        <f t="array" ref="U750">_xlfn.IFS(L750&lt;=5000,$Z$3,AND(L750&gt;5000,L750&lt;=15000),$Z$4,AND(L750&gt;15000,L750&lt;=30000),$Z$5,AND(L750&gt;30000,L750&lt;=50000),$Z$6,L750&gt;50000,$Z$7)</f>
        <v>Rendah</v>
      </c>
      <c r="V750" s="2"/>
    </row>
    <row r="751" spans="1:22" ht="15.75" customHeight="1" x14ac:dyDescent="0.25">
      <c r="A751" s="26"/>
      <c r="B751" s="2" t="s">
        <v>1115</v>
      </c>
      <c r="C751" s="32">
        <v>45689.713287037041</v>
      </c>
      <c r="D751" s="53">
        <f>YEAR(Table1[[#This Row],[Order Date]])</f>
        <v>2025</v>
      </c>
      <c r="E751" s="2" t="s">
        <v>570</v>
      </c>
      <c r="F751" s="2" t="s">
        <v>80</v>
      </c>
      <c r="G751" s="2" t="s">
        <v>123</v>
      </c>
      <c r="H751" s="23">
        <v>22000</v>
      </c>
      <c r="I751" s="2">
        <v>4</v>
      </c>
      <c r="J751" s="31">
        <v>20</v>
      </c>
      <c r="K751" s="7">
        <f t="shared" si="44"/>
        <v>88000</v>
      </c>
      <c r="L751" s="7">
        <f t="shared" si="45"/>
        <v>17600</v>
      </c>
      <c r="M751" s="7">
        <f t="shared" si="46"/>
        <v>70400</v>
      </c>
      <c r="N751" s="23">
        <v>74000</v>
      </c>
      <c r="O751" s="7">
        <f t="shared" si="47"/>
        <v>144400</v>
      </c>
      <c r="P751" s="2" t="s">
        <v>29</v>
      </c>
      <c r="Q751" t="str">
        <f>_xlfn.XLOOKUP(B751,Status!$A$2:$A$1867,Status!$B$2:$B$1867)</f>
        <v>Completed</v>
      </c>
      <c r="R751" s="2" t="s">
        <v>46</v>
      </c>
      <c r="S751" s="8">
        <v>2</v>
      </c>
      <c r="T751" s="2" t="s">
        <v>24</v>
      </c>
      <c r="U751" s="31" t="str" cm="1">
        <f t="array" ref="U751">_xlfn.IFS(L751&lt;=5000,$Z$3,AND(L751&gt;5000,L751&lt;=15000),$Z$4,AND(L751&gt;15000,L751&lt;=30000),$Z$5,AND(L751&gt;30000,L751&lt;=50000),$Z$6,L751&gt;50000,$Z$7)</f>
        <v>Normal</v>
      </c>
      <c r="V751" s="2"/>
    </row>
    <row r="752" spans="1:22" ht="15.75" customHeight="1" x14ac:dyDescent="0.25">
      <c r="A752" s="26"/>
      <c r="B752" s="2" t="s">
        <v>1116</v>
      </c>
      <c r="C752" s="32">
        <v>45689.952928240738</v>
      </c>
      <c r="D752" s="53">
        <f>YEAR(Table1[[#This Row],[Order Date]])</f>
        <v>2025</v>
      </c>
      <c r="E752" s="2" t="s">
        <v>1117</v>
      </c>
      <c r="F752" s="2" t="s">
        <v>126</v>
      </c>
      <c r="G752" s="2" t="s">
        <v>250</v>
      </c>
      <c r="H752" s="23">
        <v>18000</v>
      </c>
      <c r="I752" s="2">
        <v>1</v>
      </c>
      <c r="J752" s="31">
        <v>10</v>
      </c>
      <c r="K752" s="7">
        <f t="shared" si="44"/>
        <v>18000</v>
      </c>
      <c r="L752" s="7">
        <f t="shared" si="45"/>
        <v>1800</v>
      </c>
      <c r="M752" s="7">
        <f t="shared" si="46"/>
        <v>16200</v>
      </c>
      <c r="N752" s="23">
        <v>84000</v>
      </c>
      <c r="O752" s="7">
        <f t="shared" si="47"/>
        <v>100200</v>
      </c>
      <c r="P752" s="2" t="s">
        <v>63</v>
      </c>
      <c r="Q752" t="str">
        <f>_xlfn.XLOOKUP(B752,Status!$A$2:$A$1867,Status!$B$2:$B$1867)</f>
        <v>Returned</v>
      </c>
      <c r="R752" s="2" t="s">
        <v>82</v>
      </c>
      <c r="S752" s="8">
        <v>1</v>
      </c>
      <c r="T752" s="2" t="s">
        <v>24</v>
      </c>
      <c r="U752" s="31" t="str" cm="1">
        <f t="array" ref="U752">_xlfn.IFS(L752&lt;=5000,$Z$3,AND(L752&gt;5000,L752&lt;=15000),$Z$4,AND(L752&gt;15000,L752&lt;=30000),$Z$5,AND(L752&gt;30000,L752&lt;=50000),$Z$6,L752&gt;50000,$Z$7)</f>
        <v>Sangat Rendah</v>
      </c>
      <c r="V752" s="2"/>
    </row>
    <row r="753" spans="1:22" ht="15.75" customHeight="1" x14ac:dyDescent="0.25">
      <c r="A753" s="26"/>
      <c r="B753" s="2" t="s">
        <v>1118</v>
      </c>
      <c r="C753" s="32">
        <v>45690.020752314813</v>
      </c>
      <c r="D753" s="53">
        <f>YEAR(Table1[[#This Row],[Order Date]])</f>
        <v>2025</v>
      </c>
      <c r="E753" s="2" t="s">
        <v>201</v>
      </c>
      <c r="F753" s="2" t="s">
        <v>107</v>
      </c>
      <c r="G753" s="2" t="s">
        <v>136</v>
      </c>
      <c r="H753" s="23">
        <v>12000</v>
      </c>
      <c r="I753" s="2">
        <v>5</v>
      </c>
      <c r="J753" s="31">
        <v>20</v>
      </c>
      <c r="K753" s="7">
        <f t="shared" si="44"/>
        <v>60000</v>
      </c>
      <c r="L753" s="7">
        <f t="shared" si="45"/>
        <v>12000</v>
      </c>
      <c r="M753" s="7">
        <f t="shared" si="46"/>
        <v>48000</v>
      </c>
      <c r="N753" s="23">
        <v>97000</v>
      </c>
      <c r="O753" s="7">
        <f t="shared" si="47"/>
        <v>145000</v>
      </c>
      <c r="P753" s="2" t="s">
        <v>29</v>
      </c>
      <c r="Q753" t="str">
        <f>_xlfn.XLOOKUP(B753,Status!$A$2:$A$1867,Status!$B$2:$B$1867)</f>
        <v>Completed</v>
      </c>
      <c r="R753" s="2" t="s">
        <v>36</v>
      </c>
      <c r="S753" s="8">
        <v>3</v>
      </c>
      <c r="T753" s="2" t="s">
        <v>24</v>
      </c>
      <c r="U753" s="31" t="str" cm="1">
        <f t="array" ref="U753">_xlfn.IFS(L753&lt;=5000,$Z$3,AND(L753&gt;5000,L753&lt;=15000),$Z$4,AND(L753&gt;15000,L753&lt;=30000),$Z$5,AND(L753&gt;30000,L753&lt;=50000),$Z$6,L753&gt;50000,$Z$7)</f>
        <v>Rendah</v>
      </c>
      <c r="V753" s="2"/>
    </row>
    <row r="754" spans="1:22" ht="15.75" customHeight="1" x14ac:dyDescent="0.25">
      <c r="A754" s="26"/>
      <c r="B754" s="2" t="s">
        <v>1119</v>
      </c>
      <c r="C754" s="32">
        <v>45690.148148148153</v>
      </c>
      <c r="D754" s="53">
        <f>YEAR(Table1[[#This Row],[Order Date]])</f>
        <v>2025</v>
      </c>
      <c r="E754" s="2" t="s">
        <v>1120</v>
      </c>
      <c r="F754" s="2" t="s">
        <v>173</v>
      </c>
      <c r="G754" s="2" t="s">
        <v>58</v>
      </c>
      <c r="H754" s="23">
        <v>16000</v>
      </c>
      <c r="I754" s="2">
        <v>4</v>
      </c>
      <c r="J754" s="31">
        <v>15</v>
      </c>
      <c r="K754" s="7">
        <f t="shared" si="44"/>
        <v>64000</v>
      </c>
      <c r="L754" s="7">
        <f t="shared" si="45"/>
        <v>9600</v>
      </c>
      <c r="M754" s="7">
        <f t="shared" si="46"/>
        <v>54400</v>
      </c>
      <c r="N754" s="23">
        <v>49000</v>
      </c>
      <c r="O754" s="7">
        <f t="shared" si="47"/>
        <v>103400</v>
      </c>
      <c r="P754" s="2" t="s">
        <v>63</v>
      </c>
      <c r="Q754" t="str">
        <f>_xlfn.XLOOKUP(B754,Status!$A$2:$A$1867,Status!$B$2:$B$1867)</f>
        <v>Completed</v>
      </c>
      <c r="R754" s="2" t="s">
        <v>23</v>
      </c>
      <c r="S754" s="8">
        <v>4</v>
      </c>
      <c r="T754" s="2" t="s">
        <v>24</v>
      </c>
      <c r="U754" s="31" t="str" cm="1">
        <f t="array" ref="U754">_xlfn.IFS(L754&lt;=5000,$Z$3,AND(L754&gt;5000,L754&lt;=15000),$Z$4,AND(L754&gt;15000,L754&lt;=30000),$Z$5,AND(L754&gt;30000,L754&lt;=50000),$Z$6,L754&gt;50000,$Z$7)</f>
        <v>Rendah</v>
      </c>
      <c r="V754" s="2"/>
    </row>
    <row r="755" spans="1:22" ht="15.75" customHeight="1" x14ac:dyDescent="0.25">
      <c r="A755" s="26"/>
      <c r="B755" s="2" t="s">
        <v>1121</v>
      </c>
      <c r="C755" s="32">
        <v>45690.70416666667</v>
      </c>
      <c r="D755" s="53">
        <f>YEAR(Table1[[#This Row],[Order Date]])</f>
        <v>2025</v>
      </c>
      <c r="E755" s="2" t="s">
        <v>1122</v>
      </c>
      <c r="F755" s="2" t="s">
        <v>33</v>
      </c>
      <c r="G755" s="2" t="s">
        <v>21</v>
      </c>
      <c r="H755" s="23">
        <v>45000</v>
      </c>
      <c r="I755" s="2">
        <v>4</v>
      </c>
      <c r="J755" s="31">
        <v>15</v>
      </c>
      <c r="K755" s="7">
        <f t="shared" si="44"/>
        <v>180000</v>
      </c>
      <c r="L755" s="7">
        <f t="shared" si="45"/>
        <v>27000</v>
      </c>
      <c r="M755" s="7">
        <f t="shared" si="46"/>
        <v>153000</v>
      </c>
      <c r="N755" s="23">
        <v>76000</v>
      </c>
      <c r="O755" s="7">
        <f t="shared" si="47"/>
        <v>229000</v>
      </c>
      <c r="P755" s="2" t="s">
        <v>35</v>
      </c>
      <c r="Q755" t="str">
        <f>_xlfn.XLOOKUP(B755,Status!$A$2:$A$1867,Status!$B$2:$B$1867)</f>
        <v>Returned</v>
      </c>
      <c r="R755" s="2" t="s">
        <v>46</v>
      </c>
      <c r="S755" s="8">
        <v>4</v>
      </c>
      <c r="T755" s="2" t="s">
        <v>24</v>
      </c>
      <c r="U755" s="31" t="str" cm="1">
        <f t="array" ref="U755">_xlfn.IFS(L755&lt;=5000,$Z$3,AND(L755&gt;5000,L755&lt;=15000),$Z$4,AND(L755&gt;15000,L755&lt;=30000),$Z$5,AND(L755&gt;30000,L755&lt;=50000),$Z$6,L755&gt;50000,$Z$7)</f>
        <v>Normal</v>
      </c>
      <c r="V755" s="2"/>
    </row>
    <row r="756" spans="1:22" ht="15.75" customHeight="1" x14ac:dyDescent="0.25">
      <c r="A756" s="26"/>
      <c r="B756" s="2" t="s">
        <v>1121</v>
      </c>
      <c r="C756" s="32">
        <v>45690.70416666667</v>
      </c>
      <c r="D756" s="53">
        <f>YEAR(Table1[[#This Row],[Order Date]])</f>
        <v>2025</v>
      </c>
      <c r="E756" s="2" t="s">
        <v>1122</v>
      </c>
      <c r="F756" s="2" t="s">
        <v>33</v>
      </c>
      <c r="G756" s="2" t="s">
        <v>250</v>
      </c>
      <c r="H756" s="23">
        <v>18000</v>
      </c>
      <c r="I756" s="2">
        <v>5</v>
      </c>
      <c r="J756" s="31">
        <v>10</v>
      </c>
      <c r="K756" s="7">
        <f t="shared" si="44"/>
        <v>90000</v>
      </c>
      <c r="L756" s="7">
        <f t="shared" si="45"/>
        <v>9000</v>
      </c>
      <c r="M756" s="7">
        <f t="shared" si="46"/>
        <v>81000</v>
      </c>
      <c r="N756" s="23">
        <v>0</v>
      </c>
      <c r="O756" s="7">
        <f t="shared" si="47"/>
        <v>81000</v>
      </c>
      <c r="P756" s="2" t="s">
        <v>35</v>
      </c>
      <c r="Q756" t="str">
        <f>_xlfn.XLOOKUP(B756,Status!$A$2:$A$1867,Status!$B$2:$B$1867)</f>
        <v>Returned</v>
      </c>
      <c r="R756" s="2" t="s">
        <v>46</v>
      </c>
      <c r="S756" s="8">
        <v>4</v>
      </c>
      <c r="T756" s="2" t="s">
        <v>24</v>
      </c>
      <c r="U756" s="31" t="str" cm="1">
        <f t="array" ref="U756">_xlfn.IFS(L756&lt;=5000,$Z$3,AND(L756&gt;5000,L756&lt;=15000),$Z$4,AND(L756&gt;15000,L756&lt;=30000),$Z$5,AND(L756&gt;30000,L756&lt;=50000),$Z$6,L756&gt;50000,$Z$7)</f>
        <v>Rendah</v>
      </c>
      <c r="V756" s="2"/>
    </row>
    <row r="757" spans="1:22" ht="15.75" customHeight="1" x14ac:dyDescent="0.25">
      <c r="A757" s="26"/>
      <c r="B757" s="2" t="s">
        <v>1123</v>
      </c>
      <c r="C757" s="32">
        <v>45691.065671296303</v>
      </c>
      <c r="D757" s="53">
        <f>YEAR(Table1[[#This Row],[Order Date]])</f>
        <v>2025</v>
      </c>
      <c r="E757" s="2" t="s">
        <v>377</v>
      </c>
      <c r="F757" s="2" t="s">
        <v>182</v>
      </c>
      <c r="G757" s="2" t="s">
        <v>50</v>
      </c>
      <c r="H757" s="23">
        <v>14000</v>
      </c>
      <c r="I757" s="2">
        <v>2</v>
      </c>
      <c r="J757" s="31">
        <v>0</v>
      </c>
      <c r="K757" s="7">
        <f t="shared" si="44"/>
        <v>28000</v>
      </c>
      <c r="L757" s="7">
        <f t="shared" si="45"/>
        <v>0</v>
      </c>
      <c r="M757" s="7">
        <f t="shared" si="46"/>
        <v>28000</v>
      </c>
      <c r="N757" s="23">
        <v>48000</v>
      </c>
      <c r="O757" s="7">
        <f t="shared" si="47"/>
        <v>76000</v>
      </c>
      <c r="P757" s="2" t="s">
        <v>63</v>
      </c>
      <c r="Q757" t="str">
        <f>_xlfn.XLOOKUP(B757,Status!$A$2:$A$1867,Status!$B$2:$B$1867)</f>
        <v>Completed</v>
      </c>
      <c r="R757" s="2" t="s">
        <v>23</v>
      </c>
      <c r="S757" s="8">
        <v>4</v>
      </c>
      <c r="T757" s="2" t="s">
        <v>24</v>
      </c>
      <c r="U757" s="31" t="str" cm="1">
        <f t="array" ref="U757">_xlfn.IFS(L757&lt;=5000,$Z$3,AND(L757&gt;5000,L757&lt;=15000),$Z$4,AND(L757&gt;15000,L757&lt;=30000),$Z$5,AND(L757&gt;30000,L757&lt;=50000),$Z$6,L757&gt;50000,$Z$7)</f>
        <v>Sangat Rendah</v>
      </c>
      <c r="V757" s="2"/>
    </row>
    <row r="758" spans="1:22" ht="15.75" customHeight="1" x14ac:dyDescent="0.25">
      <c r="A758" s="26"/>
      <c r="B758" s="2" t="s">
        <v>1124</v>
      </c>
      <c r="C758" s="32">
        <v>45691.805914351848</v>
      </c>
      <c r="D758" s="53">
        <f>YEAR(Table1[[#This Row],[Order Date]])</f>
        <v>2025</v>
      </c>
      <c r="E758" s="2" t="s">
        <v>1125</v>
      </c>
      <c r="F758" s="2" t="s">
        <v>170</v>
      </c>
      <c r="G758" s="2" t="s">
        <v>45</v>
      </c>
      <c r="H758" s="23">
        <v>40000</v>
      </c>
      <c r="I758" s="2">
        <v>1</v>
      </c>
      <c r="J758" s="31">
        <v>15</v>
      </c>
      <c r="K758" s="7">
        <f t="shared" si="44"/>
        <v>40000</v>
      </c>
      <c r="L758" s="7">
        <f t="shared" si="45"/>
        <v>6000</v>
      </c>
      <c r="M758" s="7">
        <f t="shared" si="46"/>
        <v>34000</v>
      </c>
      <c r="N758" s="23">
        <v>46000</v>
      </c>
      <c r="O758" s="7">
        <f t="shared" si="47"/>
        <v>80000</v>
      </c>
      <c r="P758" s="2" t="s">
        <v>22</v>
      </c>
      <c r="Q758" t="str">
        <f>_xlfn.XLOOKUP(B758,Status!$A$2:$A$1867,Status!$B$2:$B$1867)</f>
        <v>Completed</v>
      </c>
      <c r="R758" s="2" t="s">
        <v>46</v>
      </c>
      <c r="S758" s="8">
        <v>1</v>
      </c>
      <c r="T758" s="2" t="s">
        <v>24</v>
      </c>
      <c r="U758" s="31" t="str" cm="1">
        <f t="array" ref="U758">_xlfn.IFS(L758&lt;=5000,$Z$3,AND(L758&gt;5000,L758&lt;=15000),$Z$4,AND(L758&gt;15000,L758&lt;=30000),$Z$5,AND(L758&gt;30000,L758&lt;=50000),$Z$6,L758&gt;50000,$Z$7)</f>
        <v>Rendah</v>
      </c>
      <c r="V758" s="2"/>
    </row>
    <row r="759" spans="1:22" ht="15.75" customHeight="1" x14ac:dyDescent="0.25">
      <c r="A759" s="26"/>
      <c r="B759" s="2" t="s">
        <v>1126</v>
      </c>
      <c r="C759" s="32">
        <v>45692.066134259258</v>
      </c>
      <c r="D759" s="53">
        <f>YEAR(Table1[[#This Row],[Order Date]])</f>
        <v>2025</v>
      </c>
      <c r="E759" s="2" t="s">
        <v>285</v>
      </c>
      <c r="F759" s="2" t="s">
        <v>20</v>
      </c>
      <c r="G759" s="2" t="s">
        <v>85</v>
      </c>
      <c r="H759" s="23">
        <v>35000</v>
      </c>
      <c r="I759" s="2">
        <v>3</v>
      </c>
      <c r="J759" s="31">
        <v>5</v>
      </c>
      <c r="K759" s="7">
        <f t="shared" si="44"/>
        <v>105000</v>
      </c>
      <c r="L759" s="7">
        <f t="shared" si="45"/>
        <v>5250</v>
      </c>
      <c r="M759" s="7">
        <f t="shared" si="46"/>
        <v>99750</v>
      </c>
      <c r="N759" s="23">
        <v>15000</v>
      </c>
      <c r="O759" s="7">
        <f t="shared" si="47"/>
        <v>114750</v>
      </c>
      <c r="P759" s="2" t="s">
        <v>29</v>
      </c>
      <c r="Q759" t="str">
        <f>_xlfn.XLOOKUP(B759,Status!$A$2:$A$1867,Status!$B$2:$B$1867)</f>
        <v>Completed</v>
      </c>
      <c r="R759" s="2" t="s">
        <v>30</v>
      </c>
      <c r="S759" s="8">
        <v>3</v>
      </c>
      <c r="T759" s="2" t="s">
        <v>37</v>
      </c>
      <c r="U759" s="31" t="str" cm="1">
        <f t="array" ref="U759">_xlfn.IFS(L759&lt;=5000,$Z$3,AND(L759&gt;5000,L759&lt;=15000),$Z$4,AND(L759&gt;15000,L759&lt;=30000),$Z$5,AND(L759&gt;30000,L759&lt;=50000),$Z$6,L759&gt;50000,$Z$7)</f>
        <v>Rendah</v>
      </c>
      <c r="V759" s="2"/>
    </row>
    <row r="760" spans="1:22" ht="15.75" customHeight="1" x14ac:dyDescent="0.25">
      <c r="A760" s="26"/>
      <c r="B760" s="2" t="s">
        <v>1127</v>
      </c>
      <c r="C760" s="32">
        <v>45692.273553240739</v>
      </c>
      <c r="D760" s="53">
        <f>YEAR(Table1[[#This Row],[Order Date]])</f>
        <v>2025</v>
      </c>
      <c r="E760" s="2" t="s">
        <v>1128</v>
      </c>
      <c r="F760" s="2" t="s">
        <v>113</v>
      </c>
      <c r="G760" s="2" t="s">
        <v>174</v>
      </c>
      <c r="H760" s="23">
        <v>10000</v>
      </c>
      <c r="I760" s="2">
        <v>5</v>
      </c>
      <c r="J760" s="31">
        <v>20</v>
      </c>
      <c r="K760" s="7">
        <f t="shared" si="44"/>
        <v>50000</v>
      </c>
      <c r="L760" s="7">
        <f t="shared" si="45"/>
        <v>10000</v>
      </c>
      <c r="M760" s="7">
        <f t="shared" si="46"/>
        <v>40000</v>
      </c>
      <c r="N760" s="23">
        <v>18000</v>
      </c>
      <c r="O760" s="7">
        <f t="shared" si="47"/>
        <v>58000</v>
      </c>
      <c r="P760" s="2" t="s">
        <v>22</v>
      </c>
      <c r="Q760" t="str">
        <f>_xlfn.XLOOKUP(B760,Status!$A$2:$A$1867,Status!$B$2:$B$1867)</f>
        <v>Completed</v>
      </c>
      <c r="R760" s="2" t="s">
        <v>46</v>
      </c>
      <c r="S760" s="8">
        <v>4</v>
      </c>
      <c r="T760" s="2" t="s">
        <v>24</v>
      </c>
      <c r="U760" s="31" t="str" cm="1">
        <f t="array" ref="U760">_xlfn.IFS(L760&lt;=5000,$Z$3,AND(L760&gt;5000,L760&lt;=15000),$Z$4,AND(L760&gt;15000,L760&lt;=30000),$Z$5,AND(L760&gt;30000,L760&lt;=50000),$Z$6,L760&gt;50000,$Z$7)</f>
        <v>Rendah</v>
      </c>
      <c r="V760" s="2"/>
    </row>
    <row r="761" spans="1:22" ht="15.75" customHeight="1" x14ac:dyDescent="0.25">
      <c r="A761" s="26"/>
      <c r="B761" s="2" t="s">
        <v>1129</v>
      </c>
      <c r="C761" s="32">
        <v>45692.610300925917</v>
      </c>
      <c r="D761" s="53">
        <f>YEAR(Table1[[#This Row],[Order Date]])</f>
        <v>2025</v>
      </c>
      <c r="E761" s="2" t="s">
        <v>1130</v>
      </c>
      <c r="F761" s="2" t="s">
        <v>122</v>
      </c>
      <c r="G761" s="2" t="s">
        <v>75</v>
      </c>
      <c r="H761" s="23">
        <v>55000</v>
      </c>
      <c r="I761" s="2">
        <v>5</v>
      </c>
      <c r="J761" s="31">
        <v>20</v>
      </c>
      <c r="K761" s="7">
        <f t="shared" si="44"/>
        <v>275000</v>
      </c>
      <c r="L761" s="7">
        <f t="shared" si="45"/>
        <v>55000</v>
      </c>
      <c r="M761" s="7">
        <f t="shared" si="46"/>
        <v>220000</v>
      </c>
      <c r="N761" s="23">
        <v>78000</v>
      </c>
      <c r="O761" s="7">
        <f t="shared" si="47"/>
        <v>298000</v>
      </c>
      <c r="P761" s="2" t="s">
        <v>35</v>
      </c>
      <c r="Q761" t="str">
        <f>_xlfn.XLOOKUP(B761,Status!$A$2:$A$1867,Status!$B$2:$B$1867)</f>
        <v>Completed</v>
      </c>
      <c r="R761" s="2" t="s">
        <v>82</v>
      </c>
      <c r="S761" s="8">
        <v>2</v>
      </c>
      <c r="T761" s="2" t="s">
        <v>24</v>
      </c>
      <c r="U761" s="31" t="str" cm="1">
        <f t="array" ref="U761">_xlfn.IFS(L761&lt;=5000,$Z$3,AND(L761&gt;5000,L761&lt;=15000),$Z$4,AND(L761&gt;15000,L761&lt;=30000),$Z$5,AND(L761&gt;30000,L761&lt;=50000),$Z$6,L761&gt;50000,$Z$7)</f>
        <v>AllOut</v>
      </c>
      <c r="V761" s="2"/>
    </row>
    <row r="762" spans="1:22" ht="15.75" customHeight="1" x14ac:dyDescent="0.25">
      <c r="A762" s="26"/>
      <c r="B762" s="2" t="s">
        <v>1131</v>
      </c>
      <c r="C762" s="32">
        <v>45692.876574074071</v>
      </c>
      <c r="D762" s="53">
        <f>YEAR(Table1[[#This Row],[Order Date]])</f>
        <v>2025</v>
      </c>
      <c r="E762" s="2" t="s">
        <v>457</v>
      </c>
      <c r="F762" s="2" t="s">
        <v>80</v>
      </c>
      <c r="G762" s="2" t="s">
        <v>138</v>
      </c>
      <c r="H762" s="23">
        <v>17000</v>
      </c>
      <c r="I762" s="2">
        <v>5</v>
      </c>
      <c r="J762" s="31">
        <v>15</v>
      </c>
      <c r="K762" s="7">
        <f t="shared" si="44"/>
        <v>85000</v>
      </c>
      <c r="L762" s="7">
        <f t="shared" si="45"/>
        <v>12750</v>
      </c>
      <c r="M762" s="7">
        <f t="shared" si="46"/>
        <v>72250</v>
      </c>
      <c r="N762" s="23">
        <v>74000</v>
      </c>
      <c r="O762" s="7">
        <f t="shared" si="47"/>
        <v>146250</v>
      </c>
      <c r="P762" s="2" t="s">
        <v>63</v>
      </c>
      <c r="Q762" t="str">
        <f>_xlfn.XLOOKUP(B762,Status!$A$2:$A$1867,Status!$B$2:$B$1867)</f>
        <v>Completed</v>
      </c>
      <c r="R762" s="2" t="s">
        <v>23</v>
      </c>
      <c r="S762" s="8">
        <v>1</v>
      </c>
      <c r="T762" s="2" t="s">
        <v>24</v>
      </c>
      <c r="U762" s="31" t="str" cm="1">
        <f t="array" ref="U762">_xlfn.IFS(L762&lt;=5000,$Z$3,AND(L762&gt;5000,L762&lt;=15000),$Z$4,AND(L762&gt;15000,L762&lt;=30000),$Z$5,AND(L762&gt;30000,L762&lt;=50000),$Z$6,L762&gt;50000,$Z$7)</f>
        <v>Rendah</v>
      </c>
      <c r="V762" s="2"/>
    </row>
    <row r="763" spans="1:22" ht="15.75" customHeight="1" x14ac:dyDescent="0.25">
      <c r="A763" s="26"/>
      <c r="B763" s="2" t="s">
        <v>1132</v>
      </c>
      <c r="C763" s="32">
        <v>45692.893854166658</v>
      </c>
      <c r="D763" s="53">
        <f>YEAR(Table1[[#This Row],[Order Date]])</f>
        <v>2025</v>
      </c>
      <c r="E763" s="2" t="s">
        <v>1133</v>
      </c>
      <c r="F763" s="2" t="s">
        <v>80</v>
      </c>
      <c r="G763" s="2" t="s">
        <v>88</v>
      </c>
      <c r="H763" s="23">
        <v>14000</v>
      </c>
      <c r="I763" s="2">
        <v>5</v>
      </c>
      <c r="J763" s="31">
        <v>15</v>
      </c>
      <c r="K763" s="7">
        <f t="shared" si="44"/>
        <v>70000</v>
      </c>
      <c r="L763" s="7">
        <f t="shared" si="45"/>
        <v>10500</v>
      </c>
      <c r="M763" s="7">
        <f t="shared" si="46"/>
        <v>59500</v>
      </c>
      <c r="N763" s="23">
        <v>74000</v>
      </c>
      <c r="O763" s="7">
        <f t="shared" si="47"/>
        <v>133500</v>
      </c>
      <c r="P763" s="2" t="s">
        <v>35</v>
      </c>
      <c r="Q763" t="str">
        <f>_xlfn.XLOOKUP(B763,Status!$A$2:$A$1867,Status!$B$2:$B$1867)</f>
        <v>Completed</v>
      </c>
      <c r="R763" s="2" t="s">
        <v>46</v>
      </c>
      <c r="S763" s="8">
        <v>5</v>
      </c>
      <c r="T763" s="2" t="s">
        <v>24</v>
      </c>
      <c r="U763" s="31" t="str" cm="1">
        <f t="array" ref="U763">_xlfn.IFS(L763&lt;=5000,$Z$3,AND(L763&gt;5000,L763&lt;=15000),$Z$4,AND(L763&gt;15000,L763&lt;=30000),$Z$5,AND(L763&gt;30000,L763&lt;=50000),$Z$6,L763&gt;50000,$Z$7)</f>
        <v>Rendah</v>
      </c>
      <c r="V763" s="2"/>
    </row>
    <row r="764" spans="1:22" ht="15.75" customHeight="1" x14ac:dyDescent="0.25">
      <c r="A764" s="26"/>
      <c r="B764" s="2" t="s">
        <v>1134</v>
      </c>
      <c r="C764" s="32">
        <v>45692.917812500003</v>
      </c>
      <c r="D764" s="53">
        <f>YEAR(Table1[[#This Row],[Order Date]])</f>
        <v>2025</v>
      </c>
      <c r="E764" s="2" t="s">
        <v>441</v>
      </c>
      <c r="F764" s="2" t="s">
        <v>116</v>
      </c>
      <c r="G764" s="2" t="s">
        <v>62</v>
      </c>
      <c r="H764" s="23">
        <v>50000</v>
      </c>
      <c r="I764" s="2">
        <v>4</v>
      </c>
      <c r="J764" s="31">
        <v>5</v>
      </c>
      <c r="K764" s="7">
        <f t="shared" si="44"/>
        <v>200000</v>
      </c>
      <c r="L764" s="7">
        <f t="shared" si="45"/>
        <v>10000</v>
      </c>
      <c r="M764" s="7">
        <f t="shared" si="46"/>
        <v>190000</v>
      </c>
      <c r="N764" s="23">
        <v>72000</v>
      </c>
      <c r="O764" s="7">
        <f t="shared" si="47"/>
        <v>262000</v>
      </c>
      <c r="P764" s="2" t="s">
        <v>29</v>
      </c>
      <c r="Q764" t="str">
        <f>_xlfn.XLOOKUP(B764,Status!$A$2:$A$1867,Status!$B$2:$B$1867)</f>
        <v>Completed</v>
      </c>
      <c r="R764" s="2" t="s">
        <v>36</v>
      </c>
      <c r="S764" s="8">
        <v>3</v>
      </c>
      <c r="T764" s="2" t="s">
        <v>37</v>
      </c>
      <c r="U764" s="31" t="str" cm="1">
        <f t="array" ref="U764">_xlfn.IFS(L764&lt;=5000,$Z$3,AND(L764&gt;5000,L764&lt;=15000),$Z$4,AND(L764&gt;15000,L764&lt;=30000),$Z$5,AND(L764&gt;30000,L764&lt;=50000),$Z$6,L764&gt;50000,$Z$7)</f>
        <v>Rendah</v>
      </c>
      <c r="V764" s="2"/>
    </row>
    <row r="765" spans="1:22" ht="15.75" customHeight="1" x14ac:dyDescent="0.25">
      <c r="A765" s="26"/>
      <c r="B765" s="2" t="s">
        <v>1135</v>
      </c>
      <c r="C765" s="32">
        <v>45692.964780092603</v>
      </c>
      <c r="D765" s="53">
        <f>YEAR(Table1[[#This Row],[Order Date]])</f>
        <v>2025</v>
      </c>
      <c r="E765" s="2" t="s">
        <v>1136</v>
      </c>
      <c r="F765" s="2" t="s">
        <v>195</v>
      </c>
      <c r="G765" s="2" t="s">
        <v>144</v>
      </c>
      <c r="H765" s="23">
        <v>18000</v>
      </c>
      <c r="I765" s="2">
        <v>5</v>
      </c>
      <c r="J765" s="31">
        <v>15</v>
      </c>
      <c r="K765" s="7">
        <f t="shared" si="44"/>
        <v>90000</v>
      </c>
      <c r="L765" s="7">
        <f t="shared" si="45"/>
        <v>13500</v>
      </c>
      <c r="M765" s="7">
        <f t="shared" si="46"/>
        <v>76500</v>
      </c>
      <c r="N765" s="23">
        <v>87000</v>
      </c>
      <c r="O765" s="7">
        <f t="shared" si="47"/>
        <v>163500</v>
      </c>
      <c r="P765" s="2" t="s">
        <v>63</v>
      </c>
      <c r="Q765" t="str">
        <f>_xlfn.XLOOKUP(B765,Status!$A$2:$A$1867,Status!$B$2:$B$1867)</f>
        <v>Completed</v>
      </c>
      <c r="R765" s="2" t="s">
        <v>46</v>
      </c>
      <c r="S765" s="8">
        <v>1</v>
      </c>
      <c r="T765" s="2" t="s">
        <v>24</v>
      </c>
      <c r="U765" s="31" t="str" cm="1">
        <f t="array" ref="U765">_xlfn.IFS(L765&lt;=5000,$Z$3,AND(L765&gt;5000,L765&lt;=15000),$Z$4,AND(L765&gt;15000,L765&lt;=30000),$Z$5,AND(L765&gt;30000,L765&lt;=50000),$Z$6,L765&gt;50000,$Z$7)</f>
        <v>Rendah</v>
      </c>
      <c r="V765" s="2"/>
    </row>
    <row r="766" spans="1:22" ht="15.75" customHeight="1" x14ac:dyDescent="0.25">
      <c r="A766" s="26"/>
      <c r="B766" s="2" t="s">
        <v>1137</v>
      </c>
      <c r="C766" s="32">
        <v>45693.053726851853</v>
      </c>
      <c r="D766" s="53">
        <f>YEAR(Table1[[#This Row],[Order Date]])</f>
        <v>2025</v>
      </c>
      <c r="E766" s="2" t="s">
        <v>598</v>
      </c>
      <c r="F766" s="2" t="s">
        <v>61</v>
      </c>
      <c r="G766" s="2" t="s">
        <v>67</v>
      </c>
      <c r="H766" s="23">
        <v>15000</v>
      </c>
      <c r="I766" s="2">
        <v>1</v>
      </c>
      <c r="J766" s="31">
        <v>15</v>
      </c>
      <c r="K766" s="7">
        <f t="shared" si="44"/>
        <v>15000</v>
      </c>
      <c r="L766" s="7">
        <f t="shared" si="45"/>
        <v>2250</v>
      </c>
      <c r="M766" s="7">
        <f t="shared" si="46"/>
        <v>12750</v>
      </c>
      <c r="N766" s="23">
        <v>26000</v>
      </c>
      <c r="O766" s="7">
        <f t="shared" si="47"/>
        <v>38750</v>
      </c>
      <c r="P766" s="2" t="s">
        <v>29</v>
      </c>
      <c r="Q766" t="str">
        <f>_xlfn.XLOOKUP(B766,Status!$A$2:$A$1867,Status!$B$2:$B$1867)</f>
        <v>Cancelled</v>
      </c>
      <c r="R766" s="2" t="s">
        <v>30</v>
      </c>
      <c r="S766" s="8">
        <v>1</v>
      </c>
      <c r="T766" s="2" t="s">
        <v>24</v>
      </c>
      <c r="U766" s="31" t="str" cm="1">
        <f t="array" ref="U766">_xlfn.IFS(L766&lt;=5000,$Z$3,AND(L766&gt;5000,L766&lt;=15000),$Z$4,AND(L766&gt;15000,L766&lt;=30000),$Z$5,AND(L766&gt;30000,L766&lt;=50000),$Z$6,L766&gt;50000,$Z$7)</f>
        <v>Sangat Rendah</v>
      </c>
      <c r="V766" s="2"/>
    </row>
    <row r="767" spans="1:22" ht="15.75" customHeight="1" x14ac:dyDescent="0.25">
      <c r="A767" s="26"/>
      <c r="B767" s="2" t="s">
        <v>1137</v>
      </c>
      <c r="C767" s="32">
        <v>45693.053726851853</v>
      </c>
      <c r="D767" s="53">
        <f>YEAR(Table1[[#This Row],[Order Date]])</f>
        <v>2025</v>
      </c>
      <c r="E767" s="2" t="s">
        <v>598</v>
      </c>
      <c r="F767" s="2" t="s">
        <v>61</v>
      </c>
      <c r="G767" s="2" t="s">
        <v>250</v>
      </c>
      <c r="H767" s="23">
        <v>18000</v>
      </c>
      <c r="I767" s="2">
        <v>1</v>
      </c>
      <c r="J767" s="31">
        <v>0</v>
      </c>
      <c r="K767" s="7">
        <f t="shared" si="44"/>
        <v>18000</v>
      </c>
      <c r="L767" s="7">
        <f t="shared" si="45"/>
        <v>0</v>
      </c>
      <c r="M767" s="7">
        <f t="shared" si="46"/>
        <v>18000</v>
      </c>
      <c r="N767" s="23">
        <v>0</v>
      </c>
      <c r="O767" s="7">
        <f t="shared" si="47"/>
        <v>18000</v>
      </c>
      <c r="P767" s="2" t="s">
        <v>29</v>
      </c>
      <c r="Q767" t="str">
        <f>_xlfn.XLOOKUP(B767,Status!$A$2:$A$1867,Status!$B$2:$B$1867)</f>
        <v>Cancelled</v>
      </c>
      <c r="R767" s="2" t="s">
        <v>30</v>
      </c>
      <c r="S767" s="8">
        <v>1</v>
      </c>
      <c r="T767" s="2" t="s">
        <v>24</v>
      </c>
      <c r="U767" s="31" t="str" cm="1">
        <f t="array" ref="U767">_xlfn.IFS(L767&lt;=5000,$Z$3,AND(L767&gt;5000,L767&lt;=15000),$Z$4,AND(L767&gt;15000,L767&lt;=30000),$Z$5,AND(L767&gt;30000,L767&lt;=50000),$Z$6,L767&gt;50000,$Z$7)</f>
        <v>Sangat Rendah</v>
      </c>
      <c r="V767" s="2"/>
    </row>
    <row r="768" spans="1:22" ht="15.75" customHeight="1" x14ac:dyDescent="0.25">
      <c r="A768" s="26"/>
      <c r="B768" s="2" t="s">
        <v>1138</v>
      </c>
      <c r="C768" s="32">
        <v>45693.254884259259</v>
      </c>
      <c r="D768" s="53">
        <f>YEAR(Table1[[#This Row],[Order Date]])</f>
        <v>2025</v>
      </c>
      <c r="E768" s="2" t="s">
        <v>1139</v>
      </c>
      <c r="F768" s="2" t="s">
        <v>53</v>
      </c>
      <c r="G768" s="2" t="s">
        <v>186</v>
      </c>
      <c r="H768" s="23">
        <v>45000</v>
      </c>
      <c r="I768" s="2">
        <v>1</v>
      </c>
      <c r="J768" s="31">
        <v>20</v>
      </c>
      <c r="K768" s="7">
        <f t="shared" si="44"/>
        <v>45000</v>
      </c>
      <c r="L768" s="7">
        <f t="shared" si="45"/>
        <v>9000</v>
      </c>
      <c r="M768" s="7">
        <f t="shared" si="46"/>
        <v>36000</v>
      </c>
      <c r="N768" s="23">
        <v>18000</v>
      </c>
      <c r="O768" s="7">
        <f t="shared" si="47"/>
        <v>54000</v>
      </c>
      <c r="P768" s="2" t="s">
        <v>35</v>
      </c>
      <c r="Q768" t="str">
        <f>_xlfn.XLOOKUP(B768,Status!$A$2:$A$1867,Status!$B$2:$B$1867)</f>
        <v>Completed</v>
      </c>
      <c r="R768" s="2" t="s">
        <v>46</v>
      </c>
      <c r="S768" s="8">
        <v>3</v>
      </c>
      <c r="T768" s="2" t="s">
        <v>37</v>
      </c>
      <c r="U768" s="31" t="str" cm="1">
        <f t="array" ref="U768">_xlfn.IFS(L768&lt;=5000,$Z$3,AND(L768&gt;5000,L768&lt;=15000),$Z$4,AND(L768&gt;15000,L768&lt;=30000),$Z$5,AND(L768&gt;30000,L768&lt;=50000),$Z$6,L768&gt;50000,$Z$7)</f>
        <v>Rendah</v>
      </c>
      <c r="V768" s="2"/>
    </row>
    <row r="769" spans="1:22" ht="15.75" customHeight="1" x14ac:dyDescent="0.25">
      <c r="A769" s="26"/>
      <c r="B769" s="2" t="s">
        <v>1140</v>
      </c>
      <c r="C769" s="32">
        <v>45693.429791666669</v>
      </c>
      <c r="D769" s="53">
        <f>YEAR(Table1[[#This Row],[Order Date]])</f>
        <v>2025</v>
      </c>
      <c r="E769" s="2" t="s">
        <v>483</v>
      </c>
      <c r="F769" s="2" t="s">
        <v>170</v>
      </c>
      <c r="G769" s="2" t="s">
        <v>186</v>
      </c>
      <c r="H769" s="23">
        <v>45000</v>
      </c>
      <c r="I769" s="2">
        <v>2</v>
      </c>
      <c r="J769" s="31">
        <v>20</v>
      </c>
      <c r="K769" s="7">
        <f t="shared" si="44"/>
        <v>90000</v>
      </c>
      <c r="L769" s="7">
        <f t="shared" si="45"/>
        <v>18000</v>
      </c>
      <c r="M769" s="7">
        <f t="shared" si="46"/>
        <v>72000</v>
      </c>
      <c r="N769" s="23">
        <v>46000</v>
      </c>
      <c r="O769" s="7">
        <f t="shared" si="47"/>
        <v>118000</v>
      </c>
      <c r="P769" s="2" t="s">
        <v>63</v>
      </c>
      <c r="Q769" t="str">
        <f>_xlfn.XLOOKUP(B769,Status!$A$2:$A$1867,Status!$B$2:$B$1867)</f>
        <v>Completed</v>
      </c>
      <c r="R769" s="2" t="s">
        <v>36</v>
      </c>
      <c r="S769" s="8">
        <v>2</v>
      </c>
      <c r="T769" s="2" t="s">
        <v>24</v>
      </c>
      <c r="U769" s="31" t="str" cm="1">
        <f t="array" ref="U769">_xlfn.IFS(L769&lt;=5000,$Z$3,AND(L769&gt;5000,L769&lt;=15000),$Z$4,AND(L769&gt;15000,L769&lt;=30000),$Z$5,AND(L769&gt;30000,L769&lt;=50000),$Z$6,L769&gt;50000,$Z$7)</f>
        <v>Normal</v>
      </c>
      <c r="V769" s="2"/>
    </row>
    <row r="770" spans="1:22" ht="15.75" customHeight="1" x14ac:dyDescent="0.25">
      <c r="A770" s="26"/>
      <c r="B770" s="2" t="s">
        <v>1141</v>
      </c>
      <c r="C770" s="32">
        <v>45693.457546296297</v>
      </c>
      <c r="D770" s="53">
        <f>YEAR(Table1[[#This Row],[Order Date]])</f>
        <v>2025</v>
      </c>
      <c r="E770" s="2" t="s">
        <v>318</v>
      </c>
      <c r="F770" s="2" t="s">
        <v>244</v>
      </c>
      <c r="G770" s="2" t="s">
        <v>110</v>
      </c>
      <c r="H770" s="23">
        <v>6000</v>
      </c>
      <c r="I770" s="2">
        <v>2</v>
      </c>
      <c r="J770" s="31">
        <v>15</v>
      </c>
      <c r="K770" s="7">
        <f t="shared" si="44"/>
        <v>12000</v>
      </c>
      <c r="L770" s="7">
        <f t="shared" si="45"/>
        <v>1800</v>
      </c>
      <c r="M770" s="7">
        <f t="shared" si="46"/>
        <v>10200</v>
      </c>
      <c r="N770" s="23">
        <v>80000</v>
      </c>
      <c r="O770" s="7">
        <f t="shared" si="47"/>
        <v>90200</v>
      </c>
      <c r="P770" s="2" t="s">
        <v>29</v>
      </c>
      <c r="Q770" t="str">
        <f>_xlfn.XLOOKUP(B770,Status!$A$2:$A$1867,Status!$B$2:$B$1867)</f>
        <v>Completed</v>
      </c>
      <c r="R770" s="2" t="s">
        <v>30</v>
      </c>
      <c r="S770" s="8">
        <v>3</v>
      </c>
      <c r="T770" s="2" t="s">
        <v>37</v>
      </c>
      <c r="U770" s="31" t="str" cm="1">
        <f t="array" ref="U770">_xlfn.IFS(L770&lt;=5000,$Z$3,AND(L770&gt;5000,L770&lt;=15000),$Z$4,AND(L770&gt;15000,L770&lt;=30000),$Z$5,AND(L770&gt;30000,L770&lt;=50000),$Z$6,L770&gt;50000,$Z$7)</f>
        <v>Sangat Rendah</v>
      </c>
      <c r="V770" s="2"/>
    </row>
    <row r="771" spans="1:22" ht="15.75" customHeight="1" x14ac:dyDescent="0.25">
      <c r="A771" s="26"/>
      <c r="B771" s="2" t="s">
        <v>1142</v>
      </c>
      <c r="C771" s="32">
        <v>45693.717557870368</v>
      </c>
      <c r="D771" s="53">
        <f>YEAR(Table1[[#This Row],[Order Date]])</f>
        <v>2025</v>
      </c>
      <c r="E771" s="2" t="s">
        <v>782</v>
      </c>
      <c r="F771" s="2" t="s">
        <v>177</v>
      </c>
      <c r="G771" s="2" t="s">
        <v>136</v>
      </c>
      <c r="H771" s="23">
        <v>12000</v>
      </c>
      <c r="I771" s="2">
        <v>3</v>
      </c>
      <c r="J771" s="31">
        <v>0</v>
      </c>
      <c r="K771" s="7">
        <f t="shared" si="44"/>
        <v>36000</v>
      </c>
      <c r="L771" s="7">
        <f t="shared" si="45"/>
        <v>0</v>
      </c>
      <c r="M771" s="7">
        <f t="shared" si="46"/>
        <v>36000</v>
      </c>
      <c r="N771" s="23">
        <v>56000</v>
      </c>
      <c r="O771" s="7">
        <f t="shared" si="47"/>
        <v>92000</v>
      </c>
      <c r="P771" s="2" t="s">
        <v>22</v>
      </c>
      <c r="Q771" t="str">
        <f>_xlfn.XLOOKUP(B771,Status!$A$2:$A$1867,Status!$B$2:$B$1867)</f>
        <v>Completed</v>
      </c>
      <c r="R771" s="2" t="s">
        <v>30</v>
      </c>
      <c r="S771" s="8">
        <v>5</v>
      </c>
      <c r="T771" s="2" t="s">
        <v>24</v>
      </c>
      <c r="U771" s="31" t="str" cm="1">
        <f t="array" ref="U771">_xlfn.IFS(L771&lt;=5000,$Z$3,AND(L771&gt;5000,L771&lt;=15000),$Z$4,AND(L771&gt;15000,L771&lt;=30000),$Z$5,AND(L771&gt;30000,L771&lt;=50000),$Z$6,L771&gt;50000,$Z$7)</f>
        <v>Sangat Rendah</v>
      </c>
      <c r="V771" s="2"/>
    </row>
    <row r="772" spans="1:22" ht="15.75" customHeight="1" x14ac:dyDescent="0.25">
      <c r="A772" s="26"/>
      <c r="B772" s="2" t="s">
        <v>1143</v>
      </c>
      <c r="C772" s="32">
        <v>45693.829722222217</v>
      </c>
      <c r="D772" s="53">
        <f>YEAR(Table1[[#This Row],[Order Date]])</f>
        <v>2025</v>
      </c>
      <c r="E772" s="2" t="s">
        <v>853</v>
      </c>
      <c r="F772" s="2" t="s">
        <v>151</v>
      </c>
      <c r="G772" s="2" t="s">
        <v>190</v>
      </c>
      <c r="H772" s="23">
        <v>35000</v>
      </c>
      <c r="I772" s="2">
        <v>5</v>
      </c>
      <c r="J772" s="31">
        <v>20</v>
      </c>
      <c r="K772" s="7">
        <f t="shared" ref="K772:K835" si="48">H772*I772</f>
        <v>175000</v>
      </c>
      <c r="L772" s="7">
        <f t="shared" ref="L772:L835" si="49">K772*(J772/100)</f>
        <v>35000</v>
      </c>
      <c r="M772" s="7">
        <f t="shared" ref="M772:M835" si="50">K772-L772</f>
        <v>140000</v>
      </c>
      <c r="N772" s="23">
        <v>55000</v>
      </c>
      <c r="O772" s="7">
        <f t="shared" ref="O772:O835" si="51">SUM(M772:N772)</f>
        <v>195000</v>
      </c>
      <c r="P772" s="2" t="s">
        <v>35</v>
      </c>
      <c r="Q772" t="str">
        <f>_xlfn.XLOOKUP(B772,Status!$A$2:$A$1867,Status!$B$2:$B$1867)</f>
        <v>Completed</v>
      </c>
      <c r="R772" s="2" t="s">
        <v>82</v>
      </c>
      <c r="S772" s="8">
        <v>1</v>
      </c>
      <c r="T772" s="2" t="s">
        <v>24</v>
      </c>
      <c r="U772" s="31" t="str" cm="1">
        <f t="array" ref="U772">_xlfn.IFS(L772&lt;=5000,$Z$3,AND(L772&gt;5000,L772&lt;=15000),$Z$4,AND(L772&gt;15000,L772&lt;=30000),$Z$5,AND(L772&gt;30000,L772&lt;=50000),$Z$6,L772&gt;50000,$Z$7)</f>
        <v>Tinggi</v>
      </c>
      <c r="V772" s="2"/>
    </row>
    <row r="773" spans="1:22" ht="15.75" customHeight="1" x14ac:dyDescent="0.25">
      <c r="A773" s="26"/>
      <c r="B773" s="2" t="s">
        <v>1144</v>
      </c>
      <c r="C773" s="32">
        <v>45694.074432870373</v>
      </c>
      <c r="D773" s="53">
        <f>YEAR(Table1[[#This Row],[Order Date]])</f>
        <v>2025</v>
      </c>
      <c r="E773" s="2" t="s">
        <v>446</v>
      </c>
      <c r="F773" s="2" t="s">
        <v>296</v>
      </c>
      <c r="G773" s="2" t="s">
        <v>186</v>
      </c>
      <c r="H773" s="23">
        <v>45000</v>
      </c>
      <c r="I773" s="2">
        <v>2</v>
      </c>
      <c r="J773" s="31">
        <v>5</v>
      </c>
      <c r="K773" s="7">
        <f t="shared" si="48"/>
        <v>90000</v>
      </c>
      <c r="L773" s="7">
        <f t="shared" si="49"/>
        <v>4500</v>
      </c>
      <c r="M773" s="7">
        <f t="shared" si="50"/>
        <v>85500</v>
      </c>
      <c r="N773" s="23">
        <v>79000</v>
      </c>
      <c r="O773" s="7">
        <f t="shared" si="51"/>
        <v>164500</v>
      </c>
      <c r="P773" s="2" t="s">
        <v>22</v>
      </c>
      <c r="Q773" t="str">
        <f>_xlfn.XLOOKUP(B773,Status!$A$2:$A$1867,Status!$B$2:$B$1867)</f>
        <v>Returned</v>
      </c>
      <c r="R773" s="2" t="s">
        <v>46</v>
      </c>
      <c r="S773" s="8">
        <v>3</v>
      </c>
      <c r="T773" s="2" t="s">
        <v>37</v>
      </c>
      <c r="U773" s="31" t="str" cm="1">
        <f t="array" ref="U773">_xlfn.IFS(L773&lt;=5000,$Z$3,AND(L773&gt;5000,L773&lt;=15000),$Z$4,AND(L773&gt;15000,L773&lt;=30000),$Z$5,AND(L773&gt;30000,L773&lt;=50000),$Z$6,L773&gt;50000,$Z$7)</f>
        <v>Sangat Rendah</v>
      </c>
      <c r="V773" s="2"/>
    </row>
    <row r="774" spans="1:22" ht="15.75" customHeight="1" x14ac:dyDescent="0.25">
      <c r="A774" s="26"/>
      <c r="B774" s="2" t="s">
        <v>1145</v>
      </c>
      <c r="C774" s="32">
        <v>45694.231400462973</v>
      </c>
      <c r="D774" s="53">
        <f>YEAR(Table1[[#This Row],[Order Date]])</f>
        <v>2025</v>
      </c>
      <c r="E774" s="2" t="s">
        <v>1146</v>
      </c>
      <c r="F774" s="2" t="s">
        <v>116</v>
      </c>
      <c r="G774" s="2" t="s">
        <v>21</v>
      </c>
      <c r="H774" s="23">
        <v>45000</v>
      </c>
      <c r="I774" s="2">
        <v>1</v>
      </c>
      <c r="J774" s="31">
        <v>15</v>
      </c>
      <c r="K774" s="7">
        <f t="shared" si="48"/>
        <v>45000</v>
      </c>
      <c r="L774" s="7">
        <f t="shared" si="49"/>
        <v>6750</v>
      </c>
      <c r="M774" s="7">
        <f t="shared" si="50"/>
        <v>38250</v>
      </c>
      <c r="N774" s="23">
        <v>72000</v>
      </c>
      <c r="O774" s="7">
        <f t="shared" si="51"/>
        <v>110250</v>
      </c>
      <c r="P774" s="2" t="s">
        <v>35</v>
      </c>
      <c r="Q774" t="str">
        <f>_xlfn.XLOOKUP(B774,Status!$A$2:$A$1867,Status!$B$2:$B$1867)</f>
        <v>Completed</v>
      </c>
      <c r="R774" s="2" t="s">
        <v>23</v>
      </c>
      <c r="S774" s="8">
        <v>3</v>
      </c>
      <c r="T774" s="2" t="s">
        <v>24</v>
      </c>
      <c r="U774" s="31" t="str" cm="1">
        <f t="array" ref="U774">_xlfn.IFS(L774&lt;=5000,$Z$3,AND(L774&gt;5000,L774&lt;=15000),$Z$4,AND(L774&gt;15000,L774&lt;=30000),$Z$5,AND(L774&gt;30000,L774&lt;=50000),$Z$6,L774&gt;50000,$Z$7)</f>
        <v>Rendah</v>
      </c>
      <c r="V774" s="2"/>
    </row>
    <row r="775" spans="1:22" ht="15.75" customHeight="1" x14ac:dyDescent="0.25">
      <c r="A775" s="26"/>
      <c r="B775" s="2" t="s">
        <v>1147</v>
      </c>
      <c r="C775" s="32">
        <v>45694.304247685177</v>
      </c>
      <c r="D775" s="53">
        <f>YEAR(Table1[[#This Row],[Order Date]])</f>
        <v>2025</v>
      </c>
      <c r="E775" s="2" t="s">
        <v>468</v>
      </c>
      <c r="F775" s="2" t="s">
        <v>163</v>
      </c>
      <c r="G775" s="2" t="s">
        <v>104</v>
      </c>
      <c r="H775" s="23">
        <v>30000</v>
      </c>
      <c r="I775" s="2">
        <v>2</v>
      </c>
      <c r="J775" s="31">
        <v>20</v>
      </c>
      <c r="K775" s="7">
        <f t="shared" si="48"/>
        <v>60000</v>
      </c>
      <c r="L775" s="7">
        <f t="shared" si="49"/>
        <v>12000</v>
      </c>
      <c r="M775" s="7">
        <f t="shared" si="50"/>
        <v>48000</v>
      </c>
      <c r="N775" s="23">
        <v>50000</v>
      </c>
      <c r="O775" s="7">
        <f t="shared" si="51"/>
        <v>98000</v>
      </c>
      <c r="P775" s="2" t="s">
        <v>29</v>
      </c>
      <c r="Q775" t="str">
        <f>_xlfn.XLOOKUP(B775,Status!$A$2:$A$1867,Status!$B$2:$B$1867)</f>
        <v>Completed</v>
      </c>
      <c r="R775" s="2" t="s">
        <v>46</v>
      </c>
      <c r="S775" s="8">
        <v>1</v>
      </c>
      <c r="T775" s="2" t="s">
        <v>24</v>
      </c>
      <c r="U775" s="31" t="str" cm="1">
        <f t="array" ref="U775">_xlfn.IFS(L775&lt;=5000,$Z$3,AND(L775&gt;5000,L775&lt;=15000),$Z$4,AND(L775&gt;15000,L775&lt;=30000),$Z$5,AND(L775&gt;30000,L775&lt;=50000),$Z$6,L775&gt;50000,$Z$7)</f>
        <v>Rendah</v>
      </c>
      <c r="V775" s="2"/>
    </row>
    <row r="776" spans="1:22" ht="15.75" customHeight="1" x14ac:dyDescent="0.25">
      <c r="A776" s="26"/>
      <c r="B776" s="2" t="s">
        <v>1148</v>
      </c>
      <c r="C776" s="32">
        <v>45694.367881944447</v>
      </c>
      <c r="D776" s="53">
        <f>YEAR(Table1[[#This Row],[Order Date]])</f>
        <v>2025</v>
      </c>
      <c r="E776" s="2" t="s">
        <v>605</v>
      </c>
      <c r="F776" s="2" t="s">
        <v>151</v>
      </c>
      <c r="G776" s="2" t="s">
        <v>144</v>
      </c>
      <c r="H776" s="23">
        <v>18000</v>
      </c>
      <c r="I776" s="2">
        <v>1</v>
      </c>
      <c r="J776" s="31">
        <v>15</v>
      </c>
      <c r="K776" s="7">
        <f t="shared" si="48"/>
        <v>18000</v>
      </c>
      <c r="L776" s="7">
        <f t="shared" si="49"/>
        <v>2700</v>
      </c>
      <c r="M776" s="7">
        <f t="shared" si="50"/>
        <v>15300</v>
      </c>
      <c r="N776" s="23">
        <v>55000</v>
      </c>
      <c r="O776" s="7">
        <f t="shared" si="51"/>
        <v>70300</v>
      </c>
      <c r="P776" s="2" t="s">
        <v>29</v>
      </c>
      <c r="Q776" t="str">
        <f>_xlfn.XLOOKUP(B776,Status!$A$2:$A$1867,Status!$B$2:$B$1867)</f>
        <v>Returned</v>
      </c>
      <c r="R776" s="2" t="s">
        <v>23</v>
      </c>
      <c r="S776" s="8">
        <v>1</v>
      </c>
      <c r="T776" s="2" t="s">
        <v>24</v>
      </c>
      <c r="U776" s="31" t="str" cm="1">
        <f t="array" ref="U776">_xlfn.IFS(L776&lt;=5000,$Z$3,AND(L776&gt;5000,L776&lt;=15000),$Z$4,AND(L776&gt;15000,L776&lt;=30000),$Z$5,AND(L776&gt;30000,L776&lt;=50000),$Z$6,L776&gt;50000,$Z$7)</f>
        <v>Sangat Rendah</v>
      </c>
      <c r="V776" s="2"/>
    </row>
    <row r="777" spans="1:22" ht="15.75" customHeight="1" x14ac:dyDescent="0.25">
      <c r="A777" s="26"/>
      <c r="B777" s="2" t="s">
        <v>1149</v>
      </c>
      <c r="C777" s="32">
        <v>45694.565115740741</v>
      </c>
      <c r="D777" s="53">
        <f>YEAR(Table1[[#This Row],[Order Date]])</f>
        <v>2025</v>
      </c>
      <c r="E777" s="2" t="s">
        <v>192</v>
      </c>
      <c r="F777" s="2" t="s">
        <v>107</v>
      </c>
      <c r="G777" s="2" t="s">
        <v>38</v>
      </c>
      <c r="H777" s="23">
        <v>28000</v>
      </c>
      <c r="I777" s="2">
        <v>1</v>
      </c>
      <c r="J777" s="31">
        <v>5</v>
      </c>
      <c r="K777" s="7">
        <f t="shared" si="48"/>
        <v>28000</v>
      </c>
      <c r="L777" s="7">
        <f t="shared" si="49"/>
        <v>1400</v>
      </c>
      <c r="M777" s="7">
        <f t="shared" si="50"/>
        <v>26600</v>
      </c>
      <c r="N777" s="23">
        <v>97000</v>
      </c>
      <c r="O777" s="7">
        <f t="shared" si="51"/>
        <v>123600</v>
      </c>
      <c r="P777" s="2" t="s">
        <v>22</v>
      </c>
      <c r="Q777" t="str">
        <f>_xlfn.XLOOKUP(B777,Status!$A$2:$A$1867,Status!$B$2:$B$1867)</f>
        <v>Completed</v>
      </c>
      <c r="R777" s="2" t="s">
        <v>82</v>
      </c>
      <c r="S777" s="8">
        <v>3</v>
      </c>
      <c r="T777" s="2" t="s">
        <v>24</v>
      </c>
      <c r="U777" s="31" t="str" cm="1">
        <f t="array" ref="U777">_xlfn.IFS(L777&lt;=5000,$Z$3,AND(L777&gt;5000,L777&lt;=15000),$Z$4,AND(L777&gt;15000,L777&lt;=30000),$Z$5,AND(L777&gt;30000,L777&lt;=50000),$Z$6,L777&gt;50000,$Z$7)</f>
        <v>Sangat Rendah</v>
      </c>
      <c r="V777" s="2"/>
    </row>
    <row r="778" spans="1:22" ht="15.75" customHeight="1" x14ac:dyDescent="0.25">
      <c r="A778" s="26"/>
      <c r="B778" s="2" t="s">
        <v>1150</v>
      </c>
      <c r="C778" s="32">
        <v>45694.859965277778</v>
      </c>
      <c r="D778" s="53">
        <f>YEAR(Table1[[#This Row],[Order Date]])</f>
        <v>2025</v>
      </c>
      <c r="E778" s="2" t="s">
        <v>979</v>
      </c>
      <c r="F778" s="2" t="s">
        <v>49</v>
      </c>
      <c r="G778" s="2" t="s">
        <v>186</v>
      </c>
      <c r="H778" s="23">
        <v>45000</v>
      </c>
      <c r="I778" s="2">
        <v>3</v>
      </c>
      <c r="J778" s="31">
        <v>15</v>
      </c>
      <c r="K778" s="7">
        <f t="shared" si="48"/>
        <v>135000</v>
      </c>
      <c r="L778" s="7">
        <f t="shared" si="49"/>
        <v>20250</v>
      </c>
      <c r="M778" s="7">
        <f t="shared" si="50"/>
        <v>114750</v>
      </c>
      <c r="N778" s="23">
        <v>43000</v>
      </c>
      <c r="O778" s="7">
        <f t="shared" si="51"/>
        <v>157750</v>
      </c>
      <c r="P778" s="2" t="s">
        <v>22</v>
      </c>
      <c r="Q778" t="str">
        <f>_xlfn.XLOOKUP(B778,Status!$A$2:$A$1867,Status!$B$2:$B$1867)</f>
        <v>Completed</v>
      </c>
      <c r="R778" s="2" t="s">
        <v>23</v>
      </c>
      <c r="S778" s="8">
        <v>4</v>
      </c>
      <c r="T778" s="2" t="s">
        <v>24</v>
      </c>
      <c r="U778" s="31" t="str" cm="1">
        <f t="array" ref="U778">_xlfn.IFS(L778&lt;=5000,$Z$3,AND(L778&gt;5000,L778&lt;=15000),$Z$4,AND(L778&gt;15000,L778&lt;=30000),$Z$5,AND(L778&gt;30000,L778&lt;=50000),$Z$6,L778&gt;50000,$Z$7)</f>
        <v>Normal</v>
      </c>
      <c r="V778" s="2"/>
    </row>
    <row r="779" spans="1:22" ht="15.75" customHeight="1" x14ac:dyDescent="0.25">
      <c r="A779" s="26"/>
      <c r="B779" s="2" t="s">
        <v>1151</v>
      </c>
      <c r="C779" s="32">
        <v>45695.20621527778</v>
      </c>
      <c r="D779" s="53">
        <f>YEAR(Table1[[#This Row],[Order Date]])</f>
        <v>2025</v>
      </c>
      <c r="E779" s="2" t="s">
        <v>106</v>
      </c>
      <c r="F779" s="2" t="s">
        <v>107</v>
      </c>
      <c r="G779" s="2" t="s">
        <v>93</v>
      </c>
      <c r="H779" s="23">
        <v>25000</v>
      </c>
      <c r="I779" s="2">
        <v>2</v>
      </c>
      <c r="J779" s="31">
        <v>0</v>
      </c>
      <c r="K779" s="7">
        <f t="shared" si="48"/>
        <v>50000</v>
      </c>
      <c r="L779" s="7">
        <f t="shared" si="49"/>
        <v>0</v>
      </c>
      <c r="M779" s="7">
        <f t="shared" si="50"/>
        <v>50000</v>
      </c>
      <c r="N779" s="23">
        <v>97000</v>
      </c>
      <c r="O779" s="7">
        <f t="shared" si="51"/>
        <v>147000</v>
      </c>
      <c r="P779" s="2" t="s">
        <v>29</v>
      </c>
      <c r="Q779" t="str">
        <f>_xlfn.XLOOKUP(B779,Status!$A$2:$A$1867,Status!$B$2:$B$1867)</f>
        <v>Completed</v>
      </c>
      <c r="R779" s="2" t="s">
        <v>23</v>
      </c>
      <c r="S779" s="8">
        <v>1</v>
      </c>
      <c r="T779" s="2" t="s">
        <v>24</v>
      </c>
      <c r="U779" s="31" t="str" cm="1">
        <f t="array" ref="U779">_xlfn.IFS(L779&lt;=5000,$Z$3,AND(L779&gt;5000,L779&lt;=15000),$Z$4,AND(L779&gt;15000,L779&lt;=30000),$Z$5,AND(L779&gt;30000,L779&lt;=50000),$Z$6,L779&gt;50000,$Z$7)</f>
        <v>Sangat Rendah</v>
      </c>
      <c r="V779" s="2"/>
    </row>
    <row r="780" spans="1:22" ht="15.75" customHeight="1" x14ac:dyDescent="0.25">
      <c r="A780" s="26"/>
      <c r="B780" s="2" t="s">
        <v>1152</v>
      </c>
      <c r="C780" s="32">
        <v>45695.245104166657</v>
      </c>
      <c r="D780" s="53">
        <f>YEAR(Table1[[#This Row],[Order Date]])</f>
        <v>2025</v>
      </c>
      <c r="E780" s="2" t="s">
        <v>157</v>
      </c>
      <c r="F780" s="2" t="s">
        <v>20</v>
      </c>
      <c r="G780" s="2" t="s">
        <v>45</v>
      </c>
      <c r="H780" s="23">
        <v>40000</v>
      </c>
      <c r="I780" s="2">
        <v>5</v>
      </c>
      <c r="J780" s="31">
        <v>5</v>
      </c>
      <c r="K780" s="7">
        <f t="shared" si="48"/>
        <v>200000</v>
      </c>
      <c r="L780" s="7">
        <f t="shared" si="49"/>
        <v>10000</v>
      </c>
      <c r="M780" s="7">
        <f t="shared" si="50"/>
        <v>190000</v>
      </c>
      <c r="N780" s="23">
        <v>15000</v>
      </c>
      <c r="O780" s="7">
        <f t="shared" si="51"/>
        <v>205000</v>
      </c>
      <c r="P780" s="2" t="s">
        <v>35</v>
      </c>
      <c r="Q780" t="str">
        <f>_xlfn.XLOOKUP(B780,Status!$A$2:$A$1867,Status!$B$2:$B$1867)</f>
        <v>Completed</v>
      </c>
      <c r="R780" s="2" t="s">
        <v>23</v>
      </c>
      <c r="S780" s="8">
        <v>4</v>
      </c>
      <c r="T780" s="2" t="s">
        <v>24</v>
      </c>
      <c r="U780" s="31" t="str" cm="1">
        <f t="array" ref="U780">_xlfn.IFS(L780&lt;=5000,$Z$3,AND(L780&gt;5000,L780&lt;=15000),$Z$4,AND(L780&gt;15000,L780&lt;=30000),$Z$5,AND(L780&gt;30000,L780&lt;=50000),$Z$6,L780&gt;50000,$Z$7)</f>
        <v>Rendah</v>
      </c>
      <c r="V780" s="2"/>
    </row>
    <row r="781" spans="1:22" ht="15.75" customHeight="1" x14ac:dyDescent="0.25">
      <c r="A781" s="26"/>
      <c r="B781" s="2" t="s">
        <v>1153</v>
      </c>
      <c r="C781" s="32">
        <v>45695.398715277777</v>
      </c>
      <c r="D781" s="53">
        <f>YEAR(Table1[[#This Row],[Order Date]])</f>
        <v>2025</v>
      </c>
      <c r="E781" s="2" t="s">
        <v>237</v>
      </c>
      <c r="F781" s="2" t="s">
        <v>238</v>
      </c>
      <c r="G781" s="2" t="s">
        <v>93</v>
      </c>
      <c r="H781" s="23">
        <v>25000</v>
      </c>
      <c r="I781" s="2">
        <v>3</v>
      </c>
      <c r="J781" s="31">
        <v>0</v>
      </c>
      <c r="K781" s="7">
        <f t="shared" si="48"/>
        <v>75000</v>
      </c>
      <c r="L781" s="7">
        <f t="shared" si="49"/>
        <v>0</v>
      </c>
      <c r="M781" s="7">
        <f t="shared" si="50"/>
        <v>75000</v>
      </c>
      <c r="N781" s="23">
        <v>28000</v>
      </c>
      <c r="O781" s="7">
        <f t="shared" si="51"/>
        <v>103000</v>
      </c>
      <c r="P781" s="2" t="s">
        <v>29</v>
      </c>
      <c r="Q781" t="str">
        <f>_xlfn.XLOOKUP(B781,Status!$A$2:$A$1867,Status!$B$2:$B$1867)</f>
        <v>Completed</v>
      </c>
      <c r="R781" s="2" t="s">
        <v>46</v>
      </c>
      <c r="S781" s="8">
        <v>1</v>
      </c>
      <c r="T781" s="2" t="s">
        <v>24</v>
      </c>
      <c r="U781" s="31" t="str" cm="1">
        <f t="array" ref="U781">_xlfn.IFS(L781&lt;=5000,$Z$3,AND(L781&gt;5000,L781&lt;=15000),$Z$4,AND(L781&gt;15000,L781&lt;=30000),$Z$5,AND(L781&gt;30000,L781&lt;=50000),$Z$6,L781&gt;50000,$Z$7)</f>
        <v>Sangat Rendah</v>
      </c>
      <c r="V781" s="2"/>
    </row>
    <row r="782" spans="1:22" ht="15.75" customHeight="1" x14ac:dyDescent="0.25">
      <c r="A782" s="26"/>
      <c r="B782" s="2" t="s">
        <v>1154</v>
      </c>
      <c r="C782" s="32">
        <v>45695.789201388892</v>
      </c>
      <c r="D782" s="53">
        <f>YEAR(Table1[[#This Row],[Order Date]])</f>
        <v>2025</v>
      </c>
      <c r="E782" s="2" t="s">
        <v>900</v>
      </c>
      <c r="F782" s="2" t="s">
        <v>27</v>
      </c>
      <c r="G782" s="2" t="s">
        <v>62</v>
      </c>
      <c r="H782" s="23">
        <v>50000</v>
      </c>
      <c r="I782" s="2">
        <v>5</v>
      </c>
      <c r="J782" s="31">
        <v>15</v>
      </c>
      <c r="K782" s="7">
        <f t="shared" si="48"/>
        <v>250000</v>
      </c>
      <c r="L782" s="7">
        <f t="shared" si="49"/>
        <v>37500</v>
      </c>
      <c r="M782" s="7">
        <f t="shared" si="50"/>
        <v>212500</v>
      </c>
      <c r="N782" s="23">
        <v>17000</v>
      </c>
      <c r="O782" s="7">
        <f t="shared" si="51"/>
        <v>229500</v>
      </c>
      <c r="P782" s="2" t="s">
        <v>22</v>
      </c>
      <c r="Q782" t="str">
        <f>_xlfn.XLOOKUP(B782,Status!$A$2:$A$1867,Status!$B$2:$B$1867)</f>
        <v>Completed</v>
      </c>
      <c r="R782" s="2" t="s">
        <v>36</v>
      </c>
      <c r="S782" s="8">
        <v>3</v>
      </c>
      <c r="T782" s="2" t="s">
        <v>24</v>
      </c>
      <c r="U782" s="31" t="str" cm="1">
        <f t="array" ref="U782">_xlfn.IFS(L782&lt;=5000,$Z$3,AND(L782&gt;5000,L782&lt;=15000),$Z$4,AND(L782&gt;15000,L782&lt;=30000),$Z$5,AND(L782&gt;30000,L782&lt;=50000),$Z$6,L782&gt;50000,$Z$7)</f>
        <v>Tinggi</v>
      </c>
      <c r="V782" s="2"/>
    </row>
    <row r="783" spans="1:22" ht="15.75" customHeight="1" x14ac:dyDescent="0.25">
      <c r="A783" s="26"/>
      <c r="B783" s="2" t="s">
        <v>1155</v>
      </c>
      <c r="C783" s="32">
        <v>45695.963761574072</v>
      </c>
      <c r="D783" s="53">
        <f>YEAR(Table1[[#This Row],[Order Date]])</f>
        <v>2025</v>
      </c>
      <c r="E783" s="2" t="s">
        <v>125</v>
      </c>
      <c r="F783" s="2" t="s">
        <v>126</v>
      </c>
      <c r="G783" s="2" t="s">
        <v>67</v>
      </c>
      <c r="H783" s="23">
        <v>15000</v>
      </c>
      <c r="I783" s="2">
        <v>3</v>
      </c>
      <c r="J783" s="31">
        <v>10</v>
      </c>
      <c r="K783" s="7">
        <f t="shared" si="48"/>
        <v>45000</v>
      </c>
      <c r="L783" s="7">
        <f t="shared" si="49"/>
        <v>4500</v>
      </c>
      <c r="M783" s="7">
        <f t="shared" si="50"/>
        <v>40500</v>
      </c>
      <c r="N783" s="23">
        <v>84000</v>
      </c>
      <c r="O783" s="7">
        <f t="shared" si="51"/>
        <v>124500</v>
      </c>
      <c r="P783" s="2" t="s">
        <v>22</v>
      </c>
      <c r="Q783" t="str">
        <f>_xlfn.XLOOKUP(B783,Status!$A$2:$A$1867,Status!$B$2:$B$1867)</f>
        <v>Returned</v>
      </c>
      <c r="R783" s="2" t="s">
        <v>30</v>
      </c>
      <c r="S783" s="8">
        <v>5</v>
      </c>
      <c r="T783" s="2" t="s">
        <v>24</v>
      </c>
      <c r="U783" s="31" t="str" cm="1">
        <f t="array" ref="U783">_xlfn.IFS(L783&lt;=5000,$Z$3,AND(L783&gt;5000,L783&lt;=15000),$Z$4,AND(L783&gt;15000,L783&lt;=30000),$Z$5,AND(L783&gt;30000,L783&lt;=50000),$Z$6,L783&gt;50000,$Z$7)</f>
        <v>Sangat Rendah</v>
      </c>
      <c r="V783" s="2"/>
    </row>
    <row r="784" spans="1:22" ht="15.75" customHeight="1" x14ac:dyDescent="0.25">
      <c r="A784" s="26"/>
      <c r="B784" s="2" t="s">
        <v>1156</v>
      </c>
      <c r="C784" s="32">
        <v>45696.170405092591</v>
      </c>
      <c r="D784" s="53">
        <f>YEAR(Table1[[#This Row],[Order Date]])</f>
        <v>2025</v>
      </c>
      <c r="E784" s="2" t="s">
        <v>582</v>
      </c>
      <c r="F784" s="2" t="s">
        <v>435</v>
      </c>
      <c r="G784" s="2" t="s">
        <v>88</v>
      </c>
      <c r="H784" s="23">
        <v>14000</v>
      </c>
      <c r="I784" s="2">
        <v>1</v>
      </c>
      <c r="J784" s="31">
        <v>10</v>
      </c>
      <c r="K784" s="7">
        <f t="shared" si="48"/>
        <v>14000</v>
      </c>
      <c r="L784" s="7">
        <f t="shared" si="49"/>
        <v>1400</v>
      </c>
      <c r="M784" s="7">
        <f t="shared" si="50"/>
        <v>12600</v>
      </c>
      <c r="N784" s="23">
        <v>67000</v>
      </c>
      <c r="O784" s="7">
        <f t="shared" si="51"/>
        <v>79600</v>
      </c>
      <c r="P784" s="2" t="s">
        <v>22</v>
      </c>
      <c r="Q784" t="str">
        <f>_xlfn.XLOOKUP(B784,Status!$A$2:$A$1867,Status!$B$2:$B$1867)</f>
        <v>Completed</v>
      </c>
      <c r="R784" s="2" t="s">
        <v>82</v>
      </c>
      <c r="S784" s="8">
        <v>1</v>
      </c>
      <c r="T784" s="2" t="s">
        <v>24</v>
      </c>
      <c r="U784" s="31" t="str" cm="1">
        <f t="array" ref="U784">_xlfn.IFS(L784&lt;=5000,$Z$3,AND(L784&gt;5000,L784&lt;=15000),$Z$4,AND(L784&gt;15000,L784&lt;=30000),$Z$5,AND(L784&gt;30000,L784&lt;=50000),$Z$6,L784&gt;50000,$Z$7)</f>
        <v>Sangat Rendah</v>
      </c>
      <c r="V784" s="2"/>
    </row>
    <row r="785" spans="1:22" ht="15.75" customHeight="1" x14ac:dyDescent="0.25">
      <c r="A785" s="26"/>
      <c r="B785" s="2" t="s">
        <v>1157</v>
      </c>
      <c r="C785" s="32">
        <v>45696.373900462961</v>
      </c>
      <c r="D785" s="53">
        <f>YEAR(Table1[[#This Row],[Order Date]])</f>
        <v>2025</v>
      </c>
      <c r="E785" s="2" t="s">
        <v>693</v>
      </c>
      <c r="F785" s="2" t="s">
        <v>119</v>
      </c>
      <c r="G785" s="2" t="s">
        <v>174</v>
      </c>
      <c r="H785" s="23">
        <v>10000</v>
      </c>
      <c r="I785" s="2">
        <v>4</v>
      </c>
      <c r="J785" s="31">
        <v>20</v>
      </c>
      <c r="K785" s="7">
        <f t="shared" si="48"/>
        <v>40000</v>
      </c>
      <c r="L785" s="7">
        <f t="shared" si="49"/>
        <v>8000</v>
      </c>
      <c r="M785" s="7">
        <f t="shared" si="50"/>
        <v>32000</v>
      </c>
      <c r="N785" s="23">
        <v>0</v>
      </c>
      <c r="O785" s="7">
        <f t="shared" si="51"/>
        <v>32000</v>
      </c>
      <c r="P785" s="2" t="s">
        <v>22</v>
      </c>
      <c r="Q785" t="str">
        <f>_xlfn.XLOOKUP(B785,Status!$A$2:$A$1867,Status!$B$2:$B$1867)</f>
        <v>Completed</v>
      </c>
      <c r="R785" s="2" t="s">
        <v>82</v>
      </c>
      <c r="S785" s="8">
        <v>1</v>
      </c>
      <c r="T785" s="2" t="s">
        <v>24</v>
      </c>
      <c r="U785" s="31" t="str" cm="1">
        <f t="array" ref="U785">_xlfn.IFS(L785&lt;=5000,$Z$3,AND(L785&gt;5000,L785&lt;=15000),$Z$4,AND(L785&gt;15000,L785&lt;=30000),$Z$5,AND(L785&gt;30000,L785&lt;=50000),$Z$6,L785&gt;50000,$Z$7)</f>
        <v>Rendah</v>
      </c>
      <c r="V785" s="2"/>
    </row>
    <row r="786" spans="1:22" ht="15.75" customHeight="1" x14ac:dyDescent="0.25">
      <c r="A786" s="26"/>
      <c r="B786" s="2" t="s">
        <v>1158</v>
      </c>
      <c r="C786" s="32">
        <v>45696.560844907413</v>
      </c>
      <c r="D786" s="53">
        <f>YEAR(Table1[[#This Row],[Order Date]])</f>
        <v>2025</v>
      </c>
      <c r="E786" s="2" t="s">
        <v>243</v>
      </c>
      <c r="F786" s="2" t="s">
        <v>244</v>
      </c>
      <c r="G786" s="2" t="s">
        <v>123</v>
      </c>
      <c r="H786" s="23">
        <v>22000</v>
      </c>
      <c r="I786" s="2">
        <v>3</v>
      </c>
      <c r="J786" s="31">
        <v>0</v>
      </c>
      <c r="K786" s="7">
        <f t="shared" si="48"/>
        <v>66000</v>
      </c>
      <c r="L786" s="7">
        <f t="shared" si="49"/>
        <v>0</v>
      </c>
      <c r="M786" s="7">
        <f t="shared" si="50"/>
        <v>66000</v>
      </c>
      <c r="N786" s="23">
        <v>80000</v>
      </c>
      <c r="O786" s="7">
        <f t="shared" si="51"/>
        <v>146000</v>
      </c>
      <c r="P786" s="2" t="s">
        <v>29</v>
      </c>
      <c r="Q786" t="str">
        <f>_xlfn.XLOOKUP(B786,Status!$A$2:$A$1867,Status!$B$2:$B$1867)</f>
        <v>Completed</v>
      </c>
      <c r="R786" s="2" t="s">
        <v>36</v>
      </c>
      <c r="S786" s="8">
        <v>3</v>
      </c>
      <c r="T786" s="2" t="s">
        <v>37</v>
      </c>
      <c r="U786" s="31" t="str" cm="1">
        <f t="array" ref="U786">_xlfn.IFS(L786&lt;=5000,$Z$3,AND(L786&gt;5000,L786&lt;=15000),$Z$4,AND(L786&gt;15000,L786&lt;=30000),$Z$5,AND(L786&gt;30000,L786&lt;=50000),$Z$6,L786&gt;50000,$Z$7)</f>
        <v>Sangat Rendah</v>
      </c>
      <c r="V786" s="2"/>
    </row>
    <row r="787" spans="1:22" ht="15.75" customHeight="1" x14ac:dyDescent="0.25">
      <c r="A787" s="26"/>
      <c r="B787" s="2" t="s">
        <v>1159</v>
      </c>
      <c r="C787" s="32">
        <v>45696.675034722219</v>
      </c>
      <c r="D787" s="53">
        <f>YEAR(Table1[[#This Row],[Order Date]])</f>
        <v>2025</v>
      </c>
      <c r="E787" s="2" t="s">
        <v>1160</v>
      </c>
      <c r="F787" s="2" t="s">
        <v>96</v>
      </c>
      <c r="G787" s="2" t="s">
        <v>144</v>
      </c>
      <c r="H787" s="23">
        <v>18000</v>
      </c>
      <c r="I787" s="2">
        <v>2</v>
      </c>
      <c r="J787" s="31">
        <v>20</v>
      </c>
      <c r="K787" s="7">
        <f t="shared" si="48"/>
        <v>36000</v>
      </c>
      <c r="L787" s="7">
        <f t="shared" si="49"/>
        <v>7200</v>
      </c>
      <c r="M787" s="7">
        <f t="shared" si="50"/>
        <v>28800</v>
      </c>
      <c r="N787" s="23">
        <v>49000</v>
      </c>
      <c r="O787" s="7">
        <f t="shared" si="51"/>
        <v>77800</v>
      </c>
      <c r="P787" s="2" t="s">
        <v>63</v>
      </c>
      <c r="Q787" t="str">
        <f>_xlfn.XLOOKUP(B787,Status!$A$2:$A$1867,Status!$B$2:$B$1867)</f>
        <v>Returned</v>
      </c>
      <c r="R787" s="2" t="s">
        <v>82</v>
      </c>
      <c r="S787" s="8">
        <v>3</v>
      </c>
      <c r="T787" s="2" t="s">
        <v>24</v>
      </c>
      <c r="U787" s="31" t="str" cm="1">
        <f t="array" ref="U787">_xlfn.IFS(L787&lt;=5000,$Z$3,AND(L787&gt;5000,L787&lt;=15000),$Z$4,AND(L787&gt;15000,L787&lt;=30000),$Z$5,AND(L787&gt;30000,L787&lt;=50000),$Z$6,L787&gt;50000,$Z$7)</f>
        <v>Rendah</v>
      </c>
      <c r="V787" s="2"/>
    </row>
    <row r="788" spans="1:22" ht="15.75" customHeight="1" x14ac:dyDescent="0.25">
      <c r="A788" s="26"/>
      <c r="B788" s="2" t="s">
        <v>1161</v>
      </c>
      <c r="C788" s="32">
        <v>45696.889548611107</v>
      </c>
      <c r="D788" s="53">
        <f>YEAR(Table1[[#This Row],[Order Date]])</f>
        <v>2025</v>
      </c>
      <c r="E788" s="2" t="s">
        <v>836</v>
      </c>
      <c r="F788" s="2" t="s">
        <v>33</v>
      </c>
      <c r="G788" s="2" t="s">
        <v>38</v>
      </c>
      <c r="H788" s="23">
        <v>28000</v>
      </c>
      <c r="I788" s="2">
        <v>2</v>
      </c>
      <c r="J788" s="31">
        <v>0</v>
      </c>
      <c r="K788" s="7">
        <f t="shared" si="48"/>
        <v>56000</v>
      </c>
      <c r="L788" s="7">
        <f t="shared" si="49"/>
        <v>0</v>
      </c>
      <c r="M788" s="7">
        <f t="shared" si="50"/>
        <v>56000</v>
      </c>
      <c r="N788" s="23">
        <v>76000</v>
      </c>
      <c r="O788" s="7">
        <f t="shared" si="51"/>
        <v>132000</v>
      </c>
      <c r="P788" s="2" t="s">
        <v>29</v>
      </c>
      <c r="Q788" t="str">
        <f>_xlfn.XLOOKUP(B788,Status!$A$2:$A$1867,Status!$B$2:$B$1867)</f>
        <v>Completed</v>
      </c>
      <c r="R788" s="2" t="s">
        <v>46</v>
      </c>
      <c r="S788" s="8">
        <v>2</v>
      </c>
      <c r="T788" s="2" t="s">
        <v>37</v>
      </c>
      <c r="U788" s="31" t="str" cm="1">
        <f t="array" ref="U788">_xlfn.IFS(L788&lt;=5000,$Z$3,AND(L788&gt;5000,L788&lt;=15000),$Z$4,AND(L788&gt;15000,L788&lt;=30000),$Z$5,AND(L788&gt;30000,L788&lt;=50000),$Z$6,L788&gt;50000,$Z$7)</f>
        <v>Sangat Rendah</v>
      </c>
      <c r="V788" s="2"/>
    </row>
    <row r="789" spans="1:22" ht="15.75" customHeight="1" x14ac:dyDescent="0.25">
      <c r="A789" s="26"/>
      <c r="B789" s="2" t="s">
        <v>1162</v>
      </c>
      <c r="C789" s="32">
        <v>45696.894375000003</v>
      </c>
      <c r="D789" s="53">
        <f>YEAR(Table1[[#This Row],[Order Date]])</f>
        <v>2025</v>
      </c>
      <c r="E789" s="2" t="s">
        <v>1066</v>
      </c>
      <c r="F789" s="2" t="s">
        <v>113</v>
      </c>
      <c r="G789" s="2" t="s">
        <v>75</v>
      </c>
      <c r="H789" s="23">
        <v>55000</v>
      </c>
      <c r="I789" s="2">
        <v>3</v>
      </c>
      <c r="J789" s="31">
        <v>5</v>
      </c>
      <c r="K789" s="7">
        <f t="shared" si="48"/>
        <v>165000</v>
      </c>
      <c r="L789" s="7">
        <f t="shared" si="49"/>
        <v>8250</v>
      </c>
      <c r="M789" s="7">
        <f t="shared" si="50"/>
        <v>156750</v>
      </c>
      <c r="N789" s="23">
        <v>18000</v>
      </c>
      <c r="O789" s="7">
        <f t="shared" si="51"/>
        <v>174750</v>
      </c>
      <c r="P789" s="2" t="s">
        <v>63</v>
      </c>
      <c r="Q789" t="str">
        <f>_xlfn.XLOOKUP(B789,Status!$A$2:$A$1867,Status!$B$2:$B$1867)</f>
        <v>Cancelled</v>
      </c>
      <c r="R789" s="2" t="s">
        <v>36</v>
      </c>
      <c r="S789" s="8">
        <v>3</v>
      </c>
      <c r="T789" s="2" t="s">
        <v>24</v>
      </c>
      <c r="U789" s="31" t="str" cm="1">
        <f t="array" ref="U789">_xlfn.IFS(L789&lt;=5000,$Z$3,AND(L789&gt;5000,L789&lt;=15000),$Z$4,AND(L789&gt;15000,L789&lt;=30000),$Z$5,AND(L789&gt;30000,L789&lt;=50000),$Z$6,L789&gt;50000,$Z$7)</f>
        <v>Rendah</v>
      </c>
      <c r="V789" s="2"/>
    </row>
    <row r="790" spans="1:22" ht="15.75" customHeight="1" x14ac:dyDescent="0.25">
      <c r="A790" s="26"/>
      <c r="B790" s="2" t="s">
        <v>1163</v>
      </c>
      <c r="C790" s="32">
        <v>45697.154942129629</v>
      </c>
      <c r="D790" s="53">
        <f>YEAR(Table1[[#This Row],[Order Date]])</f>
        <v>2025</v>
      </c>
      <c r="E790" s="2" t="s">
        <v>654</v>
      </c>
      <c r="F790" s="2" t="s">
        <v>375</v>
      </c>
      <c r="G790" s="2" t="s">
        <v>54</v>
      </c>
      <c r="H790" s="23">
        <v>16000</v>
      </c>
      <c r="I790" s="2">
        <v>3</v>
      </c>
      <c r="J790" s="31">
        <v>5</v>
      </c>
      <c r="K790" s="7">
        <f t="shared" si="48"/>
        <v>48000</v>
      </c>
      <c r="L790" s="7">
        <f t="shared" si="49"/>
        <v>2400</v>
      </c>
      <c r="M790" s="7">
        <f t="shared" si="50"/>
        <v>45600</v>
      </c>
      <c r="N790" s="23">
        <v>21000</v>
      </c>
      <c r="O790" s="7">
        <f t="shared" si="51"/>
        <v>66600</v>
      </c>
      <c r="P790" s="2" t="s">
        <v>63</v>
      </c>
      <c r="Q790" t="str">
        <f>_xlfn.XLOOKUP(B790,Status!$A$2:$A$1867,Status!$B$2:$B$1867)</f>
        <v>Completed</v>
      </c>
      <c r="R790" s="2" t="s">
        <v>23</v>
      </c>
      <c r="S790" s="8">
        <v>5</v>
      </c>
      <c r="T790" s="2" t="s">
        <v>24</v>
      </c>
      <c r="U790" s="31" t="str" cm="1">
        <f t="array" ref="U790">_xlfn.IFS(L790&lt;=5000,$Z$3,AND(L790&gt;5000,L790&lt;=15000),$Z$4,AND(L790&gt;15000,L790&lt;=30000),$Z$5,AND(L790&gt;30000,L790&lt;=50000),$Z$6,L790&gt;50000,$Z$7)</f>
        <v>Sangat Rendah</v>
      </c>
      <c r="V790" s="2"/>
    </row>
    <row r="791" spans="1:22" ht="15.75" customHeight="1" x14ac:dyDescent="0.25">
      <c r="A791" s="26"/>
      <c r="B791" s="2" t="s">
        <v>1164</v>
      </c>
      <c r="C791" s="32">
        <v>45697.373240740737</v>
      </c>
      <c r="D791" s="53">
        <f>YEAR(Table1[[#This Row],[Order Date]])</f>
        <v>2025</v>
      </c>
      <c r="E791" s="2" t="s">
        <v>311</v>
      </c>
      <c r="F791" s="2" t="s">
        <v>116</v>
      </c>
      <c r="G791" s="2" t="s">
        <v>62</v>
      </c>
      <c r="H791" s="23">
        <v>50000</v>
      </c>
      <c r="I791" s="2">
        <v>5</v>
      </c>
      <c r="J791" s="31">
        <v>10</v>
      </c>
      <c r="K791" s="7">
        <f t="shared" si="48"/>
        <v>250000</v>
      </c>
      <c r="L791" s="7">
        <f t="shared" si="49"/>
        <v>25000</v>
      </c>
      <c r="M791" s="7">
        <f t="shared" si="50"/>
        <v>225000</v>
      </c>
      <c r="N791" s="23">
        <v>72000</v>
      </c>
      <c r="O791" s="7">
        <f t="shared" si="51"/>
        <v>297000</v>
      </c>
      <c r="P791" s="2" t="s">
        <v>63</v>
      </c>
      <c r="Q791" t="str">
        <f>_xlfn.XLOOKUP(B791,Status!$A$2:$A$1867,Status!$B$2:$B$1867)</f>
        <v>Completed</v>
      </c>
      <c r="R791" s="2" t="s">
        <v>46</v>
      </c>
      <c r="S791" s="8">
        <v>3</v>
      </c>
      <c r="T791" s="2" t="s">
        <v>24</v>
      </c>
      <c r="U791" s="31" t="str" cm="1">
        <f t="array" ref="U791">_xlfn.IFS(L791&lt;=5000,$Z$3,AND(L791&gt;5000,L791&lt;=15000),$Z$4,AND(L791&gt;15000,L791&lt;=30000),$Z$5,AND(L791&gt;30000,L791&lt;=50000),$Z$6,L791&gt;50000,$Z$7)</f>
        <v>Normal</v>
      </c>
      <c r="V791" s="2"/>
    </row>
    <row r="792" spans="1:22" ht="15.75" customHeight="1" x14ac:dyDescent="0.25">
      <c r="A792" s="26"/>
      <c r="B792" s="2" t="s">
        <v>1165</v>
      </c>
      <c r="C792" s="32">
        <v>45698.16673611111</v>
      </c>
      <c r="D792" s="53">
        <f>YEAR(Table1[[#This Row],[Order Date]])</f>
        <v>2025</v>
      </c>
      <c r="E792" s="2" t="s">
        <v>1047</v>
      </c>
      <c r="F792" s="2" t="s">
        <v>160</v>
      </c>
      <c r="G792" s="2" t="s">
        <v>250</v>
      </c>
      <c r="H792" s="23">
        <v>18000</v>
      </c>
      <c r="I792" s="2">
        <v>3</v>
      </c>
      <c r="J792" s="31">
        <v>15</v>
      </c>
      <c r="K792" s="7">
        <f t="shared" si="48"/>
        <v>54000</v>
      </c>
      <c r="L792" s="7">
        <f t="shared" si="49"/>
        <v>8100</v>
      </c>
      <c r="M792" s="7">
        <f t="shared" si="50"/>
        <v>45900</v>
      </c>
      <c r="N792" s="23">
        <v>68000</v>
      </c>
      <c r="O792" s="7">
        <f t="shared" si="51"/>
        <v>113900</v>
      </c>
      <c r="P792" s="2" t="s">
        <v>63</v>
      </c>
      <c r="Q792" t="str">
        <f>_xlfn.XLOOKUP(B792,Status!$A$2:$A$1867,Status!$B$2:$B$1867)</f>
        <v>Completed</v>
      </c>
      <c r="R792" s="2" t="s">
        <v>82</v>
      </c>
      <c r="S792" s="8">
        <v>4</v>
      </c>
      <c r="T792" s="2" t="s">
        <v>24</v>
      </c>
      <c r="U792" s="31" t="str" cm="1">
        <f t="array" ref="U792">_xlfn.IFS(L792&lt;=5000,$Z$3,AND(L792&gt;5000,L792&lt;=15000),$Z$4,AND(L792&gt;15000,L792&lt;=30000),$Z$5,AND(L792&gt;30000,L792&lt;=50000),$Z$6,L792&gt;50000,$Z$7)</f>
        <v>Rendah</v>
      </c>
      <c r="V792" s="2"/>
    </row>
    <row r="793" spans="1:22" ht="15.75" customHeight="1" x14ac:dyDescent="0.25">
      <c r="A793" s="26"/>
      <c r="B793" s="2" t="s">
        <v>1166</v>
      </c>
      <c r="C793" s="32">
        <v>45698.298506944448</v>
      </c>
      <c r="D793" s="53">
        <f>YEAR(Table1[[#This Row],[Order Date]])</f>
        <v>2025</v>
      </c>
      <c r="E793" s="2" t="s">
        <v>416</v>
      </c>
      <c r="F793" s="2" t="s">
        <v>131</v>
      </c>
      <c r="G793" s="2" t="s">
        <v>28</v>
      </c>
      <c r="H793" s="23">
        <v>5000</v>
      </c>
      <c r="I793" s="2">
        <v>1</v>
      </c>
      <c r="J793" s="31">
        <v>10</v>
      </c>
      <c r="K793" s="7">
        <f t="shared" si="48"/>
        <v>5000</v>
      </c>
      <c r="L793" s="7">
        <f t="shared" si="49"/>
        <v>500</v>
      </c>
      <c r="M793" s="7">
        <f t="shared" si="50"/>
        <v>4500</v>
      </c>
      <c r="N793" s="23">
        <v>59000</v>
      </c>
      <c r="O793" s="7">
        <f t="shared" si="51"/>
        <v>63500</v>
      </c>
      <c r="P793" s="2" t="s">
        <v>63</v>
      </c>
      <c r="Q793" t="str">
        <f>_xlfn.XLOOKUP(B793,Status!$A$2:$A$1867,Status!$B$2:$B$1867)</f>
        <v>Completed</v>
      </c>
      <c r="R793" s="2" t="s">
        <v>36</v>
      </c>
      <c r="S793" s="8">
        <v>4</v>
      </c>
      <c r="T793" s="2" t="s">
        <v>24</v>
      </c>
      <c r="U793" s="31" t="str" cm="1">
        <f t="array" ref="U793">_xlfn.IFS(L793&lt;=5000,$Z$3,AND(L793&gt;5000,L793&lt;=15000),$Z$4,AND(L793&gt;15000,L793&lt;=30000),$Z$5,AND(L793&gt;30000,L793&lt;=50000),$Z$6,L793&gt;50000,$Z$7)</f>
        <v>Sangat Rendah</v>
      </c>
      <c r="V793" s="2"/>
    </row>
    <row r="794" spans="1:22" ht="15.75" customHeight="1" x14ac:dyDescent="0.25">
      <c r="A794" s="26"/>
      <c r="B794" s="2" t="s">
        <v>1167</v>
      </c>
      <c r="C794" s="32">
        <v>45698.61142361111</v>
      </c>
      <c r="D794" s="53">
        <f>YEAR(Table1[[#This Row],[Order Date]])</f>
        <v>2025</v>
      </c>
      <c r="E794" s="2" t="s">
        <v>557</v>
      </c>
      <c r="F794" s="2" t="s">
        <v>173</v>
      </c>
      <c r="G794" s="2" t="s">
        <v>21</v>
      </c>
      <c r="H794" s="23">
        <v>45000</v>
      </c>
      <c r="I794" s="2">
        <v>5</v>
      </c>
      <c r="J794" s="31">
        <v>20</v>
      </c>
      <c r="K794" s="7">
        <f t="shared" si="48"/>
        <v>225000</v>
      </c>
      <c r="L794" s="7">
        <f t="shared" si="49"/>
        <v>45000</v>
      </c>
      <c r="M794" s="7">
        <f t="shared" si="50"/>
        <v>180000</v>
      </c>
      <c r="N794" s="23">
        <v>49000</v>
      </c>
      <c r="O794" s="7">
        <f t="shared" si="51"/>
        <v>229000</v>
      </c>
      <c r="P794" s="2" t="s">
        <v>35</v>
      </c>
      <c r="Q794" t="str">
        <f>_xlfn.XLOOKUP(B794,Status!$A$2:$A$1867,Status!$B$2:$B$1867)</f>
        <v>Returned</v>
      </c>
      <c r="R794" s="2" t="s">
        <v>23</v>
      </c>
      <c r="S794" s="8">
        <v>3</v>
      </c>
      <c r="T794" s="2" t="s">
        <v>24</v>
      </c>
      <c r="U794" s="31" t="str" cm="1">
        <f t="array" ref="U794">_xlfn.IFS(L794&lt;=5000,$Z$3,AND(L794&gt;5000,L794&lt;=15000),$Z$4,AND(L794&gt;15000,L794&lt;=30000),$Z$5,AND(L794&gt;30000,L794&lt;=50000),$Z$6,L794&gt;50000,$Z$7)</f>
        <v>Tinggi</v>
      </c>
      <c r="V794" s="2"/>
    </row>
    <row r="795" spans="1:22" ht="15.75" customHeight="1" x14ac:dyDescent="0.25">
      <c r="A795" s="26"/>
      <c r="B795" s="2" t="s">
        <v>1168</v>
      </c>
      <c r="C795" s="32">
        <v>45698.775995370372</v>
      </c>
      <c r="D795" s="53">
        <f>YEAR(Table1[[#This Row],[Order Date]])</f>
        <v>2025</v>
      </c>
      <c r="E795" s="2" t="s">
        <v>598</v>
      </c>
      <c r="F795" s="2" t="s">
        <v>61</v>
      </c>
      <c r="G795" s="2" t="s">
        <v>138</v>
      </c>
      <c r="H795" s="23">
        <v>17000</v>
      </c>
      <c r="I795" s="2">
        <v>1</v>
      </c>
      <c r="J795" s="31">
        <v>20</v>
      </c>
      <c r="K795" s="7">
        <f t="shared" si="48"/>
        <v>17000</v>
      </c>
      <c r="L795" s="7">
        <f t="shared" si="49"/>
        <v>3400</v>
      </c>
      <c r="M795" s="7">
        <f t="shared" si="50"/>
        <v>13600</v>
      </c>
      <c r="N795" s="23">
        <v>26000</v>
      </c>
      <c r="O795" s="7">
        <f t="shared" si="51"/>
        <v>39600</v>
      </c>
      <c r="P795" s="2" t="s">
        <v>35</v>
      </c>
      <c r="Q795" t="str">
        <f>_xlfn.XLOOKUP(B795,Status!$A$2:$A$1867,Status!$B$2:$B$1867)</f>
        <v>Completed</v>
      </c>
      <c r="R795" s="2" t="s">
        <v>30</v>
      </c>
      <c r="S795" s="8">
        <v>3</v>
      </c>
      <c r="T795" s="2" t="s">
        <v>24</v>
      </c>
      <c r="U795" s="31" t="str" cm="1">
        <f t="array" ref="U795">_xlfn.IFS(L795&lt;=5000,$Z$3,AND(L795&gt;5000,L795&lt;=15000),$Z$4,AND(L795&gt;15000,L795&lt;=30000),$Z$5,AND(L795&gt;30000,L795&lt;=50000),$Z$6,L795&gt;50000,$Z$7)</f>
        <v>Sangat Rendah</v>
      </c>
      <c r="V795" s="2"/>
    </row>
    <row r="796" spans="1:22" ht="15.75" customHeight="1" x14ac:dyDescent="0.25">
      <c r="A796" s="26"/>
      <c r="B796" s="2" t="s">
        <v>1169</v>
      </c>
      <c r="C796" s="32">
        <v>45698.947395833333</v>
      </c>
      <c r="D796" s="53">
        <f>YEAR(Table1[[#This Row],[Order Date]])</f>
        <v>2025</v>
      </c>
      <c r="E796" s="2" t="s">
        <v>644</v>
      </c>
      <c r="F796" s="2" t="s">
        <v>244</v>
      </c>
      <c r="G796" s="2" t="s">
        <v>174</v>
      </c>
      <c r="H796" s="23">
        <v>10000</v>
      </c>
      <c r="I796" s="2">
        <v>2</v>
      </c>
      <c r="J796" s="31">
        <v>10</v>
      </c>
      <c r="K796" s="7">
        <f t="shared" si="48"/>
        <v>20000</v>
      </c>
      <c r="L796" s="7">
        <f t="shared" si="49"/>
        <v>2000</v>
      </c>
      <c r="M796" s="7">
        <f t="shared" si="50"/>
        <v>18000</v>
      </c>
      <c r="N796" s="23">
        <v>80000</v>
      </c>
      <c r="O796" s="7">
        <f t="shared" si="51"/>
        <v>98000</v>
      </c>
      <c r="P796" s="2" t="s">
        <v>29</v>
      </c>
      <c r="Q796" t="str">
        <f>_xlfn.XLOOKUP(B796,Status!$A$2:$A$1867,Status!$B$2:$B$1867)</f>
        <v>Completed</v>
      </c>
      <c r="R796" s="2" t="s">
        <v>46</v>
      </c>
      <c r="S796" s="8">
        <v>1</v>
      </c>
      <c r="T796" s="2" t="s">
        <v>24</v>
      </c>
      <c r="U796" s="31" t="str" cm="1">
        <f t="array" ref="U796">_xlfn.IFS(L796&lt;=5000,$Z$3,AND(L796&gt;5000,L796&lt;=15000),$Z$4,AND(L796&gt;15000,L796&lt;=30000),$Z$5,AND(L796&gt;30000,L796&lt;=50000),$Z$6,L796&gt;50000,$Z$7)</f>
        <v>Sangat Rendah</v>
      </c>
      <c r="V796" s="2"/>
    </row>
    <row r="797" spans="1:22" ht="15.75" customHeight="1" x14ac:dyDescent="0.25">
      <c r="A797" s="26"/>
      <c r="B797" s="2" t="s">
        <v>1170</v>
      </c>
      <c r="C797" s="32">
        <v>45699.032824074071</v>
      </c>
      <c r="D797" s="53">
        <f>YEAR(Table1[[#This Row],[Order Date]])</f>
        <v>2025</v>
      </c>
      <c r="E797" s="2" t="s">
        <v>353</v>
      </c>
      <c r="F797" s="2" t="s">
        <v>66</v>
      </c>
      <c r="G797" s="2" t="s">
        <v>250</v>
      </c>
      <c r="H797" s="23">
        <v>18000</v>
      </c>
      <c r="I797" s="2">
        <v>1</v>
      </c>
      <c r="J797" s="31">
        <v>0</v>
      </c>
      <c r="K797" s="7">
        <f t="shared" si="48"/>
        <v>18000</v>
      </c>
      <c r="L797" s="7">
        <f t="shared" si="49"/>
        <v>0</v>
      </c>
      <c r="M797" s="7">
        <f t="shared" si="50"/>
        <v>18000</v>
      </c>
      <c r="N797" s="23">
        <v>59000</v>
      </c>
      <c r="O797" s="7">
        <f t="shared" si="51"/>
        <v>77000</v>
      </c>
      <c r="P797" s="2" t="s">
        <v>35</v>
      </c>
      <c r="Q797" t="str">
        <f>_xlfn.XLOOKUP(B797,Status!$A$2:$A$1867,Status!$B$2:$B$1867)</f>
        <v>Completed</v>
      </c>
      <c r="R797" s="2" t="s">
        <v>23</v>
      </c>
      <c r="S797" s="8">
        <v>5</v>
      </c>
      <c r="T797" s="2" t="s">
        <v>24</v>
      </c>
      <c r="U797" s="31" t="str" cm="1">
        <f t="array" ref="U797">_xlfn.IFS(L797&lt;=5000,$Z$3,AND(L797&gt;5000,L797&lt;=15000),$Z$4,AND(L797&gt;15000,L797&lt;=30000),$Z$5,AND(L797&gt;30000,L797&lt;=50000),$Z$6,L797&gt;50000,$Z$7)</f>
        <v>Sangat Rendah</v>
      </c>
      <c r="V797" s="2"/>
    </row>
    <row r="798" spans="1:22" ht="15.75" customHeight="1" x14ac:dyDescent="0.25">
      <c r="A798" s="26"/>
      <c r="B798" s="2" t="s">
        <v>1171</v>
      </c>
      <c r="C798" s="32">
        <v>45699.038425925923</v>
      </c>
      <c r="D798" s="53">
        <f>YEAR(Table1[[#This Row],[Order Date]])</f>
        <v>2025</v>
      </c>
      <c r="E798" s="2" t="s">
        <v>437</v>
      </c>
      <c r="F798" s="2" t="s">
        <v>375</v>
      </c>
      <c r="G798" s="2" t="s">
        <v>34</v>
      </c>
      <c r="H798" s="23">
        <v>16000</v>
      </c>
      <c r="I798" s="2">
        <v>1</v>
      </c>
      <c r="J798" s="31">
        <v>10</v>
      </c>
      <c r="K798" s="7">
        <f t="shared" si="48"/>
        <v>16000</v>
      </c>
      <c r="L798" s="7">
        <f t="shared" si="49"/>
        <v>1600</v>
      </c>
      <c r="M798" s="7">
        <f t="shared" si="50"/>
        <v>14400</v>
      </c>
      <c r="N798" s="23">
        <v>21000</v>
      </c>
      <c r="O798" s="7">
        <f t="shared" si="51"/>
        <v>35400</v>
      </c>
      <c r="P798" s="2" t="s">
        <v>35</v>
      </c>
      <c r="Q798" t="str">
        <f>_xlfn.XLOOKUP(B798,Status!$A$2:$A$1867,Status!$B$2:$B$1867)</f>
        <v>Completed</v>
      </c>
      <c r="R798" s="2" t="s">
        <v>82</v>
      </c>
      <c r="S798" s="8">
        <v>2</v>
      </c>
      <c r="T798" s="2" t="s">
        <v>24</v>
      </c>
      <c r="U798" s="31" t="str" cm="1">
        <f t="array" ref="U798">_xlfn.IFS(L798&lt;=5000,$Z$3,AND(L798&gt;5000,L798&lt;=15000),$Z$4,AND(L798&gt;15000,L798&lt;=30000),$Z$5,AND(L798&gt;30000,L798&lt;=50000),$Z$6,L798&gt;50000,$Z$7)</f>
        <v>Sangat Rendah</v>
      </c>
      <c r="V798" s="2"/>
    </row>
    <row r="799" spans="1:22" ht="15.75" customHeight="1" x14ac:dyDescent="0.25">
      <c r="A799" s="26"/>
      <c r="B799" s="2" t="s">
        <v>1172</v>
      </c>
      <c r="C799" s="32">
        <v>45699.473240740743</v>
      </c>
      <c r="D799" s="53">
        <f>YEAR(Table1[[#This Row],[Order Date]])</f>
        <v>2025</v>
      </c>
      <c r="E799" s="2" t="s">
        <v>1173</v>
      </c>
      <c r="F799" s="2" t="s">
        <v>170</v>
      </c>
      <c r="G799" s="2" t="s">
        <v>174</v>
      </c>
      <c r="H799" s="23">
        <v>10000</v>
      </c>
      <c r="I799" s="2">
        <v>1</v>
      </c>
      <c r="J799" s="31">
        <v>15</v>
      </c>
      <c r="K799" s="7">
        <f t="shared" si="48"/>
        <v>10000</v>
      </c>
      <c r="L799" s="7">
        <f t="shared" si="49"/>
        <v>1500</v>
      </c>
      <c r="M799" s="7">
        <f t="shared" si="50"/>
        <v>8500</v>
      </c>
      <c r="N799" s="23">
        <v>46000</v>
      </c>
      <c r="O799" s="7">
        <f t="shared" si="51"/>
        <v>54500</v>
      </c>
      <c r="P799" s="2" t="s">
        <v>35</v>
      </c>
      <c r="Q799" t="str">
        <f>_xlfn.XLOOKUP(B799,Status!$A$2:$A$1867,Status!$B$2:$B$1867)</f>
        <v>Completed</v>
      </c>
      <c r="R799" s="2" t="s">
        <v>82</v>
      </c>
      <c r="S799" s="8">
        <v>2</v>
      </c>
      <c r="T799" s="2" t="s">
        <v>24</v>
      </c>
      <c r="U799" s="31" t="str" cm="1">
        <f t="array" ref="U799">_xlfn.IFS(L799&lt;=5000,$Z$3,AND(L799&gt;5000,L799&lt;=15000),$Z$4,AND(L799&gt;15000,L799&lt;=30000),$Z$5,AND(L799&gt;30000,L799&lt;=50000),$Z$6,L799&gt;50000,$Z$7)</f>
        <v>Sangat Rendah</v>
      </c>
      <c r="V799" s="2"/>
    </row>
    <row r="800" spans="1:22" ht="15.75" customHeight="1" x14ac:dyDescent="0.25">
      <c r="A800" s="26"/>
      <c r="B800" s="2" t="s">
        <v>1174</v>
      </c>
      <c r="C800" s="32">
        <v>45699.704618055563</v>
      </c>
      <c r="D800" s="53">
        <f>YEAR(Table1[[#This Row],[Order Date]])</f>
        <v>2025</v>
      </c>
      <c r="E800" s="2" t="s">
        <v>229</v>
      </c>
      <c r="F800" s="2" t="s">
        <v>195</v>
      </c>
      <c r="G800" s="2" t="s">
        <v>144</v>
      </c>
      <c r="H800" s="23">
        <v>18000</v>
      </c>
      <c r="I800" s="2">
        <v>3</v>
      </c>
      <c r="J800" s="31">
        <v>15</v>
      </c>
      <c r="K800" s="7">
        <f t="shared" si="48"/>
        <v>54000</v>
      </c>
      <c r="L800" s="7">
        <f t="shared" si="49"/>
        <v>8100</v>
      </c>
      <c r="M800" s="7">
        <f t="shared" si="50"/>
        <v>45900</v>
      </c>
      <c r="N800" s="23">
        <v>87000</v>
      </c>
      <c r="O800" s="7">
        <f t="shared" si="51"/>
        <v>132900</v>
      </c>
      <c r="P800" s="2" t="s">
        <v>22</v>
      </c>
      <c r="Q800" t="str">
        <f>_xlfn.XLOOKUP(B800,Status!$A$2:$A$1867,Status!$B$2:$B$1867)</f>
        <v>Cancelled</v>
      </c>
      <c r="R800" s="2" t="s">
        <v>23</v>
      </c>
      <c r="S800" s="8">
        <v>1</v>
      </c>
      <c r="T800" s="2" t="s">
        <v>24</v>
      </c>
      <c r="U800" s="31" t="str" cm="1">
        <f t="array" ref="U800">_xlfn.IFS(L800&lt;=5000,$Z$3,AND(L800&gt;5000,L800&lt;=15000),$Z$4,AND(L800&gt;15000,L800&lt;=30000),$Z$5,AND(L800&gt;30000,L800&lt;=50000),$Z$6,L800&gt;50000,$Z$7)</f>
        <v>Rendah</v>
      </c>
      <c r="V800" s="2"/>
    </row>
    <row r="801" spans="1:22" ht="15.75" customHeight="1" x14ac:dyDescent="0.25">
      <c r="A801" s="26"/>
      <c r="B801" s="2" t="s">
        <v>1175</v>
      </c>
      <c r="C801" s="32">
        <v>45700.082442129627</v>
      </c>
      <c r="D801" s="53">
        <f>YEAR(Table1[[#This Row],[Order Date]])</f>
        <v>2025</v>
      </c>
      <c r="E801" s="2" t="s">
        <v>741</v>
      </c>
      <c r="F801" s="2" t="s">
        <v>189</v>
      </c>
      <c r="G801" s="2" t="s">
        <v>110</v>
      </c>
      <c r="H801" s="23">
        <v>6000</v>
      </c>
      <c r="I801" s="2">
        <v>3</v>
      </c>
      <c r="J801" s="31">
        <v>15</v>
      </c>
      <c r="K801" s="7">
        <f t="shared" si="48"/>
        <v>18000</v>
      </c>
      <c r="L801" s="7">
        <f t="shared" si="49"/>
        <v>2700</v>
      </c>
      <c r="M801" s="7">
        <f t="shared" si="50"/>
        <v>15300</v>
      </c>
      <c r="N801" s="23">
        <v>57000</v>
      </c>
      <c r="O801" s="7">
        <f t="shared" si="51"/>
        <v>72300</v>
      </c>
      <c r="P801" s="2" t="s">
        <v>22</v>
      </c>
      <c r="Q801" t="str">
        <f>_xlfn.XLOOKUP(B801,Status!$A$2:$A$1867,Status!$B$2:$B$1867)</f>
        <v>Completed</v>
      </c>
      <c r="R801" s="2" t="s">
        <v>23</v>
      </c>
      <c r="S801" s="8">
        <v>5</v>
      </c>
      <c r="T801" s="2" t="s">
        <v>24</v>
      </c>
      <c r="U801" s="31" t="str" cm="1">
        <f t="array" ref="U801">_xlfn.IFS(L801&lt;=5000,$Z$3,AND(L801&gt;5000,L801&lt;=15000),$Z$4,AND(L801&gt;15000,L801&lt;=30000),$Z$5,AND(L801&gt;30000,L801&lt;=50000),$Z$6,L801&gt;50000,$Z$7)</f>
        <v>Sangat Rendah</v>
      </c>
      <c r="V801" s="2"/>
    </row>
    <row r="802" spans="1:22" ht="15.75" customHeight="1" x14ac:dyDescent="0.25">
      <c r="A802" s="26"/>
      <c r="B802" s="2" t="s">
        <v>1176</v>
      </c>
      <c r="C802" s="32">
        <v>45700.28434027778</v>
      </c>
      <c r="D802" s="53">
        <f>YEAR(Table1[[#This Row],[Order Date]])</f>
        <v>2025</v>
      </c>
      <c r="E802" s="2" t="s">
        <v>804</v>
      </c>
      <c r="F802" s="2" t="s">
        <v>49</v>
      </c>
      <c r="G802" s="2" t="s">
        <v>88</v>
      </c>
      <c r="H802" s="23">
        <v>14000</v>
      </c>
      <c r="I802" s="2">
        <v>2</v>
      </c>
      <c r="J802" s="31">
        <v>5</v>
      </c>
      <c r="K802" s="7">
        <f t="shared" si="48"/>
        <v>28000</v>
      </c>
      <c r="L802" s="7">
        <f t="shared" si="49"/>
        <v>1400</v>
      </c>
      <c r="M802" s="7">
        <f t="shared" si="50"/>
        <v>26600</v>
      </c>
      <c r="N802" s="23">
        <v>43000</v>
      </c>
      <c r="O802" s="7">
        <f t="shared" si="51"/>
        <v>69600</v>
      </c>
      <c r="P802" s="2" t="s">
        <v>29</v>
      </c>
      <c r="Q802" t="str">
        <f>_xlfn.XLOOKUP(B802,Status!$A$2:$A$1867,Status!$B$2:$B$1867)</f>
        <v>Returned</v>
      </c>
      <c r="R802" s="2" t="s">
        <v>82</v>
      </c>
      <c r="S802" s="8">
        <v>4</v>
      </c>
      <c r="T802" s="2" t="s">
        <v>24</v>
      </c>
      <c r="U802" s="31" t="str" cm="1">
        <f t="array" ref="U802">_xlfn.IFS(L802&lt;=5000,$Z$3,AND(L802&gt;5000,L802&lt;=15000),$Z$4,AND(L802&gt;15000,L802&lt;=30000),$Z$5,AND(L802&gt;30000,L802&lt;=50000),$Z$6,L802&gt;50000,$Z$7)</f>
        <v>Sangat Rendah</v>
      </c>
      <c r="V802" s="2"/>
    </row>
    <row r="803" spans="1:22" ht="15.75" customHeight="1" x14ac:dyDescent="0.25">
      <c r="A803" s="26"/>
      <c r="B803" s="2" t="s">
        <v>1177</v>
      </c>
      <c r="C803" s="32">
        <v>45700.710787037038</v>
      </c>
      <c r="D803" s="53">
        <f>YEAR(Table1[[#This Row],[Order Date]])</f>
        <v>2025</v>
      </c>
      <c r="E803" s="2" t="s">
        <v>222</v>
      </c>
      <c r="F803" s="2" t="s">
        <v>49</v>
      </c>
      <c r="G803" s="2" t="s">
        <v>174</v>
      </c>
      <c r="H803" s="23">
        <v>10000</v>
      </c>
      <c r="I803" s="2">
        <v>5</v>
      </c>
      <c r="J803" s="31">
        <v>20</v>
      </c>
      <c r="K803" s="7">
        <f t="shared" si="48"/>
        <v>50000</v>
      </c>
      <c r="L803" s="7">
        <f t="shared" si="49"/>
        <v>10000</v>
      </c>
      <c r="M803" s="7">
        <f t="shared" si="50"/>
        <v>40000</v>
      </c>
      <c r="N803" s="23">
        <v>43000</v>
      </c>
      <c r="O803" s="7">
        <f t="shared" si="51"/>
        <v>83000</v>
      </c>
      <c r="P803" s="2" t="s">
        <v>22</v>
      </c>
      <c r="Q803" t="str">
        <f>_xlfn.XLOOKUP(B803,Status!$A$2:$A$1867,Status!$B$2:$B$1867)</f>
        <v>Cancelled</v>
      </c>
      <c r="R803" s="2" t="s">
        <v>82</v>
      </c>
      <c r="S803" s="8">
        <v>2</v>
      </c>
      <c r="T803" s="2" t="s">
        <v>24</v>
      </c>
      <c r="U803" s="31" t="str" cm="1">
        <f t="array" ref="U803">_xlfn.IFS(L803&lt;=5000,$Z$3,AND(L803&gt;5000,L803&lt;=15000),$Z$4,AND(L803&gt;15000,L803&lt;=30000),$Z$5,AND(L803&gt;30000,L803&lt;=50000),$Z$6,L803&gt;50000,$Z$7)</f>
        <v>Rendah</v>
      </c>
      <c r="V803" s="2"/>
    </row>
    <row r="804" spans="1:22" ht="15.75" customHeight="1" x14ac:dyDescent="0.25">
      <c r="A804" s="26"/>
      <c r="B804" s="2" t="s">
        <v>1177</v>
      </c>
      <c r="C804" s="32">
        <v>45700.710787037038</v>
      </c>
      <c r="D804" s="53">
        <f>YEAR(Table1[[#This Row],[Order Date]])</f>
        <v>2025</v>
      </c>
      <c r="E804" s="2" t="s">
        <v>222</v>
      </c>
      <c r="F804" s="2" t="s">
        <v>49</v>
      </c>
      <c r="G804" s="2" t="s">
        <v>174</v>
      </c>
      <c r="H804" s="23">
        <v>10000</v>
      </c>
      <c r="I804" s="2">
        <v>2</v>
      </c>
      <c r="J804" s="31">
        <v>5</v>
      </c>
      <c r="K804" s="7">
        <f t="shared" si="48"/>
        <v>20000</v>
      </c>
      <c r="L804" s="7">
        <f t="shared" si="49"/>
        <v>1000</v>
      </c>
      <c r="M804" s="7">
        <f t="shared" si="50"/>
        <v>19000</v>
      </c>
      <c r="N804" s="23">
        <v>0</v>
      </c>
      <c r="O804" s="7">
        <f t="shared" si="51"/>
        <v>19000</v>
      </c>
      <c r="P804" s="2" t="s">
        <v>22</v>
      </c>
      <c r="Q804" t="str">
        <f>_xlfn.XLOOKUP(B804,Status!$A$2:$A$1867,Status!$B$2:$B$1867)</f>
        <v>Cancelled</v>
      </c>
      <c r="R804" s="2" t="s">
        <v>82</v>
      </c>
      <c r="S804" s="8">
        <v>2</v>
      </c>
      <c r="T804" s="2" t="s">
        <v>24</v>
      </c>
      <c r="U804" s="31" t="str" cm="1">
        <f t="array" ref="U804">_xlfn.IFS(L804&lt;=5000,$Z$3,AND(L804&gt;5000,L804&lt;=15000),$Z$4,AND(L804&gt;15000,L804&lt;=30000),$Z$5,AND(L804&gt;30000,L804&lt;=50000),$Z$6,L804&gt;50000,$Z$7)</f>
        <v>Sangat Rendah</v>
      </c>
      <c r="V804" s="2"/>
    </row>
    <row r="805" spans="1:22" ht="15.75" customHeight="1" x14ac:dyDescent="0.25">
      <c r="A805" s="26"/>
      <c r="B805" s="2" t="s">
        <v>1178</v>
      </c>
      <c r="C805" s="32">
        <v>45700.962106481478</v>
      </c>
      <c r="D805" s="53">
        <f>YEAR(Table1[[#This Row],[Order Date]])</f>
        <v>2025</v>
      </c>
      <c r="E805" s="2" t="s">
        <v>1179</v>
      </c>
      <c r="F805" s="2" t="s">
        <v>170</v>
      </c>
      <c r="G805" s="2" t="s">
        <v>45</v>
      </c>
      <c r="H805" s="23">
        <v>40000</v>
      </c>
      <c r="I805" s="2">
        <v>1</v>
      </c>
      <c r="J805" s="31">
        <v>0</v>
      </c>
      <c r="K805" s="7">
        <f t="shared" si="48"/>
        <v>40000</v>
      </c>
      <c r="L805" s="7">
        <f t="shared" si="49"/>
        <v>0</v>
      </c>
      <c r="M805" s="7">
        <f t="shared" si="50"/>
        <v>40000</v>
      </c>
      <c r="N805" s="23">
        <v>46000</v>
      </c>
      <c r="O805" s="7">
        <f t="shared" si="51"/>
        <v>86000</v>
      </c>
      <c r="P805" s="2" t="s">
        <v>29</v>
      </c>
      <c r="Q805" t="str">
        <f>_xlfn.XLOOKUP(B805,Status!$A$2:$A$1867,Status!$B$2:$B$1867)</f>
        <v>Completed</v>
      </c>
      <c r="R805" s="2" t="s">
        <v>23</v>
      </c>
      <c r="S805" s="8">
        <v>2</v>
      </c>
      <c r="T805" s="2" t="s">
        <v>24</v>
      </c>
      <c r="U805" s="31" t="str" cm="1">
        <f t="array" ref="U805">_xlfn.IFS(L805&lt;=5000,$Z$3,AND(L805&gt;5000,L805&lt;=15000),$Z$4,AND(L805&gt;15000,L805&lt;=30000),$Z$5,AND(L805&gt;30000,L805&lt;=50000),$Z$6,L805&gt;50000,$Z$7)</f>
        <v>Sangat Rendah</v>
      </c>
      <c r="V805" s="2"/>
    </row>
    <row r="806" spans="1:22" ht="15.75" customHeight="1" x14ac:dyDescent="0.25">
      <c r="A806" s="26"/>
      <c r="B806" s="2" t="s">
        <v>1180</v>
      </c>
      <c r="C806" s="32">
        <v>45701.299745370372</v>
      </c>
      <c r="D806" s="53">
        <f>YEAR(Table1[[#This Row],[Order Date]])</f>
        <v>2025</v>
      </c>
      <c r="E806" s="2" t="s">
        <v>211</v>
      </c>
      <c r="F806" s="2" t="s">
        <v>49</v>
      </c>
      <c r="G806" s="2" t="s">
        <v>21</v>
      </c>
      <c r="H806" s="23">
        <v>45000</v>
      </c>
      <c r="I806" s="2">
        <v>2</v>
      </c>
      <c r="J806" s="31">
        <v>20</v>
      </c>
      <c r="K806" s="7">
        <f t="shared" si="48"/>
        <v>90000</v>
      </c>
      <c r="L806" s="7">
        <f t="shared" si="49"/>
        <v>18000</v>
      </c>
      <c r="M806" s="7">
        <f t="shared" si="50"/>
        <v>72000</v>
      </c>
      <c r="N806" s="23">
        <v>43000</v>
      </c>
      <c r="O806" s="7">
        <f t="shared" si="51"/>
        <v>115000</v>
      </c>
      <c r="P806" s="2" t="s">
        <v>22</v>
      </c>
      <c r="Q806" t="str">
        <f>_xlfn.XLOOKUP(B806,Status!$A$2:$A$1867,Status!$B$2:$B$1867)</f>
        <v>Returned</v>
      </c>
      <c r="R806" s="2" t="s">
        <v>30</v>
      </c>
      <c r="S806" s="8">
        <v>3</v>
      </c>
      <c r="T806" s="2" t="s">
        <v>24</v>
      </c>
      <c r="U806" s="31" t="str" cm="1">
        <f t="array" ref="U806">_xlfn.IFS(L806&lt;=5000,$Z$3,AND(L806&gt;5000,L806&lt;=15000),$Z$4,AND(L806&gt;15000,L806&lt;=30000),$Z$5,AND(L806&gt;30000,L806&lt;=50000),$Z$6,L806&gt;50000,$Z$7)</f>
        <v>Normal</v>
      </c>
      <c r="V806" s="2"/>
    </row>
    <row r="807" spans="1:22" ht="15.75" customHeight="1" x14ac:dyDescent="0.25">
      <c r="A807" s="26"/>
      <c r="B807" s="2" t="s">
        <v>1181</v>
      </c>
      <c r="C807" s="32">
        <v>45701.335729166669</v>
      </c>
      <c r="D807" s="53">
        <f>YEAR(Table1[[#This Row],[Order Date]])</f>
        <v>2025</v>
      </c>
      <c r="E807" s="2" t="s">
        <v>1091</v>
      </c>
      <c r="F807" s="2" t="s">
        <v>160</v>
      </c>
      <c r="G807" s="2" t="s">
        <v>50</v>
      </c>
      <c r="H807" s="23">
        <v>14000</v>
      </c>
      <c r="I807" s="2">
        <v>3</v>
      </c>
      <c r="J807" s="31">
        <v>10</v>
      </c>
      <c r="K807" s="7">
        <f t="shared" si="48"/>
        <v>42000</v>
      </c>
      <c r="L807" s="7">
        <f t="shared" si="49"/>
        <v>4200</v>
      </c>
      <c r="M807" s="7">
        <f t="shared" si="50"/>
        <v>37800</v>
      </c>
      <c r="N807" s="23">
        <v>68000</v>
      </c>
      <c r="O807" s="7">
        <f t="shared" si="51"/>
        <v>105800</v>
      </c>
      <c r="P807" s="2" t="s">
        <v>35</v>
      </c>
      <c r="Q807" t="str">
        <f>_xlfn.XLOOKUP(B807,Status!$A$2:$A$1867,Status!$B$2:$B$1867)</f>
        <v>Completed</v>
      </c>
      <c r="R807" s="2" t="s">
        <v>46</v>
      </c>
      <c r="S807" s="8">
        <v>5</v>
      </c>
      <c r="T807" s="2" t="s">
        <v>37</v>
      </c>
      <c r="U807" s="31" t="str" cm="1">
        <f t="array" ref="U807">_xlfn.IFS(L807&lt;=5000,$Z$3,AND(L807&gt;5000,L807&lt;=15000),$Z$4,AND(L807&gt;15000,L807&lt;=30000),$Z$5,AND(L807&gt;30000,L807&lt;=50000),$Z$6,L807&gt;50000,$Z$7)</f>
        <v>Sangat Rendah</v>
      </c>
      <c r="V807" s="2"/>
    </row>
    <row r="808" spans="1:22" ht="15.75" customHeight="1" x14ac:dyDescent="0.25">
      <c r="A808" s="26"/>
      <c r="B808" s="2" t="s">
        <v>1182</v>
      </c>
      <c r="C808" s="32">
        <v>45701.521331018521</v>
      </c>
      <c r="D808" s="53">
        <f>YEAR(Table1[[#This Row],[Order Date]])</f>
        <v>2025</v>
      </c>
      <c r="E808" s="2" t="s">
        <v>133</v>
      </c>
      <c r="F808" s="2" t="s">
        <v>33</v>
      </c>
      <c r="G808" s="2" t="s">
        <v>50</v>
      </c>
      <c r="H808" s="23">
        <v>14000</v>
      </c>
      <c r="I808" s="2">
        <v>4</v>
      </c>
      <c r="J808" s="31">
        <v>10</v>
      </c>
      <c r="K808" s="7">
        <f t="shared" si="48"/>
        <v>56000</v>
      </c>
      <c r="L808" s="7">
        <f t="shared" si="49"/>
        <v>5600</v>
      </c>
      <c r="M808" s="7">
        <f t="shared" si="50"/>
        <v>50400</v>
      </c>
      <c r="N808" s="23">
        <v>76000</v>
      </c>
      <c r="O808" s="7">
        <f t="shared" si="51"/>
        <v>126400</v>
      </c>
      <c r="P808" s="2" t="s">
        <v>22</v>
      </c>
      <c r="Q808" t="str">
        <f>_xlfn.XLOOKUP(B808,Status!$A$2:$A$1867,Status!$B$2:$B$1867)</f>
        <v>Completed</v>
      </c>
      <c r="R808" s="2" t="s">
        <v>30</v>
      </c>
      <c r="S808" s="8">
        <v>2</v>
      </c>
      <c r="T808" s="2" t="s">
        <v>24</v>
      </c>
      <c r="U808" s="31" t="str" cm="1">
        <f t="array" ref="U808">_xlfn.IFS(L808&lt;=5000,$Z$3,AND(L808&gt;5000,L808&lt;=15000),$Z$4,AND(L808&gt;15000,L808&lt;=30000),$Z$5,AND(L808&gt;30000,L808&lt;=50000),$Z$6,L808&gt;50000,$Z$7)</f>
        <v>Rendah</v>
      </c>
      <c r="V808" s="2"/>
    </row>
    <row r="809" spans="1:22" ht="15.75" customHeight="1" x14ac:dyDescent="0.25">
      <c r="A809" s="26"/>
      <c r="B809" s="2" t="s">
        <v>1183</v>
      </c>
      <c r="C809" s="32">
        <v>45701.57744212963</v>
      </c>
      <c r="D809" s="53">
        <f>YEAR(Table1[[#This Row],[Order Date]])</f>
        <v>2025</v>
      </c>
      <c r="E809" s="2" t="s">
        <v>722</v>
      </c>
      <c r="F809" s="2" t="s">
        <v>57</v>
      </c>
      <c r="G809" s="2" t="s">
        <v>50</v>
      </c>
      <c r="H809" s="23">
        <v>14000</v>
      </c>
      <c r="I809" s="2">
        <v>4</v>
      </c>
      <c r="J809" s="31">
        <v>10</v>
      </c>
      <c r="K809" s="7">
        <f t="shared" si="48"/>
        <v>56000</v>
      </c>
      <c r="L809" s="7">
        <f t="shared" si="49"/>
        <v>5600</v>
      </c>
      <c r="M809" s="7">
        <f t="shared" si="50"/>
        <v>50400</v>
      </c>
      <c r="N809" s="23">
        <v>80000</v>
      </c>
      <c r="O809" s="7">
        <f t="shared" si="51"/>
        <v>130400</v>
      </c>
      <c r="P809" s="2" t="s">
        <v>22</v>
      </c>
      <c r="Q809" t="str">
        <f>_xlfn.XLOOKUP(B809,Status!$A$2:$A$1867,Status!$B$2:$B$1867)</f>
        <v>Completed</v>
      </c>
      <c r="R809" s="2" t="s">
        <v>23</v>
      </c>
      <c r="S809" s="8">
        <v>1</v>
      </c>
      <c r="T809" s="2" t="s">
        <v>24</v>
      </c>
      <c r="U809" s="31" t="str" cm="1">
        <f t="array" ref="U809">_xlfn.IFS(L809&lt;=5000,$Z$3,AND(L809&gt;5000,L809&lt;=15000),$Z$4,AND(L809&gt;15000,L809&lt;=30000),$Z$5,AND(L809&gt;30000,L809&lt;=50000),$Z$6,L809&gt;50000,$Z$7)</f>
        <v>Rendah</v>
      </c>
      <c r="V809" s="2"/>
    </row>
    <row r="810" spans="1:22" ht="15.75" customHeight="1" x14ac:dyDescent="0.25">
      <c r="A810" s="26"/>
      <c r="B810" s="2" t="s">
        <v>1184</v>
      </c>
      <c r="C810" s="32">
        <v>45701.792673611111</v>
      </c>
      <c r="D810" s="53">
        <f>YEAR(Table1[[#This Row],[Order Date]])</f>
        <v>2025</v>
      </c>
      <c r="E810" s="2" t="s">
        <v>167</v>
      </c>
      <c r="F810" s="2" t="s">
        <v>44</v>
      </c>
      <c r="G810" s="2" t="s">
        <v>88</v>
      </c>
      <c r="H810" s="23">
        <v>14000</v>
      </c>
      <c r="I810" s="2">
        <v>2</v>
      </c>
      <c r="J810" s="31">
        <v>15</v>
      </c>
      <c r="K810" s="7">
        <f t="shared" si="48"/>
        <v>28000</v>
      </c>
      <c r="L810" s="7">
        <f t="shared" si="49"/>
        <v>4200</v>
      </c>
      <c r="M810" s="7">
        <f t="shared" si="50"/>
        <v>23800</v>
      </c>
      <c r="N810" s="23">
        <v>93000</v>
      </c>
      <c r="O810" s="7">
        <f t="shared" si="51"/>
        <v>116800</v>
      </c>
      <c r="P810" s="2" t="s">
        <v>22</v>
      </c>
      <c r="Q810" t="str">
        <f>_xlfn.XLOOKUP(B810,Status!$A$2:$A$1867,Status!$B$2:$B$1867)</f>
        <v>Cancelled</v>
      </c>
      <c r="R810" s="2" t="s">
        <v>46</v>
      </c>
      <c r="S810" s="8">
        <v>2</v>
      </c>
      <c r="T810" s="2" t="s">
        <v>24</v>
      </c>
      <c r="U810" s="31" t="str" cm="1">
        <f t="array" ref="U810">_xlfn.IFS(L810&lt;=5000,$Z$3,AND(L810&gt;5000,L810&lt;=15000),$Z$4,AND(L810&gt;15000,L810&lt;=30000),$Z$5,AND(L810&gt;30000,L810&lt;=50000),$Z$6,L810&gt;50000,$Z$7)</f>
        <v>Sangat Rendah</v>
      </c>
      <c r="V810" s="2"/>
    </row>
    <row r="811" spans="1:22" ht="15.75" customHeight="1" x14ac:dyDescent="0.25">
      <c r="A811" s="26"/>
      <c r="B811" s="2" t="s">
        <v>1185</v>
      </c>
      <c r="C811" s="32">
        <v>45702.395196759258</v>
      </c>
      <c r="D811" s="53">
        <f>YEAR(Table1[[#This Row],[Order Date]])</f>
        <v>2025</v>
      </c>
      <c r="E811" s="2" t="s">
        <v>470</v>
      </c>
      <c r="F811" s="2" t="s">
        <v>116</v>
      </c>
      <c r="G811" s="2" t="s">
        <v>136</v>
      </c>
      <c r="H811" s="23">
        <v>12000</v>
      </c>
      <c r="I811" s="2">
        <v>1</v>
      </c>
      <c r="J811" s="31">
        <v>5</v>
      </c>
      <c r="K811" s="7">
        <f t="shared" si="48"/>
        <v>12000</v>
      </c>
      <c r="L811" s="7">
        <f t="shared" si="49"/>
        <v>600</v>
      </c>
      <c r="M811" s="7">
        <f t="shared" si="50"/>
        <v>11400</v>
      </c>
      <c r="N811" s="23">
        <v>72000</v>
      </c>
      <c r="O811" s="7">
        <f t="shared" si="51"/>
        <v>83400</v>
      </c>
      <c r="P811" s="2" t="s">
        <v>35</v>
      </c>
      <c r="Q811" t="str">
        <f>_xlfn.XLOOKUP(B811,Status!$A$2:$A$1867,Status!$B$2:$B$1867)</f>
        <v>Completed</v>
      </c>
      <c r="R811" s="2" t="s">
        <v>36</v>
      </c>
      <c r="S811" s="8">
        <v>2</v>
      </c>
      <c r="T811" s="2" t="s">
        <v>24</v>
      </c>
      <c r="U811" s="31" t="str" cm="1">
        <f t="array" ref="U811">_xlfn.IFS(L811&lt;=5000,$Z$3,AND(L811&gt;5000,L811&lt;=15000),$Z$4,AND(L811&gt;15000,L811&lt;=30000),$Z$5,AND(L811&gt;30000,L811&lt;=50000),$Z$6,L811&gt;50000,$Z$7)</f>
        <v>Sangat Rendah</v>
      </c>
      <c r="V811" s="2"/>
    </row>
    <row r="812" spans="1:22" ht="15.75" customHeight="1" x14ac:dyDescent="0.25">
      <c r="A812" s="26"/>
      <c r="B812" s="2" t="s">
        <v>1186</v>
      </c>
      <c r="C812" s="32">
        <v>45702.578518518523</v>
      </c>
      <c r="D812" s="53">
        <f>YEAR(Table1[[#This Row],[Order Date]])</f>
        <v>2025</v>
      </c>
      <c r="E812" s="2" t="s">
        <v>744</v>
      </c>
      <c r="F812" s="2" t="s">
        <v>375</v>
      </c>
      <c r="G812" s="2" t="s">
        <v>38</v>
      </c>
      <c r="H812" s="23">
        <v>28000</v>
      </c>
      <c r="I812" s="2">
        <v>3</v>
      </c>
      <c r="J812" s="31">
        <v>5</v>
      </c>
      <c r="K812" s="7">
        <f t="shared" si="48"/>
        <v>84000</v>
      </c>
      <c r="L812" s="7">
        <f t="shared" si="49"/>
        <v>4200</v>
      </c>
      <c r="M812" s="7">
        <f t="shared" si="50"/>
        <v>79800</v>
      </c>
      <c r="N812" s="23">
        <v>21000</v>
      </c>
      <c r="O812" s="7">
        <f t="shared" si="51"/>
        <v>100800</v>
      </c>
      <c r="P812" s="2" t="s">
        <v>35</v>
      </c>
      <c r="Q812" t="str">
        <f>_xlfn.XLOOKUP(B812,Status!$A$2:$A$1867,Status!$B$2:$B$1867)</f>
        <v>Completed</v>
      </c>
      <c r="R812" s="2" t="s">
        <v>30</v>
      </c>
      <c r="S812" s="8">
        <v>4</v>
      </c>
      <c r="T812" s="2" t="s">
        <v>24</v>
      </c>
      <c r="U812" s="31" t="str" cm="1">
        <f t="array" ref="U812">_xlfn.IFS(L812&lt;=5000,$Z$3,AND(L812&gt;5000,L812&lt;=15000),$Z$4,AND(L812&gt;15000,L812&lt;=30000),$Z$5,AND(L812&gt;30000,L812&lt;=50000),$Z$6,L812&gt;50000,$Z$7)</f>
        <v>Sangat Rendah</v>
      </c>
      <c r="V812" s="2"/>
    </row>
    <row r="813" spans="1:22" ht="15.75" customHeight="1" x14ac:dyDescent="0.25">
      <c r="A813" s="26"/>
      <c r="B813" s="2" t="s">
        <v>1187</v>
      </c>
      <c r="C813" s="32">
        <v>45702.711562500001</v>
      </c>
      <c r="D813" s="53">
        <f>YEAR(Table1[[#This Row],[Order Date]])</f>
        <v>2025</v>
      </c>
      <c r="E813" s="2" t="s">
        <v>544</v>
      </c>
      <c r="F813" s="2" t="s">
        <v>163</v>
      </c>
      <c r="G813" s="2" t="s">
        <v>50</v>
      </c>
      <c r="H813" s="23">
        <v>14000</v>
      </c>
      <c r="I813" s="2">
        <v>4</v>
      </c>
      <c r="J813" s="31">
        <v>5</v>
      </c>
      <c r="K813" s="7">
        <f t="shared" si="48"/>
        <v>56000</v>
      </c>
      <c r="L813" s="7">
        <f t="shared" si="49"/>
        <v>2800</v>
      </c>
      <c r="M813" s="7">
        <f t="shared" si="50"/>
        <v>53200</v>
      </c>
      <c r="N813" s="23">
        <v>50000</v>
      </c>
      <c r="O813" s="7">
        <f t="shared" si="51"/>
        <v>103200</v>
      </c>
      <c r="P813" s="2" t="s">
        <v>35</v>
      </c>
      <c r="Q813" t="str">
        <f>_xlfn.XLOOKUP(B813,Status!$A$2:$A$1867,Status!$B$2:$B$1867)</f>
        <v>Completed</v>
      </c>
      <c r="R813" s="2" t="s">
        <v>23</v>
      </c>
      <c r="S813" s="8">
        <v>3</v>
      </c>
      <c r="T813" s="2" t="s">
        <v>24</v>
      </c>
      <c r="U813" s="31" t="str" cm="1">
        <f t="array" ref="U813">_xlfn.IFS(L813&lt;=5000,$Z$3,AND(L813&gt;5000,L813&lt;=15000),$Z$4,AND(L813&gt;15000,L813&lt;=30000),$Z$5,AND(L813&gt;30000,L813&lt;=50000),$Z$6,L813&gt;50000,$Z$7)</f>
        <v>Sangat Rendah</v>
      </c>
      <c r="V813" s="2"/>
    </row>
    <row r="814" spans="1:22" ht="15.75" customHeight="1" x14ac:dyDescent="0.25">
      <c r="A814" s="26"/>
      <c r="B814" s="2" t="s">
        <v>1188</v>
      </c>
      <c r="C814" s="32">
        <v>45703.613344907397</v>
      </c>
      <c r="D814" s="53">
        <f>YEAR(Table1[[#This Row],[Order Date]])</f>
        <v>2025</v>
      </c>
      <c r="E814" s="2" t="s">
        <v>402</v>
      </c>
      <c r="F814" s="2" t="s">
        <v>163</v>
      </c>
      <c r="G814" s="2" t="s">
        <v>250</v>
      </c>
      <c r="H814" s="23">
        <v>18000</v>
      </c>
      <c r="I814" s="2">
        <v>2</v>
      </c>
      <c r="J814" s="31">
        <v>5</v>
      </c>
      <c r="K814" s="7">
        <f t="shared" si="48"/>
        <v>36000</v>
      </c>
      <c r="L814" s="7">
        <f t="shared" si="49"/>
        <v>1800</v>
      </c>
      <c r="M814" s="7">
        <f t="shared" si="50"/>
        <v>34200</v>
      </c>
      <c r="N814" s="23">
        <v>50000</v>
      </c>
      <c r="O814" s="7">
        <f t="shared" si="51"/>
        <v>84200</v>
      </c>
      <c r="P814" s="2" t="s">
        <v>29</v>
      </c>
      <c r="Q814" t="str">
        <f>_xlfn.XLOOKUP(B814,Status!$A$2:$A$1867,Status!$B$2:$B$1867)</f>
        <v>Completed</v>
      </c>
      <c r="R814" s="2" t="s">
        <v>30</v>
      </c>
      <c r="S814" s="8">
        <v>2</v>
      </c>
      <c r="T814" s="2" t="s">
        <v>24</v>
      </c>
      <c r="U814" s="31" t="str" cm="1">
        <f t="array" ref="U814">_xlfn.IFS(L814&lt;=5000,$Z$3,AND(L814&gt;5000,L814&lt;=15000),$Z$4,AND(L814&gt;15000,L814&lt;=30000),$Z$5,AND(L814&gt;30000,L814&lt;=50000),$Z$6,L814&gt;50000,$Z$7)</f>
        <v>Sangat Rendah</v>
      </c>
      <c r="V814" s="2"/>
    </row>
    <row r="815" spans="1:22" ht="15.75" customHeight="1" x14ac:dyDescent="0.25">
      <c r="A815" s="26"/>
      <c r="B815" s="2" t="s">
        <v>1189</v>
      </c>
      <c r="C815" s="32">
        <v>45703.764722222222</v>
      </c>
      <c r="D815" s="53">
        <f>YEAR(Table1[[#This Row],[Order Date]])</f>
        <v>2025</v>
      </c>
      <c r="E815" s="2" t="s">
        <v>582</v>
      </c>
      <c r="F815" s="2" t="s">
        <v>435</v>
      </c>
      <c r="G815" s="2" t="s">
        <v>41</v>
      </c>
      <c r="H815" s="23">
        <v>4000</v>
      </c>
      <c r="I815" s="2">
        <v>4</v>
      </c>
      <c r="J815" s="31">
        <v>20</v>
      </c>
      <c r="K815" s="7">
        <f t="shared" si="48"/>
        <v>16000</v>
      </c>
      <c r="L815" s="7">
        <f t="shared" si="49"/>
        <v>3200</v>
      </c>
      <c r="M815" s="7">
        <f t="shared" si="50"/>
        <v>12800</v>
      </c>
      <c r="N815" s="23">
        <v>67000</v>
      </c>
      <c r="O815" s="7">
        <f t="shared" si="51"/>
        <v>79800</v>
      </c>
      <c r="P815" s="2" t="s">
        <v>29</v>
      </c>
      <c r="Q815" t="str">
        <f>_xlfn.XLOOKUP(B815,Status!$A$2:$A$1867,Status!$B$2:$B$1867)</f>
        <v>Completed</v>
      </c>
      <c r="R815" s="2" t="s">
        <v>23</v>
      </c>
      <c r="S815" s="8">
        <v>5</v>
      </c>
      <c r="T815" s="2" t="s">
        <v>24</v>
      </c>
      <c r="U815" s="31" t="str" cm="1">
        <f t="array" ref="U815">_xlfn.IFS(L815&lt;=5000,$Z$3,AND(L815&gt;5000,L815&lt;=15000),$Z$4,AND(L815&gt;15000,L815&lt;=30000),$Z$5,AND(L815&gt;30000,L815&lt;=50000),$Z$6,L815&gt;50000,$Z$7)</f>
        <v>Sangat Rendah</v>
      </c>
      <c r="V815" s="2"/>
    </row>
    <row r="816" spans="1:22" ht="15.75" customHeight="1" x14ac:dyDescent="0.25">
      <c r="A816" s="26"/>
      <c r="B816" s="2" t="s">
        <v>1190</v>
      </c>
      <c r="C816" s="32">
        <v>45703.924745370372</v>
      </c>
      <c r="D816" s="53">
        <f>YEAR(Table1[[#This Row],[Order Date]])</f>
        <v>2025</v>
      </c>
      <c r="E816" s="2" t="s">
        <v>19</v>
      </c>
      <c r="F816" s="2" t="s">
        <v>20</v>
      </c>
      <c r="G816" s="2" t="s">
        <v>38</v>
      </c>
      <c r="H816" s="23">
        <v>28000</v>
      </c>
      <c r="I816" s="2">
        <v>1</v>
      </c>
      <c r="J816" s="31">
        <v>5</v>
      </c>
      <c r="K816" s="7">
        <f t="shared" si="48"/>
        <v>28000</v>
      </c>
      <c r="L816" s="7">
        <f t="shared" si="49"/>
        <v>1400</v>
      </c>
      <c r="M816" s="7">
        <f t="shared" si="50"/>
        <v>26600</v>
      </c>
      <c r="N816" s="23">
        <v>15000</v>
      </c>
      <c r="O816" s="7">
        <f t="shared" si="51"/>
        <v>41600</v>
      </c>
      <c r="P816" s="2" t="s">
        <v>35</v>
      </c>
      <c r="Q816" t="str">
        <f>_xlfn.XLOOKUP(B816,Status!$A$2:$A$1867,Status!$B$2:$B$1867)</f>
        <v>Completed</v>
      </c>
      <c r="R816" s="2" t="s">
        <v>30</v>
      </c>
      <c r="S816" s="8">
        <v>3</v>
      </c>
      <c r="T816" s="2" t="s">
        <v>24</v>
      </c>
      <c r="U816" s="31" t="str" cm="1">
        <f t="array" ref="U816">_xlfn.IFS(L816&lt;=5000,$Z$3,AND(L816&gt;5000,L816&lt;=15000),$Z$4,AND(L816&gt;15000,L816&lt;=30000),$Z$5,AND(L816&gt;30000,L816&lt;=50000),$Z$6,L816&gt;50000,$Z$7)</f>
        <v>Sangat Rendah</v>
      </c>
      <c r="V816" s="2"/>
    </row>
    <row r="817" spans="1:22" ht="15.75" customHeight="1" x14ac:dyDescent="0.25">
      <c r="A817" s="26"/>
      <c r="B817" s="2" t="s">
        <v>1191</v>
      </c>
      <c r="C817" s="32">
        <v>45704.347256944442</v>
      </c>
      <c r="D817" s="53">
        <f>YEAR(Table1[[#This Row],[Order Date]])</f>
        <v>2025</v>
      </c>
      <c r="E817" s="2" t="s">
        <v>780</v>
      </c>
      <c r="F817" s="2" t="s">
        <v>113</v>
      </c>
      <c r="G817" s="2" t="s">
        <v>71</v>
      </c>
      <c r="H817" s="23">
        <v>40000</v>
      </c>
      <c r="I817" s="2">
        <v>2</v>
      </c>
      <c r="J817" s="31">
        <v>5</v>
      </c>
      <c r="K817" s="7">
        <f t="shared" si="48"/>
        <v>80000</v>
      </c>
      <c r="L817" s="7">
        <f t="shared" si="49"/>
        <v>4000</v>
      </c>
      <c r="M817" s="7">
        <f t="shared" si="50"/>
        <v>76000</v>
      </c>
      <c r="N817" s="23">
        <v>18000</v>
      </c>
      <c r="O817" s="7">
        <f t="shared" si="51"/>
        <v>94000</v>
      </c>
      <c r="P817" s="2" t="s">
        <v>22</v>
      </c>
      <c r="Q817" t="str">
        <f>_xlfn.XLOOKUP(B817,Status!$A$2:$A$1867,Status!$B$2:$B$1867)</f>
        <v>Cancelled</v>
      </c>
      <c r="R817" s="2" t="s">
        <v>23</v>
      </c>
      <c r="S817" s="8">
        <v>2</v>
      </c>
      <c r="T817" s="2" t="s">
        <v>24</v>
      </c>
      <c r="U817" s="31" t="str" cm="1">
        <f t="array" ref="U817">_xlfn.IFS(L817&lt;=5000,$Z$3,AND(L817&gt;5000,L817&lt;=15000),$Z$4,AND(L817&gt;15000,L817&lt;=30000),$Z$5,AND(L817&gt;30000,L817&lt;=50000),$Z$6,L817&gt;50000,$Z$7)</f>
        <v>Sangat Rendah</v>
      </c>
      <c r="V817" s="2"/>
    </row>
    <row r="818" spans="1:22" ht="15.75" customHeight="1" x14ac:dyDescent="0.25">
      <c r="A818" s="26"/>
      <c r="B818" s="2" t="s">
        <v>1192</v>
      </c>
      <c r="C818" s="32">
        <v>45704.779814814807</v>
      </c>
      <c r="D818" s="53">
        <f>YEAR(Table1[[#This Row],[Order Date]])</f>
        <v>2025</v>
      </c>
      <c r="E818" s="2" t="s">
        <v>121</v>
      </c>
      <c r="F818" s="2" t="s">
        <v>122</v>
      </c>
      <c r="G818" s="2" t="s">
        <v>67</v>
      </c>
      <c r="H818" s="23">
        <v>15000</v>
      </c>
      <c r="I818" s="2">
        <v>1</v>
      </c>
      <c r="J818" s="31">
        <v>20</v>
      </c>
      <c r="K818" s="7">
        <f t="shared" si="48"/>
        <v>15000</v>
      </c>
      <c r="L818" s="7">
        <f t="shared" si="49"/>
        <v>3000</v>
      </c>
      <c r="M818" s="7">
        <f t="shared" si="50"/>
        <v>12000</v>
      </c>
      <c r="N818" s="23">
        <v>78000</v>
      </c>
      <c r="O818" s="7">
        <f t="shared" si="51"/>
        <v>90000</v>
      </c>
      <c r="P818" s="2" t="s">
        <v>35</v>
      </c>
      <c r="Q818" t="str">
        <f>_xlfn.XLOOKUP(B818,Status!$A$2:$A$1867,Status!$B$2:$B$1867)</f>
        <v>Completed</v>
      </c>
      <c r="R818" s="2" t="s">
        <v>23</v>
      </c>
      <c r="S818" s="8">
        <v>2</v>
      </c>
      <c r="T818" s="2" t="s">
        <v>24</v>
      </c>
      <c r="U818" s="31" t="str" cm="1">
        <f t="array" ref="U818">_xlfn.IFS(L818&lt;=5000,$Z$3,AND(L818&gt;5000,L818&lt;=15000),$Z$4,AND(L818&gt;15000,L818&lt;=30000),$Z$5,AND(L818&gt;30000,L818&lt;=50000),$Z$6,L818&gt;50000,$Z$7)</f>
        <v>Sangat Rendah</v>
      </c>
      <c r="V818" s="2"/>
    </row>
    <row r="819" spans="1:22" ht="15.75" customHeight="1" x14ac:dyDescent="0.25">
      <c r="A819" s="26"/>
      <c r="B819" s="2" t="s">
        <v>1193</v>
      </c>
      <c r="C819" s="32">
        <v>45704.955081018517</v>
      </c>
      <c r="D819" s="53">
        <f>YEAR(Table1[[#This Row],[Order Date]])</f>
        <v>2025</v>
      </c>
      <c r="E819" s="2" t="s">
        <v>601</v>
      </c>
      <c r="F819" s="2" t="s">
        <v>119</v>
      </c>
      <c r="G819" s="2" t="s">
        <v>50</v>
      </c>
      <c r="H819" s="23">
        <v>14000</v>
      </c>
      <c r="I819" s="2">
        <v>5</v>
      </c>
      <c r="J819" s="31">
        <v>10</v>
      </c>
      <c r="K819" s="7">
        <f t="shared" si="48"/>
        <v>70000</v>
      </c>
      <c r="L819" s="7">
        <f t="shared" si="49"/>
        <v>7000</v>
      </c>
      <c r="M819" s="7">
        <f t="shared" si="50"/>
        <v>63000</v>
      </c>
      <c r="N819" s="23">
        <v>0</v>
      </c>
      <c r="O819" s="7">
        <f t="shared" si="51"/>
        <v>63000</v>
      </c>
      <c r="P819" s="2" t="s">
        <v>35</v>
      </c>
      <c r="Q819" t="str">
        <f>_xlfn.XLOOKUP(B819,Status!$A$2:$A$1867,Status!$B$2:$B$1867)</f>
        <v>Completed</v>
      </c>
      <c r="R819" s="2" t="s">
        <v>23</v>
      </c>
      <c r="S819" s="8">
        <v>1</v>
      </c>
      <c r="T819" s="2" t="s">
        <v>24</v>
      </c>
      <c r="U819" s="31" t="str" cm="1">
        <f t="array" ref="U819">_xlfn.IFS(L819&lt;=5000,$Z$3,AND(L819&gt;5000,L819&lt;=15000),$Z$4,AND(L819&gt;15000,L819&lt;=30000),$Z$5,AND(L819&gt;30000,L819&lt;=50000),$Z$6,L819&gt;50000,$Z$7)</f>
        <v>Rendah</v>
      </c>
      <c r="V819" s="2"/>
    </row>
    <row r="820" spans="1:22" ht="15.75" customHeight="1" x14ac:dyDescent="0.25">
      <c r="A820" s="26"/>
      <c r="B820" s="2" t="s">
        <v>1194</v>
      </c>
      <c r="C820" s="32">
        <v>45705.520138888889</v>
      </c>
      <c r="D820" s="53">
        <f>YEAR(Table1[[#This Row],[Order Date]])</f>
        <v>2025</v>
      </c>
      <c r="E820" s="2" t="s">
        <v>299</v>
      </c>
      <c r="F820" s="2" t="s">
        <v>163</v>
      </c>
      <c r="G820" s="2" t="s">
        <v>71</v>
      </c>
      <c r="H820" s="23">
        <v>40000</v>
      </c>
      <c r="I820" s="2">
        <v>1</v>
      </c>
      <c r="J820" s="31">
        <v>10</v>
      </c>
      <c r="K820" s="7">
        <f t="shared" si="48"/>
        <v>40000</v>
      </c>
      <c r="L820" s="7">
        <f t="shared" si="49"/>
        <v>4000</v>
      </c>
      <c r="M820" s="7">
        <f t="shared" si="50"/>
        <v>36000</v>
      </c>
      <c r="N820" s="23">
        <v>50000</v>
      </c>
      <c r="O820" s="7">
        <f t="shared" si="51"/>
        <v>86000</v>
      </c>
      <c r="P820" s="2" t="s">
        <v>29</v>
      </c>
      <c r="Q820" t="str">
        <f>_xlfn.XLOOKUP(B820,Status!$A$2:$A$1867,Status!$B$2:$B$1867)</f>
        <v>Returned</v>
      </c>
      <c r="R820" s="2" t="s">
        <v>23</v>
      </c>
      <c r="S820" s="8">
        <v>1</v>
      </c>
      <c r="T820" s="2" t="s">
        <v>24</v>
      </c>
      <c r="U820" s="31" t="str" cm="1">
        <f t="array" ref="U820">_xlfn.IFS(L820&lt;=5000,$Z$3,AND(L820&gt;5000,L820&lt;=15000),$Z$4,AND(L820&gt;15000,L820&lt;=30000),$Z$5,AND(L820&gt;30000,L820&lt;=50000),$Z$6,L820&gt;50000,$Z$7)</f>
        <v>Sangat Rendah</v>
      </c>
      <c r="V820" s="2"/>
    </row>
    <row r="821" spans="1:22" ht="15.75" customHeight="1" x14ac:dyDescent="0.25">
      <c r="A821" s="26"/>
      <c r="B821" s="2" t="s">
        <v>1195</v>
      </c>
      <c r="C821" s="32">
        <v>45705.598402777781</v>
      </c>
      <c r="D821" s="53">
        <f>YEAR(Table1[[#This Row],[Order Date]])</f>
        <v>2025</v>
      </c>
      <c r="E821" s="2" t="s">
        <v>235</v>
      </c>
      <c r="F821" s="2" t="s">
        <v>189</v>
      </c>
      <c r="G821" s="2" t="s">
        <v>136</v>
      </c>
      <c r="H821" s="23">
        <v>12000</v>
      </c>
      <c r="I821" s="2">
        <v>3</v>
      </c>
      <c r="J821" s="31">
        <v>5</v>
      </c>
      <c r="K821" s="7">
        <f t="shared" si="48"/>
        <v>36000</v>
      </c>
      <c r="L821" s="7">
        <f t="shared" si="49"/>
        <v>1800</v>
      </c>
      <c r="M821" s="7">
        <f t="shared" si="50"/>
        <v>34200</v>
      </c>
      <c r="N821" s="23">
        <v>57000</v>
      </c>
      <c r="O821" s="7">
        <f t="shared" si="51"/>
        <v>91200</v>
      </c>
      <c r="P821" s="2" t="s">
        <v>63</v>
      </c>
      <c r="Q821" t="str">
        <f>_xlfn.XLOOKUP(B821,Status!$A$2:$A$1867,Status!$B$2:$B$1867)</f>
        <v>Cancelled</v>
      </c>
      <c r="R821" s="2" t="s">
        <v>82</v>
      </c>
      <c r="S821" s="8">
        <v>4</v>
      </c>
      <c r="T821" s="2" t="s">
        <v>37</v>
      </c>
      <c r="U821" s="31" t="str" cm="1">
        <f t="array" ref="U821">_xlfn.IFS(L821&lt;=5000,$Z$3,AND(L821&gt;5000,L821&lt;=15000),$Z$4,AND(L821&gt;15000,L821&lt;=30000),$Z$5,AND(L821&gt;30000,L821&lt;=50000),$Z$6,L821&gt;50000,$Z$7)</f>
        <v>Sangat Rendah</v>
      </c>
      <c r="V821" s="2"/>
    </row>
    <row r="822" spans="1:22" ht="15.75" customHeight="1" x14ac:dyDescent="0.25">
      <c r="A822" s="26"/>
      <c r="B822" s="2" t="s">
        <v>1196</v>
      </c>
      <c r="C822" s="32">
        <v>45705.628761574073</v>
      </c>
      <c r="D822" s="53">
        <f>YEAR(Table1[[#This Row],[Order Date]])</f>
        <v>2025</v>
      </c>
      <c r="E822" s="2" t="s">
        <v>1063</v>
      </c>
      <c r="F822" s="2" t="s">
        <v>96</v>
      </c>
      <c r="G822" s="2" t="s">
        <v>38</v>
      </c>
      <c r="H822" s="23">
        <v>28000</v>
      </c>
      <c r="I822" s="2">
        <v>1</v>
      </c>
      <c r="J822" s="31">
        <v>10</v>
      </c>
      <c r="K822" s="7">
        <f t="shared" si="48"/>
        <v>28000</v>
      </c>
      <c r="L822" s="7">
        <f t="shared" si="49"/>
        <v>2800</v>
      </c>
      <c r="M822" s="7">
        <f t="shared" si="50"/>
        <v>25200</v>
      </c>
      <c r="N822" s="23">
        <v>49000</v>
      </c>
      <c r="O822" s="7">
        <f t="shared" si="51"/>
        <v>74200</v>
      </c>
      <c r="P822" s="2" t="s">
        <v>22</v>
      </c>
      <c r="Q822" t="str">
        <f>_xlfn.XLOOKUP(B822,Status!$A$2:$A$1867,Status!$B$2:$B$1867)</f>
        <v>Returned</v>
      </c>
      <c r="R822" s="2" t="s">
        <v>46</v>
      </c>
      <c r="S822" s="8">
        <v>1</v>
      </c>
      <c r="T822" s="2" t="s">
        <v>24</v>
      </c>
      <c r="U822" s="31" t="str" cm="1">
        <f t="array" ref="U822">_xlfn.IFS(L822&lt;=5000,$Z$3,AND(L822&gt;5000,L822&lt;=15000),$Z$4,AND(L822&gt;15000,L822&lt;=30000),$Z$5,AND(L822&gt;30000,L822&lt;=50000),$Z$6,L822&gt;50000,$Z$7)</f>
        <v>Sangat Rendah</v>
      </c>
      <c r="V822" s="2"/>
    </row>
    <row r="823" spans="1:22" ht="15.75" customHeight="1" x14ac:dyDescent="0.25">
      <c r="A823" s="26"/>
      <c r="B823" s="2" t="s">
        <v>1197</v>
      </c>
      <c r="C823" s="32">
        <v>45705.915300925917</v>
      </c>
      <c r="D823" s="53">
        <f>YEAR(Table1[[#This Row],[Order Date]])</f>
        <v>2025</v>
      </c>
      <c r="E823" s="2" t="s">
        <v>396</v>
      </c>
      <c r="F823" s="2" t="s">
        <v>66</v>
      </c>
      <c r="G823" s="2" t="s">
        <v>144</v>
      </c>
      <c r="H823" s="23">
        <v>18000</v>
      </c>
      <c r="I823" s="2">
        <v>4</v>
      </c>
      <c r="J823" s="31">
        <v>5</v>
      </c>
      <c r="K823" s="7">
        <f t="shared" si="48"/>
        <v>72000</v>
      </c>
      <c r="L823" s="7">
        <f t="shared" si="49"/>
        <v>3600</v>
      </c>
      <c r="M823" s="7">
        <f t="shared" si="50"/>
        <v>68400</v>
      </c>
      <c r="N823" s="23">
        <v>59000</v>
      </c>
      <c r="O823" s="7">
        <f t="shared" si="51"/>
        <v>127400</v>
      </c>
      <c r="P823" s="2" t="s">
        <v>35</v>
      </c>
      <c r="Q823" t="str">
        <f>_xlfn.XLOOKUP(B823,Status!$A$2:$A$1867,Status!$B$2:$B$1867)</f>
        <v>Returned</v>
      </c>
      <c r="R823" s="2" t="s">
        <v>82</v>
      </c>
      <c r="S823" s="8">
        <v>1</v>
      </c>
      <c r="T823" s="2" t="s">
        <v>37</v>
      </c>
      <c r="U823" s="31" t="str" cm="1">
        <f t="array" ref="U823">_xlfn.IFS(L823&lt;=5000,$Z$3,AND(L823&gt;5000,L823&lt;=15000),$Z$4,AND(L823&gt;15000,L823&lt;=30000),$Z$5,AND(L823&gt;30000,L823&lt;=50000),$Z$6,L823&gt;50000,$Z$7)</f>
        <v>Sangat Rendah</v>
      </c>
      <c r="V823" s="2"/>
    </row>
    <row r="824" spans="1:22" ht="15.75" customHeight="1" x14ac:dyDescent="0.25">
      <c r="A824" s="26"/>
      <c r="B824" s="2" t="s">
        <v>1198</v>
      </c>
      <c r="C824" s="32">
        <v>45706.043124999997</v>
      </c>
      <c r="D824" s="53">
        <f>YEAR(Table1[[#This Row],[Order Date]])</f>
        <v>2025</v>
      </c>
      <c r="E824" s="2" t="s">
        <v>1199</v>
      </c>
      <c r="F824" s="2" t="s">
        <v>375</v>
      </c>
      <c r="G824" s="2" t="s">
        <v>85</v>
      </c>
      <c r="H824" s="23">
        <v>35000</v>
      </c>
      <c r="I824" s="2">
        <v>3</v>
      </c>
      <c r="J824" s="31">
        <v>0</v>
      </c>
      <c r="K824" s="7">
        <f t="shared" si="48"/>
        <v>105000</v>
      </c>
      <c r="L824" s="7">
        <f t="shared" si="49"/>
        <v>0</v>
      </c>
      <c r="M824" s="7">
        <f t="shared" si="50"/>
        <v>105000</v>
      </c>
      <c r="N824" s="23">
        <v>21000</v>
      </c>
      <c r="O824" s="7">
        <f t="shared" si="51"/>
        <v>126000</v>
      </c>
      <c r="P824" s="2" t="s">
        <v>22</v>
      </c>
      <c r="Q824" t="str">
        <f>_xlfn.XLOOKUP(B824,Status!$A$2:$A$1867,Status!$B$2:$B$1867)</f>
        <v>Returned</v>
      </c>
      <c r="R824" s="2" t="s">
        <v>36</v>
      </c>
      <c r="S824" s="8">
        <v>5</v>
      </c>
      <c r="T824" s="2" t="s">
        <v>24</v>
      </c>
      <c r="U824" s="31" t="str" cm="1">
        <f t="array" ref="U824">_xlfn.IFS(L824&lt;=5000,$Z$3,AND(L824&gt;5000,L824&lt;=15000),$Z$4,AND(L824&gt;15000,L824&lt;=30000),$Z$5,AND(L824&gt;30000,L824&lt;=50000),$Z$6,L824&gt;50000,$Z$7)</f>
        <v>Sangat Rendah</v>
      </c>
      <c r="V824" s="2"/>
    </row>
    <row r="825" spans="1:22" ht="15.75" customHeight="1" x14ac:dyDescent="0.25">
      <c r="A825" s="26"/>
      <c r="B825" s="2" t="s">
        <v>1200</v>
      </c>
      <c r="C825" s="32">
        <v>45706.288402777784</v>
      </c>
      <c r="D825" s="53">
        <f>YEAR(Table1[[#This Row],[Order Date]])</f>
        <v>2025</v>
      </c>
      <c r="E825" s="2" t="s">
        <v>133</v>
      </c>
      <c r="F825" s="2" t="s">
        <v>33</v>
      </c>
      <c r="G825" s="2" t="s">
        <v>110</v>
      </c>
      <c r="H825" s="23">
        <v>6000</v>
      </c>
      <c r="I825" s="2">
        <v>2</v>
      </c>
      <c r="J825" s="31">
        <v>10</v>
      </c>
      <c r="K825" s="7">
        <f t="shared" si="48"/>
        <v>12000</v>
      </c>
      <c r="L825" s="7">
        <f t="shared" si="49"/>
        <v>1200</v>
      </c>
      <c r="M825" s="7">
        <f t="shared" si="50"/>
        <v>10800</v>
      </c>
      <c r="N825" s="23">
        <v>76000</v>
      </c>
      <c r="O825" s="7">
        <f t="shared" si="51"/>
        <v>86800</v>
      </c>
      <c r="P825" s="2" t="s">
        <v>22</v>
      </c>
      <c r="Q825" t="str">
        <f>_xlfn.XLOOKUP(B825,Status!$A$2:$A$1867,Status!$B$2:$B$1867)</f>
        <v>Completed</v>
      </c>
      <c r="R825" s="2" t="s">
        <v>82</v>
      </c>
      <c r="S825" s="8">
        <v>5</v>
      </c>
      <c r="T825" s="2" t="s">
        <v>24</v>
      </c>
      <c r="U825" s="31" t="str" cm="1">
        <f t="array" ref="U825">_xlfn.IFS(L825&lt;=5000,$Z$3,AND(L825&gt;5000,L825&lt;=15000),$Z$4,AND(L825&gt;15000,L825&lt;=30000),$Z$5,AND(L825&gt;30000,L825&lt;=50000),$Z$6,L825&gt;50000,$Z$7)</f>
        <v>Sangat Rendah</v>
      </c>
      <c r="V825" s="2"/>
    </row>
    <row r="826" spans="1:22" ht="15.75" customHeight="1" x14ac:dyDescent="0.25">
      <c r="A826" s="26"/>
      <c r="B826" s="2" t="s">
        <v>1201</v>
      </c>
      <c r="C826" s="32">
        <v>45706.851782407408</v>
      </c>
      <c r="D826" s="53">
        <f>YEAR(Table1[[#This Row],[Order Date]])</f>
        <v>2025</v>
      </c>
      <c r="E826" s="2" t="s">
        <v>48</v>
      </c>
      <c r="F826" s="2" t="s">
        <v>49</v>
      </c>
      <c r="G826" s="2" t="s">
        <v>123</v>
      </c>
      <c r="H826" s="23">
        <v>22000</v>
      </c>
      <c r="I826" s="2">
        <v>4</v>
      </c>
      <c r="J826" s="31">
        <v>20</v>
      </c>
      <c r="K826" s="7">
        <f t="shared" si="48"/>
        <v>88000</v>
      </c>
      <c r="L826" s="7">
        <f t="shared" si="49"/>
        <v>17600</v>
      </c>
      <c r="M826" s="7">
        <f t="shared" si="50"/>
        <v>70400</v>
      </c>
      <c r="N826" s="23">
        <v>43000</v>
      </c>
      <c r="O826" s="7">
        <f t="shared" si="51"/>
        <v>113400</v>
      </c>
      <c r="P826" s="2" t="s">
        <v>22</v>
      </c>
      <c r="Q826" t="str">
        <f>_xlfn.XLOOKUP(B826,Status!$A$2:$A$1867,Status!$B$2:$B$1867)</f>
        <v>Completed</v>
      </c>
      <c r="R826" s="2" t="s">
        <v>46</v>
      </c>
      <c r="S826" s="8">
        <v>3</v>
      </c>
      <c r="T826" s="2" t="s">
        <v>24</v>
      </c>
      <c r="U826" s="31" t="str" cm="1">
        <f t="array" ref="U826">_xlfn.IFS(L826&lt;=5000,$Z$3,AND(L826&gt;5000,L826&lt;=15000),$Z$4,AND(L826&gt;15000,L826&lt;=30000),$Z$5,AND(L826&gt;30000,L826&lt;=50000),$Z$6,L826&gt;50000,$Z$7)</f>
        <v>Normal</v>
      </c>
      <c r="V826" s="2"/>
    </row>
    <row r="827" spans="1:22" ht="15.75" customHeight="1" x14ac:dyDescent="0.25">
      <c r="A827" s="26"/>
      <c r="B827" s="2" t="s">
        <v>1202</v>
      </c>
      <c r="C827" s="32">
        <v>45707.281608796293</v>
      </c>
      <c r="D827" s="53">
        <f>YEAR(Table1[[#This Row],[Order Date]])</f>
        <v>2025</v>
      </c>
      <c r="E827" s="2" t="s">
        <v>916</v>
      </c>
      <c r="F827" s="2" t="s">
        <v>96</v>
      </c>
      <c r="G827" s="2" t="s">
        <v>110</v>
      </c>
      <c r="H827" s="23">
        <v>6000</v>
      </c>
      <c r="I827" s="2">
        <v>1</v>
      </c>
      <c r="J827" s="31">
        <v>10</v>
      </c>
      <c r="K827" s="7">
        <f t="shared" si="48"/>
        <v>6000</v>
      </c>
      <c r="L827" s="7">
        <f t="shared" si="49"/>
        <v>600</v>
      </c>
      <c r="M827" s="7">
        <f t="shared" si="50"/>
        <v>5400</v>
      </c>
      <c r="N827" s="23">
        <v>49000</v>
      </c>
      <c r="O827" s="7">
        <f t="shared" si="51"/>
        <v>54400</v>
      </c>
      <c r="P827" s="2" t="s">
        <v>35</v>
      </c>
      <c r="Q827" t="str">
        <f>_xlfn.XLOOKUP(B827,Status!$A$2:$A$1867,Status!$B$2:$B$1867)</f>
        <v>Returned</v>
      </c>
      <c r="R827" s="2" t="s">
        <v>82</v>
      </c>
      <c r="S827" s="8">
        <v>3</v>
      </c>
      <c r="T827" s="2" t="s">
        <v>24</v>
      </c>
      <c r="U827" s="31" t="str" cm="1">
        <f t="array" ref="U827">_xlfn.IFS(L827&lt;=5000,$Z$3,AND(L827&gt;5000,L827&lt;=15000),$Z$4,AND(L827&gt;15000,L827&lt;=30000),$Z$5,AND(L827&gt;30000,L827&lt;=50000),$Z$6,L827&gt;50000,$Z$7)</f>
        <v>Sangat Rendah</v>
      </c>
      <c r="V827" s="2"/>
    </row>
    <row r="828" spans="1:22" ht="15.75" customHeight="1" x14ac:dyDescent="0.25">
      <c r="A828" s="26"/>
      <c r="B828" s="2" t="s">
        <v>1203</v>
      </c>
      <c r="C828" s="32">
        <v>45707.320428240739</v>
      </c>
      <c r="D828" s="53">
        <f>YEAR(Table1[[#This Row],[Order Date]])</f>
        <v>2025</v>
      </c>
      <c r="E828" s="2" t="s">
        <v>261</v>
      </c>
      <c r="F828" s="2" t="s">
        <v>262</v>
      </c>
      <c r="G828" s="2" t="s">
        <v>21</v>
      </c>
      <c r="H828" s="23">
        <v>45000</v>
      </c>
      <c r="I828" s="2">
        <v>5</v>
      </c>
      <c r="J828" s="31">
        <v>5</v>
      </c>
      <c r="K828" s="7">
        <f t="shared" si="48"/>
        <v>225000</v>
      </c>
      <c r="L828" s="7">
        <f t="shared" si="49"/>
        <v>11250</v>
      </c>
      <c r="M828" s="7">
        <f t="shared" si="50"/>
        <v>213750</v>
      </c>
      <c r="N828" s="23">
        <v>18000</v>
      </c>
      <c r="O828" s="7">
        <f t="shared" si="51"/>
        <v>231750</v>
      </c>
      <c r="P828" s="2" t="s">
        <v>29</v>
      </c>
      <c r="Q828" t="str">
        <f>_xlfn.XLOOKUP(B828,Status!$A$2:$A$1867,Status!$B$2:$B$1867)</f>
        <v>Completed</v>
      </c>
      <c r="R828" s="2" t="s">
        <v>46</v>
      </c>
      <c r="S828" s="8">
        <v>5</v>
      </c>
      <c r="T828" s="2" t="s">
        <v>24</v>
      </c>
      <c r="U828" s="31" t="str" cm="1">
        <f t="array" ref="U828">_xlfn.IFS(L828&lt;=5000,$Z$3,AND(L828&gt;5000,L828&lt;=15000),$Z$4,AND(L828&gt;15000,L828&lt;=30000),$Z$5,AND(L828&gt;30000,L828&lt;=50000),$Z$6,L828&gt;50000,$Z$7)</f>
        <v>Rendah</v>
      </c>
      <c r="V828" s="2"/>
    </row>
    <row r="829" spans="1:22" ht="15.75" customHeight="1" x14ac:dyDescent="0.25">
      <c r="A829" s="26"/>
      <c r="B829" s="2" t="s">
        <v>1203</v>
      </c>
      <c r="C829" s="32">
        <v>45707.320428240739</v>
      </c>
      <c r="D829" s="53">
        <f>YEAR(Table1[[#This Row],[Order Date]])</f>
        <v>2025</v>
      </c>
      <c r="E829" s="2" t="s">
        <v>261</v>
      </c>
      <c r="F829" s="2" t="s">
        <v>262</v>
      </c>
      <c r="G829" s="2" t="s">
        <v>174</v>
      </c>
      <c r="H829" s="23">
        <v>10000</v>
      </c>
      <c r="I829" s="2">
        <v>4</v>
      </c>
      <c r="J829" s="31">
        <v>5</v>
      </c>
      <c r="K829" s="7">
        <f t="shared" si="48"/>
        <v>40000</v>
      </c>
      <c r="L829" s="7">
        <f t="shared" si="49"/>
        <v>2000</v>
      </c>
      <c r="M829" s="7">
        <f t="shared" si="50"/>
        <v>38000</v>
      </c>
      <c r="N829" s="23">
        <v>0</v>
      </c>
      <c r="O829" s="7">
        <f t="shared" si="51"/>
        <v>38000</v>
      </c>
      <c r="P829" s="2" t="s">
        <v>29</v>
      </c>
      <c r="Q829" t="str">
        <f>_xlfn.XLOOKUP(B829,Status!$A$2:$A$1867,Status!$B$2:$B$1867)</f>
        <v>Completed</v>
      </c>
      <c r="R829" s="2" t="s">
        <v>46</v>
      </c>
      <c r="S829" s="8">
        <v>5</v>
      </c>
      <c r="T829" s="2" t="s">
        <v>24</v>
      </c>
      <c r="U829" s="31" t="str" cm="1">
        <f t="array" ref="U829">_xlfn.IFS(L829&lt;=5000,$Z$3,AND(L829&gt;5000,L829&lt;=15000),$Z$4,AND(L829&gt;15000,L829&lt;=30000),$Z$5,AND(L829&gt;30000,L829&lt;=50000),$Z$6,L829&gt;50000,$Z$7)</f>
        <v>Sangat Rendah</v>
      </c>
      <c r="V829" s="2"/>
    </row>
    <row r="830" spans="1:22" ht="15.75" customHeight="1" x14ac:dyDescent="0.25">
      <c r="A830" s="26"/>
      <c r="B830" s="2" t="s">
        <v>1204</v>
      </c>
      <c r="C830" s="32">
        <v>45707.330289351848</v>
      </c>
      <c r="D830" s="53">
        <f>YEAR(Table1[[#This Row],[Order Date]])</f>
        <v>2025</v>
      </c>
      <c r="E830" s="2" t="s">
        <v>827</v>
      </c>
      <c r="F830" s="2" t="s">
        <v>20</v>
      </c>
      <c r="G830" s="2" t="s">
        <v>75</v>
      </c>
      <c r="H830" s="23">
        <v>55000</v>
      </c>
      <c r="I830" s="2">
        <v>3</v>
      </c>
      <c r="J830" s="31">
        <v>15</v>
      </c>
      <c r="K830" s="7">
        <f t="shared" si="48"/>
        <v>165000</v>
      </c>
      <c r="L830" s="7">
        <f t="shared" si="49"/>
        <v>24750</v>
      </c>
      <c r="M830" s="7">
        <f t="shared" si="50"/>
        <v>140250</v>
      </c>
      <c r="N830" s="23">
        <v>15000</v>
      </c>
      <c r="O830" s="7">
        <f t="shared" si="51"/>
        <v>155250</v>
      </c>
      <c r="P830" s="2" t="s">
        <v>63</v>
      </c>
      <c r="Q830" t="str">
        <f>_xlfn.XLOOKUP(B830,Status!$A$2:$A$1867,Status!$B$2:$B$1867)</f>
        <v>Completed</v>
      </c>
      <c r="R830" s="2" t="s">
        <v>23</v>
      </c>
      <c r="S830" s="8">
        <v>5</v>
      </c>
      <c r="T830" s="2" t="s">
        <v>24</v>
      </c>
      <c r="U830" s="31" t="str" cm="1">
        <f t="array" ref="U830">_xlfn.IFS(L830&lt;=5000,$Z$3,AND(L830&gt;5000,L830&lt;=15000),$Z$4,AND(L830&gt;15000,L830&lt;=30000),$Z$5,AND(L830&gt;30000,L830&lt;=50000),$Z$6,L830&gt;50000,$Z$7)</f>
        <v>Normal</v>
      </c>
      <c r="V830" s="2"/>
    </row>
    <row r="831" spans="1:22" ht="15.75" customHeight="1" x14ac:dyDescent="0.25">
      <c r="A831" s="26"/>
      <c r="B831" s="2" t="s">
        <v>1205</v>
      </c>
      <c r="C831" s="32">
        <v>45707.727094907408</v>
      </c>
      <c r="D831" s="53">
        <f>YEAR(Table1[[#This Row],[Order Date]])</f>
        <v>2025</v>
      </c>
      <c r="E831" s="2" t="s">
        <v>287</v>
      </c>
      <c r="F831" s="2" t="s">
        <v>262</v>
      </c>
      <c r="G831" s="2" t="s">
        <v>104</v>
      </c>
      <c r="H831" s="23">
        <v>30000</v>
      </c>
      <c r="I831" s="2">
        <v>3</v>
      </c>
      <c r="J831" s="31">
        <v>5</v>
      </c>
      <c r="K831" s="7">
        <f t="shared" si="48"/>
        <v>90000</v>
      </c>
      <c r="L831" s="7">
        <f t="shared" si="49"/>
        <v>4500</v>
      </c>
      <c r="M831" s="7">
        <f t="shared" si="50"/>
        <v>85500</v>
      </c>
      <c r="N831" s="23">
        <v>18000</v>
      </c>
      <c r="O831" s="7">
        <f t="shared" si="51"/>
        <v>103500</v>
      </c>
      <c r="P831" s="2" t="s">
        <v>35</v>
      </c>
      <c r="Q831" t="str">
        <f>_xlfn.XLOOKUP(B831,Status!$A$2:$A$1867,Status!$B$2:$B$1867)</f>
        <v>Completed</v>
      </c>
      <c r="R831" s="2" t="s">
        <v>36</v>
      </c>
      <c r="S831" s="8">
        <v>5</v>
      </c>
      <c r="T831" s="2" t="s">
        <v>24</v>
      </c>
      <c r="U831" s="31" t="str" cm="1">
        <f t="array" ref="U831">_xlfn.IFS(L831&lt;=5000,$Z$3,AND(L831&gt;5000,L831&lt;=15000),$Z$4,AND(L831&gt;15000,L831&lt;=30000),$Z$5,AND(L831&gt;30000,L831&lt;=50000),$Z$6,L831&gt;50000,$Z$7)</f>
        <v>Sangat Rendah</v>
      </c>
      <c r="V831" s="2"/>
    </row>
    <row r="832" spans="1:22" ht="15.75" customHeight="1" x14ac:dyDescent="0.25">
      <c r="A832" s="26"/>
      <c r="B832" s="2" t="s">
        <v>1206</v>
      </c>
      <c r="C832" s="32">
        <v>45708.040451388893</v>
      </c>
      <c r="D832" s="53">
        <f>YEAR(Table1[[#This Row],[Order Date]])</f>
        <v>2025</v>
      </c>
      <c r="E832" s="2" t="s">
        <v>525</v>
      </c>
      <c r="F832" s="2" t="s">
        <v>96</v>
      </c>
      <c r="G832" s="2" t="s">
        <v>45</v>
      </c>
      <c r="H832" s="23">
        <v>40000</v>
      </c>
      <c r="I832" s="2">
        <v>5</v>
      </c>
      <c r="J832" s="31">
        <v>10</v>
      </c>
      <c r="K832" s="7">
        <f t="shared" si="48"/>
        <v>200000</v>
      </c>
      <c r="L832" s="7">
        <f t="shared" si="49"/>
        <v>20000</v>
      </c>
      <c r="M832" s="7">
        <f t="shared" si="50"/>
        <v>180000</v>
      </c>
      <c r="N832" s="23">
        <v>49000</v>
      </c>
      <c r="O832" s="7">
        <f t="shared" si="51"/>
        <v>229000</v>
      </c>
      <c r="P832" s="2" t="s">
        <v>35</v>
      </c>
      <c r="Q832" t="str">
        <f>_xlfn.XLOOKUP(B832,Status!$A$2:$A$1867,Status!$B$2:$B$1867)</f>
        <v>Completed</v>
      </c>
      <c r="R832" s="2" t="s">
        <v>46</v>
      </c>
      <c r="S832" s="8">
        <v>5</v>
      </c>
      <c r="T832" s="2" t="s">
        <v>24</v>
      </c>
      <c r="U832" s="31" t="str" cm="1">
        <f t="array" ref="U832">_xlfn.IFS(L832&lt;=5000,$Z$3,AND(L832&gt;5000,L832&lt;=15000),$Z$4,AND(L832&gt;15000,L832&lt;=30000),$Z$5,AND(L832&gt;30000,L832&lt;=50000),$Z$6,L832&gt;50000,$Z$7)</f>
        <v>Normal</v>
      </c>
      <c r="V832" s="2"/>
    </row>
    <row r="833" spans="1:22" ht="15.75" customHeight="1" x14ac:dyDescent="0.25">
      <c r="A833" s="26"/>
      <c r="B833" s="2" t="s">
        <v>1207</v>
      </c>
      <c r="C833" s="32">
        <v>45708.093530092592</v>
      </c>
      <c r="D833" s="53">
        <f>YEAR(Table1[[#This Row],[Order Date]])</f>
        <v>2025</v>
      </c>
      <c r="E833" s="2" t="s">
        <v>729</v>
      </c>
      <c r="F833" s="2" t="s">
        <v>74</v>
      </c>
      <c r="G833" s="2" t="s">
        <v>28</v>
      </c>
      <c r="H833" s="23">
        <v>5000</v>
      </c>
      <c r="I833" s="2">
        <v>5</v>
      </c>
      <c r="J833" s="31">
        <v>0</v>
      </c>
      <c r="K833" s="7">
        <f t="shared" si="48"/>
        <v>25000</v>
      </c>
      <c r="L833" s="7">
        <f t="shared" si="49"/>
        <v>0</v>
      </c>
      <c r="M833" s="7">
        <f t="shared" si="50"/>
        <v>25000</v>
      </c>
      <c r="N833" s="23">
        <v>87000</v>
      </c>
      <c r="O833" s="7">
        <f t="shared" si="51"/>
        <v>112000</v>
      </c>
      <c r="P833" s="2" t="s">
        <v>29</v>
      </c>
      <c r="Q833" t="str">
        <f>_xlfn.XLOOKUP(B833,Status!$A$2:$A$1867,Status!$B$2:$B$1867)</f>
        <v>Completed</v>
      </c>
      <c r="R833" s="2" t="s">
        <v>23</v>
      </c>
      <c r="S833" s="8">
        <v>3</v>
      </c>
      <c r="T833" s="2" t="s">
        <v>24</v>
      </c>
      <c r="U833" s="31" t="str" cm="1">
        <f t="array" ref="U833">_xlfn.IFS(L833&lt;=5000,$Z$3,AND(L833&gt;5000,L833&lt;=15000),$Z$4,AND(L833&gt;15000,L833&lt;=30000),$Z$5,AND(L833&gt;30000,L833&lt;=50000),$Z$6,L833&gt;50000,$Z$7)</f>
        <v>Sangat Rendah</v>
      </c>
      <c r="V833" s="2"/>
    </row>
    <row r="834" spans="1:22" ht="15.75" customHeight="1" x14ac:dyDescent="0.25">
      <c r="A834" s="26"/>
      <c r="B834" s="2" t="s">
        <v>1208</v>
      </c>
      <c r="C834" s="32">
        <v>45708.313923611109</v>
      </c>
      <c r="D834" s="53">
        <f>YEAR(Table1[[#This Row],[Order Date]])</f>
        <v>2025</v>
      </c>
      <c r="E834" s="2" t="s">
        <v>644</v>
      </c>
      <c r="F834" s="2" t="s">
        <v>244</v>
      </c>
      <c r="G834" s="2" t="s">
        <v>104</v>
      </c>
      <c r="H834" s="23">
        <v>30000</v>
      </c>
      <c r="I834" s="2">
        <v>4</v>
      </c>
      <c r="J834" s="31">
        <v>0</v>
      </c>
      <c r="K834" s="7">
        <f t="shared" si="48"/>
        <v>120000</v>
      </c>
      <c r="L834" s="7">
        <f t="shared" si="49"/>
        <v>0</v>
      </c>
      <c r="M834" s="7">
        <f t="shared" si="50"/>
        <v>120000</v>
      </c>
      <c r="N834" s="23">
        <v>80000</v>
      </c>
      <c r="O834" s="7">
        <f t="shared" si="51"/>
        <v>200000</v>
      </c>
      <c r="P834" s="2" t="s">
        <v>63</v>
      </c>
      <c r="Q834" t="str">
        <f>_xlfn.XLOOKUP(B834,Status!$A$2:$A$1867,Status!$B$2:$B$1867)</f>
        <v>Completed</v>
      </c>
      <c r="R834" s="2" t="s">
        <v>23</v>
      </c>
      <c r="S834" s="8">
        <v>4</v>
      </c>
      <c r="T834" s="2" t="s">
        <v>24</v>
      </c>
      <c r="U834" s="31" t="str" cm="1">
        <f t="array" ref="U834">_xlfn.IFS(L834&lt;=5000,$Z$3,AND(L834&gt;5000,L834&lt;=15000),$Z$4,AND(L834&gt;15000,L834&lt;=30000),$Z$5,AND(L834&gt;30000,L834&lt;=50000),$Z$6,L834&gt;50000,$Z$7)</f>
        <v>Sangat Rendah</v>
      </c>
      <c r="V834" s="2"/>
    </row>
    <row r="835" spans="1:22" ht="15.75" customHeight="1" x14ac:dyDescent="0.25">
      <c r="A835" s="26"/>
      <c r="B835" s="2" t="s">
        <v>1209</v>
      </c>
      <c r="C835" s="32">
        <v>45708.372812499998</v>
      </c>
      <c r="D835" s="53">
        <f>YEAR(Table1[[#This Row],[Order Date]])</f>
        <v>2025</v>
      </c>
      <c r="E835" s="2" t="s">
        <v>1210</v>
      </c>
      <c r="F835" s="2" t="s">
        <v>113</v>
      </c>
      <c r="G835" s="2" t="s">
        <v>71</v>
      </c>
      <c r="H835" s="23">
        <v>40000</v>
      </c>
      <c r="I835" s="2">
        <v>4</v>
      </c>
      <c r="J835" s="31">
        <v>5</v>
      </c>
      <c r="K835" s="7">
        <f t="shared" si="48"/>
        <v>160000</v>
      </c>
      <c r="L835" s="7">
        <f t="shared" si="49"/>
        <v>8000</v>
      </c>
      <c r="M835" s="7">
        <f t="shared" si="50"/>
        <v>152000</v>
      </c>
      <c r="N835" s="23">
        <v>18000</v>
      </c>
      <c r="O835" s="7">
        <f t="shared" si="51"/>
        <v>170000</v>
      </c>
      <c r="P835" s="2" t="s">
        <v>29</v>
      </c>
      <c r="Q835" t="str">
        <f>_xlfn.XLOOKUP(B835,Status!$A$2:$A$1867,Status!$B$2:$B$1867)</f>
        <v>Returned</v>
      </c>
      <c r="R835" s="2" t="s">
        <v>46</v>
      </c>
      <c r="S835" s="8">
        <v>3</v>
      </c>
      <c r="T835" s="2" t="s">
        <v>24</v>
      </c>
      <c r="U835" s="31" t="str" cm="1">
        <f t="array" ref="U835">_xlfn.IFS(L835&lt;=5000,$Z$3,AND(L835&gt;5000,L835&lt;=15000),$Z$4,AND(L835&gt;15000,L835&lt;=30000),$Z$5,AND(L835&gt;30000,L835&lt;=50000),$Z$6,L835&gt;50000,$Z$7)</f>
        <v>Rendah</v>
      </c>
      <c r="V835" s="2"/>
    </row>
    <row r="836" spans="1:22" ht="15.75" customHeight="1" x14ac:dyDescent="0.25">
      <c r="A836" s="26"/>
      <c r="B836" s="2" t="s">
        <v>1211</v>
      </c>
      <c r="C836" s="32">
        <v>45708.462071759262</v>
      </c>
      <c r="D836" s="53">
        <f>YEAR(Table1[[#This Row],[Order Date]])</f>
        <v>2025</v>
      </c>
      <c r="E836" s="2" t="s">
        <v>374</v>
      </c>
      <c r="F836" s="2" t="s">
        <v>375</v>
      </c>
      <c r="G836" s="2" t="s">
        <v>34</v>
      </c>
      <c r="H836" s="23">
        <v>16000</v>
      </c>
      <c r="I836" s="2">
        <v>1</v>
      </c>
      <c r="J836" s="31">
        <v>15</v>
      </c>
      <c r="K836" s="7">
        <f t="shared" ref="K836:K899" si="52">H836*I836</f>
        <v>16000</v>
      </c>
      <c r="L836" s="7">
        <f t="shared" ref="L836:L899" si="53">K836*(J836/100)</f>
        <v>2400</v>
      </c>
      <c r="M836" s="7">
        <f t="shared" ref="M836:M899" si="54">K836-L836</f>
        <v>13600</v>
      </c>
      <c r="N836" s="23">
        <v>21000</v>
      </c>
      <c r="O836" s="7">
        <f t="shared" ref="O836:O899" si="55">SUM(M836:N836)</f>
        <v>34600</v>
      </c>
      <c r="P836" s="2" t="s">
        <v>63</v>
      </c>
      <c r="Q836" t="str">
        <f>_xlfn.XLOOKUP(B836,Status!$A$2:$A$1867,Status!$B$2:$B$1867)</f>
        <v>Completed</v>
      </c>
      <c r="R836" s="2" t="s">
        <v>23</v>
      </c>
      <c r="S836" s="8">
        <v>3</v>
      </c>
      <c r="T836" s="2" t="s">
        <v>37</v>
      </c>
      <c r="U836" s="31" t="str" cm="1">
        <f t="array" ref="U836">_xlfn.IFS(L836&lt;=5000,$Z$3,AND(L836&gt;5000,L836&lt;=15000),$Z$4,AND(L836&gt;15000,L836&lt;=30000),$Z$5,AND(L836&gt;30000,L836&lt;=50000),$Z$6,L836&gt;50000,$Z$7)</f>
        <v>Sangat Rendah</v>
      </c>
      <c r="V836" s="2"/>
    </row>
    <row r="837" spans="1:22" ht="15.75" customHeight="1" x14ac:dyDescent="0.25">
      <c r="A837" s="26"/>
      <c r="B837" s="2" t="s">
        <v>1212</v>
      </c>
      <c r="C837" s="32">
        <v>45710.038969907408</v>
      </c>
      <c r="D837" s="53">
        <f>YEAR(Table1[[#This Row],[Order Date]])</f>
        <v>2025</v>
      </c>
      <c r="E837" s="2" t="s">
        <v>635</v>
      </c>
      <c r="F837" s="2" t="s">
        <v>103</v>
      </c>
      <c r="G837" s="2" t="s">
        <v>67</v>
      </c>
      <c r="H837" s="23">
        <v>15000</v>
      </c>
      <c r="I837" s="2">
        <v>2</v>
      </c>
      <c r="J837" s="31">
        <v>5</v>
      </c>
      <c r="K837" s="7">
        <f t="shared" si="52"/>
        <v>30000</v>
      </c>
      <c r="L837" s="7">
        <f t="shared" si="53"/>
        <v>1500</v>
      </c>
      <c r="M837" s="7">
        <f t="shared" si="54"/>
        <v>28500</v>
      </c>
      <c r="N837" s="23">
        <v>85000</v>
      </c>
      <c r="O837" s="7">
        <f t="shared" si="55"/>
        <v>113500</v>
      </c>
      <c r="P837" s="2" t="s">
        <v>22</v>
      </c>
      <c r="Q837" t="str">
        <f>_xlfn.XLOOKUP(B837,Status!$A$2:$A$1867,Status!$B$2:$B$1867)</f>
        <v>Completed</v>
      </c>
      <c r="R837" s="2" t="s">
        <v>82</v>
      </c>
      <c r="S837" s="8">
        <v>1</v>
      </c>
      <c r="T837" s="2" t="s">
        <v>24</v>
      </c>
      <c r="U837" s="31" t="str" cm="1">
        <f t="array" ref="U837">_xlfn.IFS(L837&lt;=5000,$Z$3,AND(L837&gt;5000,L837&lt;=15000),$Z$4,AND(L837&gt;15000,L837&lt;=30000),$Z$5,AND(L837&gt;30000,L837&lt;=50000),$Z$6,L837&gt;50000,$Z$7)</f>
        <v>Sangat Rendah</v>
      </c>
      <c r="V837" s="2"/>
    </row>
    <row r="838" spans="1:22" ht="15.75" customHeight="1" x14ac:dyDescent="0.25">
      <c r="A838" s="26"/>
      <c r="B838" s="2" t="s">
        <v>1213</v>
      </c>
      <c r="C838" s="32">
        <v>45710.237928240742</v>
      </c>
      <c r="D838" s="53">
        <f>YEAR(Table1[[#This Row],[Order Date]])</f>
        <v>2025</v>
      </c>
      <c r="E838" s="2" t="s">
        <v>615</v>
      </c>
      <c r="F838" s="2" t="s">
        <v>92</v>
      </c>
      <c r="G838" s="2" t="s">
        <v>85</v>
      </c>
      <c r="H838" s="23">
        <v>35000</v>
      </c>
      <c r="I838" s="2">
        <v>3</v>
      </c>
      <c r="J838" s="31">
        <v>10</v>
      </c>
      <c r="K838" s="7">
        <f t="shared" si="52"/>
        <v>105000</v>
      </c>
      <c r="L838" s="7">
        <f t="shared" si="53"/>
        <v>10500</v>
      </c>
      <c r="M838" s="7">
        <f t="shared" si="54"/>
        <v>94500</v>
      </c>
      <c r="N838" s="23">
        <v>30000</v>
      </c>
      <c r="O838" s="7">
        <f t="shared" si="55"/>
        <v>124500</v>
      </c>
      <c r="P838" s="2" t="s">
        <v>29</v>
      </c>
      <c r="Q838" t="str">
        <f>_xlfn.XLOOKUP(B838,Status!$A$2:$A$1867,Status!$B$2:$B$1867)</f>
        <v>Returned</v>
      </c>
      <c r="R838" s="2" t="s">
        <v>23</v>
      </c>
      <c r="S838" s="8">
        <v>1</v>
      </c>
      <c r="T838" s="2" t="s">
        <v>24</v>
      </c>
      <c r="U838" s="31" t="str" cm="1">
        <f t="array" ref="U838">_xlfn.IFS(L838&lt;=5000,$Z$3,AND(L838&gt;5000,L838&lt;=15000),$Z$4,AND(L838&gt;15000,L838&lt;=30000),$Z$5,AND(L838&gt;30000,L838&lt;=50000),$Z$6,L838&gt;50000,$Z$7)</f>
        <v>Rendah</v>
      </c>
      <c r="V838" s="2"/>
    </row>
    <row r="839" spans="1:22" ht="15.75" customHeight="1" x14ac:dyDescent="0.25">
      <c r="A839" s="26"/>
      <c r="B839" s="2" t="s">
        <v>1214</v>
      </c>
      <c r="C839" s="32">
        <v>45710.321087962962</v>
      </c>
      <c r="D839" s="53">
        <f>YEAR(Table1[[#This Row],[Order Date]])</f>
        <v>2025</v>
      </c>
      <c r="E839" s="2" t="s">
        <v>412</v>
      </c>
      <c r="F839" s="2" t="s">
        <v>70</v>
      </c>
      <c r="G839" s="2" t="s">
        <v>62</v>
      </c>
      <c r="H839" s="23">
        <v>50000</v>
      </c>
      <c r="I839" s="2">
        <v>5</v>
      </c>
      <c r="J839" s="31">
        <v>15</v>
      </c>
      <c r="K839" s="7">
        <f t="shared" si="52"/>
        <v>250000</v>
      </c>
      <c r="L839" s="7">
        <f t="shared" si="53"/>
        <v>37500</v>
      </c>
      <c r="M839" s="7">
        <f t="shared" si="54"/>
        <v>212500</v>
      </c>
      <c r="N839" s="23">
        <v>89000</v>
      </c>
      <c r="O839" s="7">
        <f t="shared" si="55"/>
        <v>301500</v>
      </c>
      <c r="P839" s="2" t="s">
        <v>35</v>
      </c>
      <c r="Q839" t="str">
        <f>_xlfn.XLOOKUP(B839,Status!$A$2:$A$1867,Status!$B$2:$B$1867)</f>
        <v>Completed</v>
      </c>
      <c r="R839" s="2" t="s">
        <v>23</v>
      </c>
      <c r="S839" s="8">
        <v>4</v>
      </c>
      <c r="T839" s="2" t="s">
        <v>24</v>
      </c>
      <c r="U839" s="31" t="str" cm="1">
        <f t="array" ref="U839">_xlfn.IFS(L839&lt;=5000,$Z$3,AND(L839&gt;5000,L839&lt;=15000),$Z$4,AND(L839&gt;15000,L839&lt;=30000),$Z$5,AND(L839&gt;30000,L839&lt;=50000),$Z$6,L839&gt;50000,$Z$7)</f>
        <v>Tinggi</v>
      </c>
      <c r="V839" s="2"/>
    </row>
    <row r="840" spans="1:22" ht="15.75" customHeight="1" x14ac:dyDescent="0.25">
      <c r="A840" s="26"/>
      <c r="B840" s="2" t="s">
        <v>1215</v>
      </c>
      <c r="C840" s="32">
        <v>45710.368113425917</v>
      </c>
      <c r="D840" s="53">
        <f>YEAR(Table1[[#This Row],[Order Date]])</f>
        <v>2025</v>
      </c>
      <c r="E840" s="2" t="s">
        <v>419</v>
      </c>
      <c r="F840" s="2" t="s">
        <v>103</v>
      </c>
      <c r="G840" s="2" t="s">
        <v>38</v>
      </c>
      <c r="H840" s="23">
        <v>28000</v>
      </c>
      <c r="I840" s="2">
        <v>2</v>
      </c>
      <c r="J840" s="31">
        <v>15</v>
      </c>
      <c r="K840" s="7">
        <f t="shared" si="52"/>
        <v>56000</v>
      </c>
      <c r="L840" s="7">
        <f t="shared" si="53"/>
        <v>8400</v>
      </c>
      <c r="M840" s="7">
        <f t="shared" si="54"/>
        <v>47600</v>
      </c>
      <c r="N840" s="23">
        <v>85000</v>
      </c>
      <c r="O840" s="7">
        <f t="shared" si="55"/>
        <v>132600</v>
      </c>
      <c r="P840" s="2" t="s">
        <v>63</v>
      </c>
      <c r="Q840" t="str">
        <f>_xlfn.XLOOKUP(B840,Status!$A$2:$A$1867,Status!$B$2:$B$1867)</f>
        <v>Cancelled</v>
      </c>
      <c r="R840" s="2" t="s">
        <v>82</v>
      </c>
      <c r="S840" s="8">
        <v>5</v>
      </c>
      <c r="T840" s="2" t="s">
        <v>37</v>
      </c>
      <c r="U840" s="31" t="str" cm="1">
        <f t="array" ref="U840">_xlfn.IFS(L840&lt;=5000,$Z$3,AND(L840&gt;5000,L840&lt;=15000),$Z$4,AND(L840&gt;15000,L840&lt;=30000),$Z$5,AND(L840&gt;30000,L840&lt;=50000),$Z$6,L840&gt;50000,$Z$7)</f>
        <v>Rendah</v>
      </c>
      <c r="V840" s="2"/>
    </row>
    <row r="841" spans="1:22" ht="15.75" customHeight="1" x14ac:dyDescent="0.25">
      <c r="A841" s="26"/>
      <c r="B841" s="2" t="s">
        <v>1216</v>
      </c>
      <c r="C841" s="32">
        <v>45710.415034722217</v>
      </c>
      <c r="D841" s="53">
        <f>YEAR(Table1[[#This Row],[Order Date]])</f>
        <v>2025</v>
      </c>
      <c r="E841" s="2" t="s">
        <v>408</v>
      </c>
      <c r="F841" s="2" t="s">
        <v>74</v>
      </c>
      <c r="G841" s="2" t="s">
        <v>88</v>
      </c>
      <c r="H841" s="23">
        <v>14000</v>
      </c>
      <c r="I841" s="2">
        <v>2</v>
      </c>
      <c r="J841" s="31">
        <v>0</v>
      </c>
      <c r="K841" s="7">
        <f t="shared" si="52"/>
        <v>28000</v>
      </c>
      <c r="L841" s="7">
        <f t="shared" si="53"/>
        <v>0</v>
      </c>
      <c r="M841" s="7">
        <f t="shared" si="54"/>
        <v>28000</v>
      </c>
      <c r="N841" s="23">
        <v>87000</v>
      </c>
      <c r="O841" s="7">
        <f t="shared" si="55"/>
        <v>115000</v>
      </c>
      <c r="P841" s="2" t="s">
        <v>29</v>
      </c>
      <c r="Q841" t="str">
        <f>_xlfn.XLOOKUP(B841,Status!$A$2:$A$1867,Status!$B$2:$B$1867)</f>
        <v>Completed</v>
      </c>
      <c r="R841" s="2" t="s">
        <v>23</v>
      </c>
      <c r="S841" s="8">
        <v>5</v>
      </c>
      <c r="T841" s="2" t="s">
        <v>24</v>
      </c>
      <c r="U841" s="31" t="str" cm="1">
        <f t="array" ref="U841">_xlfn.IFS(L841&lt;=5000,$Z$3,AND(L841&gt;5000,L841&lt;=15000),$Z$4,AND(L841&gt;15000,L841&lt;=30000),$Z$5,AND(L841&gt;30000,L841&lt;=50000),$Z$6,L841&gt;50000,$Z$7)</f>
        <v>Sangat Rendah</v>
      </c>
      <c r="V841" s="2"/>
    </row>
    <row r="842" spans="1:22" ht="15.75" customHeight="1" x14ac:dyDescent="0.25">
      <c r="A842" s="26"/>
      <c r="B842" s="2" t="s">
        <v>1217</v>
      </c>
      <c r="C842" s="32">
        <v>45710.959374999999</v>
      </c>
      <c r="D842" s="53">
        <f>YEAR(Table1[[#This Row],[Order Date]])</f>
        <v>2025</v>
      </c>
      <c r="E842" s="2" t="s">
        <v>1003</v>
      </c>
      <c r="F842" s="2" t="s">
        <v>262</v>
      </c>
      <c r="G842" s="2" t="s">
        <v>88</v>
      </c>
      <c r="H842" s="23">
        <v>14000</v>
      </c>
      <c r="I842" s="2">
        <v>1</v>
      </c>
      <c r="J842" s="31">
        <v>5</v>
      </c>
      <c r="K842" s="7">
        <f t="shared" si="52"/>
        <v>14000</v>
      </c>
      <c r="L842" s="7">
        <f t="shared" si="53"/>
        <v>700</v>
      </c>
      <c r="M842" s="7">
        <f t="shared" si="54"/>
        <v>13300</v>
      </c>
      <c r="N842" s="23">
        <v>18000</v>
      </c>
      <c r="O842" s="7">
        <f t="shared" si="55"/>
        <v>31300</v>
      </c>
      <c r="P842" s="2" t="s">
        <v>63</v>
      </c>
      <c r="Q842" t="str">
        <f>_xlfn.XLOOKUP(B842,Status!$A$2:$A$1867,Status!$B$2:$B$1867)</f>
        <v>Completed</v>
      </c>
      <c r="R842" s="2" t="s">
        <v>46</v>
      </c>
      <c r="S842" s="8">
        <v>2</v>
      </c>
      <c r="T842" s="2" t="s">
        <v>24</v>
      </c>
      <c r="U842" s="31" t="str" cm="1">
        <f t="array" ref="U842">_xlfn.IFS(L842&lt;=5000,$Z$3,AND(L842&gt;5000,L842&lt;=15000),$Z$4,AND(L842&gt;15000,L842&lt;=30000),$Z$5,AND(L842&gt;30000,L842&lt;=50000),$Z$6,L842&gt;50000,$Z$7)</f>
        <v>Sangat Rendah</v>
      </c>
      <c r="V842" s="2"/>
    </row>
    <row r="843" spans="1:22" ht="15.75" customHeight="1" x14ac:dyDescent="0.25">
      <c r="A843" s="26"/>
      <c r="B843" s="2" t="s">
        <v>1218</v>
      </c>
      <c r="C843" s="32">
        <v>45711.086180555547</v>
      </c>
      <c r="D843" s="53">
        <f>YEAR(Table1[[#This Row],[Order Date]])</f>
        <v>2025</v>
      </c>
      <c r="E843" s="2" t="s">
        <v>295</v>
      </c>
      <c r="F843" s="2" t="s">
        <v>296</v>
      </c>
      <c r="G843" s="2" t="s">
        <v>85</v>
      </c>
      <c r="H843" s="23">
        <v>35000</v>
      </c>
      <c r="I843" s="2">
        <v>4</v>
      </c>
      <c r="J843" s="31">
        <v>5</v>
      </c>
      <c r="K843" s="7">
        <f t="shared" si="52"/>
        <v>140000</v>
      </c>
      <c r="L843" s="7">
        <f t="shared" si="53"/>
        <v>7000</v>
      </c>
      <c r="M843" s="7">
        <f t="shared" si="54"/>
        <v>133000</v>
      </c>
      <c r="N843" s="23">
        <v>79000</v>
      </c>
      <c r="O843" s="7">
        <f t="shared" si="55"/>
        <v>212000</v>
      </c>
      <c r="P843" s="2" t="s">
        <v>29</v>
      </c>
      <c r="Q843" t="str">
        <f>_xlfn.XLOOKUP(B843,Status!$A$2:$A$1867,Status!$B$2:$B$1867)</f>
        <v>Completed</v>
      </c>
      <c r="R843" s="2" t="s">
        <v>36</v>
      </c>
      <c r="S843" s="8">
        <v>2</v>
      </c>
      <c r="T843" s="2" t="s">
        <v>24</v>
      </c>
      <c r="U843" s="31" t="str" cm="1">
        <f t="array" ref="U843">_xlfn.IFS(L843&lt;=5000,$Z$3,AND(L843&gt;5000,L843&lt;=15000),$Z$4,AND(L843&gt;15000,L843&lt;=30000),$Z$5,AND(L843&gt;30000,L843&lt;=50000),$Z$6,L843&gt;50000,$Z$7)</f>
        <v>Rendah</v>
      </c>
      <c r="V843" s="2"/>
    </row>
    <row r="844" spans="1:22" ht="15.75" customHeight="1" x14ac:dyDescent="0.25">
      <c r="A844" s="26"/>
      <c r="B844" s="2" t="s">
        <v>1219</v>
      </c>
      <c r="C844" s="32">
        <v>45711.112835648149</v>
      </c>
      <c r="D844" s="53">
        <f>YEAR(Table1[[#This Row],[Order Date]])</f>
        <v>2025</v>
      </c>
      <c r="E844" s="2" t="s">
        <v>644</v>
      </c>
      <c r="F844" s="2" t="s">
        <v>244</v>
      </c>
      <c r="G844" s="2" t="s">
        <v>71</v>
      </c>
      <c r="H844" s="23">
        <v>40000</v>
      </c>
      <c r="I844" s="2">
        <v>3</v>
      </c>
      <c r="J844" s="31">
        <v>0</v>
      </c>
      <c r="K844" s="7">
        <f t="shared" si="52"/>
        <v>120000</v>
      </c>
      <c r="L844" s="7">
        <f t="shared" si="53"/>
        <v>0</v>
      </c>
      <c r="M844" s="7">
        <f t="shared" si="54"/>
        <v>120000</v>
      </c>
      <c r="N844" s="23">
        <v>80000</v>
      </c>
      <c r="O844" s="7">
        <f t="shared" si="55"/>
        <v>200000</v>
      </c>
      <c r="P844" s="2" t="s">
        <v>63</v>
      </c>
      <c r="Q844" t="str">
        <f>_xlfn.XLOOKUP(B844,Status!$A$2:$A$1867,Status!$B$2:$B$1867)</f>
        <v>Returned</v>
      </c>
      <c r="R844" s="2" t="s">
        <v>82</v>
      </c>
      <c r="S844" s="8">
        <v>5</v>
      </c>
      <c r="T844" s="2" t="s">
        <v>24</v>
      </c>
      <c r="U844" s="31" t="str" cm="1">
        <f t="array" ref="U844">_xlfn.IFS(L844&lt;=5000,$Z$3,AND(L844&gt;5000,L844&lt;=15000),$Z$4,AND(L844&gt;15000,L844&lt;=30000),$Z$5,AND(L844&gt;30000,L844&lt;=50000),$Z$6,L844&gt;50000,$Z$7)</f>
        <v>Sangat Rendah</v>
      </c>
      <c r="V844" s="2"/>
    </row>
    <row r="845" spans="1:22" ht="15.75" customHeight="1" x14ac:dyDescent="0.25">
      <c r="A845" s="26"/>
      <c r="B845" s="2" t="s">
        <v>1220</v>
      </c>
      <c r="C845" s="32">
        <v>45711.125011574077</v>
      </c>
      <c r="D845" s="53">
        <f>YEAR(Table1[[#This Row],[Order Date]])</f>
        <v>2025</v>
      </c>
      <c r="E845" s="2" t="s">
        <v>227</v>
      </c>
      <c r="F845" s="2" t="s">
        <v>70</v>
      </c>
      <c r="G845" s="2" t="s">
        <v>50</v>
      </c>
      <c r="H845" s="23">
        <v>14000</v>
      </c>
      <c r="I845" s="2">
        <v>5</v>
      </c>
      <c r="J845" s="31">
        <v>10</v>
      </c>
      <c r="K845" s="7">
        <f t="shared" si="52"/>
        <v>70000</v>
      </c>
      <c r="L845" s="7">
        <f t="shared" si="53"/>
        <v>7000</v>
      </c>
      <c r="M845" s="7">
        <f t="shared" si="54"/>
        <v>63000</v>
      </c>
      <c r="N845" s="23">
        <v>89000</v>
      </c>
      <c r="O845" s="7">
        <f t="shared" si="55"/>
        <v>152000</v>
      </c>
      <c r="P845" s="2" t="s">
        <v>29</v>
      </c>
      <c r="Q845" t="str">
        <f>_xlfn.XLOOKUP(B845,Status!$A$2:$A$1867,Status!$B$2:$B$1867)</f>
        <v>Returned</v>
      </c>
      <c r="R845" s="2" t="s">
        <v>23</v>
      </c>
      <c r="S845" s="8">
        <v>4</v>
      </c>
      <c r="T845" s="2" t="s">
        <v>24</v>
      </c>
      <c r="U845" s="31" t="str" cm="1">
        <f t="array" ref="U845">_xlfn.IFS(L845&lt;=5000,$Z$3,AND(L845&gt;5000,L845&lt;=15000),$Z$4,AND(L845&gt;15000,L845&lt;=30000),$Z$5,AND(L845&gt;30000,L845&lt;=50000),$Z$6,L845&gt;50000,$Z$7)</f>
        <v>Rendah</v>
      </c>
      <c r="V845" s="2"/>
    </row>
    <row r="846" spans="1:22" ht="15.75" customHeight="1" x14ac:dyDescent="0.25">
      <c r="A846" s="26"/>
      <c r="B846" s="2" t="s">
        <v>1221</v>
      </c>
      <c r="C846" s="32">
        <v>45711.494050925918</v>
      </c>
      <c r="D846" s="53">
        <f>YEAR(Table1[[#This Row],[Order Date]])</f>
        <v>2025</v>
      </c>
      <c r="E846" s="2" t="s">
        <v>726</v>
      </c>
      <c r="F846" s="2" t="s">
        <v>53</v>
      </c>
      <c r="G846" s="2" t="s">
        <v>85</v>
      </c>
      <c r="H846" s="23">
        <v>35000</v>
      </c>
      <c r="I846" s="2">
        <v>5</v>
      </c>
      <c r="J846" s="31">
        <v>15</v>
      </c>
      <c r="K846" s="7">
        <f t="shared" si="52"/>
        <v>175000</v>
      </c>
      <c r="L846" s="7">
        <f t="shared" si="53"/>
        <v>26250</v>
      </c>
      <c r="M846" s="7">
        <f t="shared" si="54"/>
        <v>148750</v>
      </c>
      <c r="N846" s="23">
        <v>18000</v>
      </c>
      <c r="O846" s="7">
        <f t="shared" si="55"/>
        <v>166750</v>
      </c>
      <c r="P846" s="2" t="s">
        <v>22</v>
      </c>
      <c r="Q846" t="str">
        <f>_xlfn.XLOOKUP(B846,Status!$A$2:$A$1867,Status!$B$2:$B$1867)</f>
        <v>Completed</v>
      </c>
      <c r="R846" s="2" t="s">
        <v>30</v>
      </c>
      <c r="S846" s="8">
        <v>4</v>
      </c>
      <c r="T846" s="2" t="s">
        <v>37</v>
      </c>
      <c r="U846" s="31" t="str" cm="1">
        <f t="array" ref="U846">_xlfn.IFS(L846&lt;=5000,$Z$3,AND(L846&gt;5000,L846&lt;=15000),$Z$4,AND(L846&gt;15000,L846&lt;=30000),$Z$5,AND(L846&gt;30000,L846&lt;=50000),$Z$6,L846&gt;50000,$Z$7)</f>
        <v>Normal</v>
      </c>
      <c r="V846" s="2"/>
    </row>
    <row r="847" spans="1:22" ht="15.75" customHeight="1" x14ac:dyDescent="0.25">
      <c r="A847" s="26"/>
      <c r="B847" s="2" t="s">
        <v>1222</v>
      </c>
      <c r="C847" s="32">
        <v>45711.808391203696</v>
      </c>
      <c r="D847" s="53">
        <f>YEAR(Table1[[#This Row],[Order Date]])</f>
        <v>2025</v>
      </c>
      <c r="E847" s="2" t="s">
        <v>389</v>
      </c>
      <c r="F847" s="2" t="s">
        <v>182</v>
      </c>
      <c r="G847" s="2" t="s">
        <v>136</v>
      </c>
      <c r="H847" s="23">
        <v>12000</v>
      </c>
      <c r="I847" s="2">
        <v>2</v>
      </c>
      <c r="J847" s="31">
        <v>5</v>
      </c>
      <c r="K847" s="7">
        <f t="shared" si="52"/>
        <v>24000</v>
      </c>
      <c r="L847" s="7">
        <f t="shared" si="53"/>
        <v>1200</v>
      </c>
      <c r="M847" s="7">
        <f t="shared" si="54"/>
        <v>22800</v>
      </c>
      <c r="N847" s="23">
        <v>48000</v>
      </c>
      <c r="O847" s="7">
        <f t="shared" si="55"/>
        <v>70800</v>
      </c>
      <c r="P847" s="2" t="s">
        <v>35</v>
      </c>
      <c r="Q847" t="str">
        <f>_xlfn.XLOOKUP(B847,Status!$A$2:$A$1867,Status!$B$2:$B$1867)</f>
        <v>Completed</v>
      </c>
      <c r="R847" s="2" t="s">
        <v>30</v>
      </c>
      <c r="S847" s="8">
        <v>2</v>
      </c>
      <c r="T847" s="2" t="s">
        <v>24</v>
      </c>
      <c r="U847" s="31" t="str" cm="1">
        <f t="array" ref="U847">_xlfn.IFS(L847&lt;=5000,$Z$3,AND(L847&gt;5000,L847&lt;=15000),$Z$4,AND(L847&gt;15000,L847&lt;=30000),$Z$5,AND(L847&gt;30000,L847&lt;=50000),$Z$6,L847&gt;50000,$Z$7)</f>
        <v>Sangat Rendah</v>
      </c>
      <c r="V847" s="2"/>
    </row>
    <row r="848" spans="1:22" ht="15.75" customHeight="1" x14ac:dyDescent="0.25">
      <c r="A848" s="26"/>
      <c r="B848" s="2" t="s">
        <v>1223</v>
      </c>
      <c r="C848" s="32">
        <v>45711.86005787037</v>
      </c>
      <c r="D848" s="53">
        <f>YEAR(Table1[[#This Row],[Order Date]])</f>
        <v>2025</v>
      </c>
      <c r="E848" s="2" t="s">
        <v>398</v>
      </c>
      <c r="F848" s="2" t="s">
        <v>182</v>
      </c>
      <c r="G848" s="2" t="s">
        <v>58</v>
      </c>
      <c r="H848" s="23">
        <v>16000</v>
      </c>
      <c r="I848" s="2">
        <v>3</v>
      </c>
      <c r="J848" s="31">
        <v>5</v>
      </c>
      <c r="K848" s="7">
        <f t="shared" si="52"/>
        <v>48000</v>
      </c>
      <c r="L848" s="7">
        <f t="shared" si="53"/>
        <v>2400</v>
      </c>
      <c r="M848" s="7">
        <f t="shared" si="54"/>
        <v>45600</v>
      </c>
      <c r="N848" s="23">
        <v>48000</v>
      </c>
      <c r="O848" s="7">
        <f t="shared" si="55"/>
        <v>93600</v>
      </c>
      <c r="P848" s="2" t="s">
        <v>22</v>
      </c>
      <c r="Q848" t="str">
        <f>_xlfn.XLOOKUP(B848,Status!$A$2:$A$1867,Status!$B$2:$B$1867)</f>
        <v>Completed</v>
      </c>
      <c r="R848" s="2" t="s">
        <v>46</v>
      </c>
      <c r="S848" s="8">
        <v>4</v>
      </c>
      <c r="T848" s="2" t="s">
        <v>24</v>
      </c>
      <c r="U848" s="31" t="str" cm="1">
        <f t="array" ref="U848">_xlfn.IFS(L848&lt;=5000,$Z$3,AND(L848&gt;5000,L848&lt;=15000),$Z$4,AND(L848&gt;15000,L848&lt;=30000),$Z$5,AND(L848&gt;30000,L848&lt;=50000),$Z$6,L848&gt;50000,$Z$7)</f>
        <v>Sangat Rendah</v>
      </c>
      <c r="V848" s="2"/>
    </row>
    <row r="849" spans="1:22" ht="15.75" customHeight="1" x14ac:dyDescent="0.25">
      <c r="A849" s="26"/>
      <c r="B849" s="2" t="s">
        <v>1224</v>
      </c>
      <c r="C849" s="32">
        <v>45711.942013888889</v>
      </c>
      <c r="D849" s="53">
        <f>YEAR(Table1[[#This Row],[Order Date]])</f>
        <v>2025</v>
      </c>
      <c r="E849" s="2" t="s">
        <v>513</v>
      </c>
      <c r="F849" s="2" t="s">
        <v>182</v>
      </c>
      <c r="G849" s="2" t="s">
        <v>50</v>
      </c>
      <c r="H849" s="23">
        <v>14000</v>
      </c>
      <c r="I849" s="2">
        <v>2</v>
      </c>
      <c r="J849" s="31">
        <v>5</v>
      </c>
      <c r="K849" s="7">
        <f t="shared" si="52"/>
        <v>28000</v>
      </c>
      <c r="L849" s="7">
        <f t="shared" si="53"/>
        <v>1400</v>
      </c>
      <c r="M849" s="7">
        <f t="shared" si="54"/>
        <v>26600</v>
      </c>
      <c r="N849" s="23">
        <v>48000</v>
      </c>
      <c r="O849" s="7">
        <f t="shared" si="55"/>
        <v>74600</v>
      </c>
      <c r="P849" s="2" t="s">
        <v>35</v>
      </c>
      <c r="Q849" t="str">
        <f>_xlfn.XLOOKUP(B849,Status!$A$2:$A$1867,Status!$B$2:$B$1867)</f>
        <v>Completed</v>
      </c>
      <c r="R849" s="2" t="s">
        <v>23</v>
      </c>
      <c r="S849" s="8">
        <v>1</v>
      </c>
      <c r="T849" s="2" t="s">
        <v>24</v>
      </c>
      <c r="U849" s="31" t="str" cm="1">
        <f t="array" ref="U849">_xlfn.IFS(L849&lt;=5000,$Z$3,AND(L849&gt;5000,L849&lt;=15000),$Z$4,AND(L849&gt;15000,L849&lt;=30000),$Z$5,AND(L849&gt;30000,L849&lt;=50000),$Z$6,L849&gt;50000,$Z$7)</f>
        <v>Sangat Rendah</v>
      </c>
      <c r="V849" s="2"/>
    </row>
    <row r="850" spans="1:22" ht="15.75" customHeight="1" x14ac:dyDescent="0.25">
      <c r="A850" s="26"/>
      <c r="B850" s="2" t="s">
        <v>1225</v>
      </c>
      <c r="C850" s="32">
        <v>45712.076365740737</v>
      </c>
      <c r="D850" s="53">
        <f>YEAR(Table1[[#This Row],[Order Date]])</f>
        <v>2025</v>
      </c>
      <c r="E850" s="2" t="s">
        <v>1087</v>
      </c>
      <c r="F850" s="2" t="s">
        <v>143</v>
      </c>
      <c r="G850" s="2" t="s">
        <v>250</v>
      </c>
      <c r="H850" s="23">
        <v>18000</v>
      </c>
      <c r="I850" s="2">
        <v>1</v>
      </c>
      <c r="J850" s="31">
        <v>20</v>
      </c>
      <c r="K850" s="7">
        <f t="shared" si="52"/>
        <v>18000</v>
      </c>
      <c r="L850" s="7">
        <f t="shared" si="53"/>
        <v>3600</v>
      </c>
      <c r="M850" s="7">
        <f t="shared" si="54"/>
        <v>14400</v>
      </c>
      <c r="N850" s="23">
        <v>50000</v>
      </c>
      <c r="O850" s="7">
        <f t="shared" si="55"/>
        <v>64400</v>
      </c>
      <c r="P850" s="2" t="s">
        <v>22</v>
      </c>
      <c r="Q850" t="str">
        <f>_xlfn.XLOOKUP(B850,Status!$A$2:$A$1867,Status!$B$2:$B$1867)</f>
        <v>Completed</v>
      </c>
      <c r="R850" s="2" t="s">
        <v>36</v>
      </c>
      <c r="S850" s="8">
        <v>2</v>
      </c>
      <c r="T850" s="2" t="s">
        <v>24</v>
      </c>
      <c r="U850" s="31" t="str" cm="1">
        <f t="array" ref="U850">_xlfn.IFS(L850&lt;=5000,$Z$3,AND(L850&gt;5000,L850&lt;=15000),$Z$4,AND(L850&gt;15000,L850&lt;=30000),$Z$5,AND(L850&gt;30000,L850&lt;=50000),$Z$6,L850&gt;50000,$Z$7)</f>
        <v>Sangat Rendah</v>
      </c>
      <c r="V850" s="2"/>
    </row>
    <row r="851" spans="1:22" ht="15.75" customHeight="1" x14ac:dyDescent="0.25">
      <c r="A851" s="26"/>
      <c r="B851" s="2" t="s">
        <v>1226</v>
      </c>
      <c r="C851" s="32">
        <v>45712.117476851847</v>
      </c>
      <c r="D851" s="53">
        <f>YEAR(Table1[[#This Row],[Order Date]])</f>
        <v>2025</v>
      </c>
      <c r="E851" s="2" t="s">
        <v>635</v>
      </c>
      <c r="F851" s="2" t="s">
        <v>103</v>
      </c>
      <c r="G851" s="2" t="s">
        <v>45</v>
      </c>
      <c r="H851" s="23">
        <v>40000</v>
      </c>
      <c r="I851" s="2">
        <v>1</v>
      </c>
      <c r="J851" s="31">
        <v>10</v>
      </c>
      <c r="K851" s="7">
        <f t="shared" si="52"/>
        <v>40000</v>
      </c>
      <c r="L851" s="7">
        <f t="shared" si="53"/>
        <v>4000</v>
      </c>
      <c r="M851" s="7">
        <f t="shared" si="54"/>
        <v>36000</v>
      </c>
      <c r="N851" s="23">
        <v>85000</v>
      </c>
      <c r="O851" s="7">
        <f t="shared" si="55"/>
        <v>121000</v>
      </c>
      <c r="P851" s="2" t="s">
        <v>63</v>
      </c>
      <c r="Q851" t="str">
        <f>_xlfn.XLOOKUP(B851,Status!$A$2:$A$1867,Status!$B$2:$B$1867)</f>
        <v>Completed</v>
      </c>
      <c r="R851" s="2" t="s">
        <v>30</v>
      </c>
      <c r="S851" s="8">
        <v>4</v>
      </c>
      <c r="T851" s="2" t="s">
        <v>24</v>
      </c>
      <c r="U851" s="31" t="str" cm="1">
        <f t="array" ref="U851">_xlfn.IFS(L851&lt;=5000,$Z$3,AND(L851&gt;5000,L851&lt;=15000),$Z$4,AND(L851&gt;15000,L851&lt;=30000),$Z$5,AND(L851&gt;30000,L851&lt;=50000),$Z$6,L851&gt;50000,$Z$7)</f>
        <v>Sangat Rendah</v>
      </c>
      <c r="V851" s="2"/>
    </row>
    <row r="852" spans="1:22" ht="15.75" customHeight="1" x14ac:dyDescent="0.25">
      <c r="A852" s="26"/>
      <c r="B852" s="2" t="s">
        <v>1227</v>
      </c>
      <c r="C852" s="32">
        <v>45712.22797453704</v>
      </c>
      <c r="D852" s="53">
        <f>YEAR(Table1[[#This Row],[Order Date]])</f>
        <v>2025</v>
      </c>
      <c r="E852" s="2" t="s">
        <v>1228</v>
      </c>
      <c r="F852" s="2" t="s">
        <v>33</v>
      </c>
      <c r="G852" s="2" t="s">
        <v>41</v>
      </c>
      <c r="H852" s="23">
        <v>4000</v>
      </c>
      <c r="I852" s="2">
        <v>4</v>
      </c>
      <c r="J852" s="31">
        <v>15</v>
      </c>
      <c r="K852" s="7">
        <f t="shared" si="52"/>
        <v>16000</v>
      </c>
      <c r="L852" s="7">
        <f t="shared" si="53"/>
        <v>2400</v>
      </c>
      <c r="M852" s="7">
        <f t="shared" si="54"/>
        <v>13600</v>
      </c>
      <c r="N852" s="23">
        <v>76000</v>
      </c>
      <c r="O852" s="7">
        <f t="shared" si="55"/>
        <v>89600</v>
      </c>
      <c r="P852" s="2" t="s">
        <v>22</v>
      </c>
      <c r="Q852" t="str">
        <f>_xlfn.XLOOKUP(B852,Status!$A$2:$A$1867,Status!$B$2:$B$1867)</f>
        <v>Completed</v>
      </c>
      <c r="R852" s="2" t="s">
        <v>82</v>
      </c>
      <c r="S852" s="8">
        <v>4</v>
      </c>
      <c r="T852" s="2" t="s">
        <v>24</v>
      </c>
      <c r="U852" s="31" t="str" cm="1">
        <f t="array" ref="U852">_xlfn.IFS(L852&lt;=5000,$Z$3,AND(L852&gt;5000,L852&lt;=15000),$Z$4,AND(L852&gt;15000,L852&lt;=30000),$Z$5,AND(L852&gt;30000,L852&lt;=50000),$Z$6,L852&gt;50000,$Z$7)</f>
        <v>Sangat Rendah</v>
      </c>
      <c r="V852" s="2"/>
    </row>
    <row r="853" spans="1:22" ht="15.75" customHeight="1" x14ac:dyDescent="0.25">
      <c r="A853" s="26"/>
      <c r="B853" s="2" t="s">
        <v>1229</v>
      </c>
      <c r="C853" s="32">
        <v>45712.513819444437</v>
      </c>
      <c r="D853" s="53">
        <f>YEAR(Table1[[#This Row],[Order Date]])</f>
        <v>2025</v>
      </c>
      <c r="E853" s="2" t="s">
        <v>681</v>
      </c>
      <c r="F853" s="2" t="s">
        <v>262</v>
      </c>
      <c r="G853" s="2" t="s">
        <v>54</v>
      </c>
      <c r="H853" s="23">
        <v>16000</v>
      </c>
      <c r="I853" s="2">
        <v>1</v>
      </c>
      <c r="J853" s="31">
        <v>10</v>
      </c>
      <c r="K853" s="7">
        <f t="shared" si="52"/>
        <v>16000</v>
      </c>
      <c r="L853" s="7">
        <f t="shared" si="53"/>
        <v>1600</v>
      </c>
      <c r="M853" s="7">
        <f t="shared" si="54"/>
        <v>14400</v>
      </c>
      <c r="N853" s="23">
        <v>18000</v>
      </c>
      <c r="O853" s="7">
        <f t="shared" si="55"/>
        <v>32400</v>
      </c>
      <c r="P853" s="2" t="s">
        <v>29</v>
      </c>
      <c r="Q853" t="str">
        <f>_xlfn.XLOOKUP(B853,Status!$A$2:$A$1867,Status!$B$2:$B$1867)</f>
        <v>Completed</v>
      </c>
      <c r="R853" s="2" t="s">
        <v>36</v>
      </c>
      <c r="S853" s="8">
        <v>4</v>
      </c>
      <c r="T853" s="2" t="s">
        <v>24</v>
      </c>
      <c r="U853" s="31" t="str" cm="1">
        <f t="array" ref="U853">_xlfn.IFS(L853&lt;=5000,$Z$3,AND(L853&gt;5000,L853&lt;=15000),$Z$4,AND(L853&gt;15000,L853&lt;=30000),$Z$5,AND(L853&gt;30000,L853&lt;=50000),$Z$6,L853&gt;50000,$Z$7)</f>
        <v>Sangat Rendah</v>
      </c>
      <c r="V853" s="2"/>
    </row>
    <row r="854" spans="1:22" ht="15.75" customHeight="1" x14ac:dyDescent="0.25">
      <c r="A854" s="26"/>
      <c r="B854" s="2" t="s">
        <v>1230</v>
      </c>
      <c r="C854" s="32">
        <v>45712.65587962963</v>
      </c>
      <c r="D854" s="53">
        <f>YEAR(Table1[[#This Row],[Order Date]])</f>
        <v>2025</v>
      </c>
      <c r="E854" s="2" t="s">
        <v>693</v>
      </c>
      <c r="F854" s="2" t="s">
        <v>119</v>
      </c>
      <c r="G854" s="2" t="s">
        <v>81</v>
      </c>
      <c r="H854" s="23">
        <v>17000</v>
      </c>
      <c r="I854" s="2">
        <v>1</v>
      </c>
      <c r="J854" s="31">
        <v>5</v>
      </c>
      <c r="K854" s="7">
        <f t="shared" si="52"/>
        <v>17000</v>
      </c>
      <c r="L854" s="7">
        <f t="shared" si="53"/>
        <v>850</v>
      </c>
      <c r="M854" s="7">
        <f t="shared" si="54"/>
        <v>16150</v>
      </c>
      <c r="N854" s="23">
        <v>0</v>
      </c>
      <c r="O854" s="7">
        <f t="shared" si="55"/>
        <v>16150</v>
      </c>
      <c r="P854" s="2" t="s">
        <v>63</v>
      </c>
      <c r="Q854" t="str">
        <f>_xlfn.XLOOKUP(B854,Status!$A$2:$A$1867,Status!$B$2:$B$1867)</f>
        <v>Completed</v>
      </c>
      <c r="R854" s="2" t="s">
        <v>36</v>
      </c>
      <c r="S854" s="8">
        <v>3</v>
      </c>
      <c r="T854" s="2" t="s">
        <v>24</v>
      </c>
      <c r="U854" s="31" t="str" cm="1">
        <f t="array" ref="U854">_xlfn.IFS(L854&lt;=5000,$Z$3,AND(L854&gt;5000,L854&lt;=15000),$Z$4,AND(L854&gt;15000,L854&lt;=30000),$Z$5,AND(L854&gt;30000,L854&lt;=50000),$Z$6,L854&gt;50000,$Z$7)</f>
        <v>Sangat Rendah</v>
      </c>
      <c r="V854" s="2"/>
    </row>
    <row r="855" spans="1:22" ht="15.75" customHeight="1" x14ac:dyDescent="0.25">
      <c r="A855" s="26"/>
      <c r="B855" s="2" t="s">
        <v>1231</v>
      </c>
      <c r="C855" s="32">
        <v>45712.691458333327</v>
      </c>
      <c r="D855" s="53">
        <f>YEAR(Table1[[#This Row],[Order Date]])</f>
        <v>2025</v>
      </c>
      <c r="E855" s="2" t="s">
        <v>203</v>
      </c>
      <c r="F855" s="2" t="s">
        <v>20</v>
      </c>
      <c r="G855" s="2" t="s">
        <v>85</v>
      </c>
      <c r="H855" s="23">
        <v>35000</v>
      </c>
      <c r="I855" s="2">
        <v>2</v>
      </c>
      <c r="J855" s="31">
        <v>0</v>
      </c>
      <c r="K855" s="7">
        <f t="shared" si="52"/>
        <v>70000</v>
      </c>
      <c r="L855" s="7">
        <f t="shared" si="53"/>
        <v>0</v>
      </c>
      <c r="M855" s="7">
        <f t="shared" si="54"/>
        <v>70000</v>
      </c>
      <c r="N855" s="23">
        <v>15000</v>
      </c>
      <c r="O855" s="7">
        <f t="shared" si="55"/>
        <v>85000</v>
      </c>
      <c r="P855" s="2" t="s">
        <v>29</v>
      </c>
      <c r="Q855" t="str">
        <f>_xlfn.XLOOKUP(B855,Status!$A$2:$A$1867,Status!$B$2:$B$1867)</f>
        <v>Cancelled</v>
      </c>
      <c r="R855" s="2" t="s">
        <v>36</v>
      </c>
      <c r="S855" s="8">
        <v>2</v>
      </c>
      <c r="T855" s="2" t="s">
        <v>24</v>
      </c>
      <c r="U855" s="31" t="str" cm="1">
        <f t="array" ref="U855">_xlfn.IFS(L855&lt;=5000,$Z$3,AND(L855&gt;5000,L855&lt;=15000),$Z$4,AND(L855&gt;15000,L855&lt;=30000),$Z$5,AND(L855&gt;30000,L855&lt;=50000),$Z$6,L855&gt;50000,$Z$7)</f>
        <v>Sangat Rendah</v>
      </c>
      <c r="V855" s="2"/>
    </row>
    <row r="856" spans="1:22" ht="15.75" customHeight="1" x14ac:dyDescent="0.25">
      <c r="A856" s="26"/>
      <c r="B856" s="2" t="s">
        <v>1232</v>
      </c>
      <c r="C856" s="32">
        <v>45712.874178240738</v>
      </c>
      <c r="D856" s="53">
        <f>YEAR(Table1[[#This Row],[Order Date]])</f>
        <v>2025</v>
      </c>
      <c r="E856" s="2" t="s">
        <v>237</v>
      </c>
      <c r="F856" s="2" t="s">
        <v>238</v>
      </c>
      <c r="G856" s="2" t="s">
        <v>71</v>
      </c>
      <c r="H856" s="23">
        <v>40000</v>
      </c>
      <c r="I856" s="2">
        <v>4</v>
      </c>
      <c r="J856" s="31">
        <v>0</v>
      </c>
      <c r="K856" s="7">
        <f t="shared" si="52"/>
        <v>160000</v>
      </c>
      <c r="L856" s="7">
        <f t="shared" si="53"/>
        <v>0</v>
      </c>
      <c r="M856" s="7">
        <f t="shared" si="54"/>
        <v>160000</v>
      </c>
      <c r="N856" s="23">
        <v>28000</v>
      </c>
      <c r="O856" s="7">
        <f t="shared" si="55"/>
        <v>188000</v>
      </c>
      <c r="P856" s="2" t="s">
        <v>63</v>
      </c>
      <c r="Q856" t="str">
        <f>_xlfn.XLOOKUP(B856,Status!$A$2:$A$1867,Status!$B$2:$B$1867)</f>
        <v>Completed</v>
      </c>
      <c r="R856" s="2" t="s">
        <v>36</v>
      </c>
      <c r="S856" s="8">
        <v>4</v>
      </c>
      <c r="T856" s="2" t="s">
        <v>24</v>
      </c>
      <c r="U856" s="31" t="str" cm="1">
        <f t="array" ref="U856">_xlfn.IFS(L856&lt;=5000,$Z$3,AND(L856&gt;5000,L856&lt;=15000),$Z$4,AND(L856&gt;15000,L856&lt;=30000),$Z$5,AND(L856&gt;30000,L856&lt;=50000),$Z$6,L856&gt;50000,$Z$7)</f>
        <v>Sangat Rendah</v>
      </c>
      <c r="V856" s="2"/>
    </row>
    <row r="857" spans="1:22" ht="15.75" customHeight="1" x14ac:dyDescent="0.25">
      <c r="A857" s="26"/>
      <c r="B857" s="2" t="s">
        <v>1233</v>
      </c>
      <c r="C857" s="32">
        <v>45712.878692129627</v>
      </c>
      <c r="D857" s="53">
        <f>YEAR(Table1[[#This Row],[Order Date]])</f>
        <v>2025</v>
      </c>
      <c r="E857" s="2" t="s">
        <v>776</v>
      </c>
      <c r="F857" s="2" t="s">
        <v>103</v>
      </c>
      <c r="G857" s="2" t="s">
        <v>250</v>
      </c>
      <c r="H857" s="23">
        <v>18000</v>
      </c>
      <c r="I857" s="2">
        <v>3</v>
      </c>
      <c r="J857" s="31">
        <v>0</v>
      </c>
      <c r="K857" s="7">
        <f t="shared" si="52"/>
        <v>54000</v>
      </c>
      <c r="L857" s="7">
        <f t="shared" si="53"/>
        <v>0</v>
      </c>
      <c r="M857" s="7">
        <f t="shared" si="54"/>
        <v>54000</v>
      </c>
      <c r="N857" s="23">
        <v>85000</v>
      </c>
      <c r="O857" s="7">
        <f t="shared" si="55"/>
        <v>139000</v>
      </c>
      <c r="P857" s="2" t="s">
        <v>22</v>
      </c>
      <c r="Q857" t="str">
        <f>_xlfn.XLOOKUP(B857,Status!$A$2:$A$1867,Status!$B$2:$B$1867)</f>
        <v>Completed</v>
      </c>
      <c r="R857" s="2" t="s">
        <v>82</v>
      </c>
      <c r="S857" s="8">
        <v>5</v>
      </c>
      <c r="T857" s="2" t="s">
        <v>24</v>
      </c>
      <c r="U857" s="31" t="str" cm="1">
        <f t="array" ref="U857">_xlfn.IFS(L857&lt;=5000,$Z$3,AND(L857&gt;5000,L857&lt;=15000),$Z$4,AND(L857&gt;15000,L857&lt;=30000),$Z$5,AND(L857&gt;30000,L857&lt;=50000),$Z$6,L857&gt;50000,$Z$7)</f>
        <v>Sangat Rendah</v>
      </c>
      <c r="V857" s="2"/>
    </row>
    <row r="858" spans="1:22" ht="15.75" customHeight="1" x14ac:dyDescent="0.25">
      <c r="A858" s="26"/>
      <c r="B858" s="2" t="s">
        <v>1234</v>
      </c>
      <c r="C858" s="32">
        <v>45713.314629629633</v>
      </c>
      <c r="D858" s="53">
        <f>YEAR(Table1[[#This Row],[Order Date]])</f>
        <v>2025</v>
      </c>
      <c r="E858" s="2" t="s">
        <v>169</v>
      </c>
      <c r="F858" s="2" t="s">
        <v>170</v>
      </c>
      <c r="G858" s="2" t="s">
        <v>136</v>
      </c>
      <c r="H858" s="23">
        <v>12000</v>
      </c>
      <c r="I858" s="2">
        <v>4</v>
      </c>
      <c r="J858" s="31">
        <v>10</v>
      </c>
      <c r="K858" s="7">
        <f t="shared" si="52"/>
        <v>48000</v>
      </c>
      <c r="L858" s="7">
        <f t="shared" si="53"/>
        <v>4800</v>
      </c>
      <c r="M858" s="7">
        <f t="shared" si="54"/>
        <v>43200</v>
      </c>
      <c r="N858" s="23">
        <v>46000</v>
      </c>
      <c r="O858" s="7">
        <f t="shared" si="55"/>
        <v>89200</v>
      </c>
      <c r="P858" s="2" t="s">
        <v>22</v>
      </c>
      <c r="Q858" t="str">
        <f>_xlfn.XLOOKUP(B858,Status!$A$2:$A$1867,Status!$B$2:$B$1867)</f>
        <v>Returned</v>
      </c>
      <c r="R858" s="2" t="s">
        <v>30</v>
      </c>
      <c r="S858" s="8">
        <v>3</v>
      </c>
      <c r="T858" s="2" t="s">
        <v>24</v>
      </c>
      <c r="U858" s="31" t="str" cm="1">
        <f t="array" ref="U858">_xlfn.IFS(L858&lt;=5000,$Z$3,AND(L858&gt;5000,L858&lt;=15000),$Z$4,AND(L858&gt;15000,L858&lt;=30000),$Z$5,AND(L858&gt;30000,L858&lt;=50000),$Z$6,L858&gt;50000,$Z$7)</f>
        <v>Sangat Rendah</v>
      </c>
      <c r="V858" s="2"/>
    </row>
    <row r="859" spans="1:22" ht="15.75" customHeight="1" x14ac:dyDescent="0.25">
      <c r="A859" s="26"/>
      <c r="B859" s="2" t="s">
        <v>1235</v>
      </c>
      <c r="C859" s="32">
        <v>45713.316724537042</v>
      </c>
      <c r="D859" s="53">
        <f>YEAR(Table1[[#This Row],[Order Date]])</f>
        <v>2025</v>
      </c>
      <c r="E859" s="2" t="s">
        <v>557</v>
      </c>
      <c r="F859" s="2" t="s">
        <v>173</v>
      </c>
      <c r="G859" s="2" t="s">
        <v>110</v>
      </c>
      <c r="H859" s="23">
        <v>6000</v>
      </c>
      <c r="I859" s="2">
        <v>1</v>
      </c>
      <c r="J859" s="31">
        <v>0</v>
      </c>
      <c r="K859" s="7">
        <f t="shared" si="52"/>
        <v>6000</v>
      </c>
      <c r="L859" s="7">
        <f t="shared" si="53"/>
        <v>0</v>
      </c>
      <c r="M859" s="7">
        <f t="shared" si="54"/>
        <v>6000</v>
      </c>
      <c r="N859" s="23">
        <v>49000</v>
      </c>
      <c r="O859" s="7">
        <f t="shared" si="55"/>
        <v>55000</v>
      </c>
      <c r="P859" s="2" t="s">
        <v>63</v>
      </c>
      <c r="Q859" t="str">
        <f>_xlfn.XLOOKUP(B859,Status!$A$2:$A$1867,Status!$B$2:$B$1867)</f>
        <v>Completed</v>
      </c>
      <c r="R859" s="2" t="s">
        <v>46</v>
      </c>
      <c r="S859" s="8">
        <v>1</v>
      </c>
      <c r="T859" s="2" t="s">
        <v>24</v>
      </c>
      <c r="U859" s="31" t="str" cm="1">
        <f t="array" ref="U859">_xlfn.IFS(L859&lt;=5000,$Z$3,AND(L859&gt;5000,L859&lt;=15000),$Z$4,AND(L859&gt;15000,L859&lt;=30000),$Z$5,AND(L859&gt;30000,L859&lt;=50000),$Z$6,L859&gt;50000,$Z$7)</f>
        <v>Sangat Rendah</v>
      </c>
      <c r="V859" s="2"/>
    </row>
    <row r="860" spans="1:22" ht="15.75" customHeight="1" x14ac:dyDescent="0.25">
      <c r="A860" s="26"/>
      <c r="B860" s="2" t="s">
        <v>1236</v>
      </c>
      <c r="C860" s="32">
        <v>45713.395243055558</v>
      </c>
      <c r="D860" s="53">
        <f>YEAR(Table1[[#This Row],[Order Date]])</f>
        <v>2025</v>
      </c>
      <c r="E860" s="2" t="s">
        <v>1237</v>
      </c>
      <c r="F860" s="2" t="s">
        <v>92</v>
      </c>
      <c r="G860" s="2" t="s">
        <v>93</v>
      </c>
      <c r="H860" s="23">
        <v>25000</v>
      </c>
      <c r="I860" s="2">
        <v>5</v>
      </c>
      <c r="J860" s="31">
        <v>0</v>
      </c>
      <c r="K860" s="7">
        <f t="shared" si="52"/>
        <v>125000</v>
      </c>
      <c r="L860" s="7">
        <f t="shared" si="53"/>
        <v>0</v>
      </c>
      <c r="M860" s="7">
        <f t="shared" si="54"/>
        <v>125000</v>
      </c>
      <c r="N860" s="23">
        <v>30000</v>
      </c>
      <c r="O860" s="7">
        <f t="shared" si="55"/>
        <v>155000</v>
      </c>
      <c r="P860" s="2" t="s">
        <v>22</v>
      </c>
      <c r="Q860" t="str">
        <f>_xlfn.XLOOKUP(B860,Status!$A$2:$A$1867,Status!$B$2:$B$1867)</f>
        <v>Completed</v>
      </c>
      <c r="R860" s="2" t="s">
        <v>30</v>
      </c>
      <c r="S860" s="8">
        <v>1</v>
      </c>
      <c r="T860" s="2" t="s">
        <v>24</v>
      </c>
      <c r="U860" s="31" t="str" cm="1">
        <f t="array" ref="U860">_xlfn.IFS(L860&lt;=5000,$Z$3,AND(L860&gt;5000,L860&lt;=15000),$Z$4,AND(L860&gt;15000,L860&lt;=30000),$Z$5,AND(L860&gt;30000,L860&lt;=50000),$Z$6,L860&gt;50000,$Z$7)</f>
        <v>Sangat Rendah</v>
      </c>
      <c r="V860" s="2"/>
    </row>
    <row r="861" spans="1:22" ht="15.75" customHeight="1" x14ac:dyDescent="0.25">
      <c r="A861" s="26"/>
      <c r="B861" s="2" t="s">
        <v>1238</v>
      </c>
      <c r="C861" s="32">
        <v>45713.818136574067</v>
      </c>
      <c r="D861" s="53">
        <f>YEAR(Table1[[#This Row],[Order Date]])</f>
        <v>2025</v>
      </c>
      <c r="E861" s="2" t="s">
        <v>812</v>
      </c>
      <c r="F861" s="2" t="s">
        <v>33</v>
      </c>
      <c r="G861" s="2" t="s">
        <v>71</v>
      </c>
      <c r="H861" s="23">
        <v>40000</v>
      </c>
      <c r="I861" s="2">
        <v>2</v>
      </c>
      <c r="J861" s="31">
        <v>20</v>
      </c>
      <c r="K861" s="7">
        <f t="shared" si="52"/>
        <v>80000</v>
      </c>
      <c r="L861" s="7">
        <f t="shared" si="53"/>
        <v>16000</v>
      </c>
      <c r="M861" s="7">
        <f t="shared" si="54"/>
        <v>64000</v>
      </c>
      <c r="N861" s="23">
        <v>76000</v>
      </c>
      <c r="O861" s="7">
        <f t="shared" si="55"/>
        <v>140000</v>
      </c>
      <c r="P861" s="2" t="s">
        <v>22</v>
      </c>
      <c r="Q861" t="str">
        <f>_xlfn.XLOOKUP(B861,Status!$A$2:$A$1867,Status!$B$2:$B$1867)</f>
        <v>Returned</v>
      </c>
      <c r="R861" s="2" t="s">
        <v>46</v>
      </c>
      <c r="S861" s="8">
        <v>4</v>
      </c>
      <c r="T861" s="2" t="s">
        <v>24</v>
      </c>
      <c r="U861" s="31" t="str" cm="1">
        <f t="array" ref="U861">_xlfn.IFS(L861&lt;=5000,$Z$3,AND(L861&gt;5000,L861&lt;=15000),$Z$4,AND(L861&gt;15000,L861&lt;=30000),$Z$5,AND(L861&gt;30000,L861&lt;=50000),$Z$6,L861&gt;50000,$Z$7)</f>
        <v>Normal</v>
      </c>
      <c r="V861" s="2"/>
    </row>
    <row r="862" spans="1:22" ht="15.75" customHeight="1" x14ac:dyDescent="0.25">
      <c r="A862" s="26"/>
      <c r="B862" s="2" t="s">
        <v>1239</v>
      </c>
      <c r="C862" s="32">
        <v>45714.135601851849</v>
      </c>
      <c r="D862" s="53">
        <f>YEAR(Table1[[#This Row],[Order Date]])</f>
        <v>2025</v>
      </c>
      <c r="E862" s="2" t="s">
        <v>400</v>
      </c>
      <c r="F862" s="2" t="s">
        <v>27</v>
      </c>
      <c r="G862" s="2" t="s">
        <v>67</v>
      </c>
      <c r="H862" s="23">
        <v>15000</v>
      </c>
      <c r="I862" s="2">
        <v>1</v>
      </c>
      <c r="J862" s="31">
        <v>0</v>
      </c>
      <c r="K862" s="7">
        <f t="shared" si="52"/>
        <v>15000</v>
      </c>
      <c r="L862" s="7">
        <f t="shared" si="53"/>
        <v>0</v>
      </c>
      <c r="M862" s="7">
        <f t="shared" si="54"/>
        <v>15000</v>
      </c>
      <c r="N862" s="23">
        <v>17000</v>
      </c>
      <c r="O862" s="7">
        <f t="shared" si="55"/>
        <v>32000</v>
      </c>
      <c r="P862" s="2" t="s">
        <v>35</v>
      </c>
      <c r="Q862" t="str">
        <f>_xlfn.XLOOKUP(B862,Status!$A$2:$A$1867,Status!$B$2:$B$1867)</f>
        <v>Completed</v>
      </c>
      <c r="R862" s="2" t="s">
        <v>23</v>
      </c>
      <c r="S862" s="8">
        <v>4</v>
      </c>
      <c r="T862" s="2" t="s">
        <v>24</v>
      </c>
      <c r="U862" s="31" t="str" cm="1">
        <f t="array" ref="U862">_xlfn.IFS(L862&lt;=5000,$Z$3,AND(L862&gt;5000,L862&lt;=15000),$Z$4,AND(L862&gt;15000,L862&lt;=30000),$Z$5,AND(L862&gt;30000,L862&lt;=50000),$Z$6,L862&gt;50000,$Z$7)</f>
        <v>Sangat Rendah</v>
      </c>
      <c r="V862" s="2"/>
    </row>
    <row r="863" spans="1:22" ht="15.75" customHeight="1" x14ac:dyDescent="0.25">
      <c r="A863" s="26"/>
      <c r="B863" s="2" t="s">
        <v>1240</v>
      </c>
      <c r="C863" s="32">
        <v>45714.195416666669</v>
      </c>
      <c r="D863" s="53">
        <f>YEAR(Table1[[#This Row],[Order Date]])</f>
        <v>2025</v>
      </c>
      <c r="E863" s="2" t="s">
        <v>1241</v>
      </c>
      <c r="F863" s="2" t="s">
        <v>80</v>
      </c>
      <c r="G863" s="2" t="s">
        <v>34</v>
      </c>
      <c r="H863" s="23">
        <v>16000</v>
      </c>
      <c r="I863" s="2">
        <v>2</v>
      </c>
      <c r="J863" s="31">
        <v>0</v>
      </c>
      <c r="K863" s="7">
        <f t="shared" si="52"/>
        <v>32000</v>
      </c>
      <c r="L863" s="7">
        <f t="shared" si="53"/>
        <v>0</v>
      </c>
      <c r="M863" s="7">
        <f t="shared" si="54"/>
        <v>32000</v>
      </c>
      <c r="N863" s="23">
        <v>74000</v>
      </c>
      <c r="O863" s="7">
        <f t="shared" si="55"/>
        <v>106000</v>
      </c>
      <c r="P863" s="2" t="s">
        <v>35</v>
      </c>
      <c r="Q863" t="str">
        <f>_xlfn.XLOOKUP(B863,Status!$A$2:$A$1867,Status!$B$2:$B$1867)</f>
        <v>Completed</v>
      </c>
      <c r="R863" s="2" t="s">
        <v>36</v>
      </c>
      <c r="S863" s="8">
        <v>4</v>
      </c>
      <c r="T863" s="2" t="s">
        <v>24</v>
      </c>
      <c r="U863" s="31" t="str" cm="1">
        <f t="array" ref="U863">_xlfn.IFS(L863&lt;=5000,$Z$3,AND(L863&gt;5000,L863&lt;=15000),$Z$4,AND(L863&gt;15000,L863&lt;=30000),$Z$5,AND(L863&gt;30000,L863&lt;=50000),$Z$6,L863&gt;50000,$Z$7)</f>
        <v>Sangat Rendah</v>
      </c>
      <c r="V863" s="2"/>
    </row>
    <row r="864" spans="1:22" ht="15.75" customHeight="1" x14ac:dyDescent="0.25">
      <c r="A864" s="26"/>
      <c r="B864" s="2" t="s">
        <v>1240</v>
      </c>
      <c r="C864" s="32">
        <v>45714.195416666669</v>
      </c>
      <c r="D864" s="53">
        <f>YEAR(Table1[[#This Row],[Order Date]])</f>
        <v>2025</v>
      </c>
      <c r="E864" s="2" t="s">
        <v>1241</v>
      </c>
      <c r="F864" s="2" t="s">
        <v>80</v>
      </c>
      <c r="G864" s="2" t="s">
        <v>88</v>
      </c>
      <c r="H864" s="23">
        <v>14000</v>
      </c>
      <c r="I864" s="2">
        <v>3</v>
      </c>
      <c r="J864" s="31">
        <v>20</v>
      </c>
      <c r="K864" s="7">
        <f t="shared" si="52"/>
        <v>42000</v>
      </c>
      <c r="L864" s="7">
        <f t="shared" si="53"/>
        <v>8400</v>
      </c>
      <c r="M864" s="7">
        <f t="shared" si="54"/>
        <v>33600</v>
      </c>
      <c r="N864" s="23">
        <v>0</v>
      </c>
      <c r="O864" s="7">
        <f t="shared" si="55"/>
        <v>33600</v>
      </c>
      <c r="P864" s="2" t="s">
        <v>35</v>
      </c>
      <c r="Q864" t="str">
        <f>_xlfn.XLOOKUP(B864,Status!$A$2:$A$1867,Status!$B$2:$B$1867)</f>
        <v>Completed</v>
      </c>
      <c r="R864" s="2" t="s">
        <v>36</v>
      </c>
      <c r="S864" s="8">
        <v>4</v>
      </c>
      <c r="T864" s="2" t="s">
        <v>24</v>
      </c>
      <c r="U864" s="31" t="str" cm="1">
        <f t="array" ref="U864">_xlfn.IFS(L864&lt;=5000,$Z$3,AND(L864&gt;5000,L864&lt;=15000),$Z$4,AND(L864&gt;15000,L864&lt;=30000),$Z$5,AND(L864&gt;30000,L864&lt;=50000),$Z$6,L864&gt;50000,$Z$7)</f>
        <v>Rendah</v>
      </c>
      <c r="V864" s="2"/>
    </row>
    <row r="865" spans="1:22" ht="15.75" customHeight="1" x14ac:dyDescent="0.25">
      <c r="A865" s="26"/>
      <c r="B865" s="2" t="s">
        <v>1242</v>
      </c>
      <c r="C865" s="32">
        <v>45714.426736111112</v>
      </c>
      <c r="D865" s="53">
        <f>YEAR(Table1[[#This Row],[Order Date]])</f>
        <v>2025</v>
      </c>
      <c r="E865" s="2" t="s">
        <v>565</v>
      </c>
      <c r="F865" s="2" t="s">
        <v>163</v>
      </c>
      <c r="G865" s="2" t="s">
        <v>71</v>
      </c>
      <c r="H865" s="23">
        <v>40000</v>
      </c>
      <c r="I865" s="2">
        <v>5</v>
      </c>
      <c r="J865" s="31">
        <v>0</v>
      </c>
      <c r="K865" s="7">
        <f t="shared" si="52"/>
        <v>200000</v>
      </c>
      <c r="L865" s="7">
        <f t="shared" si="53"/>
        <v>0</v>
      </c>
      <c r="M865" s="7">
        <f t="shared" si="54"/>
        <v>200000</v>
      </c>
      <c r="N865" s="23">
        <v>50000</v>
      </c>
      <c r="O865" s="7">
        <f t="shared" si="55"/>
        <v>250000</v>
      </c>
      <c r="P865" s="2" t="s">
        <v>35</v>
      </c>
      <c r="Q865" t="str">
        <f>_xlfn.XLOOKUP(B865,Status!$A$2:$A$1867,Status!$B$2:$B$1867)</f>
        <v>Completed</v>
      </c>
      <c r="R865" s="2" t="s">
        <v>30</v>
      </c>
      <c r="S865" s="8">
        <v>4</v>
      </c>
      <c r="T865" s="2" t="s">
        <v>24</v>
      </c>
      <c r="U865" s="31" t="str" cm="1">
        <f t="array" ref="U865">_xlfn.IFS(L865&lt;=5000,$Z$3,AND(L865&gt;5000,L865&lt;=15000),$Z$4,AND(L865&gt;15000,L865&lt;=30000),$Z$5,AND(L865&gt;30000,L865&lt;=50000),$Z$6,L865&gt;50000,$Z$7)</f>
        <v>Sangat Rendah</v>
      </c>
      <c r="V865" s="2"/>
    </row>
    <row r="866" spans="1:22" ht="15.75" customHeight="1" x14ac:dyDescent="0.25">
      <c r="A866" s="26"/>
      <c r="B866" s="2" t="s">
        <v>1243</v>
      </c>
      <c r="C866" s="32">
        <v>45714.548750000002</v>
      </c>
      <c r="D866" s="53">
        <f>YEAR(Table1[[#This Row],[Order Date]])</f>
        <v>2025</v>
      </c>
      <c r="E866" s="2" t="s">
        <v>1022</v>
      </c>
      <c r="F866" s="2" t="s">
        <v>177</v>
      </c>
      <c r="G866" s="2" t="s">
        <v>67</v>
      </c>
      <c r="H866" s="23">
        <v>15000</v>
      </c>
      <c r="I866" s="2">
        <v>5</v>
      </c>
      <c r="J866" s="31">
        <v>15</v>
      </c>
      <c r="K866" s="7">
        <f t="shared" si="52"/>
        <v>75000</v>
      </c>
      <c r="L866" s="7">
        <f t="shared" si="53"/>
        <v>11250</v>
      </c>
      <c r="M866" s="7">
        <f t="shared" si="54"/>
        <v>63750</v>
      </c>
      <c r="N866" s="23">
        <v>56000</v>
      </c>
      <c r="O866" s="7">
        <f t="shared" si="55"/>
        <v>119750</v>
      </c>
      <c r="P866" s="2" t="s">
        <v>29</v>
      </c>
      <c r="Q866" t="str">
        <f>_xlfn.XLOOKUP(B866,Status!$A$2:$A$1867,Status!$B$2:$B$1867)</f>
        <v>Completed</v>
      </c>
      <c r="R866" s="2" t="s">
        <v>82</v>
      </c>
      <c r="S866" s="8">
        <v>1</v>
      </c>
      <c r="T866" s="2" t="s">
        <v>24</v>
      </c>
      <c r="U866" s="31" t="str" cm="1">
        <f t="array" ref="U866">_xlfn.IFS(L866&lt;=5000,$Z$3,AND(L866&gt;5000,L866&lt;=15000),$Z$4,AND(L866&gt;15000,L866&lt;=30000),$Z$5,AND(L866&gt;30000,L866&lt;=50000),$Z$6,L866&gt;50000,$Z$7)</f>
        <v>Rendah</v>
      </c>
      <c r="V866" s="2"/>
    </row>
    <row r="867" spans="1:22" ht="15.75" customHeight="1" x14ac:dyDescent="0.25">
      <c r="A867" s="26"/>
      <c r="B867" s="2" t="s">
        <v>1244</v>
      </c>
      <c r="C867" s="32">
        <v>45714.591539351852</v>
      </c>
      <c r="D867" s="53">
        <f>YEAR(Table1[[#This Row],[Order Date]])</f>
        <v>2025</v>
      </c>
      <c r="E867" s="2" t="s">
        <v>525</v>
      </c>
      <c r="F867" s="2" t="s">
        <v>96</v>
      </c>
      <c r="G867" s="2" t="s">
        <v>174</v>
      </c>
      <c r="H867" s="23">
        <v>10000</v>
      </c>
      <c r="I867" s="2">
        <v>2</v>
      </c>
      <c r="J867" s="31">
        <v>0</v>
      </c>
      <c r="K867" s="7">
        <f t="shared" si="52"/>
        <v>20000</v>
      </c>
      <c r="L867" s="7">
        <f t="shared" si="53"/>
        <v>0</v>
      </c>
      <c r="M867" s="7">
        <f t="shared" si="54"/>
        <v>20000</v>
      </c>
      <c r="N867" s="23">
        <v>49000</v>
      </c>
      <c r="O867" s="7">
        <f t="shared" si="55"/>
        <v>69000</v>
      </c>
      <c r="P867" s="2" t="s">
        <v>29</v>
      </c>
      <c r="Q867" t="str">
        <f>_xlfn.XLOOKUP(B867,Status!$A$2:$A$1867,Status!$B$2:$B$1867)</f>
        <v>Completed</v>
      </c>
      <c r="R867" s="2" t="s">
        <v>36</v>
      </c>
      <c r="S867" s="8">
        <v>1</v>
      </c>
      <c r="T867" s="2" t="s">
        <v>24</v>
      </c>
      <c r="U867" s="31" t="str" cm="1">
        <f t="array" ref="U867">_xlfn.IFS(L867&lt;=5000,$Z$3,AND(L867&gt;5000,L867&lt;=15000),$Z$4,AND(L867&gt;15000,L867&lt;=30000),$Z$5,AND(L867&gt;30000,L867&lt;=50000),$Z$6,L867&gt;50000,$Z$7)</f>
        <v>Sangat Rendah</v>
      </c>
      <c r="V867" s="2"/>
    </row>
    <row r="868" spans="1:22" ht="15.75" customHeight="1" x14ac:dyDescent="0.25">
      <c r="A868" s="26"/>
      <c r="B868" s="2" t="s">
        <v>1245</v>
      </c>
      <c r="C868" s="32">
        <v>45714.638622685183</v>
      </c>
      <c r="D868" s="53">
        <f>YEAR(Table1[[#This Row],[Order Date]])</f>
        <v>2025</v>
      </c>
      <c r="E868" s="2" t="s">
        <v>1146</v>
      </c>
      <c r="F868" s="2" t="s">
        <v>116</v>
      </c>
      <c r="G868" s="2" t="s">
        <v>45</v>
      </c>
      <c r="H868" s="23">
        <v>40000</v>
      </c>
      <c r="I868" s="2">
        <v>4</v>
      </c>
      <c r="J868" s="31">
        <v>0</v>
      </c>
      <c r="K868" s="7">
        <f t="shared" si="52"/>
        <v>160000</v>
      </c>
      <c r="L868" s="7">
        <f t="shared" si="53"/>
        <v>0</v>
      </c>
      <c r="M868" s="7">
        <f t="shared" si="54"/>
        <v>160000</v>
      </c>
      <c r="N868" s="23">
        <v>72000</v>
      </c>
      <c r="O868" s="7">
        <f t="shared" si="55"/>
        <v>232000</v>
      </c>
      <c r="P868" s="2" t="s">
        <v>35</v>
      </c>
      <c r="Q868" t="str">
        <f>_xlfn.XLOOKUP(B868,Status!$A$2:$A$1867,Status!$B$2:$B$1867)</f>
        <v>Returned</v>
      </c>
      <c r="R868" s="2" t="s">
        <v>23</v>
      </c>
      <c r="S868" s="8">
        <v>3</v>
      </c>
      <c r="T868" s="2" t="s">
        <v>24</v>
      </c>
      <c r="U868" s="31" t="str" cm="1">
        <f t="array" ref="U868">_xlfn.IFS(L868&lt;=5000,$Z$3,AND(L868&gt;5000,L868&lt;=15000),$Z$4,AND(L868&gt;15000,L868&lt;=30000),$Z$5,AND(L868&gt;30000,L868&lt;=50000),$Z$6,L868&gt;50000,$Z$7)</f>
        <v>Sangat Rendah</v>
      </c>
      <c r="V868" s="2"/>
    </row>
    <row r="869" spans="1:22" ht="15.75" customHeight="1" x14ac:dyDescent="0.25">
      <c r="A869" s="26"/>
      <c r="B869" s="2" t="s">
        <v>1246</v>
      </c>
      <c r="C869" s="32">
        <v>45714.876273148147</v>
      </c>
      <c r="D869" s="53">
        <f>YEAR(Table1[[#This Row],[Order Date]])</f>
        <v>2025</v>
      </c>
      <c r="E869" s="2" t="s">
        <v>582</v>
      </c>
      <c r="F869" s="2" t="s">
        <v>435</v>
      </c>
      <c r="G869" s="2" t="s">
        <v>110</v>
      </c>
      <c r="H869" s="23">
        <v>6000</v>
      </c>
      <c r="I869" s="2">
        <v>2</v>
      </c>
      <c r="J869" s="31">
        <v>15</v>
      </c>
      <c r="K869" s="7">
        <f t="shared" si="52"/>
        <v>12000</v>
      </c>
      <c r="L869" s="7">
        <f t="shared" si="53"/>
        <v>1800</v>
      </c>
      <c r="M869" s="7">
        <f t="shared" si="54"/>
        <v>10200</v>
      </c>
      <c r="N869" s="23">
        <v>67000</v>
      </c>
      <c r="O869" s="7">
        <f t="shared" si="55"/>
        <v>77200</v>
      </c>
      <c r="P869" s="2" t="s">
        <v>35</v>
      </c>
      <c r="Q869" t="str">
        <f>_xlfn.XLOOKUP(B869,Status!$A$2:$A$1867,Status!$B$2:$B$1867)</f>
        <v>Completed</v>
      </c>
      <c r="R869" s="2" t="s">
        <v>36</v>
      </c>
      <c r="S869" s="8">
        <v>4</v>
      </c>
      <c r="T869" s="2" t="s">
        <v>24</v>
      </c>
      <c r="U869" s="31" t="str" cm="1">
        <f t="array" ref="U869">_xlfn.IFS(L869&lt;=5000,$Z$3,AND(L869&gt;5000,L869&lt;=15000),$Z$4,AND(L869&gt;15000,L869&lt;=30000),$Z$5,AND(L869&gt;30000,L869&lt;=50000),$Z$6,L869&gt;50000,$Z$7)</f>
        <v>Sangat Rendah</v>
      </c>
      <c r="V869" s="2"/>
    </row>
    <row r="870" spans="1:22" ht="15.75" customHeight="1" x14ac:dyDescent="0.25">
      <c r="A870" s="26"/>
      <c r="B870" s="2" t="s">
        <v>1247</v>
      </c>
      <c r="C870" s="32">
        <v>45715.039212962962</v>
      </c>
      <c r="D870" s="53">
        <f>YEAR(Table1[[#This Row],[Order Date]])</f>
        <v>2025</v>
      </c>
      <c r="E870" s="2" t="s">
        <v>1033</v>
      </c>
      <c r="F870" s="2" t="s">
        <v>122</v>
      </c>
      <c r="G870" s="2" t="s">
        <v>85</v>
      </c>
      <c r="H870" s="23">
        <v>35000</v>
      </c>
      <c r="I870" s="2">
        <v>1</v>
      </c>
      <c r="J870" s="31">
        <v>5</v>
      </c>
      <c r="K870" s="7">
        <f t="shared" si="52"/>
        <v>35000</v>
      </c>
      <c r="L870" s="7">
        <f t="shared" si="53"/>
        <v>1750</v>
      </c>
      <c r="M870" s="7">
        <f t="shared" si="54"/>
        <v>33250</v>
      </c>
      <c r="N870" s="23">
        <v>78000</v>
      </c>
      <c r="O870" s="7">
        <f t="shared" si="55"/>
        <v>111250</v>
      </c>
      <c r="P870" s="2" t="s">
        <v>22</v>
      </c>
      <c r="Q870" t="str">
        <f>_xlfn.XLOOKUP(B870,Status!$A$2:$A$1867,Status!$B$2:$B$1867)</f>
        <v>Completed</v>
      </c>
      <c r="R870" s="2" t="s">
        <v>23</v>
      </c>
      <c r="S870" s="8">
        <v>5</v>
      </c>
      <c r="T870" s="2" t="s">
        <v>24</v>
      </c>
      <c r="U870" s="31" t="str" cm="1">
        <f t="array" ref="U870">_xlfn.IFS(L870&lt;=5000,$Z$3,AND(L870&gt;5000,L870&lt;=15000),$Z$4,AND(L870&gt;15000,L870&lt;=30000),$Z$5,AND(L870&gt;30000,L870&lt;=50000),$Z$6,L870&gt;50000,$Z$7)</f>
        <v>Sangat Rendah</v>
      </c>
      <c r="V870" s="2"/>
    </row>
    <row r="871" spans="1:22" ht="15.75" customHeight="1" x14ac:dyDescent="0.25">
      <c r="A871" s="26"/>
      <c r="B871" s="2" t="s">
        <v>1248</v>
      </c>
      <c r="C871" s="32">
        <v>45715.534409722219</v>
      </c>
      <c r="D871" s="53">
        <f>YEAR(Table1[[#This Row],[Order Date]])</f>
        <v>2025</v>
      </c>
      <c r="E871" s="2" t="s">
        <v>56</v>
      </c>
      <c r="F871" s="2" t="s">
        <v>57</v>
      </c>
      <c r="G871" s="2" t="s">
        <v>67</v>
      </c>
      <c r="H871" s="23">
        <v>15000</v>
      </c>
      <c r="I871" s="2">
        <v>4</v>
      </c>
      <c r="J871" s="31">
        <v>15</v>
      </c>
      <c r="K871" s="7">
        <f t="shared" si="52"/>
        <v>60000</v>
      </c>
      <c r="L871" s="7">
        <f t="shared" si="53"/>
        <v>9000</v>
      </c>
      <c r="M871" s="7">
        <f t="shared" si="54"/>
        <v>51000</v>
      </c>
      <c r="N871" s="23">
        <v>80000</v>
      </c>
      <c r="O871" s="7">
        <f t="shared" si="55"/>
        <v>131000</v>
      </c>
      <c r="P871" s="2" t="s">
        <v>22</v>
      </c>
      <c r="Q871" t="str">
        <f>_xlfn.XLOOKUP(B871,Status!$A$2:$A$1867,Status!$B$2:$B$1867)</f>
        <v>Completed</v>
      </c>
      <c r="R871" s="2" t="s">
        <v>23</v>
      </c>
      <c r="S871" s="8">
        <v>2</v>
      </c>
      <c r="T871" s="2" t="s">
        <v>24</v>
      </c>
      <c r="U871" s="31" t="str" cm="1">
        <f t="array" ref="U871">_xlfn.IFS(L871&lt;=5000,$Z$3,AND(L871&gt;5000,L871&lt;=15000),$Z$4,AND(L871&gt;15000,L871&lt;=30000),$Z$5,AND(L871&gt;30000,L871&lt;=50000),$Z$6,L871&gt;50000,$Z$7)</f>
        <v>Rendah</v>
      </c>
      <c r="V871" s="2"/>
    </row>
    <row r="872" spans="1:22" ht="15.75" customHeight="1" x14ac:dyDescent="0.25">
      <c r="A872" s="26"/>
      <c r="B872" s="2" t="s">
        <v>1249</v>
      </c>
      <c r="C872" s="32">
        <v>45715.552372685182</v>
      </c>
      <c r="D872" s="53">
        <f>YEAR(Table1[[#This Row],[Order Date]])</f>
        <v>2025</v>
      </c>
      <c r="E872" s="2" t="s">
        <v>1250</v>
      </c>
      <c r="F872" s="2" t="s">
        <v>195</v>
      </c>
      <c r="G872" s="2" t="s">
        <v>85</v>
      </c>
      <c r="H872" s="23">
        <v>35000</v>
      </c>
      <c r="I872" s="2">
        <v>5</v>
      </c>
      <c r="J872" s="31">
        <v>10</v>
      </c>
      <c r="K872" s="7">
        <f t="shared" si="52"/>
        <v>175000</v>
      </c>
      <c r="L872" s="7">
        <f t="shared" si="53"/>
        <v>17500</v>
      </c>
      <c r="M872" s="7">
        <f t="shared" si="54"/>
        <v>157500</v>
      </c>
      <c r="N872" s="23">
        <v>87000</v>
      </c>
      <c r="O872" s="7">
        <f t="shared" si="55"/>
        <v>244500</v>
      </c>
      <c r="P872" s="2" t="s">
        <v>35</v>
      </c>
      <c r="Q872" t="str">
        <f>_xlfn.XLOOKUP(B872,Status!$A$2:$A$1867,Status!$B$2:$B$1867)</f>
        <v>Completed</v>
      </c>
      <c r="R872" s="2" t="s">
        <v>30</v>
      </c>
      <c r="S872" s="8">
        <v>4</v>
      </c>
      <c r="T872" s="2" t="s">
        <v>24</v>
      </c>
      <c r="U872" s="31" t="str" cm="1">
        <f t="array" ref="U872">_xlfn.IFS(L872&lt;=5000,$Z$3,AND(L872&gt;5000,L872&lt;=15000),$Z$4,AND(L872&gt;15000,L872&lt;=30000),$Z$5,AND(L872&gt;30000,L872&lt;=50000),$Z$6,L872&gt;50000,$Z$7)</f>
        <v>Normal</v>
      </c>
      <c r="V872" s="2"/>
    </row>
    <row r="873" spans="1:22" ht="15.75" customHeight="1" x14ac:dyDescent="0.25">
      <c r="A873" s="26"/>
      <c r="B873" s="2" t="s">
        <v>1251</v>
      </c>
      <c r="C873" s="32">
        <v>45715.583726851852</v>
      </c>
      <c r="D873" s="53">
        <f>YEAR(Table1[[#This Row],[Order Date]])</f>
        <v>2025</v>
      </c>
      <c r="E873" s="2" t="s">
        <v>1130</v>
      </c>
      <c r="F873" s="2" t="s">
        <v>122</v>
      </c>
      <c r="G873" s="2" t="s">
        <v>81</v>
      </c>
      <c r="H873" s="23">
        <v>17000</v>
      </c>
      <c r="I873" s="2">
        <v>1</v>
      </c>
      <c r="J873" s="31">
        <v>20</v>
      </c>
      <c r="K873" s="7">
        <f t="shared" si="52"/>
        <v>17000</v>
      </c>
      <c r="L873" s="7">
        <f t="shared" si="53"/>
        <v>3400</v>
      </c>
      <c r="M873" s="7">
        <f t="shared" si="54"/>
        <v>13600</v>
      </c>
      <c r="N873" s="23">
        <v>78000</v>
      </c>
      <c r="O873" s="7">
        <f t="shared" si="55"/>
        <v>91600</v>
      </c>
      <c r="P873" s="2" t="s">
        <v>22</v>
      </c>
      <c r="Q873" t="str">
        <f>_xlfn.XLOOKUP(B873,Status!$A$2:$A$1867,Status!$B$2:$B$1867)</f>
        <v>Completed</v>
      </c>
      <c r="R873" s="2" t="s">
        <v>23</v>
      </c>
      <c r="S873" s="8">
        <v>5</v>
      </c>
      <c r="T873" s="2" t="s">
        <v>24</v>
      </c>
      <c r="U873" s="31" t="str" cm="1">
        <f t="array" ref="U873">_xlfn.IFS(L873&lt;=5000,$Z$3,AND(L873&gt;5000,L873&lt;=15000),$Z$4,AND(L873&gt;15000,L873&lt;=30000),$Z$5,AND(L873&gt;30000,L873&lt;=50000),$Z$6,L873&gt;50000,$Z$7)</f>
        <v>Sangat Rendah</v>
      </c>
      <c r="V873" s="2"/>
    </row>
    <row r="874" spans="1:22" ht="15.75" customHeight="1" x14ac:dyDescent="0.25">
      <c r="A874" s="26"/>
      <c r="B874" s="2" t="s">
        <v>1252</v>
      </c>
      <c r="C874" s="32">
        <v>45715.597060185188</v>
      </c>
      <c r="D874" s="53">
        <f>YEAR(Table1[[#This Row],[Order Date]])</f>
        <v>2025</v>
      </c>
      <c r="E874" s="2" t="s">
        <v>451</v>
      </c>
      <c r="F874" s="2" t="s">
        <v>116</v>
      </c>
      <c r="G874" s="2" t="s">
        <v>38</v>
      </c>
      <c r="H874" s="23">
        <v>28000</v>
      </c>
      <c r="I874" s="2">
        <v>1</v>
      </c>
      <c r="J874" s="31">
        <v>0</v>
      </c>
      <c r="K874" s="7">
        <f t="shared" si="52"/>
        <v>28000</v>
      </c>
      <c r="L874" s="7">
        <f t="shared" si="53"/>
        <v>0</v>
      </c>
      <c r="M874" s="7">
        <f t="shared" si="54"/>
        <v>28000</v>
      </c>
      <c r="N874" s="23">
        <v>72000</v>
      </c>
      <c r="O874" s="7">
        <f t="shared" si="55"/>
        <v>100000</v>
      </c>
      <c r="P874" s="2" t="s">
        <v>29</v>
      </c>
      <c r="Q874" t="str">
        <f>_xlfn.XLOOKUP(B874,Status!$A$2:$A$1867,Status!$B$2:$B$1867)</f>
        <v>Completed</v>
      </c>
      <c r="R874" s="2" t="s">
        <v>23</v>
      </c>
      <c r="S874" s="8">
        <v>1</v>
      </c>
      <c r="T874" s="2" t="s">
        <v>24</v>
      </c>
      <c r="U874" s="31" t="str" cm="1">
        <f t="array" ref="U874">_xlfn.IFS(L874&lt;=5000,$Z$3,AND(L874&gt;5000,L874&lt;=15000),$Z$4,AND(L874&gt;15000,L874&lt;=30000),$Z$5,AND(L874&gt;30000,L874&lt;=50000),$Z$6,L874&gt;50000,$Z$7)</f>
        <v>Sangat Rendah</v>
      </c>
      <c r="V874" s="2"/>
    </row>
    <row r="875" spans="1:22" ht="15.75" customHeight="1" x14ac:dyDescent="0.25">
      <c r="A875" s="26"/>
      <c r="B875" s="2" t="s">
        <v>1253</v>
      </c>
      <c r="C875" s="32">
        <v>45716.261458333327</v>
      </c>
      <c r="D875" s="53">
        <f>YEAR(Table1[[#This Row],[Order Date]])</f>
        <v>2025</v>
      </c>
      <c r="E875" s="2" t="s">
        <v>708</v>
      </c>
      <c r="F875" s="2" t="s">
        <v>116</v>
      </c>
      <c r="G875" s="2" t="s">
        <v>34</v>
      </c>
      <c r="H875" s="23">
        <v>16000</v>
      </c>
      <c r="I875" s="2">
        <v>2</v>
      </c>
      <c r="J875" s="31">
        <v>20</v>
      </c>
      <c r="K875" s="7">
        <f t="shared" si="52"/>
        <v>32000</v>
      </c>
      <c r="L875" s="7">
        <f t="shared" si="53"/>
        <v>6400</v>
      </c>
      <c r="M875" s="7">
        <f t="shared" si="54"/>
        <v>25600</v>
      </c>
      <c r="N875" s="23">
        <v>72000</v>
      </c>
      <c r="O875" s="7">
        <f t="shared" si="55"/>
        <v>97600</v>
      </c>
      <c r="P875" s="2" t="s">
        <v>63</v>
      </c>
      <c r="Q875" t="str">
        <f>_xlfn.XLOOKUP(B875,Status!$A$2:$A$1867,Status!$B$2:$B$1867)</f>
        <v>Cancelled</v>
      </c>
      <c r="R875" s="2" t="s">
        <v>23</v>
      </c>
      <c r="S875" s="8">
        <v>4</v>
      </c>
      <c r="T875" s="2" t="s">
        <v>24</v>
      </c>
      <c r="U875" s="31" t="str" cm="1">
        <f t="array" ref="U875">_xlfn.IFS(L875&lt;=5000,$Z$3,AND(L875&gt;5000,L875&lt;=15000),$Z$4,AND(L875&gt;15000,L875&lt;=30000),$Z$5,AND(L875&gt;30000,L875&lt;=50000),$Z$6,L875&gt;50000,$Z$7)</f>
        <v>Rendah</v>
      </c>
      <c r="V875" s="2"/>
    </row>
    <row r="876" spans="1:22" ht="15.75" customHeight="1" x14ac:dyDescent="0.25">
      <c r="A876" s="26"/>
      <c r="B876" s="2" t="s">
        <v>1254</v>
      </c>
      <c r="C876" s="32">
        <v>45716.313310185193</v>
      </c>
      <c r="D876" s="53">
        <f>YEAR(Table1[[#This Row],[Order Date]])</f>
        <v>2025</v>
      </c>
      <c r="E876" s="2" t="s">
        <v>100</v>
      </c>
      <c r="F876" s="2" t="s">
        <v>66</v>
      </c>
      <c r="G876" s="2" t="s">
        <v>28</v>
      </c>
      <c r="H876" s="23">
        <v>5000</v>
      </c>
      <c r="I876" s="2">
        <v>1</v>
      </c>
      <c r="J876" s="31">
        <v>0</v>
      </c>
      <c r="K876" s="7">
        <f t="shared" si="52"/>
        <v>5000</v>
      </c>
      <c r="L876" s="7">
        <f t="shared" si="53"/>
        <v>0</v>
      </c>
      <c r="M876" s="7">
        <f t="shared" si="54"/>
        <v>5000</v>
      </c>
      <c r="N876" s="23">
        <v>59000</v>
      </c>
      <c r="O876" s="7">
        <f t="shared" si="55"/>
        <v>64000</v>
      </c>
      <c r="P876" s="2" t="s">
        <v>29</v>
      </c>
      <c r="Q876" t="str">
        <f>_xlfn.XLOOKUP(B876,Status!$A$2:$A$1867,Status!$B$2:$B$1867)</f>
        <v>Completed</v>
      </c>
      <c r="R876" s="2" t="s">
        <v>23</v>
      </c>
      <c r="S876" s="8">
        <v>1</v>
      </c>
      <c r="T876" s="2" t="s">
        <v>24</v>
      </c>
      <c r="U876" s="31" t="str" cm="1">
        <f t="array" ref="U876">_xlfn.IFS(L876&lt;=5000,$Z$3,AND(L876&gt;5000,L876&lt;=15000),$Z$4,AND(L876&gt;15000,L876&lt;=30000),$Z$5,AND(L876&gt;30000,L876&lt;=50000),$Z$6,L876&gt;50000,$Z$7)</f>
        <v>Sangat Rendah</v>
      </c>
      <c r="V876" s="2"/>
    </row>
    <row r="877" spans="1:22" ht="15.75" customHeight="1" x14ac:dyDescent="0.25">
      <c r="A877" s="26"/>
      <c r="B877" s="2" t="s">
        <v>1255</v>
      </c>
      <c r="C877" s="32">
        <v>45716.335428240738</v>
      </c>
      <c r="D877" s="53">
        <f>YEAR(Table1[[#This Row],[Order Date]])</f>
        <v>2025</v>
      </c>
      <c r="E877" s="2" t="s">
        <v>642</v>
      </c>
      <c r="F877" s="2" t="s">
        <v>160</v>
      </c>
      <c r="G877" s="2" t="s">
        <v>45</v>
      </c>
      <c r="H877" s="23">
        <v>40000</v>
      </c>
      <c r="I877" s="2">
        <v>4</v>
      </c>
      <c r="J877" s="31">
        <v>5</v>
      </c>
      <c r="K877" s="7">
        <f t="shared" si="52"/>
        <v>160000</v>
      </c>
      <c r="L877" s="7">
        <f t="shared" si="53"/>
        <v>8000</v>
      </c>
      <c r="M877" s="7">
        <f t="shared" si="54"/>
        <v>152000</v>
      </c>
      <c r="N877" s="23">
        <v>68000</v>
      </c>
      <c r="O877" s="7">
        <f t="shared" si="55"/>
        <v>220000</v>
      </c>
      <c r="P877" s="2" t="s">
        <v>22</v>
      </c>
      <c r="Q877" t="str">
        <f>_xlfn.XLOOKUP(B877,Status!$A$2:$A$1867,Status!$B$2:$B$1867)</f>
        <v>Completed</v>
      </c>
      <c r="R877" s="2" t="s">
        <v>36</v>
      </c>
      <c r="S877" s="8">
        <v>1</v>
      </c>
      <c r="T877" s="2" t="s">
        <v>24</v>
      </c>
      <c r="U877" s="31" t="str" cm="1">
        <f t="array" ref="U877">_xlfn.IFS(L877&lt;=5000,$Z$3,AND(L877&gt;5000,L877&lt;=15000),$Z$4,AND(L877&gt;15000,L877&lt;=30000),$Z$5,AND(L877&gt;30000,L877&lt;=50000),$Z$6,L877&gt;50000,$Z$7)</f>
        <v>Rendah</v>
      </c>
      <c r="V877" s="2"/>
    </row>
    <row r="878" spans="1:22" ht="15.75" customHeight="1" x14ac:dyDescent="0.25">
      <c r="A878" s="26"/>
      <c r="B878" s="2" t="s">
        <v>1256</v>
      </c>
      <c r="C878" s="32">
        <v>45716.615949074083</v>
      </c>
      <c r="D878" s="53">
        <f>YEAR(Table1[[#This Row],[Order Date]])</f>
        <v>2025</v>
      </c>
      <c r="E878" s="2" t="s">
        <v>102</v>
      </c>
      <c r="F878" s="2" t="s">
        <v>103</v>
      </c>
      <c r="G878" s="2" t="s">
        <v>67</v>
      </c>
      <c r="H878" s="23">
        <v>15000</v>
      </c>
      <c r="I878" s="2">
        <v>5</v>
      </c>
      <c r="J878" s="31">
        <v>15</v>
      </c>
      <c r="K878" s="7">
        <f t="shared" si="52"/>
        <v>75000</v>
      </c>
      <c r="L878" s="7">
        <f t="shared" si="53"/>
        <v>11250</v>
      </c>
      <c r="M878" s="7">
        <f t="shared" si="54"/>
        <v>63750</v>
      </c>
      <c r="N878" s="23">
        <v>85000</v>
      </c>
      <c r="O878" s="7">
        <f t="shared" si="55"/>
        <v>148750</v>
      </c>
      <c r="P878" s="2" t="s">
        <v>63</v>
      </c>
      <c r="Q878" t="str">
        <f>_xlfn.XLOOKUP(B878,Status!$A$2:$A$1867,Status!$B$2:$B$1867)</f>
        <v>Completed</v>
      </c>
      <c r="R878" s="2" t="s">
        <v>82</v>
      </c>
      <c r="S878" s="8">
        <v>2</v>
      </c>
      <c r="T878" s="2" t="s">
        <v>24</v>
      </c>
      <c r="U878" s="31" t="str" cm="1">
        <f t="array" ref="U878">_xlfn.IFS(L878&lt;=5000,$Z$3,AND(L878&gt;5000,L878&lt;=15000),$Z$4,AND(L878&gt;15000,L878&lt;=30000),$Z$5,AND(L878&gt;30000,L878&lt;=50000),$Z$6,L878&gt;50000,$Z$7)</f>
        <v>Rendah</v>
      </c>
      <c r="V878" s="2"/>
    </row>
    <row r="879" spans="1:22" ht="15.75" customHeight="1" x14ac:dyDescent="0.25">
      <c r="A879" s="26"/>
      <c r="B879" s="2" t="s">
        <v>1257</v>
      </c>
      <c r="C879" s="32">
        <v>45716.807546296302</v>
      </c>
      <c r="D879" s="53">
        <f>YEAR(Table1[[#This Row],[Order Date]])</f>
        <v>2025</v>
      </c>
      <c r="E879" s="2" t="s">
        <v>979</v>
      </c>
      <c r="F879" s="2" t="s">
        <v>49</v>
      </c>
      <c r="G879" s="2" t="s">
        <v>34</v>
      </c>
      <c r="H879" s="23">
        <v>16000</v>
      </c>
      <c r="I879" s="2">
        <v>5</v>
      </c>
      <c r="J879" s="31">
        <v>5</v>
      </c>
      <c r="K879" s="7">
        <f t="shared" si="52"/>
        <v>80000</v>
      </c>
      <c r="L879" s="7">
        <f t="shared" si="53"/>
        <v>4000</v>
      </c>
      <c r="M879" s="7">
        <f t="shared" si="54"/>
        <v>76000</v>
      </c>
      <c r="N879" s="23">
        <v>43000</v>
      </c>
      <c r="O879" s="7">
        <f t="shared" si="55"/>
        <v>119000</v>
      </c>
      <c r="P879" s="2" t="s">
        <v>22</v>
      </c>
      <c r="Q879" t="str">
        <f>_xlfn.XLOOKUP(B879,Status!$A$2:$A$1867,Status!$B$2:$B$1867)</f>
        <v>Completed</v>
      </c>
      <c r="R879" s="2" t="s">
        <v>23</v>
      </c>
      <c r="S879" s="8">
        <v>1</v>
      </c>
      <c r="T879" s="2" t="s">
        <v>24</v>
      </c>
      <c r="U879" s="31" t="str" cm="1">
        <f t="array" ref="U879">_xlfn.IFS(L879&lt;=5000,$Z$3,AND(L879&gt;5000,L879&lt;=15000),$Z$4,AND(L879&gt;15000,L879&lt;=30000),$Z$5,AND(L879&gt;30000,L879&lt;=50000),$Z$6,L879&gt;50000,$Z$7)</f>
        <v>Sangat Rendah</v>
      </c>
      <c r="V879" s="2"/>
    </row>
    <row r="880" spans="1:22" ht="15.75" customHeight="1" x14ac:dyDescent="0.25">
      <c r="A880" s="26"/>
      <c r="B880" s="2" t="s">
        <v>1258</v>
      </c>
      <c r="C880" s="32">
        <v>45716.868668981479</v>
      </c>
      <c r="D880" s="53">
        <f>YEAR(Table1[[#This Row],[Order Date]])</f>
        <v>2025</v>
      </c>
      <c r="E880" s="2" t="s">
        <v>1259</v>
      </c>
      <c r="F880" s="2" t="s">
        <v>107</v>
      </c>
      <c r="G880" s="2" t="s">
        <v>34</v>
      </c>
      <c r="H880" s="23">
        <v>16000</v>
      </c>
      <c r="I880" s="2">
        <v>5</v>
      </c>
      <c r="J880" s="31">
        <v>15</v>
      </c>
      <c r="K880" s="7">
        <f t="shared" si="52"/>
        <v>80000</v>
      </c>
      <c r="L880" s="7">
        <f t="shared" si="53"/>
        <v>12000</v>
      </c>
      <c r="M880" s="7">
        <f t="shared" si="54"/>
        <v>68000</v>
      </c>
      <c r="N880" s="23">
        <v>97000</v>
      </c>
      <c r="O880" s="7">
        <f t="shared" si="55"/>
        <v>165000</v>
      </c>
      <c r="P880" s="2" t="s">
        <v>35</v>
      </c>
      <c r="Q880" t="str">
        <f>_xlfn.XLOOKUP(B880,Status!$A$2:$A$1867,Status!$B$2:$B$1867)</f>
        <v>Completed</v>
      </c>
      <c r="R880" s="2" t="s">
        <v>23</v>
      </c>
      <c r="S880" s="8">
        <v>4</v>
      </c>
      <c r="T880" s="2" t="s">
        <v>37</v>
      </c>
      <c r="U880" s="31" t="str" cm="1">
        <f t="array" ref="U880">_xlfn.IFS(L880&lt;=5000,$Z$3,AND(L880&gt;5000,L880&lt;=15000),$Z$4,AND(L880&gt;15000,L880&lt;=30000),$Z$5,AND(L880&gt;30000,L880&lt;=50000),$Z$6,L880&gt;50000,$Z$7)</f>
        <v>Rendah</v>
      </c>
      <c r="V880" s="2"/>
    </row>
    <row r="881" spans="1:22" ht="15.75" customHeight="1" x14ac:dyDescent="0.25">
      <c r="A881" s="26"/>
      <c r="B881" s="2" t="s">
        <v>1260</v>
      </c>
      <c r="C881" s="32">
        <v>45716.888009259259</v>
      </c>
      <c r="D881" s="53">
        <f>YEAR(Table1[[#This Row],[Order Date]])</f>
        <v>2025</v>
      </c>
      <c r="E881" s="2" t="s">
        <v>159</v>
      </c>
      <c r="F881" s="2" t="s">
        <v>160</v>
      </c>
      <c r="G881" s="2" t="s">
        <v>54</v>
      </c>
      <c r="H881" s="23">
        <v>16000</v>
      </c>
      <c r="I881" s="2">
        <v>2</v>
      </c>
      <c r="J881" s="31">
        <v>0</v>
      </c>
      <c r="K881" s="7">
        <f t="shared" si="52"/>
        <v>32000</v>
      </c>
      <c r="L881" s="7">
        <f t="shared" si="53"/>
        <v>0</v>
      </c>
      <c r="M881" s="7">
        <f t="shared" si="54"/>
        <v>32000</v>
      </c>
      <c r="N881" s="23">
        <v>68000</v>
      </c>
      <c r="O881" s="7">
        <f t="shared" si="55"/>
        <v>100000</v>
      </c>
      <c r="P881" s="2" t="s">
        <v>22</v>
      </c>
      <c r="Q881" t="str">
        <f>_xlfn.XLOOKUP(B881,Status!$A$2:$A$1867,Status!$B$2:$B$1867)</f>
        <v>Completed</v>
      </c>
      <c r="R881" s="2" t="s">
        <v>30</v>
      </c>
      <c r="S881" s="8">
        <v>2</v>
      </c>
      <c r="T881" s="2" t="s">
        <v>24</v>
      </c>
      <c r="U881" s="31" t="str" cm="1">
        <f t="array" ref="U881">_xlfn.IFS(L881&lt;=5000,$Z$3,AND(L881&gt;5000,L881&lt;=15000),$Z$4,AND(L881&gt;15000,L881&lt;=30000),$Z$5,AND(L881&gt;30000,L881&lt;=50000),$Z$6,L881&gt;50000,$Z$7)</f>
        <v>Sangat Rendah</v>
      </c>
      <c r="V881" s="2"/>
    </row>
    <row r="882" spans="1:22" ht="15.75" customHeight="1" x14ac:dyDescent="0.25">
      <c r="A882" s="26"/>
      <c r="B882" s="2" t="s">
        <v>1261</v>
      </c>
      <c r="C882" s="32">
        <v>45716.935740740737</v>
      </c>
      <c r="D882" s="53">
        <f>YEAR(Table1[[#This Row],[Order Date]])</f>
        <v>2025</v>
      </c>
      <c r="E882" s="2" t="s">
        <v>421</v>
      </c>
      <c r="F882" s="2" t="s">
        <v>103</v>
      </c>
      <c r="G882" s="2" t="s">
        <v>110</v>
      </c>
      <c r="H882" s="23">
        <v>6000</v>
      </c>
      <c r="I882" s="2">
        <v>4</v>
      </c>
      <c r="J882" s="31">
        <v>0</v>
      </c>
      <c r="K882" s="7">
        <f t="shared" si="52"/>
        <v>24000</v>
      </c>
      <c r="L882" s="7">
        <f t="shared" si="53"/>
        <v>0</v>
      </c>
      <c r="M882" s="7">
        <f t="shared" si="54"/>
        <v>24000</v>
      </c>
      <c r="N882" s="23">
        <v>85000</v>
      </c>
      <c r="O882" s="7">
        <f t="shared" si="55"/>
        <v>109000</v>
      </c>
      <c r="P882" s="2" t="s">
        <v>22</v>
      </c>
      <c r="Q882" t="str">
        <f>_xlfn.XLOOKUP(B882,Status!$A$2:$A$1867,Status!$B$2:$B$1867)</f>
        <v>Returned</v>
      </c>
      <c r="R882" s="2" t="s">
        <v>46</v>
      </c>
      <c r="S882" s="8">
        <v>3</v>
      </c>
      <c r="T882" s="2" t="s">
        <v>24</v>
      </c>
      <c r="U882" s="31" t="str" cm="1">
        <f t="array" ref="U882">_xlfn.IFS(L882&lt;=5000,$Z$3,AND(L882&gt;5000,L882&lt;=15000),$Z$4,AND(L882&gt;15000,L882&lt;=30000),$Z$5,AND(L882&gt;30000,L882&lt;=50000),$Z$6,L882&gt;50000,$Z$7)</f>
        <v>Sangat Rendah</v>
      </c>
      <c r="V882" s="2"/>
    </row>
    <row r="883" spans="1:22" ht="15.75" customHeight="1" x14ac:dyDescent="0.25">
      <c r="A883" s="26"/>
      <c r="B883" s="2" t="s">
        <v>1262</v>
      </c>
      <c r="C883" s="32">
        <v>45717.145219907397</v>
      </c>
      <c r="D883" s="53">
        <f>YEAR(Table1[[#This Row],[Order Date]])</f>
        <v>2025</v>
      </c>
      <c r="E883" s="2" t="s">
        <v>1263</v>
      </c>
      <c r="F883" s="2" t="s">
        <v>435</v>
      </c>
      <c r="G883" s="2" t="s">
        <v>85</v>
      </c>
      <c r="H883" s="23">
        <v>35000</v>
      </c>
      <c r="I883" s="2">
        <v>1</v>
      </c>
      <c r="J883" s="31">
        <v>5</v>
      </c>
      <c r="K883" s="7">
        <f t="shared" si="52"/>
        <v>35000</v>
      </c>
      <c r="L883" s="7">
        <f t="shared" si="53"/>
        <v>1750</v>
      </c>
      <c r="M883" s="7">
        <f t="shared" si="54"/>
        <v>33250</v>
      </c>
      <c r="N883" s="23">
        <v>67000</v>
      </c>
      <c r="O883" s="7">
        <f t="shared" si="55"/>
        <v>100250</v>
      </c>
      <c r="P883" s="2" t="s">
        <v>22</v>
      </c>
      <c r="Q883" t="str">
        <f>_xlfn.XLOOKUP(B883,Status!$A$2:$A$1867,Status!$B$2:$B$1867)</f>
        <v>Completed</v>
      </c>
      <c r="R883" s="2" t="s">
        <v>23</v>
      </c>
      <c r="S883" s="8">
        <v>3</v>
      </c>
      <c r="T883" s="2" t="s">
        <v>24</v>
      </c>
      <c r="U883" s="31" t="str" cm="1">
        <f t="array" ref="U883">_xlfn.IFS(L883&lt;=5000,$Z$3,AND(L883&gt;5000,L883&lt;=15000),$Z$4,AND(L883&gt;15000,L883&lt;=30000),$Z$5,AND(L883&gt;30000,L883&lt;=50000),$Z$6,L883&gt;50000,$Z$7)</f>
        <v>Sangat Rendah</v>
      </c>
      <c r="V883" s="2"/>
    </row>
    <row r="884" spans="1:22" ht="15.75" customHeight="1" x14ac:dyDescent="0.25">
      <c r="A884" s="26"/>
      <c r="B884" s="2" t="s">
        <v>1264</v>
      </c>
      <c r="C884" s="32">
        <v>45717.271678240737</v>
      </c>
      <c r="D884" s="53">
        <f>YEAR(Table1[[#This Row],[Order Date]])</f>
        <v>2025</v>
      </c>
      <c r="E884" s="2" t="s">
        <v>162</v>
      </c>
      <c r="F884" s="2" t="s">
        <v>163</v>
      </c>
      <c r="G884" s="2" t="s">
        <v>45</v>
      </c>
      <c r="H884" s="23">
        <v>40000</v>
      </c>
      <c r="I884" s="2">
        <v>5</v>
      </c>
      <c r="J884" s="31">
        <v>15</v>
      </c>
      <c r="K884" s="7">
        <f t="shared" si="52"/>
        <v>200000</v>
      </c>
      <c r="L884" s="7">
        <f t="shared" si="53"/>
        <v>30000</v>
      </c>
      <c r="M884" s="7">
        <f t="shared" si="54"/>
        <v>170000</v>
      </c>
      <c r="N884" s="23">
        <v>50000</v>
      </c>
      <c r="O884" s="7">
        <f t="shared" si="55"/>
        <v>220000</v>
      </c>
      <c r="P884" s="2" t="s">
        <v>35</v>
      </c>
      <c r="Q884" t="str">
        <f>_xlfn.XLOOKUP(B884,Status!$A$2:$A$1867,Status!$B$2:$B$1867)</f>
        <v>Completed</v>
      </c>
      <c r="R884" s="2" t="s">
        <v>30</v>
      </c>
      <c r="S884" s="8">
        <v>5</v>
      </c>
      <c r="T884" s="2" t="s">
        <v>24</v>
      </c>
      <c r="U884" s="31" t="str" cm="1">
        <f t="array" ref="U884">_xlfn.IFS(L884&lt;=5000,$Z$3,AND(L884&gt;5000,L884&lt;=15000),$Z$4,AND(L884&gt;15000,L884&lt;=30000),$Z$5,AND(L884&gt;30000,L884&lt;=50000),$Z$6,L884&gt;50000,$Z$7)</f>
        <v>Normal</v>
      </c>
      <c r="V884" s="2"/>
    </row>
    <row r="885" spans="1:22" ht="15.75" customHeight="1" x14ac:dyDescent="0.25">
      <c r="A885" s="26"/>
      <c r="B885" s="2" t="s">
        <v>1265</v>
      </c>
      <c r="C885" s="32">
        <v>45717.567476851851</v>
      </c>
      <c r="D885" s="53">
        <f>YEAR(Table1[[#This Row],[Order Date]])</f>
        <v>2025</v>
      </c>
      <c r="E885" s="2" t="s">
        <v>1098</v>
      </c>
      <c r="F885" s="2" t="s">
        <v>126</v>
      </c>
      <c r="G885" s="2" t="s">
        <v>85</v>
      </c>
      <c r="H885" s="23">
        <v>35000</v>
      </c>
      <c r="I885" s="2">
        <v>2</v>
      </c>
      <c r="J885" s="31">
        <v>15</v>
      </c>
      <c r="K885" s="7">
        <f t="shared" si="52"/>
        <v>70000</v>
      </c>
      <c r="L885" s="7">
        <f t="shared" si="53"/>
        <v>10500</v>
      </c>
      <c r="M885" s="7">
        <f t="shared" si="54"/>
        <v>59500</v>
      </c>
      <c r="N885" s="23">
        <v>84000</v>
      </c>
      <c r="O885" s="7">
        <f t="shared" si="55"/>
        <v>143500</v>
      </c>
      <c r="P885" s="2" t="s">
        <v>22</v>
      </c>
      <c r="Q885" t="str">
        <f>_xlfn.XLOOKUP(B885,Status!$A$2:$A$1867,Status!$B$2:$B$1867)</f>
        <v>Completed</v>
      </c>
      <c r="R885" s="2" t="s">
        <v>23</v>
      </c>
      <c r="S885" s="8">
        <v>4</v>
      </c>
      <c r="T885" s="2" t="s">
        <v>37</v>
      </c>
      <c r="U885" s="31" t="str" cm="1">
        <f t="array" ref="U885">_xlfn.IFS(L885&lt;=5000,$Z$3,AND(L885&gt;5000,L885&lt;=15000),$Z$4,AND(L885&gt;15000,L885&lt;=30000),$Z$5,AND(L885&gt;30000,L885&lt;=50000),$Z$6,L885&gt;50000,$Z$7)</f>
        <v>Rendah</v>
      </c>
      <c r="V885" s="2"/>
    </row>
    <row r="886" spans="1:22" ht="15.75" customHeight="1" x14ac:dyDescent="0.25">
      <c r="A886" s="26"/>
      <c r="B886" s="2" t="s">
        <v>1266</v>
      </c>
      <c r="C886" s="32">
        <v>45717.747175925928</v>
      </c>
      <c r="D886" s="53">
        <f>YEAR(Table1[[#This Row],[Order Date]])</f>
        <v>2025</v>
      </c>
      <c r="E886" s="2" t="s">
        <v>821</v>
      </c>
      <c r="F886" s="2" t="s">
        <v>131</v>
      </c>
      <c r="G886" s="2" t="s">
        <v>28</v>
      </c>
      <c r="H886" s="23">
        <v>5000</v>
      </c>
      <c r="I886" s="2">
        <v>4</v>
      </c>
      <c r="J886" s="31">
        <v>0</v>
      </c>
      <c r="K886" s="7">
        <f t="shared" si="52"/>
        <v>20000</v>
      </c>
      <c r="L886" s="7">
        <f t="shared" si="53"/>
        <v>0</v>
      </c>
      <c r="M886" s="7">
        <f t="shared" si="54"/>
        <v>20000</v>
      </c>
      <c r="N886" s="23">
        <v>59000</v>
      </c>
      <c r="O886" s="7">
        <f t="shared" si="55"/>
        <v>79000</v>
      </c>
      <c r="P886" s="2" t="s">
        <v>35</v>
      </c>
      <c r="Q886" t="str">
        <f>_xlfn.XLOOKUP(B886,Status!$A$2:$A$1867,Status!$B$2:$B$1867)</f>
        <v>Completed</v>
      </c>
      <c r="R886" s="2" t="s">
        <v>36</v>
      </c>
      <c r="S886" s="8">
        <v>4</v>
      </c>
      <c r="T886" s="2" t="s">
        <v>24</v>
      </c>
      <c r="U886" s="31" t="str" cm="1">
        <f t="array" ref="U886">_xlfn.IFS(L886&lt;=5000,$Z$3,AND(L886&gt;5000,L886&lt;=15000),$Z$4,AND(L886&gt;15000,L886&lt;=30000),$Z$5,AND(L886&gt;30000,L886&lt;=50000),$Z$6,L886&gt;50000,$Z$7)</f>
        <v>Sangat Rendah</v>
      </c>
      <c r="V886" s="2"/>
    </row>
    <row r="887" spans="1:22" ht="15.75" customHeight="1" x14ac:dyDescent="0.25">
      <c r="A887" s="26"/>
      <c r="B887" s="2" t="s">
        <v>1267</v>
      </c>
      <c r="C887" s="32">
        <v>45717.831157407411</v>
      </c>
      <c r="D887" s="53">
        <f>YEAR(Table1[[#This Row],[Order Date]])</f>
        <v>2025</v>
      </c>
      <c r="E887" s="2" t="s">
        <v>1053</v>
      </c>
      <c r="F887" s="2" t="s">
        <v>80</v>
      </c>
      <c r="G887" s="2" t="s">
        <v>75</v>
      </c>
      <c r="H887" s="23">
        <v>55000</v>
      </c>
      <c r="I887" s="2">
        <v>4</v>
      </c>
      <c r="J887" s="31">
        <v>15</v>
      </c>
      <c r="K887" s="7">
        <f t="shared" si="52"/>
        <v>220000</v>
      </c>
      <c r="L887" s="7">
        <f t="shared" si="53"/>
        <v>33000</v>
      </c>
      <c r="M887" s="7">
        <f t="shared" si="54"/>
        <v>187000</v>
      </c>
      <c r="N887" s="23">
        <v>74000</v>
      </c>
      <c r="O887" s="7">
        <f t="shared" si="55"/>
        <v>261000</v>
      </c>
      <c r="P887" s="2" t="s">
        <v>63</v>
      </c>
      <c r="Q887" t="str">
        <f>_xlfn.XLOOKUP(B887,Status!$A$2:$A$1867,Status!$B$2:$B$1867)</f>
        <v>Completed</v>
      </c>
      <c r="R887" s="2" t="s">
        <v>23</v>
      </c>
      <c r="S887" s="8">
        <v>2</v>
      </c>
      <c r="T887" s="2" t="s">
        <v>24</v>
      </c>
      <c r="U887" s="31" t="str" cm="1">
        <f t="array" ref="U887">_xlfn.IFS(L887&lt;=5000,$Z$3,AND(L887&gt;5000,L887&lt;=15000),$Z$4,AND(L887&gt;15000,L887&lt;=30000),$Z$5,AND(L887&gt;30000,L887&lt;=50000),$Z$6,L887&gt;50000,$Z$7)</f>
        <v>Tinggi</v>
      </c>
      <c r="V887" s="2"/>
    </row>
    <row r="888" spans="1:22" ht="15.75" customHeight="1" x14ac:dyDescent="0.25">
      <c r="A888" s="26"/>
      <c r="B888" s="2" t="s">
        <v>1268</v>
      </c>
      <c r="C888" s="32">
        <v>45717.837037037039</v>
      </c>
      <c r="D888" s="53">
        <f>YEAR(Table1[[#This Row],[Order Date]])</f>
        <v>2025</v>
      </c>
      <c r="E888" s="2" t="s">
        <v>1098</v>
      </c>
      <c r="F888" s="2" t="s">
        <v>126</v>
      </c>
      <c r="G888" s="2" t="s">
        <v>75</v>
      </c>
      <c r="H888" s="23">
        <v>55000</v>
      </c>
      <c r="I888" s="2">
        <v>1</v>
      </c>
      <c r="J888" s="31">
        <v>20</v>
      </c>
      <c r="K888" s="7">
        <f t="shared" si="52"/>
        <v>55000</v>
      </c>
      <c r="L888" s="7">
        <f t="shared" si="53"/>
        <v>11000</v>
      </c>
      <c r="M888" s="7">
        <f t="shared" si="54"/>
        <v>44000</v>
      </c>
      <c r="N888" s="23">
        <v>84000</v>
      </c>
      <c r="O888" s="7">
        <f t="shared" si="55"/>
        <v>128000</v>
      </c>
      <c r="P888" s="2" t="s">
        <v>35</v>
      </c>
      <c r="Q888" t="str">
        <f>_xlfn.XLOOKUP(B888,Status!$A$2:$A$1867,Status!$B$2:$B$1867)</f>
        <v>Completed</v>
      </c>
      <c r="R888" s="2" t="s">
        <v>36</v>
      </c>
      <c r="S888" s="8">
        <v>4</v>
      </c>
      <c r="T888" s="2" t="s">
        <v>37</v>
      </c>
      <c r="U888" s="31" t="str" cm="1">
        <f t="array" ref="U888">_xlfn.IFS(L888&lt;=5000,$Z$3,AND(L888&gt;5000,L888&lt;=15000),$Z$4,AND(L888&gt;15000,L888&lt;=30000),$Z$5,AND(L888&gt;30000,L888&lt;=50000),$Z$6,L888&gt;50000,$Z$7)</f>
        <v>Rendah</v>
      </c>
      <c r="V888" s="2"/>
    </row>
    <row r="889" spans="1:22" ht="15.75" customHeight="1" x14ac:dyDescent="0.25">
      <c r="A889" s="26"/>
      <c r="B889" s="2" t="s">
        <v>1269</v>
      </c>
      <c r="C889" s="32">
        <v>45718.266932870371</v>
      </c>
      <c r="D889" s="53">
        <f>YEAR(Table1[[#This Row],[Order Date]])</f>
        <v>2025</v>
      </c>
      <c r="E889" s="2" t="s">
        <v>1270</v>
      </c>
      <c r="F889" s="2" t="s">
        <v>182</v>
      </c>
      <c r="G889" s="2" t="s">
        <v>123</v>
      </c>
      <c r="H889" s="23">
        <v>22000</v>
      </c>
      <c r="I889" s="2">
        <v>3</v>
      </c>
      <c r="J889" s="31">
        <v>15</v>
      </c>
      <c r="K889" s="7">
        <f t="shared" si="52"/>
        <v>66000</v>
      </c>
      <c r="L889" s="7">
        <f t="shared" si="53"/>
        <v>9900</v>
      </c>
      <c r="M889" s="7">
        <f t="shared" si="54"/>
        <v>56100</v>
      </c>
      <c r="N889" s="23">
        <v>48000</v>
      </c>
      <c r="O889" s="7">
        <f t="shared" si="55"/>
        <v>104100</v>
      </c>
      <c r="P889" s="2" t="s">
        <v>29</v>
      </c>
      <c r="Q889" t="str">
        <f>_xlfn.XLOOKUP(B889,Status!$A$2:$A$1867,Status!$B$2:$B$1867)</f>
        <v>Completed</v>
      </c>
      <c r="R889" s="2" t="s">
        <v>36</v>
      </c>
      <c r="S889" s="8">
        <v>3</v>
      </c>
      <c r="T889" s="2" t="s">
        <v>24</v>
      </c>
      <c r="U889" s="31" t="str" cm="1">
        <f t="array" ref="U889">_xlfn.IFS(L889&lt;=5000,$Z$3,AND(L889&gt;5000,L889&lt;=15000),$Z$4,AND(L889&gt;15000,L889&lt;=30000),$Z$5,AND(L889&gt;30000,L889&lt;=50000),$Z$6,L889&gt;50000,$Z$7)</f>
        <v>Rendah</v>
      </c>
      <c r="V889" s="2"/>
    </row>
    <row r="890" spans="1:22" ht="15.75" customHeight="1" x14ac:dyDescent="0.25">
      <c r="A890" s="26"/>
      <c r="B890" s="2" t="s">
        <v>1271</v>
      </c>
      <c r="C890" s="32">
        <v>45718.775312500002</v>
      </c>
      <c r="D890" s="53">
        <f>YEAR(Table1[[#This Row],[Order Date]])</f>
        <v>2025</v>
      </c>
      <c r="E890" s="2" t="s">
        <v>385</v>
      </c>
      <c r="F890" s="2" t="s">
        <v>375</v>
      </c>
      <c r="G890" s="2" t="s">
        <v>174</v>
      </c>
      <c r="H890" s="23">
        <v>10000</v>
      </c>
      <c r="I890" s="2">
        <v>2</v>
      </c>
      <c r="J890" s="31">
        <v>15</v>
      </c>
      <c r="K890" s="7">
        <f t="shared" si="52"/>
        <v>20000</v>
      </c>
      <c r="L890" s="7">
        <f t="shared" si="53"/>
        <v>3000</v>
      </c>
      <c r="M890" s="7">
        <f t="shared" si="54"/>
        <v>17000</v>
      </c>
      <c r="N890" s="23">
        <v>21000</v>
      </c>
      <c r="O890" s="7">
        <f t="shared" si="55"/>
        <v>38000</v>
      </c>
      <c r="P890" s="2" t="s">
        <v>29</v>
      </c>
      <c r="Q890" t="str">
        <f>_xlfn.XLOOKUP(B890,Status!$A$2:$A$1867,Status!$B$2:$B$1867)</f>
        <v>Completed</v>
      </c>
      <c r="R890" s="2" t="s">
        <v>30</v>
      </c>
      <c r="S890" s="8">
        <v>3</v>
      </c>
      <c r="T890" s="2" t="s">
        <v>24</v>
      </c>
      <c r="U890" s="31" t="str" cm="1">
        <f t="array" ref="U890">_xlfn.IFS(L890&lt;=5000,$Z$3,AND(L890&gt;5000,L890&lt;=15000),$Z$4,AND(L890&gt;15000,L890&lt;=30000),$Z$5,AND(L890&gt;30000,L890&lt;=50000),$Z$6,L890&gt;50000,$Z$7)</f>
        <v>Sangat Rendah</v>
      </c>
      <c r="V890" s="2"/>
    </row>
    <row r="891" spans="1:22" ht="15.75" customHeight="1" x14ac:dyDescent="0.25">
      <c r="A891" s="26"/>
      <c r="B891" s="2" t="s">
        <v>1272</v>
      </c>
      <c r="C891" s="32">
        <v>45718.805578703701</v>
      </c>
      <c r="D891" s="53">
        <f>YEAR(Table1[[#This Row],[Order Date]])</f>
        <v>2025</v>
      </c>
      <c r="E891" s="2" t="s">
        <v>261</v>
      </c>
      <c r="F891" s="2" t="s">
        <v>262</v>
      </c>
      <c r="G891" s="2" t="s">
        <v>50</v>
      </c>
      <c r="H891" s="23">
        <v>14000</v>
      </c>
      <c r="I891" s="2">
        <v>1</v>
      </c>
      <c r="J891" s="31">
        <v>5</v>
      </c>
      <c r="K891" s="7">
        <f t="shared" si="52"/>
        <v>14000</v>
      </c>
      <c r="L891" s="7">
        <f t="shared" si="53"/>
        <v>700</v>
      </c>
      <c r="M891" s="7">
        <f t="shared" si="54"/>
        <v>13300</v>
      </c>
      <c r="N891" s="23">
        <v>18000</v>
      </c>
      <c r="O891" s="7">
        <f t="shared" si="55"/>
        <v>31300</v>
      </c>
      <c r="P891" s="2" t="s">
        <v>29</v>
      </c>
      <c r="Q891" t="str">
        <f>_xlfn.XLOOKUP(B891,Status!$A$2:$A$1867,Status!$B$2:$B$1867)</f>
        <v>Completed</v>
      </c>
      <c r="R891" s="2" t="s">
        <v>30</v>
      </c>
      <c r="S891" s="8">
        <v>4</v>
      </c>
      <c r="T891" s="2" t="s">
        <v>24</v>
      </c>
      <c r="U891" s="31" t="str" cm="1">
        <f t="array" ref="U891">_xlfn.IFS(L891&lt;=5000,$Z$3,AND(L891&gt;5000,L891&lt;=15000),$Z$4,AND(L891&gt;15000,L891&lt;=30000),$Z$5,AND(L891&gt;30000,L891&lt;=50000),$Z$6,L891&gt;50000,$Z$7)</f>
        <v>Sangat Rendah</v>
      </c>
      <c r="V891" s="2"/>
    </row>
    <row r="892" spans="1:22" ht="15.75" customHeight="1" x14ac:dyDescent="0.25">
      <c r="A892" s="26"/>
      <c r="B892" s="2" t="s">
        <v>1273</v>
      </c>
      <c r="C892" s="32">
        <v>45719.348402777781</v>
      </c>
      <c r="D892" s="53">
        <f>YEAR(Table1[[#This Row],[Order Date]])</f>
        <v>2025</v>
      </c>
      <c r="E892" s="2" t="s">
        <v>98</v>
      </c>
      <c r="F892" s="2" t="s">
        <v>92</v>
      </c>
      <c r="G892" s="2" t="s">
        <v>88</v>
      </c>
      <c r="H892" s="23">
        <v>14000</v>
      </c>
      <c r="I892" s="2">
        <v>1</v>
      </c>
      <c r="J892" s="31">
        <v>10</v>
      </c>
      <c r="K892" s="7">
        <f t="shared" si="52"/>
        <v>14000</v>
      </c>
      <c r="L892" s="7">
        <f t="shared" si="53"/>
        <v>1400</v>
      </c>
      <c r="M892" s="7">
        <f t="shared" si="54"/>
        <v>12600</v>
      </c>
      <c r="N892" s="23">
        <v>30000</v>
      </c>
      <c r="O892" s="7">
        <f t="shared" si="55"/>
        <v>42600</v>
      </c>
      <c r="P892" s="2" t="s">
        <v>63</v>
      </c>
      <c r="Q892" t="str">
        <f>_xlfn.XLOOKUP(B892,Status!$A$2:$A$1867,Status!$B$2:$B$1867)</f>
        <v>Completed</v>
      </c>
      <c r="R892" s="2" t="s">
        <v>23</v>
      </c>
      <c r="S892" s="8">
        <v>5</v>
      </c>
      <c r="T892" s="2" t="s">
        <v>24</v>
      </c>
      <c r="U892" s="31" t="str" cm="1">
        <f t="array" ref="U892">_xlfn.IFS(L892&lt;=5000,$Z$3,AND(L892&gt;5000,L892&lt;=15000),$Z$4,AND(L892&gt;15000,L892&lt;=30000),$Z$5,AND(L892&gt;30000,L892&lt;=50000),$Z$6,L892&gt;50000,$Z$7)</f>
        <v>Sangat Rendah</v>
      </c>
      <c r="V892" s="2"/>
    </row>
    <row r="893" spans="1:22" ht="15.75" customHeight="1" x14ac:dyDescent="0.25">
      <c r="A893" s="26"/>
      <c r="B893" s="2" t="s">
        <v>1274</v>
      </c>
      <c r="C893" s="32">
        <v>45719.554074074083</v>
      </c>
      <c r="D893" s="53">
        <f>YEAR(Table1[[#This Row],[Order Date]])</f>
        <v>2025</v>
      </c>
      <c r="E893" s="2" t="s">
        <v>959</v>
      </c>
      <c r="F893" s="2" t="s">
        <v>182</v>
      </c>
      <c r="G893" s="2" t="s">
        <v>41</v>
      </c>
      <c r="H893" s="23">
        <v>4000</v>
      </c>
      <c r="I893" s="2">
        <v>1</v>
      </c>
      <c r="J893" s="31">
        <v>10</v>
      </c>
      <c r="K893" s="7">
        <f t="shared" si="52"/>
        <v>4000</v>
      </c>
      <c r="L893" s="7">
        <f t="shared" si="53"/>
        <v>400</v>
      </c>
      <c r="M893" s="7">
        <f t="shared" si="54"/>
        <v>3600</v>
      </c>
      <c r="N893" s="23">
        <v>48000</v>
      </c>
      <c r="O893" s="7">
        <f t="shared" si="55"/>
        <v>51600</v>
      </c>
      <c r="P893" s="2" t="s">
        <v>63</v>
      </c>
      <c r="Q893" t="str">
        <f>_xlfn.XLOOKUP(B893,Status!$A$2:$A$1867,Status!$B$2:$B$1867)</f>
        <v>Returned</v>
      </c>
      <c r="R893" s="2" t="s">
        <v>46</v>
      </c>
      <c r="S893" s="8">
        <v>1</v>
      </c>
      <c r="T893" s="2" t="s">
        <v>24</v>
      </c>
      <c r="U893" s="31" t="str" cm="1">
        <f t="array" ref="U893">_xlfn.IFS(L893&lt;=5000,$Z$3,AND(L893&gt;5000,L893&lt;=15000),$Z$4,AND(L893&gt;15000,L893&lt;=30000),$Z$5,AND(L893&gt;30000,L893&lt;=50000),$Z$6,L893&gt;50000,$Z$7)</f>
        <v>Sangat Rendah</v>
      </c>
      <c r="V893" s="2"/>
    </row>
    <row r="894" spans="1:22" ht="15.75" customHeight="1" x14ac:dyDescent="0.25">
      <c r="A894" s="26"/>
      <c r="B894" s="2" t="s">
        <v>1275</v>
      </c>
      <c r="C894" s="32">
        <v>45719.600648148153</v>
      </c>
      <c r="D894" s="53">
        <f>YEAR(Table1[[#This Row],[Order Date]])</f>
        <v>2025</v>
      </c>
      <c r="E894" s="2" t="s">
        <v>269</v>
      </c>
      <c r="F894" s="2" t="s">
        <v>173</v>
      </c>
      <c r="G894" s="2" t="s">
        <v>38</v>
      </c>
      <c r="H894" s="23">
        <v>28000</v>
      </c>
      <c r="I894" s="2">
        <v>1</v>
      </c>
      <c r="J894" s="31">
        <v>15</v>
      </c>
      <c r="K894" s="7">
        <f t="shared" si="52"/>
        <v>28000</v>
      </c>
      <c r="L894" s="7">
        <f t="shared" si="53"/>
        <v>4200</v>
      </c>
      <c r="M894" s="7">
        <f t="shared" si="54"/>
        <v>23800</v>
      </c>
      <c r="N894" s="23">
        <v>49000</v>
      </c>
      <c r="O894" s="7">
        <f t="shared" si="55"/>
        <v>72800</v>
      </c>
      <c r="P894" s="2" t="s">
        <v>35</v>
      </c>
      <c r="Q894" t="str">
        <f>_xlfn.XLOOKUP(B894,Status!$A$2:$A$1867,Status!$B$2:$B$1867)</f>
        <v>Completed</v>
      </c>
      <c r="R894" s="2" t="s">
        <v>23</v>
      </c>
      <c r="S894" s="8">
        <v>3</v>
      </c>
      <c r="T894" s="2" t="s">
        <v>37</v>
      </c>
      <c r="U894" s="31" t="str" cm="1">
        <f t="array" ref="U894">_xlfn.IFS(L894&lt;=5000,$Z$3,AND(L894&gt;5000,L894&lt;=15000),$Z$4,AND(L894&gt;15000,L894&lt;=30000),$Z$5,AND(L894&gt;30000,L894&lt;=50000),$Z$6,L894&gt;50000,$Z$7)</f>
        <v>Sangat Rendah</v>
      </c>
      <c r="V894" s="2"/>
    </row>
    <row r="895" spans="1:22" ht="15.75" customHeight="1" x14ac:dyDescent="0.25">
      <c r="A895" s="26"/>
      <c r="B895" s="2" t="s">
        <v>1276</v>
      </c>
      <c r="C895" s="32">
        <v>45719.933981481481</v>
      </c>
      <c r="D895" s="53">
        <f>YEAR(Table1[[#This Row],[Order Date]])</f>
        <v>2025</v>
      </c>
      <c r="E895" s="2" t="s">
        <v>199</v>
      </c>
      <c r="F895" s="2" t="s">
        <v>143</v>
      </c>
      <c r="G895" s="2" t="s">
        <v>62</v>
      </c>
      <c r="H895" s="23">
        <v>50000</v>
      </c>
      <c r="I895" s="2">
        <v>1</v>
      </c>
      <c r="J895" s="31">
        <v>0</v>
      </c>
      <c r="K895" s="7">
        <f t="shared" si="52"/>
        <v>50000</v>
      </c>
      <c r="L895" s="7">
        <f t="shared" si="53"/>
        <v>0</v>
      </c>
      <c r="M895" s="7">
        <f t="shared" si="54"/>
        <v>50000</v>
      </c>
      <c r="N895" s="23">
        <v>50000</v>
      </c>
      <c r="O895" s="7">
        <f t="shared" si="55"/>
        <v>100000</v>
      </c>
      <c r="P895" s="2" t="s">
        <v>63</v>
      </c>
      <c r="Q895" t="str">
        <f>_xlfn.XLOOKUP(B895,Status!$A$2:$A$1867,Status!$B$2:$B$1867)</f>
        <v>Completed</v>
      </c>
      <c r="R895" s="2" t="s">
        <v>36</v>
      </c>
      <c r="S895" s="8">
        <v>3</v>
      </c>
      <c r="T895" s="2" t="s">
        <v>24</v>
      </c>
      <c r="U895" s="31" t="str" cm="1">
        <f t="array" ref="U895">_xlfn.IFS(L895&lt;=5000,$Z$3,AND(L895&gt;5000,L895&lt;=15000),$Z$4,AND(L895&gt;15000,L895&lt;=30000),$Z$5,AND(L895&gt;30000,L895&lt;=50000),$Z$6,L895&gt;50000,$Z$7)</f>
        <v>Sangat Rendah</v>
      </c>
      <c r="V895" s="2"/>
    </row>
    <row r="896" spans="1:22" ht="15.75" customHeight="1" x14ac:dyDescent="0.25">
      <c r="A896" s="26"/>
      <c r="B896" s="2" t="s">
        <v>1277</v>
      </c>
      <c r="C896" s="32">
        <v>45719.946967592587</v>
      </c>
      <c r="D896" s="53">
        <f>YEAR(Table1[[#This Row],[Order Date]])</f>
        <v>2025</v>
      </c>
      <c r="E896" s="2" t="s">
        <v>1278</v>
      </c>
      <c r="F896" s="2" t="s">
        <v>74</v>
      </c>
      <c r="G896" s="2" t="s">
        <v>67</v>
      </c>
      <c r="H896" s="23">
        <v>15000</v>
      </c>
      <c r="I896" s="2">
        <v>1</v>
      </c>
      <c r="J896" s="31">
        <v>10</v>
      </c>
      <c r="K896" s="7">
        <f t="shared" si="52"/>
        <v>15000</v>
      </c>
      <c r="L896" s="7">
        <f t="shared" si="53"/>
        <v>1500</v>
      </c>
      <c r="M896" s="7">
        <f t="shared" si="54"/>
        <v>13500</v>
      </c>
      <c r="N896" s="23">
        <v>87000</v>
      </c>
      <c r="O896" s="7">
        <f t="shared" si="55"/>
        <v>100500</v>
      </c>
      <c r="P896" s="2" t="s">
        <v>29</v>
      </c>
      <c r="Q896" t="str">
        <f>_xlfn.XLOOKUP(B896,Status!$A$2:$A$1867,Status!$B$2:$B$1867)</f>
        <v>Returned</v>
      </c>
      <c r="R896" s="2" t="s">
        <v>82</v>
      </c>
      <c r="S896" s="8">
        <v>1</v>
      </c>
      <c r="T896" s="2" t="s">
        <v>24</v>
      </c>
      <c r="U896" s="31" t="str" cm="1">
        <f t="array" ref="U896">_xlfn.IFS(L896&lt;=5000,$Z$3,AND(L896&gt;5000,L896&lt;=15000),$Z$4,AND(L896&gt;15000,L896&lt;=30000),$Z$5,AND(L896&gt;30000,L896&lt;=50000),$Z$6,L896&gt;50000,$Z$7)</f>
        <v>Sangat Rendah</v>
      </c>
      <c r="V896" s="2"/>
    </row>
    <row r="897" spans="1:22" ht="15.75" customHeight="1" x14ac:dyDescent="0.25">
      <c r="A897" s="26"/>
      <c r="B897" s="2" t="s">
        <v>1279</v>
      </c>
      <c r="C897" s="32">
        <v>45720.108634259261</v>
      </c>
      <c r="D897" s="53">
        <f>YEAR(Table1[[#This Row],[Order Date]])</f>
        <v>2025</v>
      </c>
      <c r="E897" s="2" t="s">
        <v>451</v>
      </c>
      <c r="F897" s="2" t="s">
        <v>116</v>
      </c>
      <c r="G897" s="2" t="s">
        <v>45</v>
      </c>
      <c r="H897" s="23">
        <v>40000</v>
      </c>
      <c r="I897" s="2">
        <v>4</v>
      </c>
      <c r="J897" s="31">
        <v>0</v>
      </c>
      <c r="K897" s="7">
        <f t="shared" si="52"/>
        <v>160000</v>
      </c>
      <c r="L897" s="7">
        <f t="shared" si="53"/>
        <v>0</v>
      </c>
      <c r="M897" s="7">
        <f t="shared" si="54"/>
        <v>160000</v>
      </c>
      <c r="N897" s="23">
        <v>72000</v>
      </c>
      <c r="O897" s="7">
        <f t="shared" si="55"/>
        <v>232000</v>
      </c>
      <c r="P897" s="2" t="s">
        <v>29</v>
      </c>
      <c r="Q897" t="str">
        <f>_xlfn.XLOOKUP(B897,Status!$A$2:$A$1867,Status!$B$2:$B$1867)</f>
        <v>Completed</v>
      </c>
      <c r="R897" s="2" t="s">
        <v>23</v>
      </c>
      <c r="S897" s="8">
        <v>4</v>
      </c>
      <c r="T897" s="2" t="s">
        <v>24</v>
      </c>
      <c r="U897" s="31" t="str" cm="1">
        <f t="array" ref="U897">_xlfn.IFS(L897&lt;=5000,$Z$3,AND(L897&gt;5000,L897&lt;=15000),$Z$4,AND(L897&gt;15000,L897&lt;=30000),$Z$5,AND(L897&gt;30000,L897&lt;=50000),$Z$6,L897&gt;50000,$Z$7)</f>
        <v>Sangat Rendah</v>
      </c>
      <c r="V897" s="2"/>
    </row>
    <row r="898" spans="1:22" ht="15.75" customHeight="1" x14ac:dyDescent="0.25">
      <c r="A898" s="26"/>
      <c r="B898" s="2" t="s">
        <v>1280</v>
      </c>
      <c r="C898" s="32">
        <v>45720.173634259263</v>
      </c>
      <c r="D898" s="53">
        <f>YEAR(Table1[[#This Row],[Order Date]])</f>
        <v>2025</v>
      </c>
      <c r="E898" s="2" t="s">
        <v>1091</v>
      </c>
      <c r="F898" s="2" t="s">
        <v>160</v>
      </c>
      <c r="G898" s="2" t="s">
        <v>41</v>
      </c>
      <c r="H898" s="23">
        <v>4000</v>
      </c>
      <c r="I898" s="2">
        <v>1</v>
      </c>
      <c r="J898" s="31">
        <v>5</v>
      </c>
      <c r="K898" s="7">
        <f t="shared" si="52"/>
        <v>4000</v>
      </c>
      <c r="L898" s="7">
        <f t="shared" si="53"/>
        <v>200</v>
      </c>
      <c r="M898" s="7">
        <f t="shared" si="54"/>
        <v>3800</v>
      </c>
      <c r="N898" s="23">
        <v>68000</v>
      </c>
      <c r="O898" s="7">
        <f t="shared" si="55"/>
        <v>71800</v>
      </c>
      <c r="P898" s="2" t="s">
        <v>35</v>
      </c>
      <c r="Q898" t="str">
        <f>_xlfn.XLOOKUP(B898,Status!$A$2:$A$1867,Status!$B$2:$B$1867)</f>
        <v>Completed</v>
      </c>
      <c r="R898" s="2" t="s">
        <v>23</v>
      </c>
      <c r="S898" s="8">
        <v>4</v>
      </c>
      <c r="T898" s="2" t="s">
        <v>37</v>
      </c>
      <c r="U898" s="31" t="str" cm="1">
        <f t="array" ref="U898">_xlfn.IFS(L898&lt;=5000,$Z$3,AND(L898&gt;5000,L898&lt;=15000),$Z$4,AND(L898&gt;15000,L898&lt;=30000),$Z$5,AND(L898&gt;30000,L898&lt;=50000),$Z$6,L898&gt;50000,$Z$7)</f>
        <v>Sangat Rendah</v>
      </c>
      <c r="V898" s="2"/>
    </row>
    <row r="899" spans="1:22" ht="15.75" customHeight="1" x14ac:dyDescent="0.25">
      <c r="A899" s="26"/>
      <c r="B899" s="2" t="s">
        <v>1281</v>
      </c>
      <c r="C899" s="32">
        <v>45720.294849537036</v>
      </c>
      <c r="D899" s="53">
        <f>YEAR(Table1[[#This Row],[Order Date]])</f>
        <v>2025</v>
      </c>
      <c r="E899" s="2" t="s">
        <v>402</v>
      </c>
      <c r="F899" s="2" t="s">
        <v>163</v>
      </c>
      <c r="G899" s="2" t="s">
        <v>67</v>
      </c>
      <c r="H899" s="23">
        <v>15000</v>
      </c>
      <c r="I899" s="2">
        <v>2</v>
      </c>
      <c r="J899" s="31">
        <v>10</v>
      </c>
      <c r="K899" s="7">
        <f t="shared" si="52"/>
        <v>30000</v>
      </c>
      <c r="L899" s="7">
        <f t="shared" si="53"/>
        <v>3000</v>
      </c>
      <c r="M899" s="7">
        <f t="shared" si="54"/>
        <v>27000</v>
      </c>
      <c r="N899" s="23">
        <v>50000</v>
      </c>
      <c r="O899" s="7">
        <f t="shared" si="55"/>
        <v>77000</v>
      </c>
      <c r="P899" s="2" t="s">
        <v>29</v>
      </c>
      <c r="Q899" t="str">
        <f>_xlfn.XLOOKUP(B899,Status!$A$2:$A$1867,Status!$B$2:$B$1867)</f>
        <v>Completed</v>
      </c>
      <c r="R899" s="2" t="s">
        <v>30</v>
      </c>
      <c r="S899" s="8">
        <v>2</v>
      </c>
      <c r="T899" s="2" t="s">
        <v>24</v>
      </c>
      <c r="U899" s="31" t="str" cm="1">
        <f t="array" ref="U899">_xlfn.IFS(L899&lt;=5000,$Z$3,AND(L899&gt;5000,L899&lt;=15000),$Z$4,AND(L899&gt;15000,L899&lt;=30000),$Z$5,AND(L899&gt;30000,L899&lt;=50000),$Z$6,L899&gt;50000,$Z$7)</f>
        <v>Sangat Rendah</v>
      </c>
      <c r="V899" s="2"/>
    </row>
    <row r="900" spans="1:22" ht="15.75" customHeight="1" x14ac:dyDescent="0.25">
      <c r="A900" s="26"/>
      <c r="B900" s="2" t="s">
        <v>1282</v>
      </c>
      <c r="C900" s="32">
        <v>45720.448784722219</v>
      </c>
      <c r="D900" s="53">
        <f>YEAR(Table1[[#This Row],[Order Date]])</f>
        <v>2025</v>
      </c>
      <c r="E900" s="2" t="s">
        <v>796</v>
      </c>
      <c r="F900" s="2" t="s">
        <v>119</v>
      </c>
      <c r="G900" s="2" t="s">
        <v>144</v>
      </c>
      <c r="H900" s="23">
        <v>18000</v>
      </c>
      <c r="I900" s="2">
        <v>4</v>
      </c>
      <c r="J900" s="31">
        <v>5</v>
      </c>
      <c r="K900" s="7">
        <f t="shared" ref="K900:K963" si="56">H900*I900</f>
        <v>72000</v>
      </c>
      <c r="L900" s="7">
        <f t="shared" ref="L900:L963" si="57">K900*(J900/100)</f>
        <v>3600</v>
      </c>
      <c r="M900" s="7">
        <f t="shared" ref="M900:M963" si="58">K900-L900</f>
        <v>68400</v>
      </c>
      <c r="N900" s="23">
        <v>0</v>
      </c>
      <c r="O900" s="7">
        <f t="shared" ref="O900:O963" si="59">SUM(M900:N900)</f>
        <v>68400</v>
      </c>
      <c r="P900" s="2" t="s">
        <v>63</v>
      </c>
      <c r="Q900" t="str">
        <f>_xlfn.XLOOKUP(B900,Status!$A$2:$A$1867,Status!$B$2:$B$1867)</f>
        <v>Completed</v>
      </c>
      <c r="R900" s="2" t="s">
        <v>82</v>
      </c>
      <c r="S900" s="8">
        <v>1</v>
      </c>
      <c r="T900" s="2" t="s">
        <v>24</v>
      </c>
      <c r="U900" s="31" t="str" cm="1">
        <f t="array" ref="U900">_xlfn.IFS(L900&lt;=5000,$Z$3,AND(L900&gt;5000,L900&lt;=15000),$Z$4,AND(L900&gt;15000,L900&lt;=30000),$Z$5,AND(L900&gt;30000,L900&lt;=50000),$Z$6,L900&gt;50000,$Z$7)</f>
        <v>Sangat Rendah</v>
      </c>
      <c r="V900" s="2"/>
    </row>
    <row r="901" spans="1:22" ht="15.75" customHeight="1" x14ac:dyDescent="0.25">
      <c r="A901" s="26"/>
      <c r="B901" s="2" t="s">
        <v>1283</v>
      </c>
      <c r="C901" s="32">
        <v>45720.509108796286</v>
      </c>
      <c r="D901" s="53">
        <f>YEAR(Table1[[#This Row],[Order Date]])</f>
        <v>2025</v>
      </c>
      <c r="E901" s="2" t="s">
        <v>488</v>
      </c>
      <c r="F901" s="2" t="s">
        <v>49</v>
      </c>
      <c r="G901" s="2" t="s">
        <v>21</v>
      </c>
      <c r="H901" s="23">
        <v>45000</v>
      </c>
      <c r="I901" s="2">
        <v>1</v>
      </c>
      <c r="J901" s="31">
        <v>5</v>
      </c>
      <c r="K901" s="7">
        <f t="shared" si="56"/>
        <v>45000</v>
      </c>
      <c r="L901" s="7">
        <f t="shared" si="57"/>
        <v>2250</v>
      </c>
      <c r="M901" s="7">
        <f t="shared" si="58"/>
        <v>42750</v>
      </c>
      <c r="N901" s="23">
        <v>43000</v>
      </c>
      <c r="O901" s="7">
        <f t="shared" si="59"/>
        <v>85750</v>
      </c>
      <c r="P901" s="2" t="s">
        <v>35</v>
      </c>
      <c r="Q901" t="str">
        <f>_xlfn.XLOOKUP(B901,Status!$A$2:$A$1867,Status!$B$2:$B$1867)</f>
        <v>Completed</v>
      </c>
      <c r="R901" s="2" t="s">
        <v>46</v>
      </c>
      <c r="S901" s="8">
        <v>5</v>
      </c>
      <c r="T901" s="2" t="s">
        <v>24</v>
      </c>
      <c r="U901" s="31" t="str" cm="1">
        <f t="array" ref="U901">_xlfn.IFS(L901&lt;=5000,$Z$3,AND(L901&gt;5000,L901&lt;=15000),$Z$4,AND(L901&gt;15000,L901&lt;=30000),$Z$5,AND(L901&gt;30000,L901&lt;=50000),$Z$6,L901&gt;50000,$Z$7)</f>
        <v>Sangat Rendah</v>
      </c>
      <c r="V901" s="2"/>
    </row>
    <row r="902" spans="1:22" ht="15.75" customHeight="1" x14ac:dyDescent="0.25">
      <c r="A902" s="26"/>
      <c r="B902" s="2" t="s">
        <v>1283</v>
      </c>
      <c r="C902" s="32">
        <v>45720.509108796286</v>
      </c>
      <c r="D902" s="53">
        <f>YEAR(Table1[[#This Row],[Order Date]])</f>
        <v>2025</v>
      </c>
      <c r="E902" s="2" t="s">
        <v>488</v>
      </c>
      <c r="F902" s="2" t="s">
        <v>49</v>
      </c>
      <c r="G902" s="2" t="s">
        <v>104</v>
      </c>
      <c r="H902" s="23">
        <v>30000</v>
      </c>
      <c r="I902" s="2">
        <v>2</v>
      </c>
      <c r="J902" s="31">
        <v>0</v>
      </c>
      <c r="K902" s="7">
        <f t="shared" si="56"/>
        <v>60000</v>
      </c>
      <c r="L902" s="7">
        <f t="shared" si="57"/>
        <v>0</v>
      </c>
      <c r="M902" s="7">
        <f t="shared" si="58"/>
        <v>60000</v>
      </c>
      <c r="N902" s="23">
        <v>0</v>
      </c>
      <c r="O902" s="7">
        <f t="shared" si="59"/>
        <v>60000</v>
      </c>
      <c r="P902" s="2" t="s">
        <v>35</v>
      </c>
      <c r="Q902" t="str">
        <f>_xlfn.XLOOKUP(B902,Status!$A$2:$A$1867,Status!$B$2:$B$1867)</f>
        <v>Completed</v>
      </c>
      <c r="R902" s="2" t="s">
        <v>46</v>
      </c>
      <c r="S902" s="8">
        <v>5</v>
      </c>
      <c r="T902" s="2" t="s">
        <v>24</v>
      </c>
      <c r="U902" s="31" t="str" cm="1">
        <f t="array" ref="U902">_xlfn.IFS(L902&lt;=5000,$Z$3,AND(L902&gt;5000,L902&lt;=15000),$Z$4,AND(L902&gt;15000,L902&lt;=30000),$Z$5,AND(L902&gt;30000,L902&lt;=50000),$Z$6,L902&gt;50000,$Z$7)</f>
        <v>Sangat Rendah</v>
      </c>
      <c r="V902" s="2"/>
    </row>
    <row r="903" spans="1:22" ht="15.75" customHeight="1" x14ac:dyDescent="0.25">
      <c r="A903" s="26"/>
      <c r="B903" s="2" t="s">
        <v>1284</v>
      </c>
      <c r="C903" s="32">
        <v>45720.880462962959</v>
      </c>
      <c r="D903" s="53">
        <f>YEAR(Table1[[#This Row],[Order Date]])</f>
        <v>2025</v>
      </c>
      <c r="E903" s="2" t="s">
        <v>1285</v>
      </c>
      <c r="F903" s="2" t="s">
        <v>163</v>
      </c>
      <c r="G903" s="2" t="s">
        <v>250</v>
      </c>
      <c r="H903" s="23">
        <v>18000</v>
      </c>
      <c r="I903" s="2">
        <v>2</v>
      </c>
      <c r="J903" s="31">
        <v>5</v>
      </c>
      <c r="K903" s="7">
        <f t="shared" si="56"/>
        <v>36000</v>
      </c>
      <c r="L903" s="7">
        <f t="shared" si="57"/>
        <v>1800</v>
      </c>
      <c r="M903" s="7">
        <f t="shared" si="58"/>
        <v>34200</v>
      </c>
      <c r="N903" s="23">
        <v>50000</v>
      </c>
      <c r="O903" s="7">
        <f t="shared" si="59"/>
        <v>84200</v>
      </c>
      <c r="P903" s="2" t="s">
        <v>29</v>
      </c>
      <c r="Q903" t="str">
        <f>_xlfn.XLOOKUP(B903,Status!$A$2:$A$1867,Status!$B$2:$B$1867)</f>
        <v>Completed</v>
      </c>
      <c r="R903" s="2" t="s">
        <v>82</v>
      </c>
      <c r="S903" s="8">
        <v>4</v>
      </c>
      <c r="T903" s="2" t="s">
        <v>24</v>
      </c>
      <c r="U903" s="31" t="str" cm="1">
        <f t="array" ref="U903">_xlfn.IFS(L903&lt;=5000,$Z$3,AND(L903&gt;5000,L903&lt;=15000),$Z$4,AND(L903&gt;15000,L903&lt;=30000),$Z$5,AND(L903&gt;30000,L903&lt;=50000),$Z$6,L903&gt;50000,$Z$7)</f>
        <v>Sangat Rendah</v>
      </c>
      <c r="V903" s="2"/>
    </row>
    <row r="904" spans="1:22" ht="15.75" customHeight="1" x14ac:dyDescent="0.25">
      <c r="A904" s="26"/>
      <c r="B904" s="2" t="s">
        <v>1286</v>
      </c>
      <c r="C904" s="32">
        <v>45721.00445601852</v>
      </c>
      <c r="D904" s="53">
        <f>YEAR(Table1[[#This Row],[Order Date]])</f>
        <v>2025</v>
      </c>
      <c r="E904" s="2" t="s">
        <v>350</v>
      </c>
      <c r="F904" s="2" t="s">
        <v>195</v>
      </c>
      <c r="G904" s="2" t="s">
        <v>81</v>
      </c>
      <c r="H904" s="23">
        <v>17000</v>
      </c>
      <c r="I904" s="2">
        <v>1</v>
      </c>
      <c r="J904" s="31">
        <v>0</v>
      </c>
      <c r="K904" s="7">
        <f t="shared" si="56"/>
        <v>17000</v>
      </c>
      <c r="L904" s="7">
        <f t="shared" si="57"/>
        <v>0</v>
      </c>
      <c r="M904" s="7">
        <f t="shared" si="58"/>
        <v>17000</v>
      </c>
      <c r="N904" s="23">
        <v>87000</v>
      </c>
      <c r="O904" s="7">
        <f t="shared" si="59"/>
        <v>104000</v>
      </c>
      <c r="P904" s="2" t="s">
        <v>29</v>
      </c>
      <c r="Q904" t="str">
        <f>_xlfn.XLOOKUP(B904,Status!$A$2:$A$1867,Status!$B$2:$B$1867)</f>
        <v>Cancelled</v>
      </c>
      <c r="R904" s="2" t="s">
        <v>30</v>
      </c>
      <c r="S904" s="8">
        <v>2</v>
      </c>
      <c r="T904" s="2" t="s">
        <v>37</v>
      </c>
      <c r="U904" s="31" t="str" cm="1">
        <f t="array" ref="U904">_xlfn.IFS(L904&lt;=5000,$Z$3,AND(L904&gt;5000,L904&lt;=15000),$Z$4,AND(L904&gt;15000,L904&lt;=30000),$Z$5,AND(L904&gt;30000,L904&lt;=50000),$Z$6,L904&gt;50000,$Z$7)</f>
        <v>Sangat Rendah</v>
      </c>
      <c r="V904" s="2"/>
    </row>
    <row r="905" spans="1:22" ht="15.75" customHeight="1" x14ac:dyDescent="0.25">
      <c r="A905" s="26"/>
      <c r="B905" s="2" t="s">
        <v>1287</v>
      </c>
      <c r="C905" s="32">
        <v>45721.068078703713</v>
      </c>
      <c r="D905" s="53">
        <f>YEAR(Table1[[#This Row],[Order Date]])</f>
        <v>2025</v>
      </c>
      <c r="E905" s="2" t="s">
        <v>557</v>
      </c>
      <c r="F905" s="2" t="s">
        <v>173</v>
      </c>
      <c r="G905" s="2" t="s">
        <v>123</v>
      </c>
      <c r="H905" s="23">
        <v>22000</v>
      </c>
      <c r="I905" s="2">
        <v>4</v>
      </c>
      <c r="J905" s="31">
        <v>0</v>
      </c>
      <c r="K905" s="7">
        <f t="shared" si="56"/>
        <v>88000</v>
      </c>
      <c r="L905" s="7">
        <f t="shared" si="57"/>
        <v>0</v>
      </c>
      <c r="M905" s="7">
        <f t="shared" si="58"/>
        <v>88000</v>
      </c>
      <c r="N905" s="23">
        <v>49000</v>
      </c>
      <c r="O905" s="7">
        <f t="shared" si="59"/>
        <v>137000</v>
      </c>
      <c r="P905" s="2" t="s">
        <v>22</v>
      </c>
      <c r="Q905" t="str">
        <f>_xlfn.XLOOKUP(B905,Status!$A$2:$A$1867,Status!$B$2:$B$1867)</f>
        <v>Completed</v>
      </c>
      <c r="R905" s="2" t="s">
        <v>82</v>
      </c>
      <c r="S905" s="8">
        <v>3</v>
      </c>
      <c r="T905" s="2" t="s">
        <v>24</v>
      </c>
      <c r="U905" s="31" t="str" cm="1">
        <f t="array" ref="U905">_xlfn.IFS(L905&lt;=5000,$Z$3,AND(L905&gt;5000,L905&lt;=15000),$Z$4,AND(L905&gt;15000,L905&lt;=30000),$Z$5,AND(L905&gt;30000,L905&lt;=50000),$Z$6,L905&gt;50000,$Z$7)</f>
        <v>Sangat Rendah</v>
      </c>
      <c r="V905" s="2"/>
    </row>
    <row r="906" spans="1:22" ht="15.75" customHeight="1" x14ac:dyDescent="0.25">
      <c r="A906" s="26"/>
      <c r="B906" s="2" t="s">
        <v>1288</v>
      </c>
      <c r="C906" s="32">
        <v>45721.158819444441</v>
      </c>
      <c r="D906" s="53">
        <f>YEAR(Table1[[#This Row],[Order Date]])</f>
        <v>2025</v>
      </c>
      <c r="E906" s="2" t="s">
        <v>295</v>
      </c>
      <c r="F906" s="2" t="s">
        <v>296</v>
      </c>
      <c r="G906" s="2" t="s">
        <v>58</v>
      </c>
      <c r="H906" s="23">
        <v>16000</v>
      </c>
      <c r="I906" s="2">
        <v>5</v>
      </c>
      <c r="J906" s="31">
        <v>5</v>
      </c>
      <c r="K906" s="7">
        <f t="shared" si="56"/>
        <v>80000</v>
      </c>
      <c r="L906" s="7">
        <f t="shared" si="57"/>
        <v>4000</v>
      </c>
      <c r="M906" s="7">
        <f t="shared" si="58"/>
        <v>76000</v>
      </c>
      <c r="N906" s="23">
        <v>79000</v>
      </c>
      <c r="O906" s="7">
        <f t="shared" si="59"/>
        <v>155000</v>
      </c>
      <c r="P906" s="2" t="s">
        <v>29</v>
      </c>
      <c r="Q906" t="str">
        <f>_xlfn.XLOOKUP(B906,Status!$A$2:$A$1867,Status!$B$2:$B$1867)</f>
        <v>Completed</v>
      </c>
      <c r="R906" s="2" t="s">
        <v>36</v>
      </c>
      <c r="S906" s="8">
        <v>3</v>
      </c>
      <c r="T906" s="2" t="s">
        <v>24</v>
      </c>
      <c r="U906" s="31" t="str" cm="1">
        <f t="array" ref="U906">_xlfn.IFS(L906&lt;=5000,$Z$3,AND(L906&gt;5000,L906&lt;=15000),$Z$4,AND(L906&gt;15000,L906&lt;=30000),$Z$5,AND(L906&gt;30000,L906&lt;=50000),$Z$6,L906&gt;50000,$Z$7)</f>
        <v>Sangat Rendah</v>
      </c>
      <c r="V906" s="2"/>
    </row>
    <row r="907" spans="1:22" ht="15.75" customHeight="1" x14ac:dyDescent="0.25">
      <c r="A907" s="26"/>
      <c r="B907" s="2" t="s">
        <v>1289</v>
      </c>
      <c r="C907" s="32">
        <v>45721.439282407409</v>
      </c>
      <c r="D907" s="53">
        <f>YEAR(Table1[[#This Row],[Order Date]])</f>
        <v>2025</v>
      </c>
      <c r="E907" s="2" t="s">
        <v>615</v>
      </c>
      <c r="F907" s="2" t="s">
        <v>92</v>
      </c>
      <c r="G907" s="2" t="s">
        <v>21</v>
      </c>
      <c r="H907" s="23">
        <v>45000</v>
      </c>
      <c r="I907" s="2">
        <v>2</v>
      </c>
      <c r="J907" s="31">
        <v>20</v>
      </c>
      <c r="K907" s="7">
        <f t="shared" si="56"/>
        <v>90000</v>
      </c>
      <c r="L907" s="7">
        <f t="shared" si="57"/>
        <v>18000</v>
      </c>
      <c r="M907" s="7">
        <f t="shared" si="58"/>
        <v>72000</v>
      </c>
      <c r="N907" s="23">
        <v>30000</v>
      </c>
      <c r="O907" s="7">
        <f t="shared" si="59"/>
        <v>102000</v>
      </c>
      <c r="P907" s="2" t="s">
        <v>35</v>
      </c>
      <c r="Q907" t="str">
        <f>_xlfn.XLOOKUP(B907,Status!$A$2:$A$1867,Status!$B$2:$B$1867)</f>
        <v>Completed</v>
      </c>
      <c r="R907" s="2" t="s">
        <v>30</v>
      </c>
      <c r="S907" s="8">
        <v>1</v>
      </c>
      <c r="T907" s="2" t="s">
        <v>24</v>
      </c>
      <c r="U907" s="31" t="str" cm="1">
        <f t="array" ref="U907">_xlfn.IFS(L907&lt;=5000,$Z$3,AND(L907&gt;5000,L907&lt;=15000),$Z$4,AND(L907&gt;15000,L907&lt;=30000),$Z$5,AND(L907&gt;30000,L907&lt;=50000),$Z$6,L907&gt;50000,$Z$7)</f>
        <v>Normal</v>
      </c>
      <c r="V907" s="2"/>
    </row>
    <row r="908" spans="1:22" ht="15.75" customHeight="1" x14ac:dyDescent="0.25">
      <c r="A908" s="26"/>
      <c r="B908" s="2" t="s">
        <v>1290</v>
      </c>
      <c r="C908" s="32">
        <v>45721.613692129627</v>
      </c>
      <c r="D908" s="53">
        <f>YEAR(Table1[[#This Row],[Order Date]])</f>
        <v>2025</v>
      </c>
      <c r="E908" s="2" t="s">
        <v>576</v>
      </c>
      <c r="F908" s="2" t="s">
        <v>57</v>
      </c>
      <c r="G908" s="2" t="s">
        <v>58</v>
      </c>
      <c r="H908" s="23">
        <v>16000</v>
      </c>
      <c r="I908" s="2">
        <v>1</v>
      </c>
      <c r="J908" s="31">
        <v>10</v>
      </c>
      <c r="K908" s="7">
        <f t="shared" si="56"/>
        <v>16000</v>
      </c>
      <c r="L908" s="7">
        <f t="shared" si="57"/>
        <v>1600</v>
      </c>
      <c r="M908" s="7">
        <f t="shared" si="58"/>
        <v>14400</v>
      </c>
      <c r="N908" s="23">
        <v>80000</v>
      </c>
      <c r="O908" s="7">
        <f t="shared" si="59"/>
        <v>94400</v>
      </c>
      <c r="P908" s="2" t="s">
        <v>35</v>
      </c>
      <c r="Q908" t="str">
        <f>_xlfn.XLOOKUP(B908,Status!$A$2:$A$1867,Status!$B$2:$B$1867)</f>
        <v>Completed</v>
      </c>
      <c r="R908" s="2" t="s">
        <v>36</v>
      </c>
      <c r="S908" s="8">
        <v>1</v>
      </c>
      <c r="T908" s="2" t="s">
        <v>37</v>
      </c>
      <c r="U908" s="31" t="str" cm="1">
        <f t="array" ref="U908">_xlfn.IFS(L908&lt;=5000,$Z$3,AND(L908&gt;5000,L908&lt;=15000),$Z$4,AND(L908&gt;15000,L908&lt;=30000),$Z$5,AND(L908&gt;30000,L908&lt;=50000),$Z$6,L908&gt;50000,$Z$7)</f>
        <v>Sangat Rendah</v>
      </c>
      <c r="V908" s="2"/>
    </row>
    <row r="909" spans="1:22" ht="15.75" customHeight="1" x14ac:dyDescent="0.25">
      <c r="A909" s="26"/>
      <c r="B909" s="2" t="s">
        <v>1291</v>
      </c>
      <c r="C909" s="32">
        <v>45721.627256944441</v>
      </c>
      <c r="D909" s="53">
        <f>YEAR(Table1[[#This Row],[Order Date]])</f>
        <v>2025</v>
      </c>
      <c r="E909" s="2" t="s">
        <v>716</v>
      </c>
      <c r="F909" s="2" t="s">
        <v>66</v>
      </c>
      <c r="G909" s="2" t="s">
        <v>136</v>
      </c>
      <c r="H909" s="23">
        <v>12000</v>
      </c>
      <c r="I909" s="2">
        <v>1</v>
      </c>
      <c r="J909" s="31">
        <v>0</v>
      </c>
      <c r="K909" s="7">
        <f t="shared" si="56"/>
        <v>12000</v>
      </c>
      <c r="L909" s="7">
        <f t="shared" si="57"/>
        <v>0</v>
      </c>
      <c r="M909" s="7">
        <f t="shared" si="58"/>
        <v>12000</v>
      </c>
      <c r="N909" s="23">
        <v>59000</v>
      </c>
      <c r="O909" s="7">
        <f t="shared" si="59"/>
        <v>71000</v>
      </c>
      <c r="P909" s="2" t="s">
        <v>63</v>
      </c>
      <c r="Q909" t="str">
        <f>_xlfn.XLOOKUP(B909,Status!$A$2:$A$1867,Status!$B$2:$B$1867)</f>
        <v>Completed</v>
      </c>
      <c r="R909" s="2" t="s">
        <v>46</v>
      </c>
      <c r="S909" s="8">
        <v>3</v>
      </c>
      <c r="T909" s="2" t="s">
        <v>24</v>
      </c>
      <c r="U909" s="31" t="str" cm="1">
        <f t="array" ref="U909">_xlfn.IFS(L909&lt;=5000,$Z$3,AND(L909&gt;5000,L909&lt;=15000),$Z$4,AND(L909&gt;15000,L909&lt;=30000),$Z$5,AND(L909&gt;30000,L909&lt;=50000),$Z$6,L909&gt;50000,$Z$7)</f>
        <v>Sangat Rendah</v>
      </c>
      <c r="V909" s="2"/>
    </row>
    <row r="910" spans="1:22" ht="15.75" customHeight="1" x14ac:dyDescent="0.25">
      <c r="A910" s="26"/>
      <c r="B910" s="2" t="s">
        <v>1292</v>
      </c>
      <c r="C910" s="32">
        <v>45721.824803240743</v>
      </c>
      <c r="D910" s="53">
        <f>YEAR(Table1[[#This Row],[Order Date]])</f>
        <v>2025</v>
      </c>
      <c r="E910" s="2" t="s">
        <v>1293</v>
      </c>
      <c r="F910" s="2" t="s">
        <v>44</v>
      </c>
      <c r="G910" s="2" t="s">
        <v>110</v>
      </c>
      <c r="H910" s="23">
        <v>6000</v>
      </c>
      <c r="I910" s="2">
        <v>3</v>
      </c>
      <c r="J910" s="31">
        <v>0</v>
      </c>
      <c r="K910" s="7">
        <f t="shared" si="56"/>
        <v>18000</v>
      </c>
      <c r="L910" s="7">
        <f t="shared" si="57"/>
        <v>0</v>
      </c>
      <c r="M910" s="7">
        <f t="shared" si="58"/>
        <v>18000</v>
      </c>
      <c r="N910" s="23">
        <v>93000</v>
      </c>
      <c r="O910" s="7">
        <f t="shared" si="59"/>
        <v>111000</v>
      </c>
      <c r="P910" s="2" t="s">
        <v>35</v>
      </c>
      <c r="Q910" t="str">
        <f>_xlfn.XLOOKUP(B910,Status!$A$2:$A$1867,Status!$B$2:$B$1867)</f>
        <v>Completed</v>
      </c>
      <c r="R910" s="2" t="s">
        <v>36</v>
      </c>
      <c r="S910" s="8">
        <v>2</v>
      </c>
      <c r="T910" s="2" t="s">
        <v>24</v>
      </c>
      <c r="U910" s="31" t="str" cm="1">
        <f t="array" ref="U910">_xlfn.IFS(L910&lt;=5000,$Z$3,AND(L910&gt;5000,L910&lt;=15000),$Z$4,AND(L910&gt;15000,L910&lt;=30000),$Z$5,AND(L910&gt;30000,L910&lt;=50000),$Z$6,L910&gt;50000,$Z$7)</f>
        <v>Sangat Rendah</v>
      </c>
      <c r="V910" s="2"/>
    </row>
    <row r="911" spans="1:22" ht="15.75" customHeight="1" x14ac:dyDescent="0.25">
      <c r="A911" s="26"/>
      <c r="B911" s="2" t="s">
        <v>1294</v>
      </c>
      <c r="C911" s="32">
        <v>45722.83053240741</v>
      </c>
      <c r="D911" s="53">
        <f>YEAR(Table1[[#This Row],[Order Date]])</f>
        <v>2025</v>
      </c>
      <c r="E911" s="2" t="s">
        <v>87</v>
      </c>
      <c r="F911" s="2" t="s">
        <v>80</v>
      </c>
      <c r="G911" s="2" t="s">
        <v>38</v>
      </c>
      <c r="H911" s="23">
        <v>28000</v>
      </c>
      <c r="I911" s="2">
        <v>2</v>
      </c>
      <c r="J911" s="31">
        <v>5</v>
      </c>
      <c r="K911" s="7">
        <f t="shared" si="56"/>
        <v>56000</v>
      </c>
      <c r="L911" s="7">
        <f t="shared" si="57"/>
        <v>2800</v>
      </c>
      <c r="M911" s="7">
        <f t="shared" si="58"/>
        <v>53200</v>
      </c>
      <c r="N911" s="23">
        <v>74000</v>
      </c>
      <c r="O911" s="7">
        <f t="shared" si="59"/>
        <v>127200</v>
      </c>
      <c r="P911" s="2" t="s">
        <v>22</v>
      </c>
      <c r="Q911" t="str">
        <f>_xlfn.XLOOKUP(B911,Status!$A$2:$A$1867,Status!$B$2:$B$1867)</f>
        <v>Returned</v>
      </c>
      <c r="R911" s="2" t="s">
        <v>36</v>
      </c>
      <c r="S911" s="8">
        <v>2</v>
      </c>
      <c r="T911" s="2" t="s">
        <v>24</v>
      </c>
      <c r="U911" s="31" t="str" cm="1">
        <f t="array" ref="U911">_xlfn.IFS(L911&lt;=5000,$Z$3,AND(L911&gt;5000,L911&lt;=15000),$Z$4,AND(L911&gt;15000,L911&lt;=30000),$Z$5,AND(L911&gt;30000,L911&lt;=50000),$Z$6,L911&gt;50000,$Z$7)</f>
        <v>Sangat Rendah</v>
      </c>
      <c r="V911" s="2"/>
    </row>
    <row r="912" spans="1:22" ht="15.75" customHeight="1" x14ac:dyDescent="0.25">
      <c r="A912" s="26"/>
      <c r="B912" s="2" t="s">
        <v>1295</v>
      </c>
      <c r="C912" s="32">
        <v>45723.094317129631</v>
      </c>
      <c r="D912" s="53">
        <f>YEAR(Table1[[#This Row],[Order Date]])</f>
        <v>2025</v>
      </c>
      <c r="E912" s="2" t="s">
        <v>192</v>
      </c>
      <c r="F912" s="2" t="s">
        <v>107</v>
      </c>
      <c r="G912" s="2" t="s">
        <v>88</v>
      </c>
      <c r="H912" s="23">
        <v>14000</v>
      </c>
      <c r="I912" s="2">
        <v>4</v>
      </c>
      <c r="J912" s="31">
        <v>10</v>
      </c>
      <c r="K912" s="7">
        <f t="shared" si="56"/>
        <v>56000</v>
      </c>
      <c r="L912" s="7">
        <f t="shared" si="57"/>
        <v>5600</v>
      </c>
      <c r="M912" s="7">
        <f t="shared" si="58"/>
        <v>50400</v>
      </c>
      <c r="N912" s="23">
        <v>97000</v>
      </c>
      <c r="O912" s="7">
        <f t="shared" si="59"/>
        <v>147400</v>
      </c>
      <c r="P912" s="2" t="s">
        <v>35</v>
      </c>
      <c r="Q912" t="str">
        <f>_xlfn.XLOOKUP(B912,Status!$A$2:$A$1867,Status!$B$2:$B$1867)</f>
        <v>Cancelled</v>
      </c>
      <c r="R912" s="2" t="s">
        <v>23</v>
      </c>
      <c r="S912" s="8">
        <v>5</v>
      </c>
      <c r="T912" s="2" t="s">
        <v>24</v>
      </c>
      <c r="U912" s="31" t="str" cm="1">
        <f t="array" ref="U912">_xlfn.IFS(L912&lt;=5000,$Z$3,AND(L912&gt;5000,L912&lt;=15000),$Z$4,AND(L912&gt;15000,L912&lt;=30000),$Z$5,AND(L912&gt;30000,L912&lt;=50000),$Z$6,L912&gt;50000,$Z$7)</f>
        <v>Rendah</v>
      </c>
      <c r="V912" s="2"/>
    </row>
    <row r="913" spans="1:22" ht="15.75" customHeight="1" x14ac:dyDescent="0.25">
      <c r="A913" s="26"/>
      <c r="B913" s="2" t="s">
        <v>1295</v>
      </c>
      <c r="C913" s="32">
        <v>45723.094317129631</v>
      </c>
      <c r="D913" s="53">
        <f>YEAR(Table1[[#This Row],[Order Date]])</f>
        <v>2025</v>
      </c>
      <c r="E913" s="2" t="s">
        <v>192</v>
      </c>
      <c r="F913" s="2" t="s">
        <v>107</v>
      </c>
      <c r="G913" s="2" t="s">
        <v>93</v>
      </c>
      <c r="H913" s="23">
        <v>25000</v>
      </c>
      <c r="I913" s="2">
        <v>5</v>
      </c>
      <c r="J913" s="31">
        <v>0</v>
      </c>
      <c r="K913" s="7">
        <f t="shared" si="56"/>
        <v>125000</v>
      </c>
      <c r="L913" s="7">
        <f t="shared" si="57"/>
        <v>0</v>
      </c>
      <c r="M913" s="7">
        <f t="shared" si="58"/>
        <v>125000</v>
      </c>
      <c r="N913" s="23">
        <v>0</v>
      </c>
      <c r="O913" s="7">
        <f t="shared" si="59"/>
        <v>125000</v>
      </c>
      <c r="P913" s="2" t="s">
        <v>35</v>
      </c>
      <c r="Q913" t="str">
        <f>_xlfn.XLOOKUP(B913,Status!$A$2:$A$1867,Status!$B$2:$B$1867)</f>
        <v>Cancelled</v>
      </c>
      <c r="R913" s="2" t="s">
        <v>23</v>
      </c>
      <c r="S913" s="8">
        <v>5</v>
      </c>
      <c r="T913" s="2" t="s">
        <v>24</v>
      </c>
      <c r="U913" s="31" t="str" cm="1">
        <f t="array" ref="U913">_xlfn.IFS(L913&lt;=5000,$Z$3,AND(L913&gt;5000,L913&lt;=15000),$Z$4,AND(L913&gt;15000,L913&lt;=30000),$Z$5,AND(L913&gt;30000,L913&lt;=50000),$Z$6,L913&gt;50000,$Z$7)</f>
        <v>Sangat Rendah</v>
      </c>
      <c r="V913" s="2"/>
    </row>
    <row r="914" spans="1:22" ht="15.75" customHeight="1" x14ac:dyDescent="0.25">
      <c r="A914" s="26"/>
      <c r="B914" s="2" t="s">
        <v>1296</v>
      </c>
      <c r="C914" s="32">
        <v>45723.156400462962</v>
      </c>
      <c r="D914" s="53">
        <f>YEAR(Table1[[#This Row],[Order Date]])</f>
        <v>2025</v>
      </c>
      <c r="E914" s="2" t="s">
        <v>502</v>
      </c>
      <c r="F914" s="2" t="s">
        <v>107</v>
      </c>
      <c r="G914" s="2" t="s">
        <v>85</v>
      </c>
      <c r="H914" s="23">
        <v>35000</v>
      </c>
      <c r="I914" s="2">
        <v>3</v>
      </c>
      <c r="J914" s="31">
        <v>15</v>
      </c>
      <c r="K914" s="7">
        <f t="shared" si="56"/>
        <v>105000</v>
      </c>
      <c r="L914" s="7">
        <f t="shared" si="57"/>
        <v>15750</v>
      </c>
      <c r="M914" s="7">
        <f t="shared" si="58"/>
        <v>89250</v>
      </c>
      <c r="N914" s="23">
        <v>97000</v>
      </c>
      <c r="O914" s="7">
        <f t="shared" si="59"/>
        <v>186250</v>
      </c>
      <c r="P914" s="2" t="s">
        <v>29</v>
      </c>
      <c r="Q914" t="str">
        <f>_xlfn.XLOOKUP(B914,Status!$A$2:$A$1867,Status!$B$2:$B$1867)</f>
        <v>Completed</v>
      </c>
      <c r="R914" s="2" t="s">
        <v>23</v>
      </c>
      <c r="S914" s="8">
        <v>2</v>
      </c>
      <c r="T914" s="2" t="s">
        <v>24</v>
      </c>
      <c r="U914" s="31" t="str" cm="1">
        <f t="array" ref="U914">_xlfn.IFS(L914&lt;=5000,$Z$3,AND(L914&gt;5000,L914&lt;=15000),$Z$4,AND(L914&gt;15000,L914&lt;=30000),$Z$5,AND(L914&gt;30000,L914&lt;=50000),$Z$6,L914&gt;50000,$Z$7)</f>
        <v>Normal</v>
      </c>
      <c r="V914" s="2"/>
    </row>
    <row r="915" spans="1:22" ht="15.75" customHeight="1" x14ac:dyDescent="0.25">
      <c r="A915" s="26"/>
      <c r="B915" s="2" t="s">
        <v>1297</v>
      </c>
      <c r="C915" s="32">
        <v>45723.228993055563</v>
      </c>
      <c r="D915" s="53">
        <f>YEAR(Table1[[#This Row],[Order Date]])</f>
        <v>2025</v>
      </c>
      <c r="E915" s="2" t="s">
        <v>192</v>
      </c>
      <c r="F915" s="2" t="s">
        <v>107</v>
      </c>
      <c r="G915" s="2" t="s">
        <v>81</v>
      </c>
      <c r="H915" s="23">
        <v>17000</v>
      </c>
      <c r="I915" s="2">
        <v>2</v>
      </c>
      <c r="J915" s="31">
        <v>10</v>
      </c>
      <c r="K915" s="7">
        <f t="shared" si="56"/>
        <v>34000</v>
      </c>
      <c r="L915" s="7">
        <f t="shared" si="57"/>
        <v>3400</v>
      </c>
      <c r="M915" s="7">
        <f t="shared" si="58"/>
        <v>30600</v>
      </c>
      <c r="N915" s="23">
        <v>97000</v>
      </c>
      <c r="O915" s="7">
        <f t="shared" si="59"/>
        <v>127600</v>
      </c>
      <c r="P915" s="2" t="s">
        <v>22</v>
      </c>
      <c r="Q915" t="str">
        <f>_xlfn.XLOOKUP(B915,Status!$A$2:$A$1867,Status!$B$2:$B$1867)</f>
        <v>Returned</v>
      </c>
      <c r="R915" s="2" t="s">
        <v>23</v>
      </c>
      <c r="S915" s="8">
        <v>2</v>
      </c>
      <c r="T915" s="2" t="s">
        <v>24</v>
      </c>
      <c r="U915" s="31" t="str" cm="1">
        <f t="array" ref="U915">_xlfn.IFS(L915&lt;=5000,$Z$3,AND(L915&gt;5000,L915&lt;=15000),$Z$4,AND(L915&gt;15000,L915&lt;=30000),$Z$5,AND(L915&gt;30000,L915&lt;=50000),$Z$6,L915&gt;50000,$Z$7)</f>
        <v>Sangat Rendah</v>
      </c>
      <c r="V915" s="2"/>
    </row>
    <row r="916" spans="1:22" ht="15.75" customHeight="1" x14ac:dyDescent="0.25">
      <c r="A916" s="26"/>
      <c r="B916" s="2" t="s">
        <v>1297</v>
      </c>
      <c r="C916" s="32">
        <v>45723.228993055563</v>
      </c>
      <c r="D916" s="53">
        <f>YEAR(Table1[[#This Row],[Order Date]])</f>
        <v>2025</v>
      </c>
      <c r="E916" s="2" t="s">
        <v>192</v>
      </c>
      <c r="F916" s="2" t="s">
        <v>107</v>
      </c>
      <c r="G916" s="2" t="s">
        <v>41</v>
      </c>
      <c r="H916" s="23">
        <v>4000</v>
      </c>
      <c r="I916" s="2">
        <v>4</v>
      </c>
      <c r="J916" s="31">
        <v>0</v>
      </c>
      <c r="K916" s="7">
        <f t="shared" si="56"/>
        <v>16000</v>
      </c>
      <c r="L916" s="7">
        <f t="shared" si="57"/>
        <v>0</v>
      </c>
      <c r="M916" s="7">
        <f t="shared" si="58"/>
        <v>16000</v>
      </c>
      <c r="N916" s="23">
        <v>0</v>
      </c>
      <c r="O916" s="7">
        <f t="shared" si="59"/>
        <v>16000</v>
      </c>
      <c r="P916" s="2" t="s">
        <v>22</v>
      </c>
      <c r="Q916" t="str">
        <f>_xlfn.XLOOKUP(B916,Status!$A$2:$A$1867,Status!$B$2:$B$1867)</f>
        <v>Returned</v>
      </c>
      <c r="R916" s="2" t="s">
        <v>23</v>
      </c>
      <c r="S916" s="8">
        <v>2</v>
      </c>
      <c r="T916" s="2" t="s">
        <v>24</v>
      </c>
      <c r="U916" s="31" t="str" cm="1">
        <f t="array" ref="U916">_xlfn.IFS(L916&lt;=5000,$Z$3,AND(L916&gt;5000,L916&lt;=15000),$Z$4,AND(L916&gt;15000,L916&lt;=30000),$Z$5,AND(L916&gt;30000,L916&lt;=50000),$Z$6,L916&gt;50000,$Z$7)</f>
        <v>Sangat Rendah</v>
      </c>
      <c r="V916" s="2"/>
    </row>
    <row r="917" spans="1:22" ht="15.75" customHeight="1" x14ac:dyDescent="0.25">
      <c r="A917" s="26"/>
      <c r="B917" s="2" t="s">
        <v>1298</v>
      </c>
      <c r="C917" s="32">
        <v>45723.521898148138</v>
      </c>
      <c r="D917" s="53">
        <f>YEAR(Table1[[#This Row],[Order Date]])</f>
        <v>2025</v>
      </c>
      <c r="E917" s="2" t="s">
        <v>638</v>
      </c>
      <c r="F917" s="2" t="s">
        <v>195</v>
      </c>
      <c r="G917" s="2" t="s">
        <v>104</v>
      </c>
      <c r="H917" s="23">
        <v>30000</v>
      </c>
      <c r="I917" s="2">
        <v>3</v>
      </c>
      <c r="J917" s="31">
        <v>5</v>
      </c>
      <c r="K917" s="7">
        <f t="shared" si="56"/>
        <v>90000</v>
      </c>
      <c r="L917" s="7">
        <f t="shared" si="57"/>
        <v>4500</v>
      </c>
      <c r="M917" s="7">
        <f t="shared" si="58"/>
        <v>85500</v>
      </c>
      <c r="N917" s="23">
        <v>87000</v>
      </c>
      <c r="O917" s="7">
        <f t="shared" si="59"/>
        <v>172500</v>
      </c>
      <c r="P917" s="2" t="s">
        <v>22</v>
      </c>
      <c r="Q917" t="str">
        <f>_xlfn.XLOOKUP(B917,Status!$A$2:$A$1867,Status!$B$2:$B$1867)</f>
        <v>Cancelled</v>
      </c>
      <c r="R917" s="2" t="s">
        <v>82</v>
      </c>
      <c r="S917" s="8">
        <v>3</v>
      </c>
      <c r="T917" s="2" t="s">
        <v>37</v>
      </c>
      <c r="U917" s="31" t="str" cm="1">
        <f t="array" ref="U917">_xlfn.IFS(L917&lt;=5000,$Z$3,AND(L917&gt;5000,L917&lt;=15000),$Z$4,AND(L917&gt;15000,L917&lt;=30000),$Z$5,AND(L917&gt;30000,L917&lt;=50000),$Z$6,L917&gt;50000,$Z$7)</f>
        <v>Sangat Rendah</v>
      </c>
      <c r="V917" s="2"/>
    </row>
    <row r="918" spans="1:22" ht="15.75" customHeight="1" x14ac:dyDescent="0.25">
      <c r="A918" s="26"/>
      <c r="B918" s="2" t="s">
        <v>1299</v>
      </c>
      <c r="C918" s="32">
        <v>45723.540567129632</v>
      </c>
      <c r="D918" s="53">
        <f>YEAR(Table1[[#This Row],[Order Date]])</f>
        <v>2025</v>
      </c>
      <c r="E918" s="2" t="s">
        <v>1300</v>
      </c>
      <c r="F918" s="2" t="s">
        <v>262</v>
      </c>
      <c r="G918" s="2" t="s">
        <v>123</v>
      </c>
      <c r="H918" s="23">
        <v>22000</v>
      </c>
      <c r="I918" s="2">
        <v>3</v>
      </c>
      <c r="J918" s="31">
        <v>0</v>
      </c>
      <c r="K918" s="7">
        <f t="shared" si="56"/>
        <v>66000</v>
      </c>
      <c r="L918" s="7">
        <f t="shared" si="57"/>
        <v>0</v>
      </c>
      <c r="M918" s="7">
        <f t="shared" si="58"/>
        <v>66000</v>
      </c>
      <c r="N918" s="23">
        <v>18000</v>
      </c>
      <c r="O918" s="7">
        <f t="shared" si="59"/>
        <v>84000</v>
      </c>
      <c r="P918" s="2" t="s">
        <v>63</v>
      </c>
      <c r="Q918" t="str">
        <f>_xlfn.XLOOKUP(B918,Status!$A$2:$A$1867,Status!$B$2:$B$1867)</f>
        <v>Completed</v>
      </c>
      <c r="R918" s="2" t="s">
        <v>30</v>
      </c>
      <c r="S918" s="8">
        <v>3</v>
      </c>
      <c r="T918" s="2" t="s">
        <v>24</v>
      </c>
      <c r="U918" s="31" t="str" cm="1">
        <f t="array" ref="U918">_xlfn.IFS(L918&lt;=5000,$Z$3,AND(L918&gt;5000,L918&lt;=15000),$Z$4,AND(L918&gt;15000,L918&lt;=30000),$Z$5,AND(L918&gt;30000,L918&lt;=50000),$Z$6,L918&gt;50000,$Z$7)</f>
        <v>Sangat Rendah</v>
      </c>
      <c r="V918" s="2"/>
    </row>
    <row r="919" spans="1:22" ht="15.75" customHeight="1" x14ac:dyDescent="0.25">
      <c r="A919" s="26"/>
      <c r="B919" s="2" t="s">
        <v>1301</v>
      </c>
      <c r="C919" s="32">
        <v>45723.839074074072</v>
      </c>
      <c r="D919" s="53">
        <f>YEAR(Table1[[#This Row],[Order Date]])</f>
        <v>2025</v>
      </c>
      <c r="E919" s="2" t="s">
        <v>157</v>
      </c>
      <c r="F919" s="2" t="s">
        <v>20</v>
      </c>
      <c r="G919" s="2" t="s">
        <v>67</v>
      </c>
      <c r="H919" s="23">
        <v>15000</v>
      </c>
      <c r="I919" s="2">
        <v>4</v>
      </c>
      <c r="J919" s="31">
        <v>10</v>
      </c>
      <c r="K919" s="7">
        <f t="shared" si="56"/>
        <v>60000</v>
      </c>
      <c r="L919" s="7">
        <f t="shared" si="57"/>
        <v>6000</v>
      </c>
      <c r="M919" s="7">
        <f t="shared" si="58"/>
        <v>54000</v>
      </c>
      <c r="N919" s="23">
        <v>15000</v>
      </c>
      <c r="O919" s="7">
        <f t="shared" si="59"/>
        <v>69000</v>
      </c>
      <c r="P919" s="2" t="s">
        <v>22</v>
      </c>
      <c r="Q919" t="str">
        <f>_xlfn.XLOOKUP(B919,Status!$A$2:$A$1867,Status!$B$2:$B$1867)</f>
        <v>Completed</v>
      </c>
      <c r="R919" s="2" t="s">
        <v>82</v>
      </c>
      <c r="S919" s="8">
        <v>1</v>
      </c>
      <c r="T919" s="2" t="s">
        <v>24</v>
      </c>
      <c r="U919" s="31" t="str" cm="1">
        <f t="array" ref="U919">_xlfn.IFS(L919&lt;=5000,$Z$3,AND(L919&gt;5000,L919&lt;=15000),$Z$4,AND(L919&gt;15000,L919&lt;=30000),$Z$5,AND(L919&gt;30000,L919&lt;=50000),$Z$6,L919&gt;50000,$Z$7)</f>
        <v>Rendah</v>
      </c>
      <c r="V919" s="2"/>
    </row>
    <row r="920" spans="1:22" ht="15.75" customHeight="1" x14ac:dyDescent="0.25">
      <c r="A920" s="26"/>
      <c r="B920" s="2" t="s">
        <v>1302</v>
      </c>
      <c r="C920" s="32">
        <v>45724.429675925923</v>
      </c>
      <c r="D920" s="53">
        <f>YEAR(Table1[[#This Row],[Order Date]])</f>
        <v>2025</v>
      </c>
      <c r="E920" s="2" t="s">
        <v>165</v>
      </c>
      <c r="F920" s="2" t="s">
        <v>143</v>
      </c>
      <c r="G920" s="2" t="s">
        <v>62</v>
      </c>
      <c r="H920" s="23">
        <v>50000</v>
      </c>
      <c r="I920" s="2">
        <v>3</v>
      </c>
      <c r="J920" s="31">
        <v>15</v>
      </c>
      <c r="K920" s="7">
        <f t="shared" si="56"/>
        <v>150000</v>
      </c>
      <c r="L920" s="7">
        <f t="shared" si="57"/>
        <v>22500</v>
      </c>
      <c r="M920" s="7">
        <f t="shared" si="58"/>
        <v>127500</v>
      </c>
      <c r="N920" s="23">
        <v>50000</v>
      </c>
      <c r="O920" s="7">
        <f t="shared" si="59"/>
        <v>177500</v>
      </c>
      <c r="P920" s="2" t="s">
        <v>22</v>
      </c>
      <c r="Q920" t="str">
        <f>_xlfn.XLOOKUP(B920,Status!$A$2:$A$1867,Status!$B$2:$B$1867)</f>
        <v>Completed</v>
      </c>
      <c r="R920" s="2" t="s">
        <v>36</v>
      </c>
      <c r="S920" s="8">
        <v>1</v>
      </c>
      <c r="T920" s="2" t="s">
        <v>24</v>
      </c>
      <c r="U920" s="31" t="str" cm="1">
        <f t="array" ref="U920">_xlfn.IFS(L920&lt;=5000,$Z$3,AND(L920&gt;5000,L920&lt;=15000),$Z$4,AND(L920&gt;15000,L920&lt;=30000),$Z$5,AND(L920&gt;30000,L920&lt;=50000),$Z$6,L920&gt;50000,$Z$7)</f>
        <v>Normal</v>
      </c>
      <c r="V920" s="2"/>
    </row>
    <row r="921" spans="1:22" ht="15.75" customHeight="1" x14ac:dyDescent="0.25">
      <c r="A921" s="26"/>
      <c r="B921" s="2" t="s">
        <v>1303</v>
      </c>
      <c r="C921" s="32">
        <v>45724.549745370372</v>
      </c>
      <c r="D921" s="53">
        <f>YEAR(Table1[[#This Row],[Order Date]])</f>
        <v>2025</v>
      </c>
      <c r="E921" s="2" t="s">
        <v>192</v>
      </c>
      <c r="F921" s="2" t="s">
        <v>107</v>
      </c>
      <c r="G921" s="2" t="s">
        <v>67</v>
      </c>
      <c r="H921" s="23">
        <v>15000</v>
      </c>
      <c r="I921" s="2">
        <v>1</v>
      </c>
      <c r="J921" s="31">
        <v>5</v>
      </c>
      <c r="K921" s="7">
        <f t="shared" si="56"/>
        <v>15000</v>
      </c>
      <c r="L921" s="7">
        <f t="shared" si="57"/>
        <v>750</v>
      </c>
      <c r="M921" s="7">
        <f t="shared" si="58"/>
        <v>14250</v>
      </c>
      <c r="N921" s="23">
        <v>97000</v>
      </c>
      <c r="O921" s="7">
        <f t="shared" si="59"/>
        <v>111250</v>
      </c>
      <c r="P921" s="2" t="s">
        <v>22</v>
      </c>
      <c r="Q921" t="str">
        <f>_xlfn.XLOOKUP(B921,Status!$A$2:$A$1867,Status!$B$2:$B$1867)</f>
        <v>Completed</v>
      </c>
      <c r="R921" s="2" t="s">
        <v>82</v>
      </c>
      <c r="S921" s="8">
        <v>5</v>
      </c>
      <c r="T921" s="2" t="s">
        <v>24</v>
      </c>
      <c r="U921" s="31" t="str" cm="1">
        <f t="array" ref="U921">_xlfn.IFS(L921&lt;=5000,$Z$3,AND(L921&gt;5000,L921&lt;=15000),$Z$4,AND(L921&gt;15000,L921&lt;=30000),$Z$5,AND(L921&gt;30000,L921&lt;=50000),$Z$6,L921&gt;50000,$Z$7)</f>
        <v>Sangat Rendah</v>
      </c>
      <c r="V921" s="2"/>
    </row>
    <row r="922" spans="1:22" ht="15.75" customHeight="1" x14ac:dyDescent="0.25">
      <c r="A922" s="26"/>
      <c r="B922" s="2" t="s">
        <v>1304</v>
      </c>
      <c r="C922" s="32">
        <v>45724.994201388887</v>
      </c>
      <c r="D922" s="53">
        <f>YEAR(Table1[[#This Row],[Order Date]])</f>
        <v>2025</v>
      </c>
      <c r="E922" s="2" t="s">
        <v>197</v>
      </c>
      <c r="F922" s="2" t="s">
        <v>119</v>
      </c>
      <c r="G922" s="2" t="s">
        <v>123</v>
      </c>
      <c r="H922" s="23">
        <v>22000</v>
      </c>
      <c r="I922" s="2">
        <v>4</v>
      </c>
      <c r="J922" s="31">
        <v>5</v>
      </c>
      <c r="K922" s="7">
        <f t="shared" si="56"/>
        <v>88000</v>
      </c>
      <c r="L922" s="7">
        <f t="shared" si="57"/>
        <v>4400</v>
      </c>
      <c r="M922" s="7">
        <f t="shared" si="58"/>
        <v>83600</v>
      </c>
      <c r="N922" s="23">
        <v>0</v>
      </c>
      <c r="O922" s="7">
        <f t="shared" si="59"/>
        <v>83600</v>
      </c>
      <c r="P922" s="2" t="s">
        <v>22</v>
      </c>
      <c r="Q922" t="str">
        <f>_xlfn.XLOOKUP(B922,Status!$A$2:$A$1867,Status!$B$2:$B$1867)</f>
        <v>Completed</v>
      </c>
      <c r="R922" s="2" t="s">
        <v>23</v>
      </c>
      <c r="S922" s="8">
        <v>2</v>
      </c>
      <c r="T922" s="2" t="s">
        <v>37</v>
      </c>
      <c r="U922" s="31" t="str" cm="1">
        <f t="array" ref="U922">_xlfn.IFS(L922&lt;=5000,$Z$3,AND(L922&gt;5000,L922&lt;=15000),$Z$4,AND(L922&gt;15000,L922&lt;=30000),$Z$5,AND(L922&gt;30000,L922&lt;=50000),$Z$6,L922&gt;50000,$Z$7)</f>
        <v>Sangat Rendah</v>
      </c>
      <c r="V922" s="2"/>
    </row>
    <row r="923" spans="1:22" ht="15.75" customHeight="1" x14ac:dyDescent="0.25">
      <c r="A923" s="26"/>
      <c r="B923" s="2" t="s">
        <v>1305</v>
      </c>
      <c r="C923" s="32">
        <v>45725.128101851849</v>
      </c>
      <c r="D923" s="53">
        <f>YEAR(Table1[[#This Row],[Order Date]])</f>
        <v>2025</v>
      </c>
      <c r="E923" s="2" t="s">
        <v>642</v>
      </c>
      <c r="F923" s="2" t="s">
        <v>160</v>
      </c>
      <c r="G923" s="2" t="s">
        <v>34</v>
      </c>
      <c r="H923" s="23">
        <v>16000</v>
      </c>
      <c r="I923" s="2">
        <v>3</v>
      </c>
      <c r="J923" s="31">
        <v>20</v>
      </c>
      <c r="K923" s="7">
        <f t="shared" si="56"/>
        <v>48000</v>
      </c>
      <c r="L923" s="7">
        <f t="shared" si="57"/>
        <v>9600</v>
      </c>
      <c r="M923" s="7">
        <f t="shared" si="58"/>
        <v>38400</v>
      </c>
      <c r="N923" s="23">
        <v>68000</v>
      </c>
      <c r="O923" s="7">
        <f t="shared" si="59"/>
        <v>106400</v>
      </c>
      <c r="P923" s="2" t="s">
        <v>63</v>
      </c>
      <c r="Q923" t="str">
        <f>_xlfn.XLOOKUP(B923,Status!$A$2:$A$1867,Status!$B$2:$B$1867)</f>
        <v>Completed</v>
      </c>
      <c r="R923" s="2" t="s">
        <v>30</v>
      </c>
      <c r="S923" s="8">
        <v>2</v>
      </c>
      <c r="T923" s="2" t="s">
        <v>24</v>
      </c>
      <c r="U923" s="31" t="str" cm="1">
        <f t="array" ref="U923">_xlfn.IFS(L923&lt;=5000,$Z$3,AND(L923&gt;5000,L923&lt;=15000),$Z$4,AND(L923&gt;15000,L923&lt;=30000),$Z$5,AND(L923&gt;30000,L923&lt;=50000),$Z$6,L923&gt;50000,$Z$7)</f>
        <v>Rendah</v>
      </c>
      <c r="V923" s="2"/>
    </row>
    <row r="924" spans="1:22" ht="15.75" customHeight="1" x14ac:dyDescent="0.25">
      <c r="A924" s="26"/>
      <c r="B924" s="2" t="s">
        <v>1306</v>
      </c>
      <c r="C924" s="32">
        <v>45725.204328703701</v>
      </c>
      <c r="D924" s="53">
        <f>YEAR(Table1[[#This Row],[Order Date]])</f>
        <v>2025</v>
      </c>
      <c r="E924" s="2" t="s">
        <v>446</v>
      </c>
      <c r="F924" s="2" t="s">
        <v>296</v>
      </c>
      <c r="G924" s="2" t="s">
        <v>34</v>
      </c>
      <c r="H924" s="23">
        <v>16000</v>
      </c>
      <c r="I924" s="2">
        <v>1</v>
      </c>
      <c r="J924" s="31">
        <v>5</v>
      </c>
      <c r="K924" s="7">
        <f t="shared" si="56"/>
        <v>16000</v>
      </c>
      <c r="L924" s="7">
        <f t="shared" si="57"/>
        <v>800</v>
      </c>
      <c r="M924" s="7">
        <f t="shared" si="58"/>
        <v>15200</v>
      </c>
      <c r="N924" s="23">
        <v>79000</v>
      </c>
      <c r="O924" s="7">
        <f t="shared" si="59"/>
        <v>94200</v>
      </c>
      <c r="P924" s="2" t="s">
        <v>22</v>
      </c>
      <c r="Q924" t="str">
        <f>_xlfn.XLOOKUP(B924,Status!$A$2:$A$1867,Status!$B$2:$B$1867)</f>
        <v>Completed</v>
      </c>
      <c r="R924" s="2" t="s">
        <v>30</v>
      </c>
      <c r="S924" s="8">
        <v>4</v>
      </c>
      <c r="T924" s="2" t="s">
        <v>37</v>
      </c>
      <c r="U924" s="31" t="str" cm="1">
        <f t="array" ref="U924">_xlfn.IFS(L924&lt;=5000,$Z$3,AND(L924&gt;5000,L924&lt;=15000),$Z$4,AND(L924&gt;15000,L924&lt;=30000),$Z$5,AND(L924&gt;30000,L924&lt;=50000),$Z$6,L924&gt;50000,$Z$7)</f>
        <v>Sangat Rendah</v>
      </c>
      <c r="V924" s="2"/>
    </row>
    <row r="925" spans="1:22" ht="15.75" customHeight="1" x14ac:dyDescent="0.25">
      <c r="A925" s="26"/>
      <c r="B925" s="2" t="s">
        <v>1307</v>
      </c>
      <c r="C925" s="32">
        <v>45725.31523148148</v>
      </c>
      <c r="D925" s="53">
        <f>YEAR(Table1[[#This Row],[Order Date]])</f>
        <v>2025</v>
      </c>
      <c r="E925" s="2" t="s">
        <v>499</v>
      </c>
      <c r="F925" s="2" t="s">
        <v>131</v>
      </c>
      <c r="G925" s="2" t="s">
        <v>38</v>
      </c>
      <c r="H925" s="23">
        <v>28000</v>
      </c>
      <c r="I925" s="2">
        <v>5</v>
      </c>
      <c r="J925" s="31">
        <v>5</v>
      </c>
      <c r="K925" s="7">
        <f t="shared" si="56"/>
        <v>140000</v>
      </c>
      <c r="L925" s="7">
        <f t="shared" si="57"/>
        <v>7000</v>
      </c>
      <c r="M925" s="7">
        <f t="shared" si="58"/>
        <v>133000</v>
      </c>
      <c r="N925" s="23">
        <v>59000</v>
      </c>
      <c r="O925" s="7">
        <f t="shared" si="59"/>
        <v>192000</v>
      </c>
      <c r="P925" s="2" t="s">
        <v>22</v>
      </c>
      <c r="Q925" t="str">
        <f>_xlfn.XLOOKUP(B925,Status!$A$2:$A$1867,Status!$B$2:$B$1867)</f>
        <v>Completed</v>
      </c>
      <c r="R925" s="2" t="s">
        <v>82</v>
      </c>
      <c r="S925" s="8">
        <v>2</v>
      </c>
      <c r="T925" s="2" t="s">
        <v>24</v>
      </c>
      <c r="U925" s="31" t="str" cm="1">
        <f t="array" ref="U925">_xlfn.IFS(L925&lt;=5000,$Z$3,AND(L925&gt;5000,L925&lt;=15000),$Z$4,AND(L925&gt;15000,L925&lt;=30000),$Z$5,AND(L925&gt;30000,L925&lt;=50000),$Z$6,L925&gt;50000,$Z$7)</f>
        <v>Rendah</v>
      </c>
      <c r="V925" s="2"/>
    </row>
    <row r="926" spans="1:22" ht="15.75" customHeight="1" x14ac:dyDescent="0.25">
      <c r="A926" s="26"/>
      <c r="B926" s="2" t="s">
        <v>1308</v>
      </c>
      <c r="C926" s="32">
        <v>45725.410868055558</v>
      </c>
      <c r="D926" s="53">
        <f>YEAR(Table1[[#This Row],[Order Date]])</f>
        <v>2025</v>
      </c>
      <c r="E926" s="2" t="s">
        <v>846</v>
      </c>
      <c r="F926" s="2" t="s">
        <v>107</v>
      </c>
      <c r="G926" s="2" t="s">
        <v>138</v>
      </c>
      <c r="H926" s="23">
        <v>17000</v>
      </c>
      <c r="I926" s="2">
        <v>1</v>
      </c>
      <c r="J926" s="31">
        <v>20</v>
      </c>
      <c r="K926" s="7">
        <f t="shared" si="56"/>
        <v>17000</v>
      </c>
      <c r="L926" s="7">
        <f t="shared" si="57"/>
        <v>3400</v>
      </c>
      <c r="M926" s="7">
        <f t="shared" si="58"/>
        <v>13600</v>
      </c>
      <c r="N926" s="23">
        <v>97000</v>
      </c>
      <c r="O926" s="7">
        <f t="shared" si="59"/>
        <v>110600</v>
      </c>
      <c r="P926" s="2" t="s">
        <v>29</v>
      </c>
      <c r="Q926" t="str">
        <f>_xlfn.XLOOKUP(B926,Status!$A$2:$A$1867,Status!$B$2:$B$1867)</f>
        <v>Completed</v>
      </c>
      <c r="R926" s="2" t="s">
        <v>46</v>
      </c>
      <c r="S926" s="8">
        <v>2</v>
      </c>
      <c r="T926" s="2" t="s">
        <v>24</v>
      </c>
      <c r="U926" s="31" t="str" cm="1">
        <f t="array" ref="U926">_xlfn.IFS(L926&lt;=5000,$Z$3,AND(L926&gt;5000,L926&lt;=15000),$Z$4,AND(L926&gt;15000,L926&lt;=30000),$Z$5,AND(L926&gt;30000,L926&lt;=50000),$Z$6,L926&gt;50000,$Z$7)</f>
        <v>Sangat Rendah</v>
      </c>
      <c r="V926" s="2"/>
    </row>
    <row r="927" spans="1:22" ht="15.75" customHeight="1" x14ac:dyDescent="0.25">
      <c r="A927" s="26"/>
      <c r="B927" s="2" t="s">
        <v>1309</v>
      </c>
      <c r="C927" s="32">
        <v>45725.501157407409</v>
      </c>
      <c r="D927" s="53">
        <f>YEAR(Table1[[#This Row],[Order Date]])</f>
        <v>2025</v>
      </c>
      <c r="E927" s="2" t="s">
        <v>19</v>
      </c>
      <c r="F927" s="2" t="s">
        <v>20</v>
      </c>
      <c r="G927" s="2" t="s">
        <v>21</v>
      </c>
      <c r="H927" s="23">
        <v>45000</v>
      </c>
      <c r="I927" s="2">
        <v>2</v>
      </c>
      <c r="J927" s="31">
        <v>20</v>
      </c>
      <c r="K927" s="7">
        <f t="shared" si="56"/>
        <v>90000</v>
      </c>
      <c r="L927" s="7">
        <f t="shared" si="57"/>
        <v>18000</v>
      </c>
      <c r="M927" s="7">
        <f t="shared" si="58"/>
        <v>72000</v>
      </c>
      <c r="N927" s="23">
        <v>15000</v>
      </c>
      <c r="O927" s="7">
        <f t="shared" si="59"/>
        <v>87000</v>
      </c>
      <c r="P927" s="2" t="s">
        <v>63</v>
      </c>
      <c r="Q927" t="str">
        <f>_xlfn.XLOOKUP(B927,Status!$A$2:$A$1867,Status!$B$2:$B$1867)</f>
        <v>Completed</v>
      </c>
      <c r="R927" s="2" t="s">
        <v>46</v>
      </c>
      <c r="S927" s="8">
        <v>5</v>
      </c>
      <c r="T927" s="2" t="s">
        <v>24</v>
      </c>
      <c r="U927" s="31" t="str" cm="1">
        <f t="array" ref="U927">_xlfn.IFS(L927&lt;=5000,$Z$3,AND(L927&gt;5000,L927&lt;=15000),$Z$4,AND(L927&gt;15000,L927&lt;=30000),$Z$5,AND(L927&gt;30000,L927&lt;=50000),$Z$6,L927&gt;50000,$Z$7)</f>
        <v>Normal</v>
      </c>
      <c r="V927" s="2"/>
    </row>
    <row r="928" spans="1:22" ht="15.75" customHeight="1" x14ac:dyDescent="0.25">
      <c r="A928" s="26"/>
      <c r="B928" s="2" t="s">
        <v>1310</v>
      </c>
      <c r="C928" s="32">
        <v>45725.740613425929</v>
      </c>
      <c r="D928" s="53">
        <f>YEAR(Table1[[#This Row],[Order Date]])</f>
        <v>2025</v>
      </c>
      <c r="E928" s="2" t="s">
        <v>1311</v>
      </c>
      <c r="F928" s="2" t="s">
        <v>49</v>
      </c>
      <c r="G928" s="2" t="s">
        <v>45</v>
      </c>
      <c r="H928" s="23">
        <v>40000</v>
      </c>
      <c r="I928" s="2">
        <v>4</v>
      </c>
      <c r="J928" s="31">
        <v>10</v>
      </c>
      <c r="K928" s="7">
        <f t="shared" si="56"/>
        <v>160000</v>
      </c>
      <c r="L928" s="7">
        <f t="shared" si="57"/>
        <v>16000</v>
      </c>
      <c r="M928" s="7">
        <f t="shared" si="58"/>
        <v>144000</v>
      </c>
      <c r="N928" s="23">
        <v>43000</v>
      </c>
      <c r="O928" s="7">
        <f t="shared" si="59"/>
        <v>187000</v>
      </c>
      <c r="P928" s="2" t="s">
        <v>35</v>
      </c>
      <c r="Q928" t="str">
        <f>_xlfn.XLOOKUP(B928,Status!$A$2:$A$1867,Status!$B$2:$B$1867)</f>
        <v>Completed</v>
      </c>
      <c r="R928" s="2" t="s">
        <v>30</v>
      </c>
      <c r="S928" s="8">
        <v>2</v>
      </c>
      <c r="T928" s="2" t="s">
        <v>24</v>
      </c>
      <c r="U928" s="31" t="str" cm="1">
        <f t="array" ref="U928">_xlfn.IFS(L928&lt;=5000,$Z$3,AND(L928&gt;5000,L928&lt;=15000),$Z$4,AND(L928&gt;15000,L928&lt;=30000),$Z$5,AND(L928&gt;30000,L928&lt;=50000),$Z$6,L928&gt;50000,$Z$7)</f>
        <v>Normal</v>
      </c>
      <c r="V928" s="2"/>
    </row>
    <row r="929" spans="1:22" ht="15.75" customHeight="1" x14ac:dyDescent="0.25">
      <c r="A929" s="26"/>
      <c r="B929" s="2" t="s">
        <v>1312</v>
      </c>
      <c r="C929" s="32">
        <v>45725.995694444442</v>
      </c>
      <c r="D929" s="53">
        <f>YEAR(Table1[[#This Row],[Order Date]])</f>
        <v>2025</v>
      </c>
      <c r="E929" s="2" t="s">
        <v>1313</v>
      </c>
      <c r="F929" s="2" t="s">
        <v>103</v>
      </c>
      <c r="G929" s="2" t="s">
        <v>186</v>
      </c>
      <c r="H929" s="23">
        <v>45000</v>
      </c>
      <c r="I929" s="2">
        <v>5</v>
      </c>
      <c r="J929" s="31">
        <v>5</v>
      </c>
      <c r="K929" s="7">
        <f t="shared" si="56"/>
        <v>225000</v>
      </c>
      <c r="L929" s="7">
        <f t="shared" si="57"/>
        <v>11250</v>
      </c>
      <c r="M929" s="7">
        <f t="shared" si="58"/>
        <v>213750</v>
      </c>
      <c r="N929" s="23">
        <v>85000</v>
      </c>
      <c r="O929" s="7">
        <f t="shared" si="59"/>
        <v>298750</v>
      </c>
      <c r="P929" s="2" t="s">
        <v>35</v>
      </c>
      <c r="Q929" t="str">
        <f>_xlfn.XLOOKUP(B929,Status!$A$2:$A$1867,Status!$B$2:$B$1867)</f>
        <v>Returned</v>
      </c>
      <c r="R929" s="2" t="s">
        <v>23</v>
      </c>
      <c r="S929" s="8">
        <v>2</v>
      </c>
      <c r="T929" s="2" t="s">
        <v>24</v>
      </c>
      <c r="U929" s="31" t="str" cm="1">
        <f t="array" ref="U929">_xlfn.IFS(L929&lt;=5000,$Z$3,AND(L929&gt;5000,L929&lt;=15000),$Z$4,AND(L929&gt;15000,L929&lt;=30000),$Z$5,AND(L929&gt;30000,L929&lt;=50000),$Z$6,L929&gt;50000,$Z$7)</f>
        <v>Rendah</v>
      </c>
      <c r="V929" s="2"/>
    </row>
    <row r="930" spans="1:22" ht="15.75" customHeight="1" x14ac:dyDescent="0.25">
      <c r="A930" s="26"/>
      <c r="B930" s="2" t="s">
        <v>1314</v>
      </c>
      <c r="C930" s="32">
        <v>45726.032893518517</v>
      </c>
      <c r="D930" s="53">
        <f>YEAR(Table1[[#This Row],[Order Date]])</f>
        <v>2025</v>
      </c>
      <c r="E930" s="2" t="s">
        <v>1035</v>
      </c>
      <c r="F930" s="2" t="s">
        <v>66</v>
      </c>
      <c r="G930" s="2" t="s">
        <v>21</v>
      </c>
      <c r="H930" s="23">
        <v>45000</v>
      </c>
      <c r="I930" s="2">
        <v>4</v>
      </c>
      <c r="J930" s="31">
        <v>15</v>
      </c>
      <c r="K930" s="7">
        <f t="shared" si="56"/>
        <v>180000</v>
      </c>
      <c r="L930" s="7">
        <f t="shared" si="57"/>
        <v>27000</v>
      </c>
      <c r="M930" s="7">
        <f t="shared" si="58"/>
        <v>153000</v>
      </c>
      <c r="N930" s="23">
        <v>59000</v>
      </c>
      <c r="O930" s="7">
        <f t="shared" si="59"/>
        <v>212000</v>
      </c>
      <c r="P930" s="2" t="s">
        <v>29</v>
      </c>
      <c r="Q930" t="str">
        <f>_xlfn.XLOOKUP(B930,Status!$A$2:$A$1867,Status!$B$2:$B$1867)</f>
        <v>Completed</v>
      </c>
      <c r="R930" s="2" t="s">
        <v>23</v>
      </c>
      <c r="S930" s="8">
        <v>1</v>
      </c>
      <c r="T930" s="2" t="s">
        <v>24</v>
      </c>
      <c r="U930" s="31" t="str" cm="1">
        <f t="array" ref="U930">_xlfn.IFS(L930&lt;=5000,$Z$3,AND(L930&gt;5000,L930&lt;=15000),$Z$4,AND(L930&gt;15000,L930&lt;=30000),$Z$5,AND(L930&gt;30000,L930&lt;=50000),$Z$6,L930&gt;50000,$Z$7)</f>
        <v>Normal</v>
      </c>
      <c r="V930" s="2"/>
    </row>
    <row r="931" spans="1:22" ht="15.75" customHeight="1" x14ac:dyDescent="0.25">
      <c r="A931" s="26"/>
      <c r="B931" s="2" t="s">
        <v>1315</v>
      </c>
      <c r="C931" s="32">
        <v>45726.272233796299</v>
      </c>
      <c r="D931" s="53">
        <f>YEAR(Table1[[#This Row],[Order Date]])</f>
        <v>2025</v>
      </c>
      <c r="E931" s="2" t="s">
        <v>237</v>
      </c>
      <c r="F931" s="2" t="s">
        <v>238</v>
      </c>
      <c r="G931" s="2" t="s">
        <v>58</v>
      </c>
      <c r="H931" s="23">
        <v>16000</v>
      </c>
      <c r="I931" s="2">
        <v>3</v>
      </c>
      <c r="J931" s="31">
        <v>10</v>
      </c>
      <c r="K931" s="7">
        <f t="shared" si="56"/>
        <v>48000</v>
      </c>
      <c r="L931" s="7">
        <f t="shared" si="57"/>
        <v>4800</v>
      </c>
      <c r="M931" s="7">
        <f t="shared" si="58"/>
        <v>43200</v>
      </c>
      <c r="N931" s="23">
        <v>28000</v>
      </c>
      <c r="O931" s="7">
        <f t="shared" si="59"/>
        <v>71200</v>
      </c>
      <c r="P931" s="2" t="s">
        <v>29</v>
      </c>
      <c r="Q931" t="str">
        <f>_xlfn.XLOOKUP(B931,Status!$A$2:$A$1867,Status!$B$2:$B$1867)</f>
        <v>Completed</v>
      </c>
      <c r="R931" s="2" t="s">
        <v>30</v>
      </c>
      <c r="S931" s="8">
        <v>4</v>
      </c>
      <c r="T931" s="2" t="s">
        <v>24</v>
      </c>
      <c r="U931" s="31" t="str" cm="1">
        <f t="array" ref="U931">_xlfn.IFS(L931&lt;=5000,$Z$3,AND(L931&gt;5000,L931&lt;=15000),$Z$4,AND(L931&gt;15000,L931&lt;=30000),$Z$5,AND(L931&gt;30000,L931&lt;=50000),$Z$6,L931&gt;50000,$Z$7)</f>
        <v>Sangat Rendah</v>
      </c>
      <c r="V931" s="2"/>
    </row>
    <row r="932" spans="1:22" ht="15.75" customHeight="1" x14ac:dyDescent="0.25">
      <c r="A932" s="26"/>
      <c r="B932" s="2" t="s">
        <v>1316</v>
      </c>
      <c r="C932" s="32">
        <v>45726.737812500003</v>
      </c>
      <c r="D932" s="53">
        <f>YEAR(Table1[[#This Row],[Order Date]])</f>
        <v>2025</v>
      </c>
      <c r="E932" s="2" t="s">
        <v>1317</v>
      </c>
      <c r="F932" s="2" t="s">
        <v>113</v>
      </c>
      <c r="G932" s="2" t="s">
        <v>62</v>
      </c>
      <c r="H932" s="23">
        <v>50000</v>
      </c>
      <c r="I932" s="2">
        <v>3</v>
      </c>
      <c r="J932" s="31">
        <v>15</v>
      </c>
      <c r="K932" s="7">
        <f t="shared" si="56"/>
        <v>150000</v>
      </c>
      <c r="L932" s="7">
        <f t="shared" si="57"/>
        <v>22500</v>
      </c>
      <c r="M932" s="7">
        <f t="shared" si="58"/>
        <v>127500</v>
      </c>
      <c r="N932" s="23">
        <v>18000</v>
      </c>
      <c r="O932" s="7">
        <f t="shared" si="59"/>
        <v>145500</v>
      </c>
      <c r="P932" s="2" t="s">
        <v>35</v>
      </c>
      <c r="Q932" t="str">
        <f>_xlfn.XLOOKUP(B932,Status!$A$2:$A$1867,Status!$B$2:$B$1867)</f>
        <v>Returned</v>
      </c>
      <c r="R932" s="2" t="s">
        <v>82</v>
      </c>
      <c r="S932" s="8">
        <v>2</v>
      </c>
      <c r="T932" s="2" t="s">
        <v>37</v>
      </c>
      <c r="U932" s="31" t="str" cm="1">
        <f t="array" ref="U932">_xlfn.IFS(L932&lt;=5000,$Z$3,AND(L932&gt;5000,L932&lt;=15000),$Z$4,AND(L932&gt;15000,L932&lt;=30000),$Z$5,AND(L932&gt;30000,L932&lt;=50000),$Z$6,L932&gt;50000,$Z$7)</f>
        <v>Normal</v>
      </c>
      <c r="V932" s="2"/>
    </row>
    <row r="933" spans="1:22" ht="15.75" customHeight="1" x14ac:dyDescent="0.25">
      <c r="A933" s="26"/>
      <c r="B933" s="2" t="s">
        <v>1318</v>
      </c>
      <c r="C933" s="32">
        <v>45726.9840625</v>
      </c>
      <c r="D933" s="53">
        <f>YEAR(Table1[[#This Row],[Order Date]])</f>
        <v>2025</v>
      </c>
      <c r="E933" s="2" t="s">
        <v>359</v>
      </c>
      <c r="F933" s="2" t="s">
        <v>70</v>
      </c>
      <c r="G933" s="2" t="s">
        <v>110</v>
      </c>
      <c r="H933" s="23">
        <v>6000</v>
      </c>
      <c r="I933" s="2">
        <v>4</v>
      </c>
      <c r="J933" s="31">
        <v>0</v>
      </c>
      <c r="K933" s="7">
        <f t="shared" si="56"/>
        <v>24000</v>
      </c>
      <c r="L933" s="7">
        <f t="shared" si="57"/>
        <v>0</v>
      </c>
      <c r="M933" s="7">
        <f t="shared" si="58"/>
        <v>24000</v>
      </c>
      <c r="N933" s="23">
        <v>89000</v>
      </c>
      <c r="O933" s="7">
        <f t="shared" si="59"/>
        <v>113000</v>
      </c>
      <c r="P933" s="2" t="s">
        <v>35</v>
      </c>
      <c r="Q933" t="str">
        <f>_xlfn.XLOOKUP(B933,Status!$A$2:$A$1867,Status!$B$2:$B$1867)</f>
        <v>Completed</v>
      </c>
      <c r="R933" s="2" t="s">
        <v>30</v>
      </c>
      <c r="S933" s="8">
        <v>1</v>
      </c>
      <c r="T933" s="2" t="s">
        <v>24</v>
      </c>
      <c r="U933" s="31" t="str" cm="1">
        <f t="array" ref="U933">_xlfn.IFS(L933&lt;=5000,$Z$3,AND(L933&gt;5000,L933&lt;=15000),$Z$4,AND(L933&gt;15000,L933&lt;=30000),$Z$5,AND(L933&gt;30000,L933&lt;=50000),$Z$6,L933&gt;50000,$Z$7)</f>
        <v>Sangat Rendah</v>
      </c>
      <c r="V933" s="2"/>
    </row>
    <row r="934" spans="1:22" ht="15.75" customHeight="1" x14ac:dyDescent="0.25">
      <c r="A934" s="26"/>
      <c r="B934" s="2" t="s">
        <v>1319</v>
      </c>
      <c r="C934" s="32">
        <v>45727.215324074074</v>
      </c>
      <c r="D934" s="53">
        <f>YEAR(Table1[[#This Row],[Order Date]])</f>
        <v>2025</v>
      </c>
      <c r="E934" s="2" t="s">
        <v>959</v>
      </c>
      <c r="F934" s="2" t="s">
        <v>182</v>
      </c>
      <c r="G934" s="2" t="s">
        <v>54</v>
      </c>
      <c r="H934" s="23">
        <v>16000</v>
      </c>
      <c r="I934" s="2">
        <v>5</v>
      </c>
      <c r="J934" s="31">
        <v>20</v>
      </c>
      <c r="K934" s="7">
        <f t="shared" si="56"/>
        <v>80000</v>
      </c>
      <c r="L934" s="7">
        <f t="shared" si="57"/>
        <v>16000</v>
      </c>
      <c r="M934" s="7">
        <f t="shared" si="58"/>
        <v>64000</v>
      </c>
      <c r="N934" s="23">
        <v>48000</v>
      </c>
      <c r="O934" s="7">
        <f t="shared" si="59"/>
        <v>112000</v>
      </c>
      <c r="P934" s="2" t="s">
        <v>29</v>
      </c>
      <c r="Q934" t="str">
        <f>_xlfn.XLOOKUP(B934,Status!$A$2:$A$1867,Status!$B$2:$B$1867)</f>
        <v>Completed</v>
      </c>
      <c r="R934" s="2" t="s">
        <v>82</v>
      </c>
      <c r="S934" s="8">
        <v>1</v>
      </c>
      <c r="T934" s="2" t="s">
        <v>24</v>
      </c>
      <c r="U934" s="31" t="str" cm="1">
        <f t="array" ref="U934">_xlfn.IFS(L934&lt;=5000,$Z$3,AND(L934&gt;5000,L934&lt;=15000),$Z$4,AND(L934&gt;15000,L934&lt;=30000),$Z$5,AND(L934&gt;30000,L934&lt;=50000),$Z$6,L934&gt;50000,$Z$7)</f>
        <v>Normal</v>
      </c>
      <c r="V934" s="2"/>
    </row>
    <row r="935" spans="1:22" ht="15.75" customHeight="1" x14ac:dyDescent="0.25">
      <c r="A935" s="26"/>
      <c r="B935" s="2" t="s">
        <v>1319</v>
      </c>
      <c r="C935" s="32">
        <v>45727.215324074074</v>
      </c>
      <c r="D935" s="53">
        <f>YEAR(Table1[[#This Row],[Order Date]])</f>
        <v>2025</v>
      </c>
      <c r="E935" s="2" t="s">
        <v>959</v>
      </c>
      <c r="F935" s="2" t="s">
        <v>182</v>
      </c>
      <c r="G935" s="2" t="s">
        <v>50</v>
      </c>
      <c r="H935" s="23">
        <v>14000</v>
      </c>
      <c r="I935" s="2">
        <v>3</v>
      </c>
      <c r="J935" s="31">
        <v>20</v>
      </c>
      <c r="K935" s="7">
        <f t="shared" si="56"/>
        <v>42000</v>
      </c>
      <c r="L935" s="7">
        <f t="shared" si="57"/>
        <v>8400</v>
      </c>
      <c r="M935" s="7">
        <f t="shared" si="58"/>
        <v>33600</v>
      </c>
      <c r="N935" s="23">
        <v>0</v>
      </c>
      <c r="O935" s="7">
        <f t="shared" si="59"/>
        <v>33600</v>
      </c>
      <c r="P935" s="2" t="s">
        <v>29</v>
      </c>
      <c r="Q935" t="str">
        <f>_xlfn.XLOOKUP(B935,Status!$A$2:$A$1867,Status!$B$2:$B$1867)</f>
        <v>Completed</v>
      </c>
      <c r="R935" s="2" t="s">
        <v>82</v>
      </c>
      <c r="S935" s="8">
        <v>1</v>
      </c>
      <c r="T935" s="2" t="s">
        <v>24</v>
      </c>
      <c r="U935" s="31" t="str" cm="1">
        <f t="array" ref="U935">_xlfn.IFS(L935&lt;=5000,$Z$3,AND(L935&gt;5000,L935&lt;=15000),$Z$4,AND(L935&gt;15000,L935&lt;=30000),$Z$5,AND(L935&gt;30000,L935&lt;=50000),$Z$6,L935&gt;50000,$Z$7)</f>
        <v>Rendah</v>
      </c>
      <c r="V935" s="2"/>
    </row>
    <row r="936" spans="1:22" ht="15.75" customHeight="1" x14ac:dyDescent="0.25">
      <c r="A936" s="26"/>
      <c r="B936" s="2" t="s">
        <v>1320</v>
      </c>
      <c r="C936" s="32">
        <v>45727.299363425933</v>
      </c>
      <c r="D936" s="53">
        <f>YEAR(Table1[[#This Row],[Order Date]])</f>
        <v>2025</v>
      </c>
      <c r="E936" s="2" t="s">
        <v>1321</v>
      </c>
      <c r="F936" s="2" t="s">
        <v>113</v>
      </c>
      <c r="G936" s="2" t="s">
        <v>186</v>
      </c>
      <c r="H936" s="23">
        <v>45000</v>
      </c>
      <c r="I936" s="2">
        <v>5</v>
      </c>
      <c r="J936" s="31">
        <v>5</v>
      </c>
      <c r="K936" s="7">
        <f t="shared" si="56"/>
        <v>225000</v>
      </c>
      <c r="L936" s="7">
        <f t="shared" si="57"/>
        <v>11250</v>
      </c>
      <c r="M936" s="7">
        <f t="shared" si="58"/>
        <v>213750</v>
      </c>
      <c r="N936" s="23">
        <v>18000</v>
      </c>
      <c r="O936" s="7">
        <f t="shared" si="59"/>
        <v>231750</v>
      </c>
      <c r="P936" s="2" t="s">
        <v>63</v>
      </c>
      <c r="Q936" t="str">
        <f>_xlfn.XLOOKUP(B936,Status!$A$2:$A$1867,Status!$B$2:$B$1867)</f>
        <v>Completed</v>
      </c>
      <c r="R936" s="2" t="s">
        <v>46</v>
      </c>
      <c r="S936" s="8">
        <v>4</v>
      </c>
      <c r="T936" s="2" t="s">
        <v>24</v>
      </c>
      <c r="U936" s="31" t="str" cm="1">
        <f t="array" ref="U936">_xlfn.IFS(L936&lt;=5000,$Z$3,AND(L936&gt;5000,L936&lt;=15000),$Z$4,AND(L936&gt;15000,L936&lt;=30000),$Z$5,AND(L936&gt;30000,L936&lt;=50000),$Z$6,L936&gt;50000,$Z$7)</f>
        <v>Rendah</v>
      </c>
      <c r="V936" s="2"/>
    </row>
    <row r="937" spans="1:22" ht="15.75" customHeight="1" x14ac:dyDescent="0.25">
      <c r="A937" s="26"/>
      <c r="B937" s="2" t="s">
        <v>1322</v>
      </c>
      <c r="C937" s="32">
        <v>45727.602858796286</v>
      </c>
      <c r="D937" s="53">
        <f>YEAR(Table1[[#This Row],[Order Date]])</f>
        <v>2025</v>
      </c>
      <c r="E937" s="2" t="s">
        <v>1323</v>
      </c>
      <c r="F937" s="2" t="s">
        <v>74</v>
      </c>
      <c r="G937" s="2" t="s">
        <v>174</v>
      </c>
      <c r="H937" s="23">
        <v>10000</v>
      </c>
      <c r="I937" s="2">
        <v>5</v>
      </c>
      <c r="J937" s="31">
        <v>20</v>
      </c>
      <c r="K937" s="7">
        <f t="shared" si="56"/>
        <v>50000</v>
      </c>
      <c r="L937" s="7">
        <f t="shared" si="57"/>
        <v>10000</v>
      </c>
      <c r="M937" s="7">
        <f t="shared" si="58"/>
        <v>40000</v>
      </c>
      <c r="N937" s="23">
        <v>87000</v>
      </c>
      <c r="O937" s="7">
        <f t="shared" si="59"/>
        <v>127000</v>
      </c>
      <c r="P937" s="2" t="s">
        <v>35</v>
      </c>
      <c r="Q937" t="str">
        <f>_xlfn.XLOOKUP(B937,Status!$A$2:$A$1867,Status!$B$2:$B$1867)</f>
        <v>Completed</v>
      </c>
      <c r="R937" s="2" t="s">
        <v>23</v>
      </c>
      <c r="S937" s="8">
        <v>5</v>
      </c>
      <c r="T937" s="2" t="s">
        <v>24</v>
      </c>
      <c r="U937" s="31" t="str" cm="1">
        <f t="array" ref="U937">_xlfn.IFS(L937&lt;=5000,$Z$3,AND(L937&gt;5000,L937&lt;=15000),$Z$4,AND(L937&gt;15000,L937&lt;=30000),$Z$5,AND(L937&gt;30000,L937&lt;=50000),$Z$6,L937&gt;50000,$Z$7)</f>
        <v>Rendah</v>
      </c>
      <c r="V937" s="2"/>
    </row>
    <row r="938" spans="1:22" ht="15.75" customHeight="1" x14ac:dyDescent="0.25">
      <c r="A938" s="26"/>
      <c r="B938" s="2" t="s">
        <v>1324</v>
      </c>
      <c r="C938" s="32">
        <v>45727.7344212963</v>
      </c>
      <c r="D938" s="53">
        <f>YEAR(Table1[[#This Row],[Order Date]])</f>
        <v>2025</v>
      </c>
      <c r="E938" s="2" t="s">
        <v>150</v>
      </c>
      <c r="F938" s="2" t="s">
        <v>151</v>
      </c>
      <c r="G938" s="2" t="s">
        <v>138</v>
      </c>
      <c r="H938" s="23">
        <v>17000</v>
      </c>
      <c r="I938" s="2">
        <v>3</v>
      </c>
      <c r="J938" s="31">
        <v>20</v>
      </c>
      <c r="K938" s="7">
        <f t="shared" si="56"/>
        <v>51000</v>
      </c>
      <c r="L938" s="7">
        <f t="shared" si="57"/>
        <v>10200</v>
      </c>
      <c r="M938" s="7">
        <f t="shared" si="58"/>
        <v>40800</v>
      </c>
      <c r="N938" s="23">
        <v>55000</v>
      </c>
      <c r="O938" s="7">
        <f t="shared" si="59"/>
        <v>95800</v>
      </c>
      <c r="P938" s="2" t="s">
        <v>22</v>
      </c>
      <c r="Q938" t="str">
        <f>_xlfn.XLOOKUP(B938,Status!$A$2:$A$1867,Status!$B$2:$B$1867)</f>
        <v>Completed</v>
      </c>
      <c r="R938" s="2" t="s">
        <v>36</v>
      </c>
      <c r="S938" s="8">
        <v>2</v>
      </c>
      <c r="T938" s="2" t="s">
        <v>37</v>
      </c>
      <c r="U938" s="31" t="str" cm="1">
        <f t="array" ref="U938">_xlfn.IFS(L938&lt;=5000,$Z$3,AND(L938&gt;5000,L938&lt;=15000),$Z$4,AND(L938&gt;15000,L938&lt;=30000),$Z$5,AND(L938&gt;30000,L938&lt;=50000),$Z$6,L938&gt;50000,$Z$7)</f>
        <v>Rendah</v>
      </c>
      <c r="V938" s="2"/>
    </row>
    <row r="939" spans="1:22" ht="15.75" customHeight="1" x14ac:dyDescent="0.25">
      <c r="A939" s="26"/>
      <c r="B939" s="2" t="s">
        <v>1325</v>
      </c>
      <c r="C939" s="32">
        <v>45728.049456018518</v>
      </c>
      <c r="D939" s="53">
        <f>YEAR(Table1[[#This Row],[Order Date]])</f>
        <v>2025</v>
      </c>
      <c r="E939" s="2" t="s">
        <v>169</v>
      </c>
      <c r="F939" s="2" t="s">
        <v>170</v>
      </c>
      <c r="G939" s="2" t="s">
        <v>38</v>
      </c>
      <c r="H939" s="23">
        <v>28000</v>
      </c>
      <c r="I939" s="2">
        <v>2</v>
      </c>
      <c r="J939" s="31">
        <v>5</v>
      </c>
      <c r="K939" s="7">
        <f t="shared" si="56"/>
        <v>56000</v>
      </c>
      <c r="L939" s="7">
        <f t="shared" si="57"/>
        <v>2800</v>
      </c>
      <c r="M939" s="7">
        <f t="shared" si="58"/>
        <v>53200</v>
      </c>
      <c r="N939" s="23">
        <v>46000</v>
      </c>
      <c r="O939" s="7">
        <f t="shared" si="59"/>
        <v>99200</v>
      </c>
      <c r="P939" s="2" t="s">
        <v>22</v>
      </c>
      <c r="Q939" t="str">
        <f>_xlfn.XLOOKUP(B939,Status!$A$2:$A$1867,Status!$B$2:$B$1867)</f>
        <v>Completed</v>
      </c>
      <c r="R939" s="2" t="s">
        <v>23</v>
      </c>
      <c r="S939" s="8">
        <v>5</v>
      </c>
      <c r="T939" s="2" t="s">
        <v>24</v>
      </c>
      <c r="U939" s="31" t="str" cm="1">
        <f t="array" ref="U939">_xlfn.IFS(L939&lt;=5000,$Z$3,AND(L939&gt;5000,L939&lt;=15000),$Z$4,AND(L939&gt;15000,L939&lt;=30000),$Z$5,AND(L939&gt;30000,L939&lt;=50000),$Z$6,L939&gt;50000,$Z$7)</f>
        <v>Sangat Rendah</v>
      </c>
      <c r="V939" s="2"/>
    </row>
    <row r="940" spans="1:22" ht="15.75" customHeight="1" x14ac:dyDescent="0.25">
      <c r="A940" s="26"/>
      <c r="B940" s="2" t="s">
        <v>1326</v>
      </c>
      <c r="C940" s="32">
        <v>45728.865740740737</v>
      </c>
      <c r="D940" s="53">
        <f>YEAR(Table1[[#This Row],[Order Date]])</f>
        <v>2025</v>
      </c>
      <c r="E940" s="2" t="s">
        <v>688</v>
      </c>
      <c r="F940" s="2" t="s">
        <v>92</v>
      </c>
      <c r="G940" s="2" t="s">
        <v>190</v>
      </c>
      <c r="H940" s="23">
        <v>35000</v>
      </c>
      <c r="I940" s="2">
        <v>3</v>
      </c>
      <c r="J940" s="31">
        <v>0</v>
      </c>
      <c r="K940" s="7">
        <f t="shared" si="56"/>
        <v>105000</v>
      </c>
      <c r="L940" s="7">
        <f t="shared" si="57"/>
        <v>0</v>
      </c>
      <c r="M940" s="7">
        <f t="shared" si="58"/>
        <v>105000</v>
      </c>
      <c r="N940" s="23">
        <v>30000</v>
      </c>
      <c r="O940" s="7">
        <f t="shared" si="59"/>
        <v>135000</v>
      </c>
      <c r="P940" s="2" t="s">
        <v>22</v>
      </c>
      <c r="Q940" t="str">
        <f>_xlfn.XLOOKUP(B940,Status!$A$2:$A$1867,Status!$B$2:$B$1867)</f>
        <v>Completed</v>
      </c>
      <c r="R940" s="2" t="s">
        <v>23</v>
      </c>
      <c r="S940" s="8">
        <v>3</v>
      </c>
      <c r="T940" s="2" t="s">
        <v>24</v>
      </c>
      <c r="U940" s="31" t="str" cm="1">
        <f t="array" ref="U940">_xlfn.IFS(L940&lt;=5000,$Z$3,AND(L940&gt;5000,L940&lt;=15000),$Z$4,AND(L940&gt;15000,L940&lt;=30000),$Z$5,AND(L940&gt;30000,L940&lt;=50000),$Z$6,L940&gt;50000,$Z$7)</f>
        <v>Sangat Rendah</v>
      </c>
      <c r="V940" s="2"/>
    </row>
    <row r="941" spans="1:22" ht="15.75" customHeight="1" x14ac:dyDescent="0.25">
      <c r="A941" s="26"/>
      <c r="B941" s="2" t="s">
        <v>1327</v>
      </c>
      <c r="C941" s="32">
        <v>45729.184178240743</v>
      </c>
      <c r="D941" s="53">
        <f>YEAR(Table1[[#This Row],[Order Date]])</f>
        <v>2025</v>
      </c>
      <c r="E941" s="2" t="s">
        <v>222</v>
      </c>
      <c r="F941" s="2" t="s">
        <v>49</v>
      </c>
      <c r="G941" s="2" t="s">
        <v>34</v>
      </c>
      <c r="H941" s="23">
        <v>16000</v>
      </c>
      <c r="I941" s="2">
        <v>2</v>
      </c>
      <c r="J941" s="31">
        <v>5</v>
      </c>
      <c r="K941" s="7">
        <f t="shared" si="56"/>
        <v>32000</v>
      </c>
      <c r="L941" s="7">
        <f t="shared" si="57"/>
        <v>1600</v>
      </c>
      <c r="M941" s="7">
        <f t="shared" si="58"/>
        <v>30400</v>
      </c>
      <c r="N941" s="23">
        <v>43000</v>
      </c>
      <c r="O941" s="7">
        <f t="shared" si="59"/>
        <v>73400</v>
      </c>
      <c r="P941" s="2" t="s">
        <v>35</v>
      </c>
      <c r="Q941" t="str">
        <f>_xlfn.XLOOKUP(B941,Status!$A$2:$A$1867,Status!$B$2:$B$1867)</f>
        <v>Completed</v>
      </c>
      <c r="R941" s="2" t="s">
        <v>23</v>
      </c>
      <c r="S941" s="8">
        <v>2</v>
      </c>
      <c r="T941" s="2" t="s">
        <v>24</v>
      </c>
      <c r="U941" s="31" t="str" cm="1">
        <f t="array" ref="U941">_xlfn.IFS(L941&lt;=5000,$Z$3,AND(L941&gt;5000,L941&lt;=15000),$Z$4,AND(L941&gt;15000,L941&lt;=30000),$Z$5,AND(L941&gt;30000,L941&lt;=50000),$Z$6,L941&gt;50000,$Z$7)</f>
        <v>Sangat Rendah</v>
      </c>
      <c r="V941" s="2"/>
    </row>
    <row r="942" spans="1:22" ht="15.75" customHeight="1" x14ac:dyDescent="0.25">
      <c r="A942" s="26"/>
      <c r="B942" s="2" t="s">
        <v>1328</v>
      </c>
      <c r="C942" s="32">
        <v>45729.425821759258</v>
      </c>
      <c r="D942" s="53">
        <f>YEAR(Table1[[#This Row],[Order Date]])</f>
        <v>2025</v>
      </c>
      <c r="E942" s="2" t="s">
        <v>649</v>
      </c>
      <c r="F942" s="2" t="s">
        <v>177</v>
      </c>
      <c r="G942" s="2" t="s">
        <v>34</v>
      </c>
      <c r="H942" s="23">
        <v>16000</v>
      </c>
      <c r="I942" s="2">
        <v>4</v>
      </c>
      <c r="J942" s="31">
        <v>0</v>
      </c>
      <c r="K942" s="7">
        <f t="shared" si="56"/>
        <v>64000</v>
      </c>
      <c r="L942" s="7">
        <f t="shared" si="57"/>
        <v>0</v>
      </c>
      <c r="M942" s="7">
        <f t="shared" si="58"/>
        <v>64000</v>
      </c>
      <c r="N942" s="23">
        <v>56000</v>
      </c>
      <c r="O942" s="7">
        <f t="shared" si="59"/>
        <v>120000</v>
      </c>
      <c r="P942" s="2" t="s">
        <v>63</v>
      </c>
      <c r="Q942" t="str">
        <f>_xlfn.XLOOKUP(B942,Status!$A$2:$A$1867,Status!$B$2:$B$1867)</f>
        <v>Completed</v>
      </c>
      <c r="R942" s="2" t="s">
        <v>30</v>
      </c>
      <c r="S942" s="8">
        <v>1</v>
      </c>
      <c r="T942" s="2" t="s">
        <v>24</v>
      </c>
      <c r="U942" s="31" t="str" cm="1">
        <f t="array" ref="U942">_xlfn.IFS(L942&lt;=5000,$Z$3,AND(L942&gt;5000,L942&lt;=15000),$Z$4,AND(L942&gt;15000,L942&lt;=30000),$Z$5,AND(L942&gt;30000,L942&lt;=50000),$Z$6,L942&gt;50000,$Z$7)</f>
        <v>Sangat Rendah</v>
      </c>
      <c r="V942" s="2"/>
    </row>
    <row r="943" spans="1:22" ht="15.75" customHeight="1" x14ac:dyDescent="0.25">
      <c r="A943" s="26"/>
      <c r="B943" s="2" t="s">
        <v>1329</v>
      </c>
      <c r="C943" s="32">
        <v>45729.67701388889</v>
      </c>
      <c r="D943" s="53">
        <f>YEAR(Table1[[#This Row],[Order Date]])</f>
        <v>2025</v>
      </c>
      <c r="E943" s="2" t="s">
        <v>1120</v>
      </c>
      <c r="F943" s="2" t="s">
        <v>173</v>
      </c>
      <c r="G943" s="2" t="s">
        <v>174</v>
      </c>
      <c r="H943" s="23">
        <v>10000</v>
      </c>
      <c r="I943" s="2">
        <v>5</v>
      </c>
      <c r="J943" s="31">
        <v>5</v>
      </c>
      <c r="K943" s="7">
        <f t="shared" si="56"/>
        <v>50000</v>
      </c>
      <c r="L943" s="7">
        <f t="shared" si="57"/>
        <v>2500</v>
      </c>
      <c r="M943" s="7">
        <f t="shared" si="58"/>
        <v>47500</v>
      </c>
      <c r="N943" s="23">
        <v>49000</v>
      </c>
      <c r="O943" s="7">
        <f t="shared" si="59"/>
        <v>96500</v>
      </c>
      <c r="P943" s="2" t="s">
        <v>29</v>
      </c>
      <c r="Q943" t="str">
        <f>_xlfn.XLOOKUP(B943,Status!$A$2:$A$1867,Status!$B$2:$B$1867)</f>
        <v>Completed</v>
      </c>
      <c r="R943" s="2" t="s">
        <v>46</v>
      </c>
      <c r="S943" s="8">
        <v>3</v>
      </c>
      <c r="T943" s="2" t="s">
        <v>24</v>
      </c>
      <c r="U943" s="31" t="str" cm="1">
        <f t="array" ref="U943">_xlfn.IFS(L943&lt;=5000,$Z$3,AND(L943&gt;5000,L943&lt;=15000),$Z$4,AND(L943&gt;15000,L943&lt;=30000),$Z$5,AND(L943&gt;30000,L943&lt;=50000),$Z$6,L943&gt;50000,$Z$7)</f>
        <v>Sangat Rendah</v>
      </c>
      <c r="V943" s="2"/>
    </row>
    <row r="944" spans="1:22" ht="15.75" customHeight="1" x14ac:dyDescent="0.25">
      <c r="A944" s="26"/>
      <c r="B944" s="2" t="s">
        <v>1330</v>
      </c>
      <c r="C944" s="32">
        <v>45730.104768518519</v>
      </c>
      <c r="D944" s="53">
        <f>YEAR(Table1[[#This Row],[Order Date]])</f>
        <v>2025</v>
      </c>
      <c r="E944" s="2" t="s">
        <v>254</v>
      </c>
      <c r="F944" s="2" t="s">
        <v>61</v>
      </c>
      <c r="G944" s="2" t="s">
        <v>50</v>
      </c>
      <c r="H944" s="23">
        <v>14000</v>
      </c>
      <c r="I944" s="2">
        <v>2</v>
      </c>
      <c r="J944" s="31">
        <v>5</v>
      </c>
      <c r="K944" s="7">
        <f t="shared" si="56"/>
        <v>28000</v>
      </c>
      <c r="L944" s="7">
        <f t="shared" si="57"/>
        <v>1400</v>
      </c>
      <c r="M944" s="7">
        <f t="shared" si="58"/>
        <v>26600</v>
      </c>
      <c r="N944" s="23">
        <v>26000</v>
      </c>
      <c r="O944" s="7">
        <f t="shared" si="59"/>
        <v>52600</v>
      </c>
      <c r="P944" s="2" t="s">
        <v>29</v>
      </c>
      <c r="Q944" t="str">
        <f>_xlfn.XLOOKUP(B944,Status!$A$2:$A$1867,Status!$B$2:$B$1867)</f>
        <v>Cancelled</v>
      </c>
      <c r="R944" s="2" t="s">
        <v>23</v>
      </c>
      <c r="S944" s="8">
        <v>4</v>
      </c>
      <c r="T944" s="2" t="s">
        <v>24</v>
      </c>
      <c r="U944" s="31" t="str" cm="1">
        <f t="array" ref="U944">_xlfn.IFS(L944&lt;=5000,$Z$3,AND(L944&gt;5000,L944&lt;=15000),$Z$4,AND(L944&gt;15000,L944&lt;=30000),$Z$5,AND(L944&gt;30000,L944&lt;=50000),$Z$6,L944&gt;50000,$Z$7)</f>
        <v>Sangat Rendah</v>
      </c>
      <c r="V944" s="2"/>
    </row>
    <row r="945" spans="1:22" ht="15.75" customHeight="1" x14ac:dyDescent="0.25">
      <c r="A945" s="26"/>
      <c r="B945" s="2" t="s">
        <v>1331</v>
      </c>
      <c r="C945" s="32">
        <v>45730.133055555547</v>
      </c>
      <c r="D945" s="53">
        <f>YEAR(Table1[[#This Row],[Order Date]])</f>
        <v>2025</v>
      </c>
      <c r="E945" s="2" t="s">
        <v>570</v>
      </c>
      <c r="F945" s="2" t="s">
        <v>80</v>
      </c>
      <c r="G945" s="2" t="s">
        <v>38</v>
      </c>
      <c r="H945" s="23">
        <v>28000</v>
      </c>
      <c r="I945" s="2">
        <v>5</v>
      </c>
      <c r="J945" s="31">
        <v>15</v>
      </c>
      <c r="K945" s="7">
        <f t="shared" si="56"/>
        <v>140000</v>
      </c>
      <c r="L945" s="7">
        <f t="shared" si="57"/>
        <v>21000</v>
      </c>
      <c r="M945" s="7">
        <f t="shared" si="58"/>
        <v>119000</v>
      </c>
      <c r="N945" s="23">
        <v>74000</v>
      </c>
      <c r="O945" s="7">
        <f t="shared" si="59"/>
        <v>193000</v>
      </c>
      <c r="P945" s="2" t="s">
        <v>22</v>
      </c>
      <c r="Q945" t="str">
        <f>_xlfn.XLOOKUP(B945,Status!$A$2:$A$1867,Status!$B$2:$B$1867)</f>
        <v>Completed</v>
      </c>
      <c r="R945" s="2" t="s">
        <v>82</v>
      </c>
      <c r="S945" s="8">
        <v>4</v>
      </c>
      <c r="T945" s="2" t="s">
        <v>24</v>
      </c>
      <c r="U945" s="31" t="str" cm="1">
        <f t="array" ref="U945">_xlfn.IFS(L945&lt;=5000,$Z$3,AND(L945&gt;5000,L945&lt;=15000),$Z$4,AND(L945&gt;15000,L945&lt;=30000),$Z$5,AND(L945&gt;30000,L945&lt;=50000),$Z$6,L945&gt;50000,$Z$7)</f>
        <v>Normal</v>
      </c>
      <c r="V945" s="2"/>
    </row>
    <row r="946" spans="1:22" ht="15.75" customHeight="1" x14ac:dyDescent="0.25">
      <c r="A946" s="26"/>
      <c r="B946" s="2" t="s">
        <v>1332</v>
      </c>
      <c r="C946" s="32">
        <v>45730.175393518519</v>
      </c>
      <c r="D946" s="53">
        <f>YEAR(Table1[[#This Row],[Order Date]])</f>
        <v>2025</v>
      </c>
      <c r="E946" s="2" t="s">
        <v>565</v>
      </c>
      <c r="F946" s="2" t="s">
        <v>163</v>
      </c>
      <c r="G946" s="2" t="s">
        <v>123</v>
      </c>
      <c r="H946" s="23">
        <v>22000</v>
      </c>
      <c r="I946" s="2">
        <v>3</v>
      </c>
      <c r="J946" s="31">
        <v>0</v>
      </c>
      <c r="K946" s="7">
        <f t="shared" si="56"/>
        <v>66000</v>
      </c>
      <c r="L946" s="7">
        <f t="shared" si="57"/>
        <v>0</v>
      </c>
      <c r="M946" s="7">
        <f t="shared" si="58"/>
        <v>66000</v>
      </c>
      <c r="N946" s="23">
        <v>50000</v>
      </c>
      <c r="O946" s="7">
        <f t="shared" si="59"/>
        <v>116000</v>
      </c>
      <c r="P946" s="2" t="s">
        <v>63</v>
      </c>
      <c r="Q946" t="str">
        <f>_xlfn.XLOOKUP(B946,Status!$A$2:$A$1867,Status!$B$2:$B$1867)</f>
        <v>Completed</v>
      </c>
      <c r="R946" s="2" t="s">
        <v>23</v>
      </c>
      <c r="S946" s="8">
        <v>2</v>
      </c>
      <c r="T946" s="2" t="s">
        <v>24</v>
      </c>
      <c r="U946" s="31" t="str" cm="1">
        <f t="array" ref="U946">_xlfn.IFS(L946&lt;=5000,$Z$3,AND(L946&gt;5000,L946&lt;=15000),$Z$4,AND(L946&gt;15000,L946&lt;=30000),$Z$5,AND(L946&gt;30000,L946&lt;=50000),$Z$6,L946&gt;50000,$Z$7)</f>
        <v>Sangat Rendah</v>
      </c>
      <c r="V946" s="2"/>
    </row>
    <row r="947" spans="1:22" ht="15.75" customHeight="1" x14ac:dyDescent="0.25">
      <c r="A947" s="26"/>
      <c r="B947" s="2" t="s">
        <v>1332</v>
      </c>
      <c r="C947" s="32">
        <v>45730.175393518519</v>
      </c>
      <c r="D947" s="53">
        <f>YEAR(Table1[[#This Row],[Order Date]])</f>
        <v>2025</v>
      </c>
      <c r="E947" s="2" t="s">
        <v>565</v>
      </c>
      <c r="F947" s="2" t="s">
        <v>163</v>
      </c>
      <c r="G947" s="2" t="s">
        <v>104</v>
      </c>
      <c r="H947" s="23">
        <v>30000</v>
      </c>
      <c r="I947" s="2">
        <v>1</v>
      </c>
      <c r="J947" s="31">
        <v>0</v>
      </c>
      <c r="K947" s="7">
        <f t="shared" si="56"/>
        <v>30000</v>
      </c>
      <c r="L947" s="7">
        <f t="shared" si="57"/>
        <v>0</v>
      </c>
      <c r="M947" s="7">
        <f t="shared" si="58"/>
        <v>30000</v>
      </c>
      <c r="N947" s="23">
        <v>0</v>
      </c>
      <c r="O947" s="7">
        <f t="shared" si="59"/>
        <v>30000</v>
      </c>
      <c r="P947" s="2" t="s">
        <v>63</v>
      </c>
      <c r="Q947" t="str">
        <f>_xlfn.XLOOKUP(B947,Status!$A$2:$A$1867,Status!$B$2:$B$1867)</f>
        <v>Completed</v>
      </c>
      <c r="R947" s="2" t="s">
        <v>23</v>
      </c>
      <c r="S947" s="8">
        <v>2</v>
      </c>
      <c r="T947" s="2" t="s">
        <v>24</v>
      </c>
      <c r="U947" s="31" t="str" cm="1">
        <f t="array" ref="U947">_xlfn.IFS(L947&lt;=5000,$Z$3,AND(L947&gt;5000,L947&lt;=15000),$Z$4,AND(L947&gt;15000,L947&lt;=30000),$Z$5,AND(L947&gt;30000,L947&lt;=50000),$Z$6,L947&gt;50000,$Z$7)</f>
        <v>Sangat Rendah</v>
      </c>
      <c r="V947" s="2"/>
    </row>
    <row r="948" spans="1:22" ht="15.75" customHeight="1" x14ac:dyDescent="0.25">
      <c r="A948" s="26"/>
      <c r="B948" s="2" t="s">
        <v>1333</v>
      </c>
      <c r="C948" s="32">
        <v>45730.360902777778</v>
      </c>
      <c r="D948" s="53">
        <f>YEAR(Table1[[#This Row],[Order Date]])</f>
        <v>2025</v>
      </c>
      <c r="E948" s="2" t="s">
        <v>410</v>
      </c>
      <c r="F948" s="2" t="s">
        <v>151</v>
      </c>
      <c r="G948" s="2" t="s">
        <v>186</v>
      </c>
      <c r="H948" s="23">
        <v>45000</v>
      </c>
      <c r="I948" s="2">
        <v>3</v>
      </c>
      <c r="J948" s="31">
        <v>0</v>
      </c>
      <c r="K948" s="7">
        <f t="shared" si="56"/>
        <v>135000</v>
      </c>
      <c r="L948" s="7">
        <f t="shared" si="57"/>
        <v>0</v>
      </c>
      <c r="M948" s="7">
        <f t="shared" si="58"/>
        <v>135000</v>
      </c>
      <c r="N948" s="23">
        <v>55000</v>
      </c>
      <c r="O948" s="7">
        <f t="shared" si="59"/>
        <v>190000</v>
      </c>
      <c r="P948" s="2" t="s">
        <v>29</v>
      </c>
      <c r="Q948" t="str">
        <f>_xlfn.XLOOKUP(B948,Status!$A$2:$A$1867,Status!$B$2:$B$1867)</f>
        <v>Completed</v>
      </c>
      <c r="R948" s="2" t="s">
        <v>30</v>
      </c>
      <c r="S948" s="8">
        <v>3</v>
      </c>
      <c r="T948" s="2" t="s">
        <v>24</v>
      </c>
      <c r="U948" s="31" t="str" cm="1">
        <f t="array" ref="U948">_xlfn.IFS(L948&lt;=5000,$Z$3,AND(L948&gt;5000,L948&lt;=15000),$Z$4,AND(L948&gt;15000,L948&lt;=30000),$Z$5,AND(L948&gt;30000,L948&lt;=50000),$Z$6,L948&gt;50000,$Z$7)</f>
        <v>Sangat Rendah</v>
      </c>
      <c r="V948" s="2"/>
    </row>
    <row r="949" spans="1:22" ht="15.75" customHeight="1" x14ac:dyDescent="0.25">
      <c r="A949" s="26"/>
      <c r="B949" s="2" t="s">
        <v>1334</v>
      </c>
      <c r="C949" s="32">
        <v>45730.645069444443</v>
      </c>
      <c r="D949" s="53">
        <f>YEAR(Table1[[#This Row],[Order Date]])</f>
        <v>2025</v>
      </c>
      <c r="E949" s="2" t="s">
        <v>732</v>
      </c>
      <c r="F949" s="2" t="s">
        <v>170</v>
      </c>
      <c r="G949" s="2" t="s">
        <v>104</v>
      </c>
      <c r="H949" s="23">
        <v>30000</v>
      </c>
      <c r="I949" s="2">
        <v>1</v>
      </c>
      <c r="J949" s="31">
        <v>10</v>
      </c>
      <c r="K949" s="7">
        <f t="shared" si="56"/>
        <v>30000</v>
      </c>
      <c r="L949" s="7">
        <f t="shared" si="57"/>
        <v>3000</v>
      </c>
      <c r="M949" s="7">
        <f t="shared" si="58"/>
        <v>27000</v>
      </c>
      <c r="N949" s="23">
        <v>46000</v>
      </c>
      <c r="O949" s="7">
        <f t="shared" si="59"/>
        <v>73000</v>
      </c>
      <c r="P949" s="2" t="s">
        <v>35</v>
      </c>
      <c r="Q949" t="str">
        <f>_xlfn.XLOOKUP(B949,Status!$A$2:$A$1867,Status!$B$2:$B$1867)</f>
        <v>Cancelled</v>
      </c>
      <c r="R949" s="2" t="s">
        <v>46</v>
      </c>
      <c r="S949" s="8">
        <v>5</v>
      </c>
      <c r="T949" s="2" t="s">
        <v>24</v>
      </c>
      <c r="U949" s="31" t="str" cm="1">
        <f t="array" ref="U949">_xlfn.IFS(L949&lt;=5000,$Z$3,AND(L949&gt;5000,L949&lt;=15000),$Z$4,AND(L949&gt;15000,L949&lt;=30000),$Z$5,AND(L949&gt;30000,L949&lt;=50000),$Z$6,L949&gt;50000,$Z$7)</f>
        <v>Sangat Rendah</v>
      </c>
      <c r="V949" s="2"/>
    </row>
    <row r="950" spans="1:22" ht="15.75" customHeight="1" x14ac:dyDescent="0.25">
      <c r="A950" s="26"/>
      <c r="B950" s="2" t="s">
        <v>1335</v>
      </c>
      <c r="C950" s="32">
        <v>45730.962870370371</v>
      </c>
      <c r="D950" s="53">
        <f>YEAR(Table1[[#This Row],[Order Date]])</f>
        <v>2025</v>
      </c>
      <c r="E950" s="2" t="s">
        <v>1336</v>
      </c>
      <c r="F950" s="2" t="s">
        <v>96</v>
      </c>
      <c r="G950" s="2" t="s">
        <v>54</v>
      </c>
      <c r="H950" s="23">
        <v>16000</v>
      </c>
      <c r="I950" s="2">
        <v>3</v>
      </c>
      <c r="J950" s="31">
        <v>5</v>
      </c>
      <c r="K950" s="7">
        <f t="shared" si="56"/>
        <v>48000</v>
      </c>
      <c r="L950" s="7">
        <f t="shared" si="57"/>
        <v>2400</v>
      </c>
      <c r="M950" s="7">
        <f t="shared" si="58"/>
        <v>45600</v>
      </c>
      <c r="N950" s="23">
        <v>49000</v>
      </c>
      <c r="O950" s="7">
        <f t="shared" si="59"/>
        <v>94600</v>
      </c>
      <c r="P950" s="2" t="s">
        <v>63</v>
      </c>
      <c r="Q950" t="str">
        <f>_xlfn.XLOOKUP(B950,Status!$A$2:$A$1867,Status!$B$2:$B$1867)</f>
        <v>Completed</v>
      </c>
      <c r="R950" s="2" t="s">
        <v>82</v>
      </c>
      <c r="S950" s="8">
        <v>2</v>
      </c>
      <c r="T950" s="2" t="s">
        <v>37</v>
      </c>
      <c r="U950" s="31" t="str" cm="1">
        <f t="array" ref="U950">_xlfn.IFS(L950&lt;=5000,$Z$3,AND(L950&gt;5000,L950&lt;=15000),$Z$4,AND(L950&gt;15000,L950&lt;=30000),$Z$5,AND(L950&gt;30000,L950&lt;=50000),$Z$6,L950&gt;50000,$Z$7)</f>
        <v>Sangat Rendah</v>
      </c>
      <c r="V950" s="2"/>
    </row>
    <row r="951" spans="1:22" ht="15.75" customHeight="1" x14ac:dyDescent="0.25">
      <c r="A951" s="26"/>
      <c r="B951" s="2" t="s">
        <v>1337</v>
      </c>
      <c r="C951" s="32">
        <v>45731.213993055557</v>
      </c>
      <c r="D951" s="53">
        <f>YEAR(Table1[[#This Row],[Order Date]])</f>
        <v>2025</v>
      </c>
      <c r="E951" s="2" t="s">
        <v>544</v>
      </c>
      <c r="F951" s="2" t="s">
        <v>163</v>
      </c>
      <c r="G951" s="2" t="s">
        <v>88</v>
      </c>
      <c r="H951" s="23">
        <v>14000</v>
      </c>
      <c r="I951" s="2">
        <v>4</v>
      </c>
      <c r="J951" s="31">
        <v>0</v>
      </c>
      <c r="K951" s="7">
        <f t="shared" si="56"/>
        <v>56000</v>
      </c>
      <c r="L951" s="7">
        <f t="shared" si="57"/>
        <v>0</v>
      </c>
      <c r="M951" s="7">
        <f t="shared" si="58"/>
        <v>56000</v>
      </c>
      <c r="N951" s="23">
        <v>50000</v>
      </c>
      <c r="O951" s="7">
        <f t="shared" si="59"/>
        <v>106000</v>
      </c>
      <c r="P951" s="2" t="s">
        <v>29</v>
      </c>
      <c r="Q951" t="str">
        <f>_xlfn.XLOOKUP(B951,Status!$A$2:$A$1867,Status!$B$2:$B$1867)</f>
        <v>Returned</v>
      </c>
      <c r="R951" s="2" t="s">
        <v>82</v>
      </c>
      <c r="S951" s="8">
        <v>5</v>
      </c>
      <c r="T951" s="2" t="s">
        <v>24</v>
      </c>
      <c r="U951" s="31" t="str" cm="1">
        <f t="array" ref="U951">_xlfn.IFS(L951&lt;=5000,$Z$3,AND(L951&gt;5000,L951&lt;=15000),$Z$4,AND(L951&gt;15000,L951&lt;=30000),$Z$5,AND(L951&gt;30000,L951&lt;=50000),$Z$6,L951&gt;50000,$Z$7)</f>
        <v>Sangat Rendah</v>
      </c>
      <c r="V951" s="2"/>
    </row>
    <row r="952" spans="1:22" ht="15.75" customHeight="1" x14ac:dyDescent="0.25">
      <c r="A952" s="26"/>
      <c r="B952" s="2" t="s">
        <v>1338</v>
      </c>
      <c r="C952" s="32">
        <v>45731.278726851851</v>
      </c>
      <c r="D952" s="53">
        <f>YEAR(Table1[[#This Row],[Order Date]])</f>
        <v>2025</v>
      </c>
      <c r="E952" s="2" t="s">
        <v>1087</v>
      </c>
      <c r="F952" s="2" t="s">
        <v>143</v>
      </c>
      <c r="G952" s="2" t="s">
        <v>85</v>
      </c>
      <c r="H952" s="23">
        <v>35000</v>
      </c>
      <c r="I952" s="2">
        <v>1</v>
      </c>
      <c r="J952" s="31">
        <v>5</v>
      </c>
      <c r="K952" s="7">
        <f t="shared" si="56"/>
        <v>35000</v>
      </c>
      <c r="L952" s="7">
        <f t="shared" si="57"/>
        <v>1750</v>
      </c>
      <c r="M952" s="7">
        <f t="shared" si="58"/>
        <v>33250</v>
      </c>
      <c r="N952" s="23">
        <v>50000</v>
      </c>
      <c r="O952" s="7">
        <f t="shared" si="59"/>
        <v>83250</v>
      </c>
      <c r="P952" s="2" t="s">
        <v>22</v>
      </c>
      <c r="Q952" t="str">
        <f>_xlfn.XLOOKUP(B952,Status!$A$2:$A$1867,Status!$B$2:$B$1867)</f>
        <v>Completed</v>
      </c>
      <c r="R952" s="2" t="s">
        <v>82</v>
      </c>
      <c r="S952" s="8">
        <v>5</v>
      </c>
      <c r="T952" s="2" t="s">
        <v>24</v>
      </c>
      <c r="U952" s="31" t="str" cm="1">
        <f t="array" ref="U952">_xlfn.IFS(L952&lt;=5000,$Z$3,AND(L952&gt;5000,L952&lt;=15000),$Z$4,AND(L952&gt;15000,L952&lt;=30000),$Z$5,AND(L952&gt;30000,L952&lt;=50000),$Z$6,L952&gt;50000,$Z$7)</f>
        <v>Sangat Rendah</v>
      </c>
      <c r="V952" s="2"/>
    </row>
    <row r="953" spans="1:22" ht="15.75" customHeight="1" x14ac:dyDescent="0.25">
      <c r="A953" s="26"/>
      <c r="B953" s="2" t="s">
        <v>1339</v>
      </c>
      <c r="C953" s="32">
        <v>45731.311550925922</v>
      </c>
      <c r="D953" s="53">
        <f>YEAR(Table1[[#This Row],[Order Date]])</f>
        <v>2025</v>
      </c>
      <c r="E953" s="2" t="s">
        <v>523</v>
      </c>
      <c r="F953" s="2" t="s">
        <v>113</v>
      </c>
      <c r="G953" s="2" t="s">
        <v>186</v>
      </c>
      <c r="H953" s="23">
        <v>45000</v>
      </c>
      <c r="I953" s="2">
        <v>2</v>
      </c>
      <c r="J953" s="31">
        <v>0</v>
      </c>
      <c r="K953" s="7">
        <f t="shared" si="56"/>
        <v>90000</v>
      </c>
      <c r="L953" s="7">
        <f t="shared" si="57"/>
        <v>0</v>
      </c>
      <c r="M953" s="7">
        <f t="shared" si="58"/>
        <v>90000</v>
      </c>
      <c r="N953" s="23">
        <v>18000</v>
      </c>
      <c r="O953" s="7">
        <f t="shared" si="59"/>
        <v>108000</v>
      </c>
      <c r="P953" s="2" t="s">
        <v>29</v>
      </c>
      <c r="Q953" t="str">
        <f>_xlfn.XLOOKUP(B953,Status!$A$2:$A$1867,Status!$B$2:$B$1867)</f>
        <v>Completed</v>
      </c>
      <c r="R953" s="2" t="s">
        <v>82</v>
      </c>
      <c r="S953" s="8">
        <v>3</v>
      </c>
      <c r="T953" s="2" t="s">
        <v>24</v>
      </c>
      <c r="U953" s="31" t="str" cm="1">
        <f t="array" ref="U953">_xlfn.IFS(L953&lt;=5000,$Z$3,AND(L953&gt;5000,L953&lt;=15000),$Z$4,AND(L953&gt;15000,L953&lt;=30000),$Z$5,AND(L953&gt;30000,L953&lt;=50000),$Z$6,L953&gt;50000,$Z$7)</f>
        <v>Sangat Rendah</v>
      </c>
      <c r="V953" s="2"/>
    </row>
    <row r="954" spans="1:22" ht="15.75" customHeight="1" x14ac:dyDescent="0.25">
      <c r="A954" s="26"/>
      <c r="B954" s="2" t="s">
        <v>1340</v>
      </c>
      <c r="C954" s="32">
        <v>45731.37128472222</v>
      </c>
      <c r="D954" s="53">
        <f>YEAR(Table1[[#This Row],[Order Date]])</f>
        <v>2025</v>
      </c>
      <c r="E954" s="2" t="s">
        <v>1341</v>
      </c>
      <c r="F954" s="2" t="s">
        <v>107</v>
      </c>
      <c r="G954" s="2" t="s">
        <v>41</v>
      </c>
      <c r="H954" s="23">
        <v>4000</v>
      </c>
      <c r="I954" s="2">
        <v>3</v>
      </c>
      <c r="J954" s="31">
        <v>10</v>
      </c>
      <c r="K954" s="7">
        <f t="shared" si="56"/>
        <v>12000</v>
      </c>
      <c r="L954" s="7">
        <f t="shared" si="57"/>
        <v>1200</v>
      </c>
      <c r="M954" s="7">
        <f t="shared" si="58"/>
        <v>10800</v>
      </c>
      <c r="N954" s="23">
        <v>97000</v>
      </c>
      <c r="O954" s="7">
        <f t="shared" si="59"/>
        <v>107800</v>
      </c>
      <c r="P954" s="2" t="s">
        <v>29</v>
      </c>
      <c r="Q954" t="str">
        <f>_xlfn.XLOOKUP(B954,Status!$A$2:$A$1867,Status!$B$2:$B$1867)</f>
        <v>Cancelled</v>
      </c>
      <c r="R954" s="2" t="s">
        <v>23</v>
      </c>
      <c r="S954" s="8">
        <v>5</v>
      </c>
      <c r="T954" s="2" t="s">
        <v>37</v>
      </c>
      <c r="U954" s="31" t="str" cm="1">
        <f t="array" ref="U954">_xlfn.IFS(L954&lt;=5000,$Z$3,AND(L954&gt;5000,L954&lt;=15000),$Z$4,AND(L954&gt;15000,L954&lt;=30000),$Z$5,AND(L954&gt;30000,L954&lt;=50000),$Z$6,L954&gt;50000,$Z$7)</f>
        <v>Sangat Rendah</v>
      </c>
      <c r="V954" s="2"/>
    </row>
    <row r="955" spans="1:22" ht="15.75" customHeight="1" x14ac:dyDescent="0.25">
      <c r="A955" s="26"/>
      <c r="B955" s="2" t="s">
        <v>1342</v>
      </c>
      <c r="C955" s="32">
        <v>45731.530219907407</v>
      </c>
      <c r="D955" s="53">
        <f>YEAR(Table1[[#This Row],[Order Date]])</f>
        <v>2025</v>
      </c>
      <c r="E955" s="2" t="s">
        <v>508</v>
      </c>
      <c r="F955" s="2" t="s">
        <v>20</v>
      </c>
      <c r="G955" s="2" t="s">
        <v>62</v>
      </c>
      <c r="H955" s="23">
        <v>50000</v>
      </c>
      <c r="I955" s="2">
        <v>1</v>
      </c>
      <c r="J955" s="31">
        <v>15</v>
      </c>
      <c r="K955" s="7">
        <f t="shared" si="56"/>
        <v>50000</v>
      </c>
      <c r="L955" s="7">
        <f t="shared" si="57"/>
        <v>7500</v>
      </c>
      <c r="M955" s="7">
        <f t="shared" si="58"/>
        <v>42500</v>
      </c>
      <c r="N955" s="23">
        <v>15000</v>
      </c>
      <c r="O955" s="7">
        <f t="shared" si="59"/>
        <v>57500</v>
      </c>
      <c r="P955" s="2" t="s">
        <v>22</v>
      </c>
      <c r="Q955" t="str">
        <f>_xlfn.XLOOKUP(B955,Status!$A$2:$A$1867,Status!$B$2:$B$1867)</f>
        <v>Completed</v>
      </c>
      <c r="R955" s="2" t="s">
        <v>36</v>
      </c>
      <c r="S955" s="8">
        <v>3</v>
      </c>
      <c r="T955" s="2" t="s">
        <v>37</v>
      </c>
      <c r="U955" s="31" t="str" cm="1">
        <f t="array" ref="U955">_xlfn.IFS(L955&lt;=5000,$Z$3,AND(L955&gt;5000,L955&lt;=15000),$Z$4,AND(L955&gt;15000,L955&lt;=30000),$Z$5,AND(L955&gt;30000,L955&lt;=50000),$Z$6,L955&gt;50000,$Z$7)</f>
        <v>Rendah</v>
      </c>
      <c r="V955" s="2"/>
    </row>
    <row r="956" spans="1:22" ht="15.75" customHeight="1" x14ac:dyDescent="0.25">
      <c r="A956" s="26"/>
      <c r="B956" s="2" t="s">
        <v>1343</v>
      </c>
      <c r="C956" s="32">
        <v>45731.567349537043</v>
      </c>
      <c r="D956" s="53">
        <f>YEAR(Table1[[#This Row],[Order Date]])</f>
        <v>2025</v>
      </c>
      <c r="E956" s="2" t="s">
        <v>549</v>
      </c>
      <c r="F956" s="2" t="s">
        <v>107</v>
      </c>
      <c r="G956" s="2" t="s">
        <v>71</v>
      </c>
      <c r="H956" s="23">
        <v>40000</v>
      </c>
      <c r="I956" s="2">
        <v>5</v>
      </c>
      <c r="J956" s="31">
        <v>5</v>
      </c>
      <c r="K956" s="7">
        <f t="shared" si="56"/>
        <v>200000</v>
      </c>
      <c r="L956" s="7">
        <f t="shared" si="57"/>
        <v>10000</v>
      </c>
      <c r="M956" s="7">
        <f t="shared" si="58"/>
        <v>190000</v>
      </c>
      <c r="N956" s="23">
        <v>97000</v>
      </c>
      <c r="O956" s="7">
        <f t="shared" si="59"/>
        <v>287000</v>
      </c>
      <c r="P956" s="2" t="s">
        <v>22</v>
      </c>
      <c r="Q956" t="str">
        <f>_xlfn.XLOOKUP(B956,Status!$A$2:$A$1867,Status!$B$2:$B$1867)</f>
        <v>Completed</v>
      </c>
      <c r="R956" s="2" t="s">
        <v>82</v>
      </c>
      <c r="S956" s="8">
        <v>4</v>
      </c>
      <c r="T956" s="2" t="s">
        <v>24</v>
      </c>
      <c r="U956" s="31" t="str" cm="1">
        <f t="array" ref="U956">_xlfn.IFS(L956&lt;=5000,$Z$3,AND(L956&gt;5000,L956&lt;=15000),$Z$4,AND(L956&gt;15000,L956&lt;=30000),$Z$5,AND(L956&gt;30000,L956&lt;=50000),$Z$6,L956&gt;50000,$Z$7)</f>
        <v>Rendah</v>
      </c>
      <c r="V956" s="2"/>
    </row>
    <row r="957" spans="1:22" ht="15.75" customHeight="1" x14ac:dyDescent="0.25">
      <c r="A957" s="26"/>
      <c r="B957" s="2" t="s">
        <v>1344</v>
      </c>
      <c r="C957" s="32">
        <v>45731.654363425929</v>
      </c>
      <c r="D957" s="53">
        <f>YEAR(Table1[[#This Row],[Order Date]])</f>
        <v>2025</v>
      </c>
      <c r="E957" s="2" t="s">
        <v>654</v>
      </c>
      <c r="F957" s="2" t="s">
        <v>375</v>
      </c>
      <c r="G957" s="2" t="s">
        <v>21</v>
      </c>
      <c r="H957" s="23">
        <v>45000</v>
      </c>
      <c r="I957" s="2">
        <v>5</v>
      </c>
      <c r="J957" s="31">
        <v>20</v>
      </c>
      <c r="K957" s="7">
        <f t="shared" si="56"/>
        <v>225000</v>
      </c>
      <c r="L957" s="7">
        <f t="shared" si="57"/>
        <v>45000</v>
      </c>
      <c r="M957" s="7">
        <f t="shared" si="58"/>
        <v>180000</v>
      </c>
      <c r="N957" s="23">
        <v>21000</v>
      </c>
      <c r="O957" s="7">
        <f t="shared" si="59"/>
        <v>201000</v>
      </c>
      <c r="P957" s="2" t="s">
        <v>22</v>
      </c>
      <c r="Q957" t="str">
        <f>_xlfn.XLOOKUP(B957,Status!$A$2:$A$1867,Status!$B$2:$B$1867)</f>
        <v>Completed</v>
      </c>
      <c r="R957" s="2" t="s">
        <v>82</v>
      </c>
      <c r="S957" s="8">
        <v>2</v>
      </c>
      <c r="T957" s="2" t="s">
        <v>24</v>
      </c>
      <c r="U957" s="31" t="str" cm="1">
        <f t="array" ref="U957">_xlfn.IFS(L957&lt;=5000,$Z$3,AND(L957&gt;5000,L957&lt;=15000),$Z$4,AND(L957&gt;15000,L957&lt;=30000),$Z$5,AND(L957&gt;30000,L957&lt;=50000),$Z$6,L957&gt;50000,$Z$7)</f>
        <v>Tinggi</v>
      </c>
      <c r="V957" s="2"/>
    </row>
    <row r="958" spans="1:22" ht="15.75" customHeight="1" x14ac:dyDescent="0.25">
      <c r="A958" s="26"/>
      <c r="B958" s="2" t="s">
        <v>1345</v>
      </c>
      <c r="C958" s="32">
        <v>45731.982557870368</v>
      </c>
      <c r="D958" s="53">
        <f>YEAR(Table1[[#This Row],[Order Date]])</f>
        <v>2025</v>
      </c>
      <c r="E958" s="2" t="s">
        <v>834</v>
      </c>
      <c r="F958" s="2" t="s">
        <v>177</v>
      </c>
      <c r="G958" s="2" t="s">
        <v>34</v>
      </c>
      <c r="H958" s="23">
        <v>16000</v>
      </c>
      <c r="I958" s="2">
        <v>5</v>
      </c>
      <c r="J958" s="31">
        <v>15</v>
      </c>
      <c r="K958" s="7">
        <f t="shared" si="56"/>
        <v>80000</v>
      </c>
      <c r="L958" s="7">
        <f t="shared" si="57"/>
        <v>12000</v>
      </c>
      <c r="M958" s="7">
        <f t="shared" si="58"/>
        <v>68000</v>
      </c>
      <c r="N958" s="23">
        <v>56000</v>
      </c>
      <c r="O958" s="7">
        <f t="shared" si="59"/>
        <v>124000</v>
      </c>
      <c r="P958" s="2" t="s">
        <v>22</v>
      </c>
      <c r="Q958" t="str">
        <f>_xlfn.XLOOKUP(B958,Status!$A$2:$A$1867,Status!$B$2:$B$1867)</f>
        <v>Completed</v>
      </c>
      <c r="R958" s="2" t="s">
        <v>46</v>
      </c>
      <c r="S958" s="8">
        <v>4</v>
      </c>
      <c r="T958" s="2" t="s">
        <v>37</v>
      </c>
      <c r="U958" s="31" t="str" cm="1">
        <f t="array" ref="U958">_xlfn.IFS(L958&lt;=5000,$Z$3,AND(L958&gt;5000,L958&lt;=15000),$Z$4,AND(L958&gt;15000,L958&lt;=30000),$Z$5,AND(L958&gt;30000,L958&lt;=50000),$Z$6,L958&gt;50000,$Z$7)</f>
        <v>Rendah</v>
      </c>
      <c r="V958" s="2"/>
    </row>
    <row r="959" spans="1:22" ht="15.75" customHeight="1" x14ac:dyDescent="0.25">
      <c r="A959" s="26"/>
      <c r="B959" s="2" t="s">
        <v>1346</v>
      </c>
      <c r="C959" s="32">
        <v>45732.265682870369</v>
      </c>
      <c r="D959" s="53">
        <f>YEAR(Table1[[#This Row],[Order Date]])</f>
        <v>2025</v>
      </c>
      <c r="E959" s="2" t="s">
        <v>100</v>
      </c>
      <c r="F959" s="2" t="s">
        <v>66</v>
      </c>
      <c r="G959" s="2" t="s">
        <v>174</v>
      </c>
      <c r="H959" s="23">
        <v>10000</v>
      </c>
      <c r="I959" s="2">
        <v>2</v>
      </c>
      <c r="J959" s="31">
        <v>15</v>
      </c>
      <c r="K959" s="7">
        <f t="shared" si="56"/>
        <v>20000</v>
      </c>
      <c r="L959" s="7">
        <f t="shared" si="57"/>
        <v>3000</v>
      </c>
      <c r="M959" s="7">
        <f t="shared" si="58"/>
        <v>17000</v>
      </c>
      <c r="N959" s="23">
        <v>59000</v>
      </c>
      <c r="O959" s="7">
        <f t="shared" si="59"/>
        <v>76000</v>
      </c>
      <c r="P959" s="2" t="s">
        <v>63</v>
      </c>
      <c r="Q959" t="str">
        <f>_xlfn.XLOOKUP(B959,Status!$A$2:$A$1867,Status!$B$2:$B$1867)</f>
        <v>Completed</v>
      </c>
      <c r="R959" s="2" t="s">
        <v>30</v>
      </c>
      <c r="S959" s="8">
        <v>4</v>
      </c>
      <c r="T959" s="2" t="s">
        <v>24</v>
      </c>
      <c r="U959" s="31" t="str" cm="1">
        <f t="array" ref="U959">_xlfn.IFS(L959&lt;=5000,$Z$3,AND(L959&gt;5000,L959&lt;=15000),$Z$4,AND(L959&gt;15000,L959&lt;=30000),$Z$5,AND(L959&gt;30000,L959&lt;=50000),$Z$6,L959&gt;50000,$Z$7)</f>
        <v>Sangat Rendah</v>
      </c>
      <c r="V959" s="2"/>
    </row>
    <row r="960" spans="1:22" ht="15.75" customHeight="1" x14ac:dyDescent="0.25">
      <c r="A960" s="26"/>
      <c r="B960" s="2" t="s">
        <v>1347</v>
      </c>
      <c r="C960" s="32">
        <v>45732.344641203701</v>
      </c>
      <c r="D960" s="53">
        <f>YEAR(Table1[[#This Row],[Order Date]])</f>
        <v>2025</v>
      </c>
      <c r="E960" s="2" t="s">
        <v>1348</v>
      </c>
      <c r="F960" s="2" t="s">
        <v>296</v>
      </c>
      <c r="G960" s="2" t="s">
        <v>38</v>
      </c>
      <c r="H960" s="23">
        <v>28000</v>
      </c>
      <c r="I960" s="2">
        <v>2</v>
      </c>
      <c r="J960" s="31">
        <v>10</v>
      </c>
      <c r="K960" s="7">
        <f t="shared" si="56"/>
        <v>56000</v>
      </c>
      <c r="L960" s="7">
        <f t="shared" si="57"/>
        <v>5600</v>
      </c>
      <c r="M960" s="7">
        <f t="shared" si="58"/>
        <v>50400</v>
      </c>
      <c r="N960" s="23">
        <v>79000</v>
      </c>
      <c r="O960" s="7">
        <f t="shared" si="59"/>
        <v>129400</v>
      </c>
      <c r="P960" s="2" t="s">
        <v>29</v>
      </c>
      <c r="Q960" t="str">
        <f>_xlfn.XLOOKUP(B960,Status!$A$2:$A$1867,Status!$B$2:$B$1867)</f>
        <v>Returned</v>
      </c>
      <c r="R960" s="2" t="s">
        <v>30</v>
      </c>
      <c r="S960" s="8">
        <v>3</v>
      </c>
      <c r="T960" s="2" t="s">
        <v>24</v>
      </c>
      <c r="U960" s="31" t="str" cm="1">
        <f t="array" ref="U960">_xlfn.IFS(L960&lt;=5000,$Z$3,AND(L960&gt;5000,L960&lt;=15000),$Z$4,AND(L960&gt;15000,L960&lt;=30000),$Z$5,AND(L960&gt;30000,L960&lt;=50000),$Z$6,L960&gt;50000,$Z$7)</f>
        <v>Rendah</v>
      </c>
      <c r="V960" s="2"/>
    </row>
    <row r="961" spans="1:22" ht="15.75" customHeight="1" x14ac:dyDescent="0.25">
      <c r="A961" s="26"/>
      <c r="B961" s="2" t="s">
        <v>1349</v>
      </c>
      <c r="C961" s="32">
        <v>45732.50613425926</v>
      </c>
      <c r="D961" s="53">
        <f>YEAR(Table1[[#This Row],[Order Date]])</f>
        <v>2025</v>
      </c>
      <c r="E961" s="2" t="s">
        <v>374</v>
      </c>
      <c r="F961" s="2" t="s">
        <v>375</v>
      </c>
      <c r="G961" s="2" t="s">
        <v>190</v>
      </c>
      <c r="H961" s="23">
        <v>35000</v>
      </c>
      <c r="I961" s="2">
        <v>3</v>
      </c>
      <c r="J961" s="31">
        <v>5</v>
      </c>
      <c r="K961" s="7">
        <f t="shared" si="56"/>
        <v>105000</v>
      </c>
      <c r="L961" s="7">
        <f t="shared" si="57"/>
        <v>5250</v>
      </c>
      <c r="M961" s="7">
        <f t="shared" si="58"/>
        <v>99750</v>
      </c>
      <c r="N961" s="23">
        <v>21000</v>
      </c>
      <c r="O961" s="7">
        <f t="shared" si="59"/>
        <v>120750</v>
      </c>
      <c r="P961" s="2" t="s">
        <v>29</v>
      </c>
      <c r="Q961" t="str">
        <f>_xlfn.XLOOKUP(B961,Status!$A$2:$A$1867,Status!$B$2:$B$1867)</f>
        <v>Completed</v>
      </c>
      <c r="R961" s="2" t="s">
        <v>82</v>
      </c>
      <c r="S961" s="8">
        <v>5</v>
      </c>
      <c r="T961" s="2" t="s">
        <v>37</v>
      </c>
      <c r="U961" s="31" t="str" cm="1">
        <f t="array" ref="U961">_xlfn.IFS(L961&lt;=5000,$Z$3,AND(L961&gt;5000,L961&lt;=15000),$Z$4,AND(L961&gt;15000,L961&lt;=30000),$Z$5,AND(L961&gt;30000,L961&lt;=50000),$Z$6,L961&gt;50000,$Z$7)</f>
        <v>Rendah</v>
      </c>
      <c r="V961" s="2"/>
    </row>
    <row r="962" spans="1:22" ht="15.75" customHeight="1" x14ac:dyDescent="0.25">
      <c r="A962" s="26"/>
      <c r="B962" s="2" t="s">
        <v>1350</v>
      </c>
      <c r="C962" s="32">
        <v>45732.608958333331</v>
      </c>
      <c r="D962" s="53">
        <f>YEAR(Table1[[#This Row],[Order Date]])</f>
        <v>2025</v>
      </c>
      <c r="E962" s="2" t="s">
        <v>443</v>
      </c>
      <c r="F962" s="2" t="s">
        <v>53</v>
      </c>
      <c r="G962" s="2" t="s">
        <v>67</v>
      </c>
      <c r="H962" s="23">
        <v>15000</v>
      </c>
      <c r="I962" s="2">
        <v>4</v>
      </c>
      <c r="J962" s="31">
        <v>10</v>
      </c>
      <c r="K962" s="7">
        <f t="shared" si="56"/>
        <v>60000</v>
      </c>
      <c r="L962" s="7">
        <f t="shared" si="57"/>
        <v>6000</v>
      </c>
      <c r="M962" s="7">
        <f t="shared" si="58"/>
        <v>54000</v>
      </c>
      <c r="N962" s="23">
        <v>18000</v>
      </c>
      <c r="O962" s="7">
        <f t="shared" si="59"/>
        <v>72000</v>
      </c>
      <c r="P962" s="2" t="s">
        <v>35</v>
      </c>
      <c r="Q962" t="str">
        <f>_xlfn.XLOOKUP(B962,Status!$A$2:$A$1867,Status!$B$2:$B$1867)</f>
        <v>Cancelled</v>
      </c>
      <c r="R962" s="2" t="s">
        <v>23</v>
      </c>
      <c r="S962" s="8">
        <v>1</v>
      </c>
      <c r="T962" s="2" t="s">
        <v>24</v>
      </c>
      <c r="U962" s="31" t="str" cm="1">
        <f t="array" ref="U962">_xlfn.IFS(L962&lt;=5000,$Z$3,AND(L962&gt;5000,L962&lt;=15000),$Z$4,AND(L962&gt;15000,L962&lt;=30000),$Z$5,AND(L962&gt;30000,L962&lt;=50000),$Z$6,L962&gt;50000,$Z$7)</f>
        <v>Rendah</v>
      </c>
      <c r="V962" s="2"/>
    </row>
    <row r="963" spans="1:22" ht="15.75" customHeight="1" x14ac:dyDescent="0.25">
      <c r="A963" s="26"/>
      <c r="B963" s="2" t="s">
        <v>1351</v>
      </c>
      <c r="C963" s="32">
        <v>45733.356956018521</v>
      </c>
      <c r="D963" s="53">
        <f>YEAR(Table1[[#This Row],[Order Date]])</f>
        <v>2025</v>
      </c>
      <c r="E963" s="2" t="s">
        <v>922</v>
      </c>
      <c r="F963" s="2" t="s">
        <v>33</v>
      </c>
      <c r="G963" s="2" t="s">
        <v>21</v>
      </c>
      <c r="H963" s="23">
        <v>45000</v>
      </c>
      <c r="I963" s="2">
        <v>3</v>
      </c>
      <c r="J963" s="31">
        <v>5</v>
      </c>
      <c r="K963" s="7">
        <f t="shared" si="56"/>
        <v>135000</v>
      </c>
      <c r="L963" s="7">
        <f t="shared" si="57"/>
        <v>6750</v>
      </c>
      <c r="M963" s="7">
        <f t="shared" si="58"/>
        <v>128250</v>
      </c>
      <c r="N963" s="23">
        <v>76000</v>
      </c>
      <c r="O963" s="7">
        <f t="shared" si="59"/>
        <v>204250</v>
      </c>
      <c r="P963" s="2" t="s">
        <v>29</v>
      </c>
      <c r="Q963" t="str">
        <f>_xlfn.XLOOKUP(B963,Status!$A$2:$A$1867,Status!$B$2:$B$1867)</f>
        <v>Completed</v>
      </c>
      <c r="R963" s="2" t="s">
        <v>30</v>
      </c>
      <c r="S963" s="8">
        <v>2</v>
      </c>
      <c r="T963" s="2" t="s">
        <v>37</v>
      </c>
      <c r="U963" s="31" t="str" cm="1">
        <f t="array" ref="U963">_xlfn.IFS(L963&lt;=5000,$Z$3,AND(L963&gt;5000,L963&lt;=15000),$Z$4,AND(L963&gt;15000,L963&lt;=30000),$Z$5,AND(L963&gt;30000,L963&lt;=50000),$Z$6,L963&gt;50000,$Z$7)</f>
        <v>Rendah</v>
      </c>
      <c r="V963" s="2"/>
    </row>
    <row r="964" spans="1:22" ht="15.75" customHeight="1" x14ac:dyDescent="0.25">
      <c r="A964" s="26"/>
      <c r="B964" s="2" t="s">
        <v>1352</v>
      </c>
      <c r="C964" s="32">
        <v>45734.148993055547</v>
      </c>
      <c r="D964" s="53">
        <f>YEAR(Table1[[#This Row],[Order Date]])</f>
        <v>2025</v>
      </c>
      <c r="E964" s="2" t="s">
        <v>419</v>
      </c>
      <c r="F964" s="2" t="s">
        <v>103</v>
      </c>
      <c r="G964" s="2" t="s">
        <v>62</v>
      </c>
      <c r="H964" s="23">
        <v>50000</v>
      </c>
      <c r="I964" s="2">
        <v>4</v>
      </c>
      <c r="J964" s="31">
        <v>15</v>
      </c>
      <c r="K964" s="7">
        <f t="shared" ref="K964:K1027" si="60">H964*I964</f>
        <v>200000</v>
      </c>
      <c r="L964" s="7">
        <f t="shared" ref="L964:L1027" si="61">K964*(J964/100)</f>
        <v>30000</v>
      </c>
      <c r="M964" s="7">
        <f t="shared" ref="M964:M1027" si="62">K964-L964</f>
        <v>170000</v>
      </c>
      <c r="N964" s="23">
        <v>85000</v>
      </c>
      <c r="O964" s="7">
        <f t="shared" ref="O964:O1027" si="63">SUM(M964:N964)</f>
        <v>255000</v>
      </c>
      <c r="P964" s="2" t="s">
        <v>29</v>
      </c>
      <c r="Q964" t="str">
        <f>_xlfn.XLOOKUP(B964,Status!$A$2:$A$1867,Status!$B$2:$B$1867)</f>
        <v>Completed</v>
      </c>
      <c r="R964" s="2" t="s">
        <v>82</v>
      </c>
      <c r="S964" s="8">
        <v>1</v>
      </c>
      <c r="T964" s="2" t="s">
        <v>37</v>
      </c>
      <c r="U964" s="31" t="str" cm="1">
        <f t="array" ref="U964">_xlfn.IFS(L964&lt;=5000,$Z$3,AND(L964&gt;5000,L964&lt;=15000),$Z$4,AND(L964&gt;15000,L964&lt;=30000),$Z$5,AND(L964&gt;30000,L964&lt;=50000),$Z$6,L964&gt;50000,$Z$7)</f>
        <v>Normal</v>
      </c>
      <c r="V964" s="2"/>
    </row>
    <row r="965" spans="1:22" ht="15.75" customHeight="1" x14ac:dyDescent="0.25">
      <c r="A965" s="26"/>
      <c r="B965" s="2" t="s">
        <v>1353</v>
      </c>
      <c r="C965" s="32">
        <v>45734.5075</v>
      </c>
      <c r="D965" s="53">
        <f>YEAR(Table1[[#This Row],[Order Date]])</f>
        <v>2025</v>
      </c>
      <c r="E965" s="2" t="s">
        <v>1117</v>
      </c>
      <c r="F965" s="2" t="s">
        <v>126</v>
      </c>
      <c r="G965" s="2" t="s">
        <v>186</v>
      </c>
      <c r="H965" s="23">
        <v>45000</v>
      </c>
      <c r="I965" s="2">
        <v>5</v>
      </c>
      <c r="J965" s="31">
        <v>10</v>
      </c>
      <c r="K965" s="7">
        <f t="shared" si="60"/>
        <v>225000</v>
      </c>
      <c r="L965" s="7">
        <f t="shared" si="61"/>
        <v>22500</v>
      </c>
      <c r="M965" s="7">
        <f t="shared" si="62"/>
        <v>202500</v>
      </c>
      <c r="N965" s="23">
        <v>84000</v>
      </c>
      <c r="O965" s="7">
        <f t="shared" si="63"/>
        <v>286500</v>
      </c>
      <c r="P965" s="2" t="s">
        <v>35</v>
      </c>
      <c r="Q965" t="str">
        <f>_xlfn.XLOOKUP(B965,Status!$A$2:$A$1867,Status!$B$2:$B$1867)</f>
        <v>Completed</v>
      </c>
      <c r="R965" s="2" t="s">
        <v>30</v>
      </c>
      <c r="S965" s="8">
        <v>1</v>
      </c>
      <c r="T965" s="2" t="s">
        <v>24</v>
      </c>
      <c r="U965" s="31" t="str" cm="1">
        <f t="array" ref="U965">_xlfn.IFS(L965&lt;=5000,$Z$3,AND(L965&gt;5000,L965&lt;=15000),$Z$4,AND(L965&gt;15000,L965&lt;=30000),$Z$5,AND(L965&gt;30000,L965&lt;=50000),$Z$6,L965&gt;50000,$Z$7)</f>
        <v>Normal</v>
      </c>
      <c r="V965" s="2"/>
    </row>
    <row r="966" spans="1:22" ht="15.75" customHeight="1" x14ac:dyDescent="0.25">
      <c r="A966" s="26"/>
      <c r="B966" s="2" t="s">
        <v>1354</v>
      </c>
      <c r="C966" s="32">
        <v>45734.971296296288</v>
      </c>
      <c r="D966" s="53">
        <f>YEAR(Table1[[#This Row],[Order Date]])</f>
        <v>2025</v>
      </c>
      <c r="E966" s="2" t="s">
        <v>209</v>
      </c>
      <c r="F966" s="2" t="s">
        <v>143</v>
      </c>
      <c r="G966" s="2" t="s">
        <v>190</v>
      </c>
      <c r="H966" s="23">
        <v>35000</v>
      </c>
      <c r="I966" s="2">
        <v>5</v>
      </c>
      <c r="J966" s="31">
        <v>10</v>
      </c>
      <c r="K966" s="7">
        <f t="shared" si="60"/>
        <v>175000</v>
      </c>
      <c r="L966" s="7">
        <f t="shared" si="61"/>
        <v>17500</v>
      </c>
      <c r="M966" s="7">
        <f t="shared" si="62"/>
        <v>157500</v>
      </c>
      <c r="N966" s="23">
        <v>50000</v>
      </c>
      <c r="O966" s="7">
        <f t="shared" si="63"/>
        <v>207500</v>
      </c>
      <c r="P966" s="2" t="s">
        <v>22</v>
      </c>
      <c r="Q966" t="str">
        <f>_xlfn.XLOOKUP(B966,Status!$A$2:$A$1867,Status!$B$2:$B$1867)</f>
        <v>Completed</v>
      </c>
      <c r="R966" s="2" t="s">
        <v>82</v>
      </c>
      <c r="S966" s="8">
        <v>5</v>
      </c>
      <c r="T966" s="2" t="s">
        <v>37</v>
      </c>
      <c r="U966" s="31" t="str" cm="1">
        <f t="array" ref="U966">_xlfn.IFS(L966&lt;=5000,$Z$3,AND(L966&gt;5000,L966&lt;=15000),$Z$4,AND(L966&gt;15000,L966&lt;=30000),$Z$5,AND(L966&gt;30000,L966&lt;=50000),$Z$6,L966&gt;50000,$Z$7)</f>
        <v>Normal</v>
      </c>
      <c r="V966" s="2"/>
    </row>
    <row r="967" spans="1:22" ht="15.75" customHeight="1" x14ac:dyDescent="0.25">
      <c r="A967" s="26"/>
      <c r="B967" s="2" t="s">
        <v>1355</v>
      </c>
      <c r="C967" s="32">
        <v>45735.488240740742</v>
      </c>
      <c r="D967" s="53">
        <f>YEAR(Table1[[#This Row],[Order Date]])</f>
        <v>2025</v>
      </c>
      <c r="E967" s="2" t="s">
        <v>73</v>
      </c>
      <c r="F967" s="2" t="s">
        <v>74</v>
      </c>
      <c r="G967" s="2" t="s">
        <v>54</v>
      </c>
      <c r="H967" s="23">
        <v>16000</v>
      </c>
      <c r="I967" s="2">
        <v>2</v>
      </c>
      <c r="J967" s="31">
        <v>10</v>
      </c>
      <c r="K967" s="7">
        <f t="shared" si="60"/>
        <v>32000</v>
      </c>
      <c r="L967" s="7">
        <f t="shared" si="61"/>
        <v>3200</v>
      </c>
      <c r="M967" s="7">
        <f t="shared" si="62"/>
        <v>28800</v>
      </c>
      <c r="N967" s="23">
        <v>87000</v>
      </c>
      <c r="O967" s="7">
        <f t="shared" si="63"/>
        <v>115800</v>
      </c>
      <c r="P967" s="2" t="s">
        <v>63</v>
      </c>
      <c r="Q967" t="str">
        <f>_xlfn.XLOOKUP(B967,Status!$A$2:$A$1867,Status!$B$2:$B$1867)</f>
        <v>Completed</v>
      </c>
      <c r="R967" s="2" t="s">
        <v>23</v>
      </c>
      <c r="S967" s="8">
        <v>4</v>
      </c>
      <c r="T967" s="2" t="s">
        <v>24</v>
      </c>
      <c r="U967" s="31" t="str" cm="1">
        <f t="array" ref="U967">_xlfn.IFS(L967&lt;=5000,$Z$3,AND(L967&gt;5000,L967&lt;=15000),$Z$4,AND(L967&gt;15000,L967&lt;=30000),$Z$5,AND(L967&gt;30000,L967&lt;=50000),$Z$6,L967&gt;50000,$Z$7)</f>
        <v>Sangat Rendah</v>
      </c>
      <c r="V967" s="2"/>
    </row>
    <row r="968" spans="1:22" ht="15.75" customHeight="1" x14ac:dyDescent="0.25">
      <c r="A968" s="26"/>
      <c r="B968" s="2" t="s">
        <v>1356</v>
      </c>
      <c r="C968" s="32">
        <v>45735.5234837963</v>
      </c>
      <c r="D968" s="53">
        <f>YEAR(Table1[[#This Row],[Order Date]])</f>
        <v>2025</v>
      </c>
      <c r="E968" s="2" t="s">
        <v>557</v>
      </c>
      <c r="F968" s="2" t="s">
        <v>173</v>
      </c>
      <c r="G968" s="2" t="s">
        <v>250</v>
      </c>
      <c r="H968" s="23">
        <v>18000</v>
      </c>
      <c r="I968" s="2">
        <v>3</v>
      </c>
      <c r="J968" s="31">
        <v>0</v>
      </c>
      <c r="K968" s="7">
        <f t="shared" si="60"/>
        <v>54000</v>
      </c>
      <c r="L968" s="7">
        <f t="shared" si="61"/>
        <v>0</v>
      </c>
      <c r="M968" s="7">
        <f t="shared" si="62"/>
        <v>54000</v>
      </c>
      <c r="N968" s="23">
        <v>49000</v>
      </c>
      <c r="O968" s="7">
        <f t="shared" si="63"/>
        <v>103000</v>
      </c>
      <c r="P968" s="2" t="s">
        <v>22</v>
      </c>
      <c r="Q968" t="str">
        <f>_xlfn.XLOOKUP(B968,Status!$A$2:$A$1867,Status!$B$2:$B$1867)</f>
        <v>Completed</v>
      </c>
      <c r="R968" s="2" t="s">
        <v>30</v>
      </c>
      <c r="S968" s="8">
        <v>3</v>
      </c>
      <c r="T968" s="2" t="s">
        <v>24</v>
      </c>
      <c r="U968" s="31" t="str" cm="1">
        <f t="array" ref="U968">_xlfn.IFS(L968&lt;=5000,$Z$3,AND(L968&gt;5000,L968&lt;=15000),$Z$4,AND(L968&gt;15000,L968&lt;=30000),$Z$5,AND(L968&gt;30000,L968&lt;=50000),$Z$6,L968&gt;50000,$Z$7)</f>
        <v>Sangat Rendah</v>
      </c>
      <c r="V968" s="2"/>
    </row>
    <row r="969" spans="1:22" ht="15.75" customHeight="1" x14ac:dyDescent="0.25">
      <c r="A969" s="26"/>
      <c r="B969" s="2" t="s">
        <v>1357</v>
      </c>
      <c r="C969" s="32">
        <v>45735.684131944443</v>
      </c>
      <c r="D969" s="53">
        <f>YEAR(Table1[[#This Row],[Order Date]])</f>
        <v>2025</v>
      </c>
      <c r="E969" s="2" t="s">
        <v>461</v>
      </c>
      <c r="F969" s="2" t="s">
        <v>92</v>
      </c>
      <c r="G969" s="2" t="s">
        <v>50</v>
      </c>
      <c r="H969" s="23">
        <v>14000</v>
      </c>
      <c r="I969" s="2">
        <v>3</v>
      </c>
      <c r="J969" s="31">
        <v>15</v>
      </c>
      <c r="K969" s="7">
        <f t="shared" si="60"/>
        <v>42000</v>
      </c>
      <c r="L969" s="7">
        <f t="shared" si="61"/>
        <v>6300</v>
      </c>
      <c r="M969" s="7">
        <f t="shared" si="62"/>
        <v>35700</v>
      </c>
      <c r="N969" s="23">
        <v>30000</v>
      </c>
      <c r="O969" s="7">
        <f t="shared" si="63"/>
        <v>65700</v>
      </c>
      <c r="P969" s="2" t="s">
        <v>22</v>
      </c>
      <c r="Q969" t="str">
        <f>_xlfn.XLOOKUP(B969,Status!$A$2:$A$1867,Status!$B$2:$B$1867)</f>
        <v>Completed</v>
      </c>
      <c r="R969" s="2" t="s">
        <v>46</v>
      </c>
      <c r="S969" s="8">
        <v>5</v>
      </c>
      <c r="T969" s="2" t="s">
        <v>37</v>
      </c>
      <c r="U969" s="31" t="str" cm="1">
        <f t="array" ref="U969">_xlfn.IFS(L969&lt;=5000,$Z$3,AND(L969&gt;5000,L969&lt;=15000),$Z$4,AND(L969&gt;15000,L969&lt;=30000),$Z$5,AND(L969&gt;30000,L969&lt;=50000),$Z$6,L969&gt;50000,$Z$7)</f>
        <v>Rendah</v>
      </c>
      <c r="V969" s="2"/>
    </row>
    <row r="970" spans="1:22" ht="15.75" customHeight="1" x14ac:dyDescent="0.25">
      <c r="A970" s="26"/>
      <c r="B970" s="2" t="s">
        <v>1358</v>
      </c>
      <c r="C970" s="32">
        <v>45735.826261574082</v>
      </c>
      <c r="D970" s="53">
        <f>YEAR(Table1[[#This Row],[Order Date]])</f>
        <v>2025</v>
      </c>
      <c r="E970" s="2" t="s">
        <v>1359</v>
      </c>
      <c r="F970" s="2" t="s">
        <v>375</v>
      </c>
      <c r="G970" s="2" t="s">
        <v>58</v>
      </c>
      <c r="H970" s="23">
        <v>16000</v>
      </c>
      <c r="I970" s="2">
        <v>5</v>
      </c>
      <c r="J970" s="31">
        <v>0</v>
      </c>
      <c r="K970" s="7">
        <f t="shared" si="60"/>
        <v>80000</v>
      </c>
      <c r="L970" s="7">
        <f t="shared" si="61"/>
        <v>0</v>
      </c>
      <c r="M970" s="7">
        <f t="shared" si="62"/>
        <v>80000</v>
      </c>
      <c r="N970" s="23">
        <v>21000</v>
      </c>
      <c r="O970" s="7">
        <f t="shared" si="63"/>
        <v>101000</v>
      </c>
      <c r="P970" s="2" t="s">
        <v>22</v>
      </c>
      <c r="Q970" t="str">
        <f>_xlfn.XLOOKUP(B970,Status!$A$2:$A$1867,Status!$B$2:$B$1867)</f>
        <v>Completed</v>
      </c>
      <c r="R970" s="2" t="s">
        <v>23</v>
      </c>
      <c r="S970" s="8">
        <v>5</v>
      </c>
      <c r="T970" s="2" t="s">
        <v>24</v>
      </c>
      <c r="U970" s="31" t="str" cm="1">
        <f t="array" ref="U970">_xlfn.IFS(L970&lt;=5000,$Z$3,AND(L970&gt;5000,L970&lt;=15000),$Z$4,AND(L970&gt;15000,L970&lt;=30000),$Z$5,AND(L970&gt;30000,L970&lt;=50000),$Z$6,L970&gt;50000,$Z$7)</f>
        <v>Sangat Rendah</v>
      </c>
      <c r="V970" s="2"/>
    </row>
    <row r="971" spans="1:22" ht="15.75" customHeight="1" x14ac:dyDescent="0.25">
      <c r="A971" s="26"/>
      <c r="B971" s="2" t="s">
        <v>1360</v>
      </c>
      <c r="C971" s="32">
        <v>45736.021226851852</v>
      </c>
      <c r="D971" s="53">
        <f>YEAR(Table1[[#This Row],[Order Date]])</f>
        <v>2025</v>
      </c>
      <c r="E971" s="2" t="s">
        <v>649</v>
      </c>
      <c r="F971" s="2" t="s">
        <v>177</v>
      </c>
      <c r="G971" s="2" t="s">
        <v>136</v>
      </c>
      <c r="H971" s="23">
        <v>12000</v>
      </c>
      <c r="I971" s="2">
        <v>2</v>
      </c>
      <c r="J971" s="31">
        <v>10</v>
      </c>
      <c r="K971" s="7">
        <f t="shared" si="60"/>
        <v>24000</v>
      </c>
      <c r="L971" s="7">
        <f t="shared" si="61"/>
        <v>2400</v>
      </c>
      <c r="M971" s="7">
        <f t="shared" si="62"/>
        <v>21600</v>
      </c>
      <c r="N971" s="23">
        <v>56000</v>
      </c>
      <c r="O971" s="7">
        <f t="shared" si="63"/>
        <v>77600</v>
      </c>
      <c r="P971" s="2" t="s">
        <v>29</v>
      </c>
      <c r="Q971" t="str">
        <f>_xlfn.XLOOKUP(B971,Status!$A$2:$A$1867,Status!$B$2:$B$1867)</f>
        <v>Completed</v>
      </c>
      <c r="R971" s="2" t="s">
        <v>46</v>
      </c>
      <c r="S971" s="8">
        <v>5</v>
      </c>
      <c r="T971" s="2" t="s">
        <v>24</v>
      </c>
      <c r="U971" s="31" t="str" cm="1">
        <f t="array" ref="U971">_xlfn.IFS(L971&lt;=5000,$Z$3,AND(L971&gt;5000,L971&lt;=15000),$Z$4,AND(L971&gt;15000,L971&lt;=30000),$Z$5,AND(L971&gt;30000,L971&lt;=50000),$Z$6,L971&gt;50000,$Z$7)</f>
        <v>Sangat Rendah</v>
      </c>
      <c r="V971" s="2"/>
    </row>
    <row r="972" spans="1:22" ht="15.75" customHeight="1" x14ac:dyDescent="0.25">
      <c r="A972" s="26"/>
      <c r="B972" s="2" t="s">
        <v>1361</v>
      </c>
      <c r="C972" s="32">
        <v>45736.038449074083</v>
      </c>
      <c r="D972" s="53">
        <f>YEAR(Table1[[#This Row],[Order Date]])</f>
        <v>2025</v>
      </c>
      <c r="E972" s="2" t="s">
        <v>804</v>
      </c>
      <c r="F972" s="2" t="s">
        <v>49</v>
      </c>
      <c r="G972" s="2" t="s">
        <v>138</v>
      </c>
      <c r="H972" s="23">
        <v>17000</v>
      </c>
      <c r="I972" s="2">
        <v>4</v>
      </c>
      <c r="J972" s="31">
        <v>10</v>
      </c>
      <c r="K972" s="7">
        <f t="shared" si="60"/>
        <v>68000</v>
      </c>
      <c r="L972" s="7">
        <f t="shared" si="61"/>
        <v>6800</v>
      </c>
      <c r="M972" s="7">
        <f t="shared" si="62"/>
        <v>61200</v>
      </c>
      <c r="N972" s="23">
        <v>43000</v>
      </c>
      <c r="O972" s="7">
        <f t="shared" si="63"/>
        <v>104200</v>
      </c>
      <c r="P972" s="2" t="s">
        <v>22</v>
      </c>
      <c r="Q972" t="str">
        <f>_xlfn.XLOOKUP(B972,Status!$A$2:$A$1867,Status!$B$2:$B$1867)</f>
        <v>Completed</v>
      </c>
      <c r="R972" s="2" t="s">
        <v>46</v>
      </c>
      <c r="S972" s="8">
        <v>3</v>
      </c>
      <c r="T972" s="2" t="s">
        <v>24</v>
      </c>
      <c r="U972" s="31" t="str" cm="1">
        <f t="array" ref="U972">_xlfn.IFS(L972&lt;=5000,$Z$3,AND(L972&gt;5000,L972&lt;=15000),$Z$4,AND(L972&gt;15000,L972&lt;=30000),$Z$5,AND(L972&gt;30000,L972&lt;=50000),$Z$6,L972&gt;50000,$Z$7)</f>
        <v>Rendah</v>
      </c>
      <c r="V972" s="2"/>
    </row>
    <row r="973" spans="1:22" ht="15.75" customHeight="1" x14ac:dyDescent="0.25">
      <c r="A973" s="26"/>
      <c r="B973" s="2" t="s">
        <v>1362</v>
      </c>
      <c r="C973" s="32">
        <v>45736.070740740739</v>
      </c>
      <c r="D973" s="53">
        <f>YEAR(Table1[[#This Row],[Order Date]])</f>
        <v>2025</v>
      </c>
      <c r="E973" s="2" t="s">
        <v>786</v>
      </c>
      <c r="F973" s="2" t="s">
        <v>107</v>
      </c>
      <c r="G973" s="2" t="s">
        <v>45</v>
      </c>
      <c r="H973" s="23">
        <v>40000</v>
      </c>
      <c r="I973" s="2">
        <v>3</v>
      </c>
      <c r="J973" s="31">
        <v>15</v>
      </c>
      <c r="K973" s="7">
        <f t="shared" si="60"/>
        <v>120000</v>
      </c>
      <c r="L973" s="7">
        <f t="shared" si="61"/>
        <v>18000</v>
      </c>
      <c r="M973" s="7">
        <f t="shared" si="62"/>
        <v>102000</v>
      </c>
      <c r="N973" s="23">
        <v>97000</v>
      </c>
      <c r="O973" s="7">
        <f t="shared" si="63"/>
        <v>199000</v>
      </c>
      <c r="P973" s="2" t="s">
        <v>35</v>
      </c>
      <c r="Q973" t="str">
        <f>_xlfn.XLOOKUP(B973,Status!$A$2:$A$1867,Status!$B$2:$B$1867)</f>
        <v>Completed</v>
      </c>
      <c r="R973" s="2" t="s">
        <v>23</v>
      </c>
      <c r="S973" s="8">
        <v>3</v>
      </c>
      <c r="T973" s="2" t="s">
        <v>24</v>
      </c>
      <c r="U973" s="31" t="str" cm="1">
        <f t="array" ref="U973">_xlfn.IFS(L973&lt;=5000,$Z$3,AND(L973&gt;5000,L973&lt;=15000),$Z$4,AND(L973&gt;15000,L973&lt;=30000),$Z$5,AND(L973&gt;30000,L973&lt;=50000),$Z$6,L973&gt;50000,$Z$7)</f>
        <v>Normal</v>
      </c>
      <c r="V973" s="2"/>
    </row>
    <row r="974" spans="1:22" ht="15.75" customHeight="1" x14ac:dyDescent="0.25">
      <c r="A974" s="26"/>
      <c r="B974" s="2" t="s">
        <v>1363</v>
      </c>
      <c r="C974" s="32">
        <v>45736.211562500001</v>
      </c>
      <c r="D974" s="53">
        <f>YEAR(Table1[[#This Row],[Order Date]])</f>
        <v>2025</v>
      </c>
      <c r="E974" s="2" t="s">
        <v>576</v>
      </c>
      <c r="F974" s="2" t="s">
        <v>57</v>
      </c>
      <c r="G974" s="2" t="s">
        <v>38</v>
      </c>
      <c r="H974" s="23">
        <v>28000</v>
      </c>
      <c r="I974" s="2">
        <v>3</v>
      </c>
      <c r="J974" s="31">
        <v>5</v>
      </c>
      <c r="K974" s="7">
        <f t="shared" si="60"/>
        <v>84000</v>
      </c>
      <c r="L974" s="7">
        <f t="shared" si="61"/>
        <v>4200</v>
      </c>
      <c r="M974" s="7">
        <f t="shared" si="62"/>
        <v>79800</v>
      </c>
      <c r="N974" s="23">
        <v>80000</v>
      </c>
      <c r="O974" s="7">
        <f t="shared" si="63"/>
        <v>159800</v>
      </c>
      <c r="P974" s="2" t="s">
        <v>29</v>
      </c>
      <c r="Q974" t="str">
        <f>_xlfn.XLOOKUP(B974,Status!$A$2:$A$1867,Status!$B$2:$B$1867)</f>
        <v>Cancelled</v>
      </c>
      <c r="R974" s="2" t="s">
        <v>23</v>
      </c>
      <c r="S974" s="8">
        <v>3</v>
      </c>
      <c r="T974" s="2" t="s">
        <v>37</v>
      </c>
      <c r="U974" s="31" t="str" cm="1">
        <f t="array" ref="U974">_xlfn.IFS(L974&lt;=5000,$Z$3,AND(L974&gt;5000,L974&lt;=15000),$Z$4,AND(L974&gt;15000,L974&lt;=30000),$Z$5,AND(L974&gt;30000,L974&lt;=50000),$Z$6,L974&gt;50000,$Z$7)</f>
        <v>Sangat Rendah</v>
      </c>
      <c r="V974" s="2"/>
    </row>
    <row r="975" spans="1:22" ht="15.75" customHeight="1" x14ac:dyDescent="0.25">
      <c r="A975" s="26"/>
      <c r="B975" s="2" t="s">
        <v>1364</v>
      </c>
      <c r="C975" s="32">
        <v>45736.284513888888</v>
      </c>
      <c r="D975" s="53">
        <f>YEAR(Table1[[#This Row],[Order Date]])</f>
        <v>2025</v>
      </c>
      <c r="E975" s="2" t="s">
        <v>856</v>
      </c>
      <c r="F975" s="2" t="s">
        <v>244</v>
      </c>
      <c r="G975" s="2" t="s">
        <v>110</v>
      </c>
      <c r="H975" s="23">
        <v>6000</v>
      </c>
      <c r="I975" s="2">
        <v>5</v>
      </c>
      <c r="J975" s="31">
        <v>0</v>
      </c>
      <c r="K975" s="7">
        <f t="shared" si="60"/>
        <v>30000</v>
      </c>
      <c r="L975" s="7">
        <f t="shared" si="61"/>
        <v>0</v>
      </c>
      <c r="M975" s="7">
        <f t="shared" si="62"/>
        <v>30000</v>
      </c>
      <c r="N975" s="23">
        <v>80000</v>
      </c>
      <c r="O975" s="7">
        <f t="shared" si="63"/>
        <v>110000</v>
      </c>
      <c r="P975" s="2" t="s">
        <v>63</v>
      </c>
      <c r="Q975" t="str">
        <f>_xlfn.XLOOKUP(B975,Status!$A$2:$A$1867,Status!$B$2:$B$1867)</f>
        <v>Returned</v>
      </c>
      <c r="R975" s="2" t="s">
        <v>23</v>
      </c>
      <c r="S975" s="8">
        <v>5</v>
      </c>
      <c r="T975" s="2" t="s">
        <v>24</v>
      </c>
      <c r="U975" s="31" t="str" cm="1">
        <f t="array" ref="U975">_xlfn.IFS(L975&lt;=5000,$Z$3,AND(L975&gt;5000,L975&lt;=15000),$Z$4,AND(L975&gt;15000,L975&lt;=30000),$Z$5,AND(L975&gt;30000,L975&lt;=50000),$Z$6,L975&gt;50000,$Z$7)</f>
        <v>Sangat Rendah</v>
      </c>
      <c r="V975" s="2"/>
    </row>
    <row r="976" spans="1:22" ht="15.75" customHeight="1" x14ac:dyDescent="0.25">
      <c r="A976" s="26"/>
      <c r="B976" s="2" t="s">
        <v>1365</v>
      </c>
      <c r="C976" s="32">
        <v>45736.322326388887</v>
      </c>
      <c r="D976" s="53">
        <f>YEAR(Table1[[#This Row],[Order Date]])</f>
        <v>2025</v>
      </c>
      <c r="E976" s="2" t="s">
        <v>1366</v>
      </c>
      <c r="F976" s="2" t="s">
        <v>126</v>
      </c>
      <c r="G976" s="2" t="s">
        <v>123</v>
      </c>
      <c r="H976" s="23">
        <v>22000</v>
      </c>
      <c r="I976" s="2">
        <v>1</v>
      </c>
      <c r="J976" s="31">
        <v>0</v>
      </c>
      <c r="K976" s="7">
        <f t="shared" si="60"/>
        <v>22000</v>
      </c>
      <c r="L976" s="7">
        <f t="shared" si="61"/>
        <v>0</v>
      </c>
      <c r="M976" s="7">
        <f t="shared" si="62"/>
        <v>22000</v>
      </c>
      <c r="N976" s="23">
        <v>84000</v>
      </c>
      <c r="O976" s="7">
        <f t="shared" si="63"/>
        <v>106000</v>
      </c>
      <c r="P976" s="2" t="s">
        <v>29</v>
      </c>
      <c r="Q976" t="str">
        <f>_xlfn.XLOOKUP(B976,Status!$A$2:$A$1867,Status!$B$2:$B$1867)</f>
        <v>Completed</v>
      </c>
      <c r="R976" s="2" t="s">
        <v>30</v>
      </c>
      <c r="S976" s="8">
        <v>1</v>
      </c>
      <c r="T976" s="2" t="s">
        <v>24</v>
      </c>
      <c r="U976" s="31" t="str" cm="1">
        <f t="array" ref="U976">_xlfn.IFS(L976&lt;=5000,$Z$3,AND(L976&gt;5000,L976&lt;=15000),$Z$4,AND(L976&gt;15000,L976&lt;=30000),$Z$5,AND(L976&gt;30000,L976&lt;=50000),$Z$6,L976&gt;50000,$Z$7)</f>
        <v>Sangat Rendah</v>
      </c>
      <c r="V976" s="2"/>
    </row>
    <row r="977" spans="1:22" ht="15.75" customHeight="1" x14ac:dyDescent="0.25">
      <c r="A977" s="26"/>
      <c r="B977" s="2" t="s">
        <v>1367</v>
      </c>
      <c r="C977" s="32">
        <v>45736.34652777778</v>
      </c>
      <c r="D977" s="53">
        <f>YEAR(Table1[[#This Row],[Order Date]])</f>
        <v>2025</v>
      </c>
      <c r="E977" s="2" t="s">
        <v>844</v>
      </c>
      <c r="F977" s="2" t="s">
        <v>119</v>
      </c>
      <c r="G977" s="2" t="s">
        <v>34</v>
      </c>
      <c r="H977" s="23">
        <v>16000</v>
      </c>
      <c r="I977" s="2">
        <v>3</v>
      </c>
      <c r="J977" s="31">
        <v>0</v>
      </c>
      <c r="K977" s="7">
        <f t="shared" si="60"/>
        <v>48000</v>
      </c>
      <c r="L977" s="7">
        <f t="shared" si="61"/>
        <v>0</v>
      </c>
      <c r="M977" s="7">
        <f t="shared" si="62"/>
        <v>48000</v>
      </c>
      <c r="N977" s="23">
        <v>0</v>
      </c>
      <c r="O977" s="7">
        <f t="shared" si="63"/>
        <v>48000</v>
      </c>
      <c r="P977" s="2" t="s">
        <v>35</v>
      </c>
      <c r="Q977" t="str">
        <f>_xlfn.XLOOKUP(B977,Status!$A$2:$A$1867,Status!$B$2:$B$1867)</f>
        <v>Completed</v>
      </c>
      <c r="R977" s="2" t="s">
        <v>36</v>
      </c>
      <c r="S977" s="8">
        <v>4</v>
      </c>
      <c r="T977" s="2" t="s">
        <v>24</v>
      </c>
      <c r="U977" s="31" t="str" cm="1">
        <f t="array" ref="U977">_xlfn.IFS(L977&lt;=5000,$Z$3,AND(L977&gt;5000,L977&lt;=15000),$Z$4,AND(L977&gt;15000,L977&lt;=30000),$Z$5,AND(L977&gt;30000,L977&lt;=50000),$Z$6,L977&gt;50000,$Z$7)</f>
        <v>Sangat Rendah</v>
      </c>
      <c r="V977" s="2"/>
    </row>
    <row r="978" spans="1:22" ht="15.75" customHeight="1" x14ac:dyDescent="0.25">
      <c r="A978" s="26"/>
      <c r="B978" s="2" t="s">
        <v>1368</v>
      </c>
      <c r="C978" s="32">
        <v>45736.6719212963</v>
      </c>
      <c r="D978" s="53">
        <f>YEAR(Table1[[#This Row],[Order Date]])</f>
        <v>2025</v>
      </c>
      <c r="E978" s="2" t="s">
        <v>100</v>
      </c>
      <c r="F978" s="2" t="s">
        <v>66</v>
      </c>
      <c r="G978" s="2" t="s">
        <v>85</v>
      </c>
      <c r="H978" s="23">
        <v>35000</v>
      </c>
      <c r="I978" s="2">
        <v>4</v>
      </c>
      <c r="J978" s="31">
        <v>10</v>
      </c>
      <c r="K978" s="7">
        <f t="shared" si="60"/>
        <v>140000</v>
      </c>
      <c r="L978" s="7">
        <f t="shared" si="61"/>
        <v>14000</v>
      </c>
      <c r="M978" s="7">
        <f t="shared" si="62"/>
        <v>126000</v>
      </c>
      <c r="N978" s="23">
        <v>59000</v>
      </c>
      <c r="O978" s="7">
        <f t="shared" si="63"/>
        <v>185000</v>
      </c>
      <c r="P978" s="2" t="s">
        <v>22</v>
      </c>
      <c r="Q978" t="str">
        <f>_xlfn.XLOOKUP(B978,Status!$A$2:$A$1867,Status!$B$2:$B$1867)</f>
        <v>Completed</v>
      </c>
      <c r="R978" s="2" t="s">
        <v>30</v>
      </c>
      <c r="S978" s="8">
        <v>2</v>
      </c>
      <c r="T978" s="2" t="s">
        <v>24</v>
      </c>
      <c r="U978" s="31" t="str" cm="1">
        <f t="array" ref="U978">_xlfn.IFS(L978&lt;=5000,$Z$3,AND(L978&gt;5000,L978&lt;=15000),$Z$4,AND(L978&gt;15000,L978&lt;=30000),$Z$5,AND(L978&gt;30000,L978&lt;=50000),$Z$6,L978&gt;50000,$Z$7)</f>
        <v>Rendah</v>
      </c>
      <c r="V978" s="2"/>
    </row>
    <row r="979" spans="1:22" ht="15.75" customHeight="1" x14ac:dyDescent="0.25">
      <c r="A979" s="26"/>
      <c r="B979" s="2" t="s">
        <v>1369</v>
      </c>
      <c r="C979" s="32">
        <v>45736.679571759261</v>
      </c>
      <c r="D979" s="53">
        <f>YEAR(Table1[[#This Row],[Order Date]])</f>
        <v>2025</v>
      </c>
      <c r="E979" s="2" t="s">
        <v>477</v>
      </c>
      <c r="F979" s="2" t="s">
        <v>182</v>
      </c>
      <c r="G979" s="2" t="s">
        <v>75</v>
      </c>
      <c r="H979" s="23">
        <v>55000</v>
      </c>
      <c r="I979" s="2">
        <v>2</v>
      </c>
      <c r="J979" s="31">
        <v>10</v>
      </c>
      <c r="K979" s="7">
        <f t="shared" si="60"/>
        <v>110000</v>
      </c>
      <c r="L979" s="7">
        <f t="shared" si="61"/>
        <v>11000</v>
      </c>
      <c r="M979" s="7">
        <f t="shared" si="62"/>
        <v>99000</v>
      </c>
      <c r="N979" s="23">
        <v>48000</v>
      </c>
      <c r="O979" s="7">
        <f t="shared" si="63"/>
        <v>147000</v>
      </c>
      <c r="P979" s="2" t="s">
        <v>35</v>
      </c>
      <c r="Q979" t="str">
        <f>_xlfn.XLOOKUP(B979,Status!$A$2:$A$1867,Status!$B$2:$B$1867)</f>
        <v>Completed</v>
      </c>
      <c r="R979" s="2" t="s">
        <v>46</v>
      </c>
      <c r="S979" s="8">
        <v>3</v>
      </c>
      <c r="T979" s="2" t="s">
        <v>24</v>
      </c>
      <c r="U979" s="31" t="str" cm="1">
        <f t="array" ref="U979">_xlfn.IFS(L979&lt;=5000,$Z$3,AND(L979&gt;5000,L979&lt;=15000),$Z$4,AND(L979&gt;15000,L979&lt;=30000),$Z$5,AND(L979&gt;30000,L979&lt;=50000),$Z$6,L979&gt;50000,$Z$7)</f>
        <v>Rendah</v>
      </c>
      <c r="V979" s="2"/>
    </row>
    <row r="980" spans="1:22" ht="15.75" customHeight="1" x14ac:dyDescent="0.25">
      <c r="A980" s="26"/>
      <c r="B980" s="2" t="s">
        <v>1370</v>
      </c>
      <c r="C980" s="32">
        <v>45736.849074074067</v>
      </c>
      <c r="D980" s="53">
        <f>YEAR(Table1[[#This Row],[Order Date]])</f>
        <v>2025</v>
      </c>
      <c r="E980" s="2" t="s">
        <v>520</v>
      </c>
      <c r="F980" s="2" t="s">
        <v>103</v>
      </c>
      <c r="G980" s="2" t="s">
        <v>174</v>
      </c>
      <c r="H980" s="23">
        <v>10000</v>
      </c>
      <c r="I980" s="2">
        <v>4</v>
      </c>
      <c r="J980" s="31">
        <v>20</v>
      </c>
      <c r="K980" s="7">
        <f t="shared" si="60"/>
        <v>40000</v>
      </c>
      <c r="L980" s="7">
        <f t="shared" si="61"/>
        <v>8000</v>
      </c>
      <c r="M980" s="7">
        <f t="shared" si="62"/>
        <v>32000</v>
      </c>
      <c r="N980" s="23">
        <v>85000</v>
      </c>
      <c r="O980" s="7">
        <f t="shared" si="63"/>
        <v>117000</v>
      </c>
      <c r="P980" s="2" t="s">
        <v>29</v>
      </c>
      <c r="Q980" t="str">
        <f>_xlfn.XLOOKUP(B980,Status!$A$2:$A$1867,Status!$B$2:$B$1867)</f>
        <v>Completed</v>
      </c>
      <c r="R980" s="2" t="s">
        <v>30</v>
      </c>
      <c r="S980" s="8">
        <v>4</v>
      </c>
      <c r="T980" s="2" t="s">
        <v>24</v>
      </c>
      <c r="U980" s="31" t="str" cm="1">
        <f t="array" ref="U980">_xlfn.IFS(L980&lt;=5000,$Z$3,AND(L980&gt;5000,L980&lt;=15000),$Z$4,AND(L980&gt;15000,L980&lt;=30000),$Z$5,AND(L980&gt;30000,L980&lt;=50000),$Z$6,L980&gt;50000,$Z$7)</f>
        <v>Rendah</v>
      </c>
      <c r="V980" s="2"/>
    </row>
    <row r="981" spans="1:22" ht="15.75" customHeight="1" x14ac:dyDescent="0.25">
      <c r="A981" s="26"/>
      <c r="B981" s="2" t="s">
        <v>1371</v>
      </c>
      <c r="C981" s="32">
        <v>45737.027592592603</v>
      </c>
      <c r="D981" s="53">
        <f>YEAR(Table1[[#This Row],[Order Date]])</f>
        <v>2025</v>
      </c>
      <c r="E981" s="2" t="s">
        <v>389</v>
      </c>
      <c r="F981" s="2" t="s">
        <v>182</v>
      </c>
      <c r="G981" s="2" t="s">
        <v>21</v>
      </c>
      <c r="H981" s="23">
        <v>45000</v>
      </c>
      <c r="I981" s="2">
        <v>3</v>
      </c>
      <c r="J981" s="31">
        <v>20</v>
      </c>
      <c r="K981" s="7">
        <f t="shared" si="60"/>
        <v>135000</v>
      </c>
      <c r="L981" s="7">
        <f t="shared" si="61"/>
        <v>27000</v>
      </c>
      <c r="M981" s="7">
        <f t="shared" si="62"/>
        <v>108000</v>
      </c>
      <c r="N981" s="23">
        <v>48000</v>
      </c>
      <c r="O981" s="7">
        <f t="shared" si="63"/>
        <v>156000</v>
      </c>
      <c r="P981" s="2" t="s">
        <v>22</v>
      </c>
      <c r="Q981" t="str">
        <f>_xlfn.XLOOKUP(B981,Status!$A$2:$A$1867,Status!$B$2:$B$1867)</f>
        <v>Completed</v>
      </c>
      <c r="R981" s="2" t="s">
        <v>23</v>
      </c>
      <c r="S981" s="8">
        <v>1</v>
      </c>
      <c r="T981" s="2" t="s">
        <v>24</v>
      </c>
      <c r="U981" s="31" t="str" cm="1">
        <f t="array" ref="U981">_xlfn.IFS(L981&lt;=5000,$Z$3,AND(L981&gt;5000,L981&lt;=15000),$Z$4,AND(L981&gt;15000,L981&lt;=30000),$Z$5,AND(L981&gt;30000,L981&lt;=50000),$Z$6,L981&gt;50000,$Z$7)</f>
        <v>Normal</v>
      </c>
      <c r="V981" s="2"/>
    </row>
    <row r="982" spans="1:22" ht="15.75" customHeight="1" x14ac:dyDescent="0.25">
      <c r="A982" s="26"/>
      <c r="B982" s="2" t="s">
        <v>1372</v>
      </c>
      <c r="C982" s="32">
        <v>45737.09814814815</v>
      </c>
      <c r="D982" s="53">
        <f>YEAR(Table1[[#This Row],[Order Date]])</f>
        <v>2025</v>
      </c>
      <c r="E982" s="2" t="s">
        <v>530</v>
      </c>
      <c r="F982" s="2" t="s">
        <v>151</v>
      </c>
      <c r="G982" s="2" t="s">
        <v>75</v>
      </c>
      <c r="H982" s="23">
        <v>55000</v>
      </c>
      <c r="I982" s="2">
        <v>4</v>
      </c>
      <c r="J982" s="31">
        <v>5</v>
      </c>
      <c r="K982" s="7">
        <f t="shared" si="60"/>
        <v>220000</v>
      </c>
      <c r="L982" s="7">
        <f t="shared" si="61"/>
        <v>11000</v>
      </c>
      <c r="M982" s="7">
        <f t="shared" si="62"/>
        <v>209000</v>
      </c>
      <c r="N982" s="23">
        <v>55000</v>
      </c>
      <c r="O982" s="7">
        <f t="shared" si="63"/>
        <v>264000</v>
      </c>
      <c r="P982" s="2" t="s">
        <v>22</v>
      </c>
      <c r="Q982" t="str">
        <f>_xlfn.XLOOKUP(B982,Status!$A$2:$A$1867,Status!$B$2:$B$1867)</f>
        <v>Completed</v>
      </c>
      <c r="R982" s="2" t="s">
        <v>82</v>
      </c>
      <c r="S982" s="8">
        <v>2</v>
      </c>
      <c r="T982" s="2" t="s">
        <v>24</v>
      </c>
      <c r="U982" s="31" t="str" cm="1">
        <f t="array" ref="U982">_xlfn.IFS(L982&lt;=5000,$Z$3,AND(L982&gt;5000,L982&lt;=15000),$Z$4,AND(L982&gt;15000,L982&lt;=30000),$Z$5,AND(L982&gt;30000,L982&lt;=50000),$Z$6,L982&gt;50000,$Z$7)</f>
        <v>Rendah</v>
      </c>
      <c r="V982" s="2"/>
    </row>
    <row r="983" spans="1:22" ht="15.75" customHeight="1" x14ac:dyDescent="0.25">
      <c r="A983" s="26"/>
      <c r="B983" s="2" t="s">
        <v>1372</v>
      </c>
      <c r="C983" s="32">
        <v>45737.09814814815</v>
      </c>
      <c r="D983" s="53">
        <f>YEAR(Table1[[#This Row],[Order Date]])</f>
        <v>2025</v>
      </c>
      <c r="E983" s="2" t="s">
        <v>530</v>
      </c>
      <c r="F983" s="2" t="s">
        <v>151</v>
      </c>
      <c r="G983" s="2" t="s">
        <v>104</v>
      </c>
      <c r="H983" s="23">
        <v>30000</v>
      </c>
      <c r="I983" s="2">
        <v>3</v>
      </c>
      <c r="J983" s="31">
        <v>5</v>
      </c>
      <c r="K983" s="7">
        <f t="shared" si="60"/>
        <v>90000</v>
      </c>
      <c r="L983" s="7">
        <f t="shared" si="61"/>
        <v>4500</v>
      </c>
      <c r="M983" s="7">
        <f t="shared" si="62"/>
        <v>85500</v>
      </c>
      <c r="N983" s="23">
        <v>0</v>
      </c>
      <c r="O983" s="7">
        <f t="shared" si="63"/>
        <v>85500</v>
      </c>
      <c r="P983" s="2" t="s">
        <v>22</v>
      </c>
      <c r="Q983" t="str">
        <f>_xlfn.XLOOKUP(B983,Status!$A$2:$A$1867,Status!$B$2:$B$1867)</f>
        <v>Completed</v>
      </c>
      <c r="R983" s="2" t="s">
        <v>82</v>
      </c>
      <c r="S983" s="8">
        <v>2</v>
      </c>
      <c r="T983" s="2" t="s">
        <v>24</v>
      </c>
      <c r="U983" s="31" t="str" cm="1">
        <f t="array" ref="U983">_xlfn.IFS(L983&lt;=5000,$Z$3,AND(L983&gt;5000,L983&lt;=15000),$Z$4,AND(L983&gt;15000,L983&lt;=30000),$Z$5,AND(L983&gt;30000,L983&lt;=50000),$Z$6,L983&gt;50000,$Z$7)</f>
        <v>Sangat Rendah</v>
      </c>
      <c r="V983" s="2"/>
    </row>
    <row r="984" spans="1:22" ht="15.75" customHeight="1" x14ac:dyDescent="0.25">
      <c r="A984" s="26"/>
      <c r="B984" s="2" t="s">
        <v>1373</v>
      </c>
      <c r="C984" s="32">
        <v>45737.182812500003</v>
      </c>
      <c r="D984" s="53">
        <f>YEAR(Table1[[#This Row],[Order Date]])</f>
        <v>2025</v>
      </c>
      <c r="E984" s="2" t="s">
        <v>379</v>
      </c>
      <c r="F984" s="2" t="s">
        <v>27</v>
      </c>
      <c r="G984" s="2" t="s">
        <v>75</v>
      </c>
      <c r="H984" s="23">
        <v>55000</v>
      </c>
      <c r="I984" s="2">
        <v>4</v>
      </c>
      <c r="J984" s="31">
        <v>20</v>
      </c>
      <c r="K984" s="7">
        <f t="shared" si="60"/>
        <v>220000</v>
      </c>
      <c r="L984" s="7">
        <f t="shared" si="61"/>
        <v>44000</v>
      </c>
      <c r="M984" s="7">
        <f t="shared" si="62"/>
        <v>176000</v>
      </c>
      <c r="N984" s="23">
        <v>17000</v>
      </c>
      <c r="O984" s="7">
        <f t="shared" si="63"/>
        <v>193000</v>
      </c>
      <c r="P984" s="2" t="s">
        <v>29</v>
      </c>
      <c r="Q984" t="str">
        <f>_xlfn.XLOOKUP(B984,Status!$A$2:$A$1867,Status!$B$2:$B$1867)</f>
        <v>Returned</v>
      </c>
      <c r="R984" s="2" t="s">
        <v>46</v>
      </c>
      <c r="S984" s="8">
        <v>1</v>
      </c>
      <c r="T984" s="2" t="s">
        <v>24</v>
      </c>
      <c r="U984" s="31" t="str" cm="1">
        <f t="array" ref="U984">_xlfn.IFS(L984&lt;=5000,$Z$3,AND(L984&gt;5000,L984&lt;=15000),$Z$4,AND(L984&gt;15000,L984&lt;=30000),$Z$5,AND(L984&gt;30000,L984&lt;=50000),$Z$6,L984&gt;50000,$Z$7)</f>
        <v>Tinggi</v>
      </c>
      <c r="V984" s="2"/>
    </row>
    <row r="985" spans="1:22" ht="15.75" customHeight="1" x14ac:dyDescent="0.25">
      <c r="A985" s="26"/>
      <c r="B985" s="2" t="s">
        <v>1374</v>
      </c>
      <c r="C985" s="32">
        <v>45737.262083333328</v>
      </c>
      <c r="D985" s="53">
        <f>YEAR(Table1[[#This Row],[Order Date]])</f>
        <v>2025</v>
      </c>
      <c r="E985" s="2" t="s">
        <v>157</v>
      </c>
      <c r="F985" s="2" t="s">
        <v>20</v>
      </c>
      <c r="G985" s="2" t="s">
        <v>190</v>
      </c>
      <c r="H985" s="23">
        <v>35000</v>
      </c>
      <c r="I985" s="2">
        <v>1</v>
      </c>
      <c r="J985" s="31">
        <v>15</v>
      </c>
      <c r="K985" s="7">
        <f t="shared" si="60"/>
        <v>35000</v>
      </c>
      <c r="L985" s="7">
        <f t="shared" si="61"/>
        <v>5250</v>
      </c>
      <c r="M985" s="7">
        <f t="shared" si="62"/>
        <v>29750</v>
      </c>
      <c r="N985" s="23">
        <v>15000</v>
      </c>
      <c r="O985" s="7">
        <f t="shared" si="63"/>
        <v>44750</v>
      </c>
      <c r="P985" s="2" t="s">
        <v>29</v>
      </c>
      <c r="Q985" t="str">
        <f>_xlfn.XLOOKUP(B985,Status!$A$2:$A$1867,Status!$B$2:$B$1867)</f>
        <v>Completed</v>
      </c>
      <c r="R985" s="2" t="s">
        <v>30</v>
      </c>
      <c r="S985" s="8">
        <v>2</v>
      </c>
      <c r="T985" s="2" t="s">
        <v>24</v>
      </c>
      <c r="U985" s="31" t="str" cm="1">
        <f t="array" ref="U985">_xlfn.IFS(L985&lt;=5000,$Z$3,AND(L985&gt;5000,L985&lt;=15000),$Z$4,AND(L985&gt;15000,L985&lt;=30000),$Z$5,AND(L985&gt;30000,L985&lt;=50000),$Z$6,L985&gt;50000,$Z$7)</f>
        <v>Rendah</v>
      </c>
      <c r="V985" s="2"/>
    </row>
    <row r="986" spans="1:22" ht="15.75" customHeight="1" x14ac:dyDescent="0.25">
      <c r="A986" s="26"/>
      <c r="B986" s="2" t="s">
        <v>1375</v>
      </c>
      <c r="C986" s="32">
        <v>45737.274826388893</v>
      </c>
      <c r="D986" s="53">
        <f>YEAR(Table1[[#This Row],[Order Date]])</f>
        <v>2025</v>
      </c>
      <c r="E986" s="2" t="s">
        <v>197</v>
      </c>
      <c r="F986" s="2" t="s">
        <v>119</v>
      </c>
      <c r="G986" s="2" t="s">
        <v>93</v>
      </c>
      <c r="H986" s="23">
        <v>25000</v>
      </c>
      <c r="I986" s="2">
        <v>2</v>
      </c>
      <c r="J986" s="31">
        <v>0</v>
      </c>
      <c r="K986" s="7">
        <f t="shared" si="60"/>
        <v>50000</v>
      </c>
      <c r="L986" s="7">
        <f t="shared" si="61"/>
        <v>0</v>
      </c>
      <c r="M986" s="7">
        <f t="shared" si="62"/>
        <v>50000</v>
      </c>
      <c r="N986" s="23">
        <v>0</v>
      </c>
      <c r="O986" s="7">
        <f t="shared" si="63"/>
        <v>50000</v>
      </c>
      <c r="P986" s="2" t="s">
        <v>35</v>
      </c>
      <c r="Q986" t="str">
        <f>_xlfn.XLOOKUP(B986,Status!$A$2:$A$1867,Status!$B$2:$B$1867)</f>
        <v>Completed</v>
      </c>
      <c r="R986" s="2" t="s">
        <v>23</v>
      </c>
      <c r="S986" s="8">
        <v>1</v>
      </c>
      <c r="T986" s="2" t="s">
        <v>37</v>
      </c>
      <c r="U986" s="31" t="str" cm="1">
        <f t="array" ref="U986">_xlfn.IFS(L986&lt;=5000,$Z$3,AND(L986&gt;5000,L986&lt;=15000),$Z$4,AND(L986&gt;15000,L986&lt;=30000),$Z$5,AND(L986&gt;30000,L986&lt;=50000),$Z$6,L986&gt;50000,$Z$7)</f>
        <v>Sangat Rendah</v>
      </c>
      <c r="V986" s="2"/>
    </row>
    <row r="987" spans="1:22" ht="15.75" customHeight="1" x14ac:dyDescent="0.25">
      <c r="A987" s="26"/>
      <c r="B987" s="2" t="s">
        <v>1376</v>
      </c>
      <c r="C987" s="32">
        <v>45737.416400462957</v>
      </c>
      <c r="D987" s="53">
        <f>YEAR(Table1[[#This Row],[Order Date]])</f>
        <v>2025</v>
      </c>
      <c r="E987" s="2" t="s">
        <v>459</v>
      </c>
      <c r="F987" s="2" t="s">
        <v>61</v>
      </c>
      <c r="G987" s="2" t="s">
        <v>41</v>
      </c>
      <c r="H987" s="23">
        <v>4000</v>
      </c>
      <c r="I987" s="2">
        <v>1</v>
      </c>
      <c r="J987" s="31">
        <v>15</v>
      </c>
      <c r="K987" s="7">
        <f t="shared" si="60"/>
        <v>4000</v>
      </c>
      <c r="L987" s="7">
        <f t="shared" si="61"/>
        <v>600</v>
      </c>
      <c r="M987" s="7">
        <f t="shared" si="62"/>
        <v>3400</v>
      </c>
      <c r="N987" s="23">
        <v>26000</v>
      </c>
      <c r="O987" s="7">
        <f t="shared" si="63"/>
        <v>29400</v>
      </c>
      <c r="P987" s="2" t="s">
        <v>22</v>
      </c>
      <c r="Q987" t="str">
        <f>_xlfn.XLOOKUP(B987,Status!$A$2:$A$1867,Status!$B$2:$B$1867)</f>
        <v>Returned</v>
      </c>
      <c r="R987" s="2" t="s">
        <v>82</v>
      </c>
      <c r="S987" s="8">
        <v>1</v>
      </c>
      <c r="T987" s="2" t="s">
        <v>24</v>
      </c>
      <c r="U987" s="31" t="str" cm="1">
        <f t="array" ref="U987">_xlfn.IFS(L987&lt;=5000,$Z$3,AND(L987&gt;5000,L987&lt;=15000),$Z$4,AND(L987&gt;15000,L987&lt;=30000),$Z$5,AND(L987&gt;30000,L987&lt;=50000),$Z$6,L987&gt;50000,$Z$7)</f>
        <v>Sangat Rendah</v>
      </c>
      <c r="V987" s="2"/>
    </row>
    <row r="988" spans="1:22" ht="15.75" customHeight="1" x14ac:dyDescent="0.25">
      <c r="A988" s="26"/>
      <c r="B988" s="2" t="s">
        <v>1377</v>
      </c>
      <c r="C988" s="32">
        <v>45737.589224537027</v>
      </c>
      <c r="D988" s="53">
        <f>YEAR(Table1[[#This Row],[Order Date]])</f>
        <v>2025</v>
      </c>
      <c r="E988" s="2" t="s">
        <v>699</v>
      </c>
      <c r="F988" s="2" t="s">
        <v>238</v>
      </c>
      <c r="G988" s="2" t="s">
        <v>144</v>
      </c>
      <c r="H988" s="23">
        <v>18000</v>
      </c>
      <c r="I988" s="2">
        <v>3</v>
      </c>
      <c r="J988" s="31">
        <v>0</v>
      </c>
      <c r="K988" s="7">
        <f t="shared" si="60"/>
        <v>54000</v>
      </c>
      <c r="L988" s="7">
        <f t="shared" si="61"/>
        <v>0</v>
      </c>
      <c r="M988" s="7">
        <f t="shared" si="62"/>
        <v>54000</v>
      </c>
      <c r="N988" s="23">
        <v>28000</v>
      </c>
      <c r="O988" s="7">
        <f t="shared" si="63"/>
        <v>82000</v>
      </c>
      <c r="P988" s="2" t="s">
        <v>22</v>
      </c>
      <c r="Q988" t="str">
        <f>_xlfn.XLOOKUP(B988,Status!$A$2:$A$1867,Status!$B$2:$B$1867)</f>
        <v>Completed</v>
      </c>
      <c r="R988" s="2" t="s">
        <v>36</v>
      </c>
      <c r="S988" s="8">
        <v>4</v>
      </c>
      <c r="T988" s="2" t="s">
        <v>37</v>
      </c>
      <c r="U988" s="31" t="str" cm="1">
        <f t="array" ref="U988">_xlfn.IFS(L988&lt;=5000,$Z$3,AND(L988&gt;5000,L988&lt;=15000),$Z$4,AND(L988&gt;15000,L988&lt;=30000),$Z$5,AND(L988&gt;30000,L988&lt;=50000),$Z$6,L988&gt;50000,$Z$7)</f>
        <v>Sangat Rendah</v>
      </c>
      <c r="V988" s="2"/>
    </row>
    <row r="989" spans="1:22" ht="15.75" customHeight="1" x14ac:dyDescent="0.25">
      <c r="A989" s="26"/>
      <c r="B989" s="2" t="s">
        <v>1378</v>
      </c>
      <c r="C989" s="32">
        <v>45738.016157407408</v>
      </c>
      <c r="D989" s="53">
        <f>YEAR(Table1[[#This Row],[Order Date]])</f>
        <v>2025</v>
      </c>
      <c r="E989" s="2" t="s">
        <v>287</v>
      </c>
      <c r="F989" s="2" t="s">
        <v>262</v>
      </c>
      <c r="G989" s="2" t="s">
        <v>28</v>
      </c>
      <c r="H989" s="23">
        <v>5000</v>
      </c>
      <c r="I989" s="2">
        <v>2</v>
      </c>
      <c r="J989" s="31">
        <v>10</v>
      </c>
      <c r="K989" s="7">
        <f t="shared" si="60"/>
        <v>10000</v>
      </c>
      <c r="L989" s="7">
        <f t="shared" si="61"/>
        <v>1000</v>
      </c>
      <c r="M989" s="7">
        <f t="shared" si="62"/>
        <v>9000</v>
      </c>
      <c r="N989" s="23">
        <v>18000</v>
      </c>
      <c r="O989" s="7">
        <f t="shared" si="63"/>
        <v>27000</v>
      </c>
      <c r="P989" s="2" t="s">
        <v>35</v>
      </c>
      <c r="Q989" t="str">
        <f>_xlfn.XLOOKUP(B989,Status!$A$2:$A$1867,Status!$B$2:$B$1867)</f>
        <v>Completed</v>
      </c>
      <c r="R989" s="2" t="s">
        <v>30</v>
      </c>
      <c r="S989" s="8">
        <v>4</v>
      </c>
      <c r="T989" s="2" t="s">
        <v>24</v>
      </c>
      <c r="U989" s="31" t="str" cm="1">
        <f t="array" ref="U989">_xlfn.IFS(L989&lt;=5000,$Z$3,AND(L989&gt;5000,L989&lt;=15000),$Z$4,AND(L989&gt;15000,L989&lt;=30000),$Z$5,AND(L989&gt;30000,L989&lt;=50000),$Z$6,L989&gt;50000,$Z$7)</f>
        <v>Sangat Rendah</v>
      </c>
      <c r="V989" s="2"/>
    </row>
    <row r="990" spans="1:22" ht="15.75" customHeight="1" x14ac:dyDescent="0.25">
      <c r="A990" s="26"/>
      <c r="B990" s="2" t="s">
        <v>1379</v>
      </c>
      <c r="C990" s="32">
        <v>45738.317511574067</v>
      </c>
      <c r="D990" s="53">
        <f>YEAR(Table1[[#This Row],[Order Date]])</f>
        <v>2025</v>
      </c>
      <c r="E990" s="2" t="s">
        <v>425</v>
      </c>
      <c r="F990" s="2" t="s">
        <v>44</v>
      </c>
      <c r="G990" s="2" t="s">
        <v>190</v>
      </c>
      <c r="H990" s="23">
        <v>35000</v>
      </c>
      <c r="I990" s="2">
        <v>1</v>
      </c>
      <c r="J990" s="31">
        <v>5</v>
      </c>
      <c r="K990" s="7">
        <f t="shared" si="60"/>
        <v>35000</v>
      </c>
      <c r="L990" s="7">
        <f t="shared" si="61"/>
        <v>1750</v>
      </c>
      <c r="M990" s="7">
        <f t="shared" si="62"/>
        <v>33250</v>
      </c>
      <c r="N990" s="23">
        <v>93000</v>
      </c>
      <c r="O990" s="7">
        <f t="shared" si="63"/>
        <v>126250</v>
      </c>
      <c r="P990" s="2" t="s">
        <v>35</v>
      </c>
      <c r="Q990" t="str">
        <f>_xlfn.XLOOKUP(B990,Status!$A$2:$A$1867,Status!$B$2:$B$1867)</f>
        <v>Completed</v>
      </c>
      <c r="R990" s="2" t="s">
        <v>46</v>
      </c>
      <c r="S990" s="8">
        <v>3</v>
      </c>
      <c r="T990" s="2" t="s">
        <v>37</v>
      </c>
      <c r="U990" s="31" t="str" cm="1">
        <f t="array" ref="U990">_xlfn.IFS(L990&lt;=5000,$Z$3,AND(L990&gt;5000,L990&lt;=15000),$Z$4,AND(L990&gt;15000,L990&lt;=30000),$Z$5,AND(L990&gt;30000,L990&lt;=50000),$Z$6,L990&gt;50000,$Z$7)</f>
        <v>Sangat Rendah</v>
      </c>
      <c r="V990" s="2"/>
    </row>
    <row r="991" spans="1:22" ht="15.75" customHeight="1" x14ac:dyDescent="0.25">
      <c r="A991" s="26"/>
      <c r="B991" s="2" t="s">
        <v>1380</v>
      </c>
      <c r="C991" s="32">
        <v>45738.897222222222</v>
      </c>
      <c r="D991" s="53">
        <f>YEAR(Table1[[#This Row],[Order Date]])</f>
        <v>2025</v>
      </c>
      <c r="E991" s="2" t="s">
        <v>983</v>
      </c>
      <c r="F991" s="2" t="s">
        <v>262</v>
      </c>
      <c r="G991" s="2" t="s">
        <v>41</v>
      </c>
      <c r="H991" s="23">
        <v>4000</v>
      </c>
      <c r="I991" s="2">
        <v>4</v>
      </c>
      <c r="J991" s="31">
        <v>0</v>
      </c>
      <c r="K991" s="7">
        <f t="shared" si="60"/>
        <v>16000</v>
      </c>
      <c r="L991" s="7">
        <f t="shared" si="61"/>
        <v>0</v>
      </c>
      <c r="M991" s="7">
        <f t="shared" si="62"/>
        <v>16000</v>
      </c>
      <c r="N991" s="23">
        <v>18000</v>
      </c>
      <c r="O991" s="7">
        <f t="shared" si="63"/>
        <v>34000</v>
      </c>
      <c r="P991" s="2" t="s">
        <v>22</v>
      </c>
      <c r="Q991" t="str">
        <f>_xlfn.XLOOKUP(B991,Status!$A$2:$A$1867,Status!$B$2:$B$1867)</f>
        <v>Completed</v>
      </c>
      <c r="R991" s="2" t="s">
        <v>46</v>
      </c>
      <c r="S991" s="8">
        <v>3</v>
      </c>
      <c r="T991" s="2" t="s">
        <v>37</v>
      </c>
      <c r="U991" s="31" t="str" cm="1">
        <f t="array" ref="U991">_xlfn.IFS(L991&lt;=5000,$Z$3,AND(L991&gt;5000,L991&lt;=15000),$Z$4,AND(L991&gt;15000,L991&lt;=30000),$Z$5,AND(L991&gt;30000,L991&lt;=50000),$Z$6,L991&gt;50000,$Z$7)</f>
        <v>Sangat Rendah</v>
      </c>
      <c r="V991" s="2"/>
    </row>
    <row r="992" spans="1:22" ht="15.75" customHeight="1" x14ac:dyDescent="0.25">
      <c r="A992" s="26"/>
      <c r="B992" s="2" t="s">
        <v>1381</v>
      </c>
      <c r="C992" s="32">
        <v>45739.073599537027</v>
      </c>
      <c r="D992" s="53">
        <f>YEAR(Table1[[#This Row],[Order Date]])</f>
        <v>2025</v>
      </c>
      <c r="E992" s="2" t="s">
        <v>1382</v>
      </c>
      <c r="F992" s="2" t="s">
        <v>74</v>
      </c>
      <c r="G992" s="2" t="s">
        <v>93</v>
      </c>
      <c r="H992" s="23">
        <v>25000</v>
      </c>
      <c r="I992" s="2">
        <v>5</v>
      </c>
      <c r="J992" s="31">
        <v>5</v>
      </c>
      <c r="K992" s="7">
        <f t="shared" si="60"/>
        <v>125000</v>
      </c>
      <c r="L992" s="7">
        <f t="shared" si="61"/>
        <v>6250</v>
      </c>
      <c r="M992" s="7">
        <f t="shared" si="62"/>
        <v>118750</v>
      </c>
      <c r="N992" s="23">
        <v>87000</v>
      </c>
      <c r="O992" s="7">
        <f t="shared" si="63"/>
        <v>205750</v>
      </c>
      <c r="P992" s="2" t="s">
        <v>29</v>
      </c>
      <c r="Q992" t="str">
        <f>_xlfn.XLOOKUP(B992,Status!$A$2:$A$1867,Status!$B$2:$B$1867)</f>
        <v>Completed</v>
      </c>
      <c r="R992" s="2" t="s">
        <v>30</v>
      </c>
      <c r="S992" s="8">
        <v>1</v>
      </c>
      <c r="T992" s="2" t="s">
        <v>24</v>
      </c>
      <c r="U992" s="31" t="str" cm="1">
        <f t="array" ref="U992">_xlfn.IFS(L992&lt;=5000,$Z$3,AND(L992&gt;5000,L992&lt;=15000),$Z$4,AND(L992&gt;15000,L992&lt;=30000),$Z$5,AND(L992&gt;30000,L992&lt;=50000),$Z$6,L992&gt;50000,$Z$7)</f>
        <v>Rendah</v>
      </c>
      <c r="V992" s="2"/>
    </row>
    <row r="993" spans="1:22" ht="15.75" customHeight="1" x14ac:dyDescent="0.25">
      <c r="A993" s="26"/>
      <c r="B993" s="2" t="s">
        <v>1383</v>
      </c>
      <c r="C993" s="32">
        <v>45739.2190625</v>
      </c>
      <c r="D993" s="53">
        <f>YEAR(Table1[[#This Row],[Order Date]])</f>
        <v>2025</v>
      </c>
      <c r="E993" s="2" t="s">
        <v>355</v>
      </c>
      <c r="F993" s="2" t="s">
        <v>116</v>
      </c>
      <c r="G993" s="2" t="s">
        <v>104</v>
      </c>
      <c r="H993" s="23">
        <v>30000</v>
      </c>
      <c r="I993" s="2">
        <v>3</v>
      </c>
      <c r="J993" s="31">
        <v>10</v>
      </c>
      <c r="K993" s="7">
        <f t="shared" si="60"/>
        <v>90000</v>
      </c>
      <c r="L993" s="7">
        <f t="shared" si="61"/>
        <v>9000</v>
      </c>
      <c r="M993" s="7">
        <f t="shared" si="62"/>
        <v>81000</v>
      </c>
      <c r="N993" s="23">
        <v>72000</v>
      </c>
      <c r="O993" s="7">
        <f t="shared" si="63"/>
        <v>153000</v>
      </c>
      <c r="P993" s="2" t="s">
        <v>29</v>
      </c>
      <c r="Q993" t="str">
        <f>_xlfn.XLOOKUP(B993,Status!$A$2:$A$1867,Status!$B$2:$B$1867)</f>
        <v>Completed</v>
      </c>
      <c r="R993" s="2" t="s">
        <v>23</v>
      </c>
      <c r="S993" s="8">
        <v>3</v>
      </c>
      <c r="T993" s="2" t="s">
        <v>24</v>
      </c>
      <c r="U993" s="31" t="str" cm="1">
        <f t="array" ref="U993">_xlfn.IFS(L993&lt;=5000,$Z$3,AND(L993&gt;5000,L993&lt;=15000),$Z$4,AND(L993&gt;15000,L993&lt;=30000),$Z$5,AND(L993&gt;30000,L993&lt;=50000),$Z$6,L993&gt;50000,$Z$7)</f>
        <v>Rendah</v>
      </c>
      <c r="V993" s="2"/>
    </row>
    <row r="994" spans="1:22" ht="15.75" customHeight="1" x14ac:dyDescent="0.25">
      <c r="A994" s="26"/>
      <c r="B994" s="2" t="s">
        <v>1384</v>
      </c>
      <c r="C994" s="32">
        <v>45739.852824074071</v>
      </c>
      <c r="D994" s="53">
        <f>YEAR(Table1[[#This Row],[Order Date]])</f>
        <v>2025</v>
      </c>
      <c r="E994" s="2" t="s">
        <v>150</v>
      </c>
      <c r="F994" s="2" t="s">
        <v>151</v>
      </c>
      <c r="G994" s="2" t="s">
        <v>144</v>
      </c>
      <c r="H994" s="23">
        <v>18000</v>
      </c>
      <c r="I994" s="2">
        <v>3</v>
      </c>
      <c r="J994" s="31">
        <v>20</v>
      </c>
      <c r="K994" s="7">
        <f t="shared" si="60"/>
        <v>54000</v>
      </c>
      <c r="L994" s="7">
        <f t="shared" si="61"/>
        <v>10800</v>
      </c>
      <c r="M994" s="7">
        <f t="shared" si="62"/>
        <v>43200</v>
      </c>
      <c r="N994" s="23">
        <v>55000</v>
      </c>
      <c r="O994" s="7">
        <f t="shared" si="63"/>
        <v>98200</v>
      </c>
      <c r="P994" s="2" t="s">
        <v>22</v>
      </c>
      <c r="Q994" t="str">
        <f>_xlfn.XLOOKUP(B994,Status!$A$2:$A$1867,Status!$B$2:$B$1867)</f>
        <v>Cancelled</v>
      </c>
      <c r="R994" s="2" t="s">
        <v>23</v>
      </c>
      <c r="S994" s="8">
        <v>1</v>
      </c>
      <c r="T994" s="2" t="s">
        <v>37</v>
      </c>
      <c r="U994" s="31" t="str" cm="1">
        <f t="array" ref="U994">_xlfn.IFS(L994&lt;=5000,$Z$3,AND(L994&gt;5000,L994&lt;=15000),$Z$4,AND(L994&gt;15000,L994&lt;=30000),$Z$5,AND(L994&gt;30000,L994&lt;=50000),$Z$6,L994&gt;50000,$Z$7)</f>
        <v>Rendah</v>
      </c>
      <c r="V994" s="2"/>
    </row>
    <row r="995" spans="1:22" ht="15.75" customHeight="1" x14ac:dyDescent="0.25">
      <c r="A995" s="26"/>
      <c r="B995" s="2" t="s">
        <v>1385</v>
      </c>
      <c r="C995" s="32">
        <v>45740.333715277768</v>
      </c>
      <c r="D995" s="53">
        <f>YEAR(Table1[[#This Row],[Order Date]])</f>
        <v>2025</v>
      </c>
      <c r="E995" s="2" t="s">
        <v>796</v>
      </c>
      <c r="F995" s="2" t="s">
        <v>119</v>
      </c>
      <c r="G995" s="2" t="s">
        <v>93</v>
      </c>
      <c r="H995" s="23">
        <v>25000</v>
      </c>
      <c r="I995" s="2">
        <v>4</v>
      </c>
      <c r="J995" s="31">
        <v>15</v>
      </c>
      <c r="K995" s="7">
        <f t="shared" si="60"/>
        <v>100000</v>
      </c>
      <c r="L995" s="7">
        <f t="shared" si="61"/>
        <v>15000</v>
      </c>
      <c r="M995" s="7">
        <f t="shared" si="62"/>
        <v>85000</v>
      </c>
      <c r="N995" s="23">
        <v>0</v>
      </c>
      <c r="O995" s="7">
        <f t="shared" si="63"/>
        <v>85000</v>
      </c>
      <c r="P995" s="2" t="s">
        <v>35</v>
      </c>
      <c r="Q995" t="str">
        <f>_xlfn.XLOOKUP(B995,Status!$A$2:$A$1867,Status!$B$2:$B$1867)</f>
        <v>Completed</v>
      </c>
      <c r="R995" s="2" t="s">
        <v>36</v>
      </c>
      <c r="S995" s="8">
        <v>4</v>
      </c>
      <c r="T995" s="2" t="s">
        <v>24</v>
      </c>
      <c r="U995" s="31" t="str" cm="1">
        <f t="array" ref="U995">_xlfn.IFS(L995&lt;=5000,$Z$3,AND(L995&gt;5000,L995&lt;=15000),$Z$4,AND(L995&gt;15000,L995&lt;=30000),$Z$5,AND(L995&gt;30000,L995&lt;=50000),$Z$6,L995&gt;50000,$Z$7)</f>
        <v>Rendah</v>
      </c>
      <c r="V995" s="2"/>
    </row>
    <row r="996" spans="1:22" ht="15.75" customHeight="1" x14ac:dyDescent="0.25">
      <c r="A996" s="26"/>
      <c r="B996" s="2" t="s">
        <v>1386</v>
      </c>
      <c r="C996" s="32">
        <v>45741.51085648148</v>
      </c>
      <c r="D996" s="53">
        <f>YEAR(Table1[[#This Row],[Order Date]])</f>
        <v>2025</v>
      </c>
      <c r="E996" s="2" t="s">
        <v>79</v>
      </c>
      <c r="F996" s="2" t="s">
        <v>80</v>
      </c>
      <c r="G996" s="2" t="s">
        <v>250</v>
      </c>
      <c r="H996" s="23">
        <v>18000</v>
      </c>
      <c r="I996" s="2">
        <v>2</v>
      </c>
      <c r="J996" s="31">
        <v>10</v>
      </c>
      <c r="K996" s="7">
        <f t="shared" si="60"/>
        <v>36000</v>
      </c>
      <c r="L996" s="7">
        <f t="shared" si="61"/>
        <v>3600</v>
      </c>
      <c r="M996" s="7">
        <f t="shared" si="62"/>
        <v>32400</v>
      </c>
      <c r="N996" s="23">
        <v>74000</v>
      </c>
      <c r="O996" s="7">
        <f t="shared" si="63"/>
        <v>106400</v>
      </c>
      <c r="P996" s="2" t="s">
        <v>63</v>
      </c>
      <c r="Q996" t="str">
        <f>_xlfn.XLOOKUP(B996,Status!$A$2:$A$1867,Status!$B$2:$B$1867)</f>
        <v>Completed</v>
      </c>
      <c r="R996" s="2" t="s">
        <v>23</v>
      </c>
      <c r="S996" s="8">
        <v>4</v>
      </c>
      <c r="T996" s="2" t="s">
        <v>24</v>
      </c>
      <c r="U996" s="31" t="str" cm="1">
        <f t="array" ref="U996">_xlfn.IFS(L996&lt;=5000,$Z$3,AND(L996&gt;5000,L996&lt;=15000),$Z$4,AND(L996&gt;15000,L996&lt;=30000),$Z$5,AND(L996&gt;30000,L996&lt;=50000),$Z$6,L996&gt;50000,$Z$7)</f>
        <v>Sangat Rendah</v>
      </c>
      <c r="V996" s="2"/>
    </row>
    <row r="997" spans="1:22" ht="15.75" customHeight="1" x14ac:dyDescent="0.25">
      <c r="A997" s="26"/>
      <c r="B997" s="2" t="s">
        <v>1387</v>
      </c>
      <c r="C997" s="32">
        <v>45741.629004629627</v>
      </c>
      <c r="D997" s="53">
        <f>YEAR(Table1[[#This Row],[Order Date]])</f>
        <v>2025</v>
      </c>
      <c r="E997" s="2" t="s">
        <v>1122</v>
      </c>
      <c r="F997" s="2" t="s">
        <v>33</v>
      </c>
      <c r="G997" s="2" t="s">
        <v>136</v>
      </c>
      <c r="H997" s="23">
        <v>12000</v>
      </c>
      <c r="I997" s="2">
        <v>4</v>
      </c>
      <c r="J997" s="31">
        <v>5</v>
      </c>
      <c r="K997" s="7">
        <f t="shared" si="60"/>
        <v>48000</v>
      </c>
      <c r="L997" s="7">
        <f t="shared" si="61"/>
        <v>2400</v>
      </c>
      <c r="M997" s="7">
        <f t="shared" si="62"/>
        <v>45600</v>
      </c>
      <c r="N997" s="23">
        <v>76000</v>
      </c>
      <c r="O997" s="7">
        <f t="shared" si="63"/>
        <v>121600</v>
      </c>
      <c r="P997" s="2" t="s">
        <v>22</v>
      </c>
      <c r="Q997" t="str">
        <f>_xlfn.XLOOKUP(B997,Status!$A$2:$A$1867,Status!$B$2:$B$1867)</f>
        <v>Completed</v>
      </c>
      <c r="R997" s="2" t="s">
        <v>30</v>
      </c>
      <c r="S997" s="8">
        <v>4</v>
      </c>
      <c r="T997" s="2" t="s">
        <v>24</v>
      </c>
      <c r="U997" s="31" t="str" cm="1">
        <f t="array" ref="U997">_xlfn.IFS(L997&lt;=5000,$Z$3,AND(L997&gt;5000,L997&lt;=15000),$Z$4,AND(L997&gt;15000,L997&lt;=30000),$Z$5,AND(L997&gt;30000,L997&lt;=50000),$Z$6,L997&gt;50000,$Z$7)</f>
        <v>Sangat Rendah</v>
      </c>
      <c r="V997" s="2"/>
    </row>
    <row r="998" spans="1:22" ht="15.75" customHeight="1" x14ac:dyDescent="0.25">
      <c r="A998" s="26"/>
      <c r="B998" s="2" t="s">
        <v>1388</v>
      </c>
      <c r="C998" s="32">
        <v>45741.712824074071</v>
      </c>
      <c r="D998" s="53">
        <f>YEAR(Table1[[#This Row],[Order Date]])</f>
        <v>2025</v>
      </c>
      <c r="E998" s="2" t="s">
        <v>821</v>
      </c>
      <c r="F998" s="2" t="s">
        <v>131</v>
      </c>
      <c r="G998" s="2" t="s">
        <v>136</v>
      </c>
      <c r="H998" s="23">
        <v>12000</v>
      </c>
      <c r="I998" s="2">
        <v>5</v>
      </c>
      <c r="J998" s="31">
        <v>5</v>
      </c>
      <c r="K998" s="7">
        <f t="shared" si="60"/>
        <v>60000</v>
      </c>
      <c r="L998" s="7">
        <f t="shared" si="61"/>
        <v>3000</v>
      </c>
      <c r="M998" s="7">
        <f t="shared" si="62"/>
        <v>57000</v>
      </c>
      <c r="N998" s="23">
        <v>59000</v>
      </c>
      <c r="O998" s="7">
        <f t="shared" si="63"/>
        <v>116000</v>
      </c>
      <c r="P998" s="2" t="s">
        <v>35</v>
      </c>
      <c r="Q998" t="str">
        <f>_xlfn.XLOOKUP(B998,Status!$A$2:$A$1867,Status!$B$2:$B$1867)</f>
        <v>Completed</v>
      </c>
      <c r="R998" s="2" t="s">
        <v>23</v>
      </c>
      <c r="S998" s="8">
        <v>1</v>
      </c>
      <c r="T998" s="2" t="s">
        <v>24</v>
      </c>
      <c r="U998" s="31" t="str" cm="1">
        <f t="array" ref="U998">_xlfn.IFS(L998&lt;=5000,$Z$3,AND(L998&gt;5000,L998&lt;=15000),$Z$4,AND(L998&gt;15000,L998&lt;=30000),$Z$5,AND(L998&gt;30000,L998&lt;=50000),$Z$6,L998&gt;50000,$Z$7)</f>
        <v>Sangat Rendah</v>
      </c>
      <c r="V998" s="2"/>
    </row>
    <row r="999" spans="1:22" ht="15.75" customHeight="1" x14ac:dyDescent="0.25">
      <c r="A999" s="26"/>
      <c r="B999" s="2" t="s">
        <v>1389</v>
      </c>
      <c r="C999" s="32">
        <v>45741.821875000001</v>
      </c>
      <c r="D999" s="53">
        <f>YEAR(Table1[[#This Row],[Order Date]])</f>
        <v>2025</v>
      </c>
      <c r="E999" s="2" t="s">
        <v>1061</v>
      </c>
      <c r="F999" s="2" t="s">
        <v>44</v>
      </c>
      <c r="G999" s="2" t="s">
        <v>250</v>
      </c>
      <c r="H999" s="23">
        <v>18000</v>
      </c>
      <c r="I999" s="2">
        <v>3</v>
      </c>
      <c r="J999" s="31">
        <v>15</v>
      </c>
      <c r="K999" s="7">
        <f t="shared" si="60"/>
        <v>54000</v>
      </c>
      <c r="L999" s="7">
        <f t="shared" si="61"/>
        <v>8100</v>
      </c>
      <c r="M999" s="7">
        <f t="shared" si="62"/>
        <v>45900</v>
      </c>
      <c r="N999" s="23">
        <v>93000</v>
      </c>
      <c r="O999" s="7">
        <f t="shared" si="63"/>
        <v>138900</v>
      </c>
      <c r="P999" s="2" t="s">
        <v>63</v>
      </c>
      <c r="Q999" t="str">
        <f>_xlfn.XLOOKUP(B999,Status!$A$2:$A$1867,Status!$B$2:$B$1867)</f>
        <v>Returned</v>
      </c>
      <c r="R999" s="2" t="s">
        <v>36</v>
      </c>
      <c r="S999" s="8">
        <v>4</v>
      </c>
      <c r="T999" s="2" t="s">
        <v>37</v>
      </c>
      <c r="U999" s="31" t="str" cm="1">
        <f t="array" ref="U999">_xlfn.IFS(L999&lt;=5000,$Z$3,AND(L999&gt;5000,L999&lt;=15000),$Z$4,AND(L999&gt;15000,L999&lt;=30000),$Z$5,AND(L999&gt;30000,L999&lt;=50000),$Z$6,L999&gt;50000,$Z$7)</f>
        <v>Rendah</v>
      </c>
      <c r="V999" s="2"/>
    </row>
    <row r="1000" spans="1:22" ht="15.75" customHeight="1" x14ac:dyDescent="0.25">
      <c r="A1000" s="26"/>
      <c r="B1000" s="2" t="s">
        <v>1390</v>
      </c>
      <c r="C1000" s="32">
        <v>45741.848124999997</v>
      </c>
      <c r="D1000" s="53">
        <f>YEAR(Table1[[#This Row],[Order Date]])</f>
        <v>2025</v>
      </c>
      <c r="E1000" s="2" t="s">
        <v>179</v>
      </c>
      <c r="F1000" s="2" t="s">
        <v>66</v>
      </c>
      <c r="G1000" s="2" t="s">
        <v>41</v>
      </c>
      <c r="H1000" s="23">
        <v>4000</v>
      </c>
      <c r="I1000" s="2">
        <v>5</v>
      </c>
      <c r="J1000" s="31">
        <v>15</v>
      </c>
      <c r="K1000" s="7">
        <f t="shared" si="60"/>
        <v>20000</v>
      </c>
      <c r="L1000" s="7">
        <f t="shared" si="61"/>
        <v>3000</v>
      </c>
      <c r="M1000" s="7">
        <f t="shared" si="62"/>
        <v>17000</v>
      </c>
      <c r="N1000" s="23">
        <v>59000</v>
      </c>
      <c r="O1000" s="7">
        <f t="shared" si="63"/>
        <v>76000</v>
      </c>
      <c r="P1000" s="2" t="s">
        <v>22</v>
      </c>
      <c r="Q1000" t="str">
        <f>_xlfn.XLOOKUP(B1000,Status!$A$2:$A$1867,Status!$B$2:$B$1867)</f>
        <v>Completed</v>
      </c>
      <c r="R1000" s="2" t="s">
        <v>23</v>
      </c>
      <c r="S1000" s="8">
        <v>5</v>
      </c>
      <c r="T1000" s="2" t="s">
        <v>24</v>
      </c>
      <c r="U1000" s="31" t="str" cm="1">
        <f t="array" ref="U1000">_xlfn.IFS(L1000&lt;=5000,$Z$3,AND(L1000&gt;5000,L1000&lt;=15000),$Z$4,AND(L1000&gt;15000,L1000&lt;=30000),$Z$5,AND(L1000&gt;30000,L1000&lt;=50000),$Z$6,L1000&gt;50000,$Z$7)</f>
        <v>Sangat Rendah</v>
      </c>
      <c r="V1000" s="2"/>
    </row>
    <row r="1001" spans="1:22" ht="15.75" customHeight="1" x14ac:dyDescent="0.25">
      <c r="A1001" s="26"/>
      <c r="B1001" s="2" t="s">
        <v>1391</v>
      </c>
      <c r="C1001" s="32">
        <v>45741.960219907407</v>
      </c>
      <c r="D1001" s="53">
        <f>YEAR(Table1[[#This Row],[Order Date]])</f>
        <v>2025</v>
      </c>
      <c r="E1001" s="2" t="s">
        <v>1033</v>
      </c>
      <c r="F1001" s="2" t="s">
        <v>122</v>
      </c>
      <c r="G1001" s="2" t="s">
        <v>81</v>
      </c>
      <c r="H1001" s="23">
        <v>17000</v>
      </c>
      <c r="I1001" s="2">
        <v>2</v>
      </c>
      <c r="J1001" s="31">
        <v>5</v>
      </c>
      <c r="K1001" s="7">
        <f t="shared" si="60"/>
        <v>34000</v>
      </c>
      <c r="L1001" s="7">
        <f t="shared" si="61"/>
        <v>1700</v>
      </c>
      <c r="M1001" s="7">
        <f t="shared" si="62"/>
        <v>32300</v>
      </c>
      <c r="N1001" s="23">
        <v>78000</v>
      </c>
      <c r="O1001" s="7">
        <f t="shared" si="63"/>
        <v>110300</v>
      </c>
      <c r="P1001" s="2" t="s">
        <v>22</v>
      </c>
      <c r="Q1001" t="str">
        <f>_xlfn.XLOOKUP(B1001,Status!$A$2:$A$1867,Status!$B$2:$B$1867)</f>
        <v>Completed</v>
      </c>
      <c r="R1001" s="2" t="s">
        <v>82</v>
      </c>
      <c r="S1001" s="8">
        <v>4</v>
      </c>
      <c r="T1001" s="2" t="s">
        <v>24</v>
      </c>
      <c r="U1001" s="31" t="str" cm="1">
        <f t="array" ref="U1001">_xlfn.IFS(L1001&lt;=5000,$Z$3,AND(L1001&gt;5000,L1001&lt;=15000),$Z$4,AND(L1001&gt;15000,L1001&lt;=30000),$Z$5,AND(L1001&gt;30000,L1001&lt;=50000),$Z$6,L1001&gt;50000,$Z$7)</f>
        <v>Sangat Rendah</v>
      </c>
      <c r="V1001" s="2"/>
    </row>
    <row r="1002" spans="1:22" ht="15.75" customHeight="1" x14ac:dyDescent="0.25">
      <c r="A1002" s="26"/>
      <c r="B1002" s="2" t="s">
        <v>1392</v>
      </c>
      <c r="C1002" s="32">
        <v>45741.97420138889</v>
      </c>
      <c r="D1002" s="53">
        <f>YEAR(Table1[[#This Row],[Order Date]])</f>
        <v>2025</v>
      </c>
      <c r="E1002" s="2" t="s">
        <v>1003</v>
      </c>
      <c r="F1002" s="2" t="s">
        <v>262</v>
      </c>
      <c r="G1002" s="2" t="s">
        <v>71</v>
      </c>
      <c r="H1002" s="23">
        <v>40000</v>
      </c>
      <c r="I1002" s="2">
        <v>2</v>
      </c>
      <c r="J1002" s="31">
        <v>0</v>
      </c>
      <c r="K1002" s="7">
        <f t="shared" si="60"/>
        <v>80000</v>
      </c>
      <c r="L1002" s="7">
        <f t="shared" si="61"/>
        <v>0</v>
      </c>
      <c r="M1002" s="7">
        <f t="shared" si="62"/>
        <v>80000</v>
      </c>
      <c r="N1002" s="23">
        <v>18000</v>
      </c>
      <c r="O1002" s="7">
        <f t="shared" si="63"/>
        <v>98000</v>
      </c>
      <c r="P1002" s="2" t="s">
        <v>29</v>
      </c>
      <c r="Q1002" t="str">
        <f>_xlfn.XLOOKUP(B1002,Status!$A$2:$A$1867,Status!$B$2:$B$1867)</f>
        <v>Completed</v>
      </c>
      <c r="R1002" s="2" t="s">
        <v>46</v>
      </c>
      <c r="S1002" s="8">
        <v>5</v>
      </c>
      <c r="T1002" s="2" t="s">
        <v>24</v>
      </c>
      <c r="U1002" s="31" t="str" cm="1">
        <f t="array" ref="U1002">_xlfn.IFS(L1002&lt;=5000,$Z$3,AND(L1002&gt;5000,L1002&lt;=15000),$Z$4,AND(L1002&gt;15000,L1002&lt;=30000),$Z$5,AND(L1002&gt;30000,L1002&lt;=50000),$Z$6,L1002&gt;50000,$Z$7)</f>
        <v>Sangat Rendah</v>
      </c>
      <c r="V1002" s="2"/>
    </row>
    <row r="1003" spans="1:22" ht="15.75" customHeight="1" x14ac:dyDescent="0.25">
      <c r="A1003" s="26"/>
      <c r="B1003" s="2" t="s">
        <v>1393</v>
      </c>
      <c r="C1003" s="32">
        <v>45742.000601851847</v>
      </c>
      <c r="D1003" s="53">
        <f>YEAR(Table1[[#This Row],[Order Date]])</f>
        <v>2025</v>
      </c>
      <c r="E1003" s="2" t="s">
        <v>1053</v>
      </c>
      <c r="F1003" s="2" t="s">
        <v>80</v>
      </c>
      <c r="G1003" s="2" t="s">
        <v>136</v>
      </c>
      <c r="H1003" s="23">
        <v>12000</v>
      </c>
      <c r="I1003" s="2">
        <v>3</v>
      </c>
      <c r="J1003" s="31">
        <v>5</v>
      </c>
      <c r="K1003" s="7">
        <f t="shared" si="60"/>
        <v>36000</v>
      </c>
      <c r="L1003" s="7">
        <f t="shared" si="61"/>
        <v>1800</v>
      </c>
      <c r="M1003" s="7">
        <f t="shared" si="62"/>
        <v>34200</v>
      </c>
      <c r="N1003" s="23">
        <v>74000</v>
      </c>
      <c r="O1003" s="7">
        <f t="shared" si="63"/>
        <v>108200</v>
      </c>
      <c r="P1003" s="2" t="s">
        <v>63</v>
      </c>
      <c r="Q1003" t="str">
        <f>_xlfn.XLOOKUP(B1003,Status!$A$2:$A$1867,Status!$B$2:$B$1867)</f>
        <v>Returned</v>
      </c>
      <c r="R1003" s="2" t="s">
        <v>46</v>
      </c>
      <c r="S1003" s="8">
        <v>5</v>
      </c>
      <c r="T1003" s="2" t="s">
        <v>24</v>
      </c>
      <c r="U1003" s="31" t="str" cm="1">
        <f t="array" ref="U1003">_xlfn.IFS(L1003&lt;=5000,$Z$3,AND(L1003&gt;5000,L1003&lt;=15000),$Z$4,AND(L1003&gt;15000,L1003&lt;=30000),$Z$5,AND(L1003&gt;30000,L1003&lt;=50000),$Z$6,L1003&gt;50000,$Z$7)</f>
        <v>Sangat Rendah</v>
      </c>
      <c r="V1003" s="2"/>
    </row>
    <row r="1004" spans="1:22" ht="15.75" customHeight="1" x14ac:dyDescent="0.25">
      <c r="A1004" s="26"/>
      <c r="B1004" s="2" t="s">
        <v>1394</v>
      </c>
      <c r="C1004" s="32">
        <v>45742.223946759259</v>
      </c>
      <c r="D1004" s="53">
        <f>YEAR(Table1[[#This Row],[Order Date]])</f>
        <v>2025</v>
      </c>
      <c r="E1004" s="2" t="s">
        <v>295</v>
      </c>
      <c r="F1004" s="2" t="s">
        <v>296</v>
      </c>
      <c r="G1004" s="2" t="s">
        <v>50</v>
      </c>
      <c r="H1004" s="23">
        <v>14000</v>
      </c>
      <c r="I1004" s="2">
        <v>5</v>
      </c>
      <c r="J1004" s="31">
        <v>0</v>
      </c>
      <c r="K1004" s="7">
        <f t="shared" si="60"/>
        <v>70000</v>
      </c>
      <c r="L1004" s="7">
        <f t="shared" si="61"/>
        <v>0</v>
      </c>
      <c r="M1004" s="7">
        <f t="shared" si="62"/>
        <v>70000</v>
      </c>
      <c r="N1004" s="23">
        <v>79000</v>
      </c>
      <c r="O1004" s="7">
        <f t="shared" si="63"/>
        <v>149000</v>
      </c>
      <c r="P1004" s="2" t="s">
        <v>22</v>
      </c>
      <c r="Q1004" t="str">
        <f>_xlfn.XLOOKUP(B1004,Status!$A$2:$A$1867,Status!$B$2:$B$1867)</f>
        <v>Returned</v>
      </c>
      <c r="R1004" s="2" t="s">
        <v>82</v>
      </c>
      <c r="S1004" s="8">
        <v>4</v>
      </c>
      <c r="T1004" s="2" t="s">
        <v>24</v>
      </c>
      <c r="U1004" s="31" t="str" cm="1">
        <f t="array" ref="U1004">_xlfn.IFS(L1004&lt;=5000,$Z$3,AND(L1004&gt;5000,L1004&lt;=15000),$Z$4,AND(L1004&gt;15000,L1004&lt;=30000),$Z$5,AND(L1004&gt;30000,L1004&lt;=50000),$Z$6,L1004&gt;50000,$Z$7)</f>
        <v>Sangat Rendah</v>
      </c>
      <c r="V1004" s="2"/>
    </row>
    <row r="1005" spans="1:22" ht="15.75" customHeight="1" x14ac:dyDescent="0.25">
      <c r="A1005" s="26"/>
      <c r="B1005" s="2" t="s">
        <v>1394</v>
      </c>
      <c r="C1005" s="32">
        <v>45742.223946759259</v>
      </c>
      <c r="D1005" s="53">
        <f>YEAR(Table1[[#This Row],[Order Date]])</f>
        <v>2025</v>
      </c>
      <c r="E1005" s="2" t="s">
        <v>295</v>
      </c>
      <c r="F1005" s="2" t="s">
        <v>296</v>
      </c>
      <c r="G1005" s="2" t="s">
        <v>41</v>
      </c>
      <c r="H1005" s="23">
        <v>4000</v>
      </c>
      <c r="I1005" s="2">
        <v>1</v>
      </c>
      <c r="J1005" s="31">
        <v>5</v>
      </c>
      <c r="K1005" s="7">
        <f t="shared" si="60"/>
        <v>4000</v>
      </c>
      <c r="L1005" s="7">
        <f t="shared" si="61"/>
        <v>200</v>
      </c>
      <c r="M1005" s="7">
        <f t="shared" si="62"/>
        <v>3800</v>
      </c>
      <c r="N1005" s="23">
        <v>0</v>
      </c>
      <c r="O1005" s="7">
        <f t="shared" si="63"/>
        <v>3800</v>
      </c>
      <c r="P1005" s="2" t="s">
        <v>22</v>
      </c>
      <c r="Q1005" t="str">
        <f>_xlfn.XLOOKUP(B1005,Status!$A$2:$A$1867,Status!$B$2:$B$1867)</f>
        <v>Returned</v>
      </c>
      <c r="R1005" s="2" t="s">
        <v>82</v>
      </c>
      <c r="S1005" s="8">
        <v>4</v>
      </c>
      <c r="T1005" s="2" t="s">
        <v>24</v>
      </c>
      <c r="U1005" s="31" t="str" cm="1">
        <f t="array" ref="U1005">_xlfn.IFS(L1005&lt;=5000,$Z$3,AND(L1005&gt;5000,L1005&lt;=15000),$Z$4,AND(L1005&gt;15000,L1005&lt;=30000),$Z$5,AND(L1005&gt;30000,L1005&lt;=50000),$Z$6,L1005&gt;50000,$Z$7)</f>
        <v>Sangat Rendah</v>
      </c>
      <c r="V1005" s="2"/>
    </row>
    <row r="1006" spans="1:22" ht="15.75" customHeight="1" x14ac:dyDescent="0.25">
      <c r="A1006" s="26"/>
      <c r="B1006" s="2" t="s">
        <v>1395</v>
      </c>
      <c r="C1006" s="32">
        <v>45742.256909722222</v>
      </c>
      <c r="D1006" s="53">
        <f>YEAR(Table1[[#This Row],[Order Date]])</f>
        <v>2025</v>
      </c>
      <c r="E1006" s="2" t="s">
        <v>1396</v>
      </c>
      <c r="F1006" s="2" t="s">
        <v>435</v>
      </c>
      <c r="G1006" s="2" t="s">
        <v>50</v>
      </c>
      <c r="H1006" s="23">
        <v>14000</v>
      </c>
      <c r="I1006" s="2">
        <v>4</v>
      </c>
      <c r="J1006" s="31">
        <v>0</v>
      </c>
      <c r="K1006" s="7">
        <f t="shared" si="60"/>
        <v>56000</v>
      </c>
      <c r="L1006" s="7">
        <f t="shared" si="61"/>
        <v>0</v>
      </c>
      <c r="M1006" s="7">
        <f t="shared" si="62"/>
        <v>56000</v>
      </c>
      <c r="N1006" s="23">
        <v>67000</v>
      </c>
      <c r="O1006" s="7">
        <f t="shared" si="63"/>
        <v>123000</v>
      </c>
      <c r="P1006" s="2" t="s">
        <v>29</v>
      </c>
      <c r="Q1006" t="str">
        <f>_xlfn.XLOOKUP(B1006,Status!$A$2:$A$1867,Status!$B$2:$B$1867)</f>
        <v>Completed</v>
      </c>
      <c r="R1006" s="2" t="s">
        <v>82</v>
      </c>
      <c r="S1006" s="8">
        <v>1</v>
      </c>
      <c r="T1006" s="2" t="s">
        <v>24</v>
      </c>
      <c r="U1006" s="31" t="str" cm="1">
        <f t="array" ref="U1006">_xlfn.IFS(L1006&lt;=5000,$Z$3,AND(L1006&gt;5000,L1006&lt;=15000),$Z$4,AND(L1006&gt;15000,L1006&lt;=30000),$Z$5,AND(L1006&gt;30000,L1006&lt;=50000),$Z$6,L1006&gt;50000,$Z$7)</f>
        <v>Sangat Rendah</v>
      </c>
      <c r="V1006" s="2"/>
    </row>
    <row r="1007" spans="1:22" ht="15.75" customHeight="1" x14ac:dyDescent="0.25">
      <c r="A1007" s="26"/>
      <c r="B1007" s="2" t="s">
        <v>1397</v>
      </c>
      <c r="C1007" s="32">
        <v>45742.446446759262</v>
      </c>
      <c r="D1007" s="53">
        <f>YEAR(Table1[[#This Row],[Order Date]])</f>
        <v>2025</v>
      </c>
      <c r="E1007" s="2" t="s">
        <v>1263</v>
      </c>
      <c r="F1007" s="2" t="s">
        <v>435</v>
      </c>
      <c r="G1007" s="2" t="s">
        <v>45</v>
      </c>
      <c r="H1007" s="23">
        <v>40000</v>
      </c>
      <c r="I1007" s="2">
        <v>2</v>
      </c>
      <c r="J1007" s="31">
        <v>10</v>
      </c>
      <c r="K1007" s="7">
        <f t="shared" si="60"/>
        <v>80000</v>
      </c>
      <c r="L1007" s="7">
        <f t="shared" si="61"/>
        <v>8000</v>
      </c>
      <c r="M1007" s="7">
        <f t="shared" si="62"/>
        <v>72000</v>
      </c>
      <c r="N1007" s="23">
        <v>67000</v>
      </c>
      <c r="O1007" s="7">
        <f t="shared" si="63"/>
        <v>139000</v>
      </c>
      <c r="P1007" s="2" t="s">
        <v>35</v>
      </c>
      <c r="Q1007" t="str">
        <f>_xlfn.XLOOKUP(B1007,Status!$A$2:$A$1867,Status!$B$2:$B$1867)</f>
        <v>Completed</v>
      </c>
      <c r="R1007" s="2" t="s">
        <v>46</v>
      </c>
      <c r="S1007" s="8">
        <v>2</v>
      </c>
      <c r="T1007" s="2" t="s">
        <v>24</v>
      </c>
      <c r="U1007" s="31" t="str" cm="1">
        <f t="array" ref="U1007">_xlfn.IFS(L1007&lt;=5000,$Z$3,AND(L1007&gt;5000,L1007&lt;=15000),$Z$4,AND(L1007&gt;15000,L1007&lt;=30000),$Z$5,AND(L1007&gt;30000,L1007&lt;=50000),$Z$6,L1007&gt;50000,$Z$7)</f>
        <v>Rendah</v>
      </c>
      <c r="V1007" s="2"/>
    </row>
    <row r="1008" spans="1:22" ht="15.75" customHeight="1" x14ac:dyDescent="0.25">
      <c r="A1008" s="26"/>
      <c r="B1008" s="2" t="s">
        <v>1398</v>
      </c>
      <c r="C1008" s="32">
        <v>45742.488703703697</v>
      </c>
      <c r="D1008" s="53">
        <f>YEAR(Table1[[#This Row],[Order Date]])</f>
        <v>2025</v>
      </c>
      <c r="E1008" s="2" t="s">
        <v>502</v>
      </c>
      <c r="F1008" s="2" t="s">
        <v>107</v>
      </c>
      <c r="G1008" s="2" t="s">
        <v>21</v>
      </c>
      <c r="H1008" s="23">
        <v>45000</v>
      </c>
      <c r="I1008" s="2">
        <v>1</v>
      </c>
      <c r="J1008" s="31">
        <v>15</v>
      </c>
      <c r="K1008" s="7">
        <f t="shared" si="60"/>
        <v>45000</v>
      </c>
      <c r="L1008" s="7">
        <f t="shared" si="61"/>
        <v>6750</v>
      </c>
      <c r="M1008" s="7">
        <f t="shared" si="62"/>
        <v>38250</v>
      </c>
      <c r="N1008" s="23">
        <v>97000</v>
      </c>
      <c r="O1008" s="7">
        <f t="shared" si="63"/>
        <v>135250</v>
      </c>
      <c r="P1008" s="2" t="s">
        <v>22</v>
      </c>
      <c r="Q1008" t="str">
        <f>_xlfn.XLOOKUP(B1008,Status!$A$2:$A$1867,Status!$B$2:$B$1867)</f>
        <v>Completed</v>
      </c>
      <c r="R1008" s="2" t="s">
        <v>36</v>
      </c>
      <c r="S1008" s="8">
        <v>1</v>
      </c>
      <c r="T1008" s="2" t="s">
        <v>24</v>
      </c>
      <c r="U1008" s="31" t="str" cm="1">
        <f t="array" ref="U1008">_xlfn.IFS(L1008&lt;=5000,$Z$3,AND(L1008&gt;5000,L1008&lt;=15000),$Z$4,AND(L1008&gt;15000,L1008&lt;=30000),$Z$5,AND(L1008&gt;30000,L1008&lt;=50000),$Z$6,L1008&gt;50000,$Z$7)</f>
        <v>Rendah</v>
      </c>
      <c r="V1008" s="2"/>
    </row>
    <row r="1009" spans="1:22" ht="15.75" customHeight="1" x14ac:dyDescent="0.25">
      <c r="A1009" s="26"/>
      <c r="B1009" s="2" t="s">
        <v>1399</v>
      </c>
      <c r="C1009" s="32">
        <v>45743.070451388892</v>
      </c>
      <c r="D1009" s="53">
        <f>YEAR(Table1[[#This Row],[Order Date]])</f>
        <v>2025</v>
      </c>
      <c r="E1009" s="2" t="s">
        <v>307</v>
      </c>
      <c r="F1009" s="2" t="s">
        <v>70</v>
      </c>
      <c r="G1009" s="2" t="s">
        <v>104</v>
      </c>
      <c r="H1009" s="23">
        <v>30000</v>
      </c>
      <c r="I1009" s="2">
        <v>2</v>
      </c>
      <c r="J1009" s="31">
        <v>10</v>
      </c>
      <c r="K1009" s="7">
        <f t="shared" si="60"/>
        <v>60000</v>
      </c>
      <c r="L1009" s="7">
        <f t="shared" si="61"/>
        <v>6000</v>
      </c>
      <c r="M1009" s="7">
        <f t="shared" si="62"/>
        <v>54000</v>
      </c>
      <c r="N1009" s="23">
        <v>89000</v>
      </c>
      <c r="O1009" s="7">
        <f t="shared" si="63"/>
        <v>143000</v>
      </c>
      <c r="P1009" s="2" t="s">
        <v>35</v>
      </c>
      <c r="Q1009" t="str">
        <f>_xlfn.XLOOKUP(B1009,Status!$A$2:$A$1867,Status!$B$2:$B$1867)</f>
        <v>Completed</v>
      </c>
      <c r="R1009" s="2" t="s">
        <v>30</v>
      </c>
      <c r="S1009" s="8">
        <v>1</v>
      </c>
      <c r="T1009" s="2" t="s">
        <v>24</v>
      </c>
      <c r="U1009" s="31" t="str" cm="1">
        <f t="array" ref="U1009">_xlfn.IFS(L1009&lt;=5000,$Z$3,AND(L1009&gt;5000,L1009&lt;=15000),$Z$4,AND(L1009&gt;15000,L1009&lt;=30000),$Z$5,AND(L1009&gt;30000,L1009&lt;=50000),$Z$6,L1009&gt;50000,$Z$7)</f>
        <v>Rendah</v>
      </c>
      <c r="V1009" s="2"/>
    </row>
    <row r="1010" spans="1:22" ht="15.75" customHeight="1" x14ac:dyDescent="0.25">
      <c r="A1010" s="26"/>
      <c r="B1010" s="2" t="s">
        <v>1400</v>
      </c>
      <c r="C1010" s="32">
        <v>45743.113888888889</v>
      </c>
      <c r="D1010" s="53">
        <f>YEAR(Table1[[#This Row],[Order Date]])</f>
        <v>2025</v>
      </c>
      <c r="E1010" s="2" t="s">
        <v>1005</v>
      </c>
      <c r="F1010" s="2" t="s">
        <v>122</v>
      </c>
      <c r="G1010" s="2" t="s">
        <v>190</v>
      </c>
      <c r="H1010" s="23">
        <v>35000</v>
      </c>
      <c r="I1010" s="2">
        <v>4</v>
      </c>
      <c r="J1010" s="31">
        <v>20</v>
      </c>
      <c r="K1010" s="7">
        <f t="shared" si="60"/>
        <v>140000</v>
      </c>
      <c r="L1010" s="7">
        <f t="shared" si="61"/>
        <v>28000</v>
      </c>
      <c r="M1010" s="7">
        <f t="shared" si="62"/>
        <v>112000</v>
      </c>
      <c r="N1010" s="23">
        <v>78000</v>
      </c>
      <c r="O1010" s="7">
        <f t="shared" si="63"/>
        <v>190000</v>
      </c>
      <c r="P1010" s="2" t="s">
        <v>22</v>
      </c>
      <c r="Q1010" t="str">
        <f>_xlfn.XLOOKUP(B1010,Status!$A$2:$A$1867,Status!$B$2:$B$1867)</f>
        <v>Returned</v>
      </c>
      <c r="R1010" s="2" t="s">
        <v>82</v>
      </c>
      <c r="S1010" s="8">
        <v>5</v>
      </c>
      <c r="T1010" s="2" t="s">
        <v>24</v>
      </c>
      <c r="U1010" s="31" t="str" cm="1">
        <f t="array" ref="U1010">_xlfn.IFS(L1010&lt;=5000,$Z$3,AND(L1010&gt;5000,L1010&lt;=15000),$Z$4,AND(L1010&gt;15000,L1010&lt;=30000),$Z$5,AND(L1010&gt;30000,L1010&lt;=50000),$Z$6,L1010&gt;50000,$Z$7)</f>
        <v>Normal</v>
      </c>
      <c r="V1010" s="2"/>
    </row>
    <row r="1011" spans="1:22" ht="15.75" customHeight="1" x14ac:dyDescent="0.25">
      <c r="A1011" s="26"/>
      <c r="B1011" s="2" t="s">
        <v>1401</v>
      </c>
      <c r="C1011" s="32">
        <v>45743.153726851851</v>
      </c>
      <c r="D1011" s="53">
        <f>YEAR(Table1[[#This Row],[Order Date]])</f>
        <v>2025</v>
      </c>
      <c r="E1011" s="2" t="s">
        <v>203</v>
      </c>
      <c r="F1011" s="2" t="s">
        <v>20</v>
      </c>
      <c r="G1011" s="2" t="s">
        <v>93</v>
      </c>
      <c r="H1011" s="23">
        <v>25000</v>
      </c>
      <c r="I1011" s="2">
        <v>1</v>
      </c>
      <c r="J1011" s="31">
        <v>20</v>
      </c>
      <c r="K1011" s="7">
        <f t="shared" si="60"/>
        <v>25000</v>
      </c>
      <c r="L1011" s="7">
        <f t="shared" si="61"/>
        <v>5000</v>
      </c>
      <c r="M1011" s="7">
        <f t="shared" si="62"/>
        <v>20000</v>
      </c>
      <c r="N1011" s="23">
        <v>15000</v>
      </c>
      <c r="O1011" s="7">
        <f t="shared" si="63"/>
        <v>35000</v>
      </c>
      <c r="P1011" s="2" t="s">
        <v>22</v>
      </c>
      <c r="Q1011" t="str">
        <f>_xlfn.XLOOKUP(B1011,Status!$A$2:$A$1867,Status!$B$2:$B$1867)</f>
        <v>Completed</v>
      </c>
      <c r="R1011" s="2" t="s">
        <v>30</v>
      </c>
      <c r="S1011" s="8">
        <v>5</v>
      </c>
      <c r="T1011" s="2" t="s">
        <v>24</v>
      </c>
      <c r="U1011" s="31" t="str" cm="1">
        <f t="array" ref="U1011">_xlfn.IFS(L1011&lt;=5000,$Z$3,AND(L1011&gt;5000,L1011&lt;=15000),$Z$4,AND(L1011&gt;15000,L1011&lt;=30000),$Z$5,AND(L1011&gt;30000,L1011&lt;=50000),$Z$6,L1011&gt;50000,$Z$7)</f>
        <v>Sangat Rendah</v>
      </c>
      <c r="V1011" s="2"/>
    </row>
    <row r="1012" spans="1:22" ht="15.75" customHeight="1" x14ac:dyDescent="0.25">
      <c r="A1012" s="26"/>
      <c r="B1012" s="2" t="s">
        <v>1402</v>
      </c>
      <c r="C1012" s="32">
        <v>45743.156956018523</v>
      </c>
      <c r="D1012" s="53">
        <f>YEAR(Table1[[#This Row],[Order Date]])</f>
        <v>2025</v>
      </c>
      <c r="E1012" s="2" t="s">
        <v>883</v>
      </c>
      <c r="F1012" s="2" t="s">
        <v>44</v>
      </c>
      <c r="G1012" s="2" t="s">
        <v>38</v>
      </c>
      <c r="H1012" s="23">
        <v>28000</v>
      </c>
      <c r="I1012" s="2">
        <v>2</v>
      </c>
      <c r="J1012" s="31">
        <v>20</v>
      </c>
      <c r="K1012" s="7">
        <f t="shared" si="60"/>
        <v>56000</v>
      </c>
      <c r="L1012" s="7">
        <f t="shared" si="61"/>
        <v>11200</v>
      </c>
      <c r="M1012" s="7">
        <f t="shared" si="62"/>
        <v>44800</v>
      </c>
      <c r="N1012" s="23">
        <v>93000</v>
      </c>
      <c r="O1012" s="7">
        <f t="shared" si="63"/>
        <v>137800</v>
      </c>
      <c r="P1012" s="2" t="s">
        <v>63</v>
      </c>
      <c r="Q1012" t="str">
        <f>_xlfn.XLOOKUP(B1012,Status!$A$2:$A$1867,Status!$B$2:$B$1867)</f>
        <v>Completed</v>
      </c>
      <c r="R1012" s="2" t="s">
        <v>23</v>
      </c>
      <c r="S1012" s="8">
        <v>1</v>
      </c>
      <c r="T1012" s="2" t="s">
        <v>37</v>
      </c>
      <c r="U1012" s="31" t="str" cm="1">
        <f t="array" ref="U1012">_xlfn.IFS(L1012&lt;=5000,$Z$3,AND(L1012&gt;5000,L1012&lt;=15000),$Z$4,AND(L1012&gt;15000,L1012&lt;=30000),$Z$5,AND(L1012&gt;30000,L1012&lt;=50000),$Z$6,L1012&gt;50000,$Z$7)</f>
        <v>Rendah</v>
      </c>
      <c r="V1012" s="2"/>
    </row>
    <row r="1013" spans="1:22" ht="15.75" customHeight="1" x14ac:dyDescent="0.25">
      <c r="A1013" s="26"/>
      <c r="B1013" s="2" t="s">
        <v>1403</v>
      </c>
      <c r="C1013" s="32">
        <v>45743.376828703702</v>
      </c>
      <c r="D1013" s="53">
        <f>YEAR(Table1[[#This Row],[Order Date]])</f>
        <v>2025</v>
      </c>
      <c r="E1013" s="2" t="s">
        <v>188</v>
      </c>
      <c r="F1013" s="2" t="s">
        <v>189</v>
      </c>
      <c r="G1013" s="2" t="s">
        <v>186</v>
      </c>
      <c r="H1013" s="23">
        <v>45000</v>
      </c>
      <c r="I1013" s="2">
        <v>3</v>
      </c>
      <c r="J1013" s="31">
        <v>15</v>
      </c>
      <c r="K1013" s="7">
        <f t="shared" si="60"/>
        <v>135000</v>
      </c>
      <c r="L1013" s="7">
        <f t="shared" si="61"/>
        <v>20250</v>
      </c>
      <c r="M1013" s="7">
        <f t="shared" si="62"/>
        <v>114750</v>
      </c>
      <c r="N1013" s="23">
        <v>57000</v>
      </c>
      <c r="O1013" s="7">
        <f t="shared" si="63"/>
        <v>171750</v>
      </c>
      <c r="P1013" s="2" t="s">
        <v>29</v>
      </c>
      <c r="Q1013" t="str">
        <f>_xlfn.XLOOKUP(B1013,Status!$A$2:$A$1867,Status!$B$2:$B$1867)</f>
        <v>Completed</v>
      </c>
      <c r="R1013" s="2" t="s">
        <v>30</v>
      </c>
      <c r="S1013" s="8">
        <v>3</v>
      </c>
      <c r="T1013" s="2" t="s">
        <v>24</v>
      </c>
      <c r="U1013" s="31" t="str" cm="1">
        <f t="array" ref="U1013">_xlfn.IFS(L1013&lt;=5000,$Z$3,AND(L1013&gt;5000,L1013&lt;=15000),$Z$4,AND(L1013&gt;15000,L1013&lt;=30000),$Z$5,AND(L1013&gt;30000,L1013&lt;=50000),$Z$6,L1013&gt;50000,$Z$7)</f>
        <v>Normal</v>
      </c>
      <c r="V1013" s="2"/>
    </row>
    <row r="1014" spans="1:22" ht="15.75" customHeight="1" x14ac:dyDescent="0.25">
      <c r="A1014" s="26"/>
      <c r="B1014" s="2" t="s">
        <v>1403</v>
      </c>
      <c r="C1014" s="32">
        <v>45743.376828703702</v>
      </c>
      <c r="D1014" s="53">
        <f>YEAR(Table1[[#This Row],[Order Date]])</f>
        <v>2025</v>
      </c>
      <c r="E1014" s="2" t="s">
        <v>188</v>
      </c>
      <c r="F1014" s="2" t="s">
        <v>189</v>
      </c>
      <c r="G1014" s="2" t="s">
        <v>41</v>
      </c>
      <c r="H1014" s="23">
        <v>4000</v>
      </c>
      <c r="I1014" s="2">
        <v>2</v>
      </c>
      <c r="J1014" s="31">
        <v>0</v>
      </c>
      <c r="K1014" s="7">
        <f t="shared" si="60"/>
        <v>8000</v>
      </c>
      <c r="L1014" s="7">
        <f t="shared" si="61"/>
        <v>0</v>
      </c>
      <c r="M1014" s="7">
        <f t="shared" si="62"/>
        <v>8000</v>
      </c>
      <c r="N1014" s="23">
        <v>0</v>
      </c>
      <c r="O1014" s="7">
        <f t="shared" si="63"/>
        <v>8000</v>
      </c>
      <c r="P1014" s="2" t="s">
        <v>29</v>
      </c>
      <c r="Q1014" t="str">
        <f>_xlfn.XLOOKUP(B1014,Status!$A$2:$A$1867,Status!$B$2:$B$1867)</f>
        <v>Completed</v>
      </c>
      <c r="R1014" s="2" t="s">
        <v>30</v>
      </c>
      <c r="S1014" s="8">
        <v>3</v>
      </c>
      <c r="T1014" s="2" t="s">
        <v>24</v>
      </c>
      <c r="U1014" s="31" t="str" cm="1">
        <f t="array" ref="U1014">_xlfn.IFS(L1014&lt;=5000,$Z$3,AND(L1014&gt;5000,L1014&lt;=15000),$Z$4,AND(L1014&gt;15000,L1014&lt;=30000),$Z$5,AND(L1014&gt;30000,L1014&lt;=50000),$Z$6,L1014&gt;50000,$Z$7)</f>
        <v>Sangat Rendah</v>
      </c>
      <c r="V1014" s="2"/>
    </row>
    <row r="1015" spans="1:22" ht="15.75" customHeight="1" x14ac:dyDescent="0.25">
      <c r="A1015" s="26"/>
      <c r="B1015" s="2" t="s">
        <v>1404</v>
      </c>
      <c r="C1015" s="32">
        <v>45743.42528935185</v>
      </c>
      <c r="D1015" s="53">
        <f>YEAR(Table1[[#This Row],[Order Date]])</f>
        <v>2025</v>
      </c>
      <c r="E1015" s="2" t="s">
        <v>287</v>
      </c>
      <c r="F1015" s="2" t="s">
        <v>262</v>
      </c>
      <c r="G1015" s="2" t="s">
        <v>45</v>
      </c>
      <c r="H1015" s="23">
        <v>40000</v>
      </c>
      <c r="I1015" s="2">
        <v>1</v>
      </c>
      <c r="J1015" s="31">
        <v>15</v>
      </c>
      <c r="K1015" s="7">
        <f t="shared" si="60"/>
        <v>40000</v>
      </c>
      <c r="L1015" s="7">
        <f t="shared" si="61"/>
        <v>6000</v>
      </c>
      <c r="M1015" s="7">
        <f t="shared" si="62"/>
        <v>34000</v>
      </c>
      <c r="N1015" s="23">
        <v>18000</v>
      </c>
      <c r="O1015" s="7">
        <f t="shared" si="63"/>
        <v>52000</v>
      </c>
      <c r="P1015" s="2" t="s">
        <v>35</v>
      </c>
      <c r="Q1015" t="str">
        <f>_xlfn.XLOOKUP(B1015,Status!$A$2:$A$1867,Status!$B$2:$B$1867)</f>
        <v>Completed</v>
      </c>
      <c r="R1015" s="2" t="s">
        <v>46</v>
      </c>
      <c r="S1015" s="8">
        <v>5</v>
      </c>
      <c r="T1015" s="2" t="s">
        <v>24</v>
      </c>
      <c r="U1015" s="31" t="str" cm="1">
        <f t="array" ref="U1015">_xlfn.IFS(L1015&lt;=5000,$Z$3,AND(L1015&gt;5000,L1015&lt;=15000),$Z$4,AND(L1015&gt;15000,L1015&lt;=30000),$Z$5,AND(L1015&gt;30000,L1015&lt;=50000),$Z$6,L1015&gt;50000,$Z$7)</f>
        <v>Rendah</v>
      </c>
      <c r="V1015" s="2"/>
    </row>
    <row r="1016" spans="1:22" ht="15.75" customHeight="1" x14ac:dyDescent="0.25">
      <c r="A1016" s="26"/>
      <c r="B1016" s="2" t="s">
        <v>1405</v>
      </c>
      <c r="C1016" s="32">
        <v>45743.454618055563</v>
      </c>
      <c r="D1016" s="53">
        <f>YEAR(Table1[[#This Row],[Order Date]])</f>
        <v>2025</v>
      </c>
      <c r="E1016" s="2" t="s">
        <v>451</v>
      </c>
      <c r="F1016" s="2" t="s">
        <v>116</v>
      </c>
      <c r="G1016" s="2" t="s">
        <v>54</v>
      </c>
      <c r="H1016" s="23">
        <v>16000</v>
      </c>
      <c r="I1016" s="2">
        <v>1</v>
      </c>
      <c r="J1016" s="31">
        <v>5</v>
      </c>
      <c r="K1016" s="7">
        <f t="shared" si="60"/>
        <v>16000</v>
      </c>
      <c r="L1016" s="7">
        <f t="shared" si="61"/>
        <v>800</v>
      </c>
      <c r="M1016" s="7">
        <f t="shared" si="62"/>
        <v>15200</v>
      </c>
      <c r="N1016" s="23">
        <v>72000</v>
      </c>
      <c r="O1016" s="7">
        <f t="shared" si="63"/>
        <v>87200</v>
      </c>
      <c r="P1016" s="2" t="s">
        <v>29</v>
      </c>
      <c r="Q1016" t="str">
        <f>_xlfn.XLOOKUP(B1016,Status!$A$2:$A$1867,Status!$B$2:$B$1867)</f>
        <v>Returned</v>
      </c>
      <c r="R1016" s="2" t="s">
        <v>30</v>
      </c>
      <c r="S1016" s="8">
        <v>5</v>
      </c>
      <c r="T1016" s="2" t="s">
        <v>24</v>
      </c>
      <c r="U1016" s="31" t="str" cm="1">
        <f t="array" ref="U1016">_xlfn.IFS(L1016&lt;=5000,$Z$3,AND(L1016&gt;5000,L1016&lt;=15000),$Z$4,AND(L1016&gt;15000,L1016&lt;=30000),$Z$5,AND(L1016&gt;30000,L1016&lt;=50000),$Z$6,L1016&gt;50000,$Z$7)</f>
        <v>Sangat Rendah</v>
      </c>
      <c r="V1016" s="2"/>
    </row>
    <row r="1017" spans="1:22" ht="15.75" customHeight="1" x14ac:dyDescent="0.25">
      <c r="A1017" s="26"/>
      <c r="B1017" s="2" t="s">
        <v>1406</v>
      </c>
      <c r="C1017" s="32">
        <v>45743.784884259258</v>
      </c>
      <c r="D1017" s="53">
        <f>YEAR(Table1[[#This Row],[Order Date]])</f>
        <v>2025</v>
      </c>
      <c r="E1017" s="2" t="s">
        <v>121</v>
      </c>
      <c r="F1017" s="2" t="s">
        <v>122</v>
      </c>
      <c r="G1017" s="2" t="s">
        <v>186</v>
      </c>
      <c r="H1017" s="23">
        <v>45000</v>
      </c>
      <c r="I1017" s="2">
        <v>3</v>
      </c>
      <c r="J1017" s="31">
        <v>15</v>
      </c>
      <c r="K1017" s="7">
        <f t="shared" si="60"/>
        <v>135000</v>
      </c>
      <c r="L1017" s="7">
        <f t="shared" si="61"/>
        <v>20250</v>
      </c>
      <c r="M1017" s="7">
        <f t="shared" si="62"/>
        <v>114750</v>
      </c>
      <c r="N1017" s="23">
        <v>78000</v>
      </c>
      <c r="O1017" s="7">
        <f t="shared" si="63"/>
        <v>192750</v>
      </c>
      <c r="P1017" s="2" t="s">
        <v>22</v>
      </c>
      <c r="Q1017" t="str">
        <f>_xlfn.XLOOKUP(B1017,Status!$A$2:$A$1867,Status!$B$2:$B$1867)</f>
        <v>Returned</v>
      </c>
      <c r="R1017" s="2" t="s">
        <v>30</v>
      </c>
      <c r="S1017" s="8">
        <v>5</v>
      </c>
      <c r="T1017" s="2" t="s">
        <v>24</v>
      </c>
      <c r="U1017" s="31" t="str" cm="1">
        <f t="array" ref="U1017">_xlfn.IFS(L1017&lt;=5000,$Z$3,AND(L1017&gt;5000,L1017&lt;=15000),$Z$4,AND(L1017&gt;15000,L1017&lt;=30000),$Z$5,AND(L1017&gt;30000,L1017&lt;=50000),$Z$6,L1017&gt;50000,$Z$7)</f>
        <v>Normal</v>
      </c>
      <c r="V1017" s="2"/>
    </row>
    <row r="1018" spans="1:22" ht="15.75" customHeight="1" x14ac:dyDescent="0.25">
      <c r="A1018" s="26"/>
      <c r="B1018" s="2" t="s">
        <v>1407</v>
      </c>
      <c r="C1018" s="32">
        <v>45743.863807870373</v>
      </c>
      <c r="D1018" s="53">
        <f>YEAR(Table1[[#This Row],[Order Date]])</f>
        <v>2025</v>
      </c>
      <c r="E1018" s="2" t="s">
        <v>891</v>
      </c>
      <c r="F1018" s="2" t="s">
        <v>126</v>
      </c>
      <c r="G1018" s="2" t="s">
        <v>28</v>
      </c>
      <c r="H1018" s="23">
        <v>5000</v>
      </c>
      <c r="I1018" s="2">
        <v>2</v>
      </c>
      <c r="J1018" s="31">
        <v>10</v>
      </c>
      <c r="K1018" s="7">
        <f t="shared" si="60"/>
        <v>10000</v>
      </c>
      <c r="L1018" s="7">
        <f t="shared" si="61"/>
        <v>1000</v>
      </c>
      <c r="M1018" s="7">
        <f t="shared" si="62"/>
        <v>9000</v>
      </c>
      <c r="N1018" s="23">
        <v>84000</v>
      </c>
      <c r="O1018" s="7">
        <f t="shared" si="63"/>
        <v>93000</v>
      </c>
      <c r="P1018" s="2" t="s">
        <v>22</v>
      </c>
      <c r="Q1018" t="str">
        <f>_xlfn.XLOOKUP(B1018,Status!$A$2:$A$1867,Status!$B$2:$B$1867)</f>
        <v>Completed</v>
      </c>
      <c r="R1018" s="2" t="s">
        <v>23</v>
      </c>
      <c r="S1018" s="8">
        <v>1</v>
      </c>
      <c r="T1018" s="2" t="s">
        <v>37</v>
      </c>
      <c r="U1018" s="31" t="str" cm="1">
        <f t="array" ref="U1018">_xlfn.IFS(L1018&lt;=5000,$Z$3,AND(L1018&gt;5000,L1018&lt;=15000),$Z$4,AND(L1018&gt;15000,L1018&lt;=30000),$Z$5,AND(L1018&gt;30000,L1018&lt;=50000),$Z$6,L1018&gt;50000,$Z$7)</f>
        <v>Sangat Rendah</v>
      </c>
      <c r="V1018" s="2"/>
    </row>
    <row r="1019" spans="1:22" ht="15.75" customHeight="1" x14ac:dyDescent="0.25">
      <c r="A1019" s="26"/>
      <c r="B1019" s="2" t="s">
        <v>1408</v>
      </c>
      <c r="C1019" s="32">
        <v>45743.934872685182</v>
      </c>
      <c r="D1019" s="53">
        <f>YEAR(Table1[[#This Row],[Order Date]])</f>
        <v>2025</v>
      </c>
      <c r="E1019" s="2" t="s">
        <v>582</v>
      </c>
      <c r="F1019" s="2" t="s">
        <v>435</v>
      </c>
      <c r="G1019" s="2" t="s">
        <v>174</v>
      </c>
      <c r="H1019" s="23">
        <v>10000</v>
      </c>
      <c r="I1019" s="2">
        <v>3</v>
      </c>
      <c r="J1019" s="31">
        <v>20</v>
      </c>
      <c r="K1019" s="7">
        <f t="shared" si="60"/>
        <v>30000</v>
      </c>
      <c r="L1019" s="7">
        <f t="shared" si="61"/>
        <v>6000</v>
      </c>
      <c r="M1019" s="7">
        <f t="shared" si="62"/>
        <v>24000</v>
      </c>
      <c r="N1019" s="23">
        <v>67000</v>
      </c>
      <c r="O1019" s="7">
        <f t="shared" si="63"/>
        <v>91000</v>
      </c>
      <c r="P1019" s="2" t="s">
        <v>63</v>
      </c>
      <c r="Q1019" t="str">
        <f>_xlfn.XLOOKUP(B1019,Status!$A$2:$A$1867,Status!$B$2:$B$1867)</f>
        <v>Returned</v>
      </c>
      <c r="R1019" s="2" t="s">
        <v>46</v>
      </c>
      <c r="S1019" s="8">
        <v>1</v>
      </c>
      <c r="T1019" s="2" t="s">
        <v>24</v>
      </c>
      <c r="U1019" s="31" t="str" cm="1">
        <f t="array" ref="U1019">_xlfn.IFS(L1019&lt;=5000,$Z$3,AND(L1019&gt;5000,L1019&lt;=15000),$Z$4,AND(L1019&gt;15000,L1019&lt;=30000),$Z$5,AND(L1019&gt;30000,L1019&lt;=50000),$Z$6,L1019&gt;50000,$Z$7)</f>
        <v>Rendah</v>
      </c>
      <c r="V1019" s="2"/>
    </row>
    <row r="1020" spans="1:22" ht="15.75" customHeight="1" x14ac:dyDescent="0.25">
      <c r="A1020" s="26"/>
      <c r="B1020" s="2" t="s">
        <v>1409</v>
      </c>
      <c r="C1020" s="32">
        <v>45744.346817129634</v>
      </c>
      <c r="D1020" s="53">
        <f>YEAR(Table1[[#This Row],[Order Date]])</f>
        <v>2025</v>
      </c>
      <c r="E1020" s="2" t="s">
        <v>464</v>
      </c>
      <c r="F1020" s="2" t="s">
        <v>296</v>
      </c>
      <c r="G1020" s="2" t="s">
        <v>34</v>
      </c>
      <c r="H1020" s="23">
        <v>16000</v>
      </c>
      <c r="I1020" s="2">
        <v>5</v>
      </c>
      <c r="J1020" s="31">
        <v>15</v>
      </c>
      <c r="K1020" s="7">
        <f t="shared" si="60"/>
        <v>80000</v>
      </c>
      <c r="L1020" s="7">
        <f t="shared" si="61"/>
        <v>12000</v>
      </c>
      <c r="M1020" s="7">
        <f t="shared" si="62"/>
        <v>68000</v>
      </c>
      <c r="N1020" s="23">
        <v>79000</v>
      </c>
      <c r="O1020" s="7">
        <f t="shared" si="63"/>
        <v>147000</v>
      </c>
      <c r="P1020" s="2" t="s">
        <v>63</v>
      </c>
      <c r="Q1020" t="str">
        <f>_xlfn.XLOOKUP(B1020,Status!$A$2:$A$1867,Status!$B$2:$B$1867)</f>
        <v>Completed</v>
      </c>
      <c r="R1020" s="2" t="s">
        <v>36</v>
      </c>
      <c r="S1020" s="8">
        <v>4</v>
      </c>
      <c r="T1020" s="2" t="s">
        <v>37</v>
      </c>
      <c r="U1020" s="31" t="str" cm="1">
        <f t="array" ref="U1020">_xlfn.IFS(L1020&lt;=5000,$Z$3,AND(L1020&gt;5000,L1020&lt;=15000),$Z$4,AND(L1020&gt;15000,L1020&lt;=30000),$Z$5,AND(L1020&gt;30000,L1020&lt;=50000),$Z$6,L1020&gt;50000,$Z$7)</f>
        <v>Rendah</v>
      </c>
      <c r="V1020" s="2"/>
    </row>
    <row r="1021" spans="1:22" ht="15.75" customHeight="1" x14ac:dyDescent="0.25">
      <c r="A1021" s="26"/>
      <c r="B1021" s="2" t="s">
        <v>1410</v>
      </c>
      <c r="C1021" s="32">
        <v>45744.659861111111</v>
      </c>
      <c r="D1021" s="53">
        <f>YEAR(Table1[[#This Row],[Order Date]])</f>
        <v>2025</v>
      </c>
      <c r="E1021" s="2" t="s">
        <v>157</v>
      </c>
      <c r="F1021" s="2" t="s">
        <v>20</v>
      </c>
      <c r="G1021" s="2" t="s">
        <v>110</v>
      </c>
      <c r="H1021" s="23">
        <v>6000</v>
      </c>
      <c r="I1021" s="2">
        <v>2</v>
      </c>
      <c r="J1021" s="31">
        <v>10</v>
      </c>
      <c r="K1021" s="7">
        <f t="shared" si="60"/>
        <v>12000</v>
      </c>
      <c r="L1021" s="7">
        <f t="shared" si="61"/>
        <v>1200</v>
      </c>
      <c r="M1021" s="7">
        <f t="shared" si="62"/>
        <v>10800</v>
      </c>
      <c r="N1021" s="23">
        <v>15000</v>
      </c>
      <c r="O1021" s="7">
        <f t="shared" si="63"/>
        <v>25800</v>
      </c>
      <c r="P1021" s="2" t="s">
        <v>29</v>
      </c>
      <c r="Q1021" t="str">
        <f>_xlfn.XLOOKUP(B1021,Status!$A$2:$A$1867,Status!$B$2:$B$1867)</f>
        <v>Completed</v>
      </c>
      <c r="R1021" s="2" t="s">
        <v>23</v>
      </c>
      <c r="S1021" s="8">
        <v>5</v>
      </c>
      <c r="T1021" s="2" t="s">
        <v>24</v>
      </c>
      <c r="U1021" s="31" t="str" cm="1">
        <f t="array" ref="U1021">_xlfn.IFS(L1021&lt;=5000,$Z$3,AND(L1021&gt;5000,L1021&lt;=15000),$Z$4,AND(L1021&gt;15000,L1021&lt;=30000),$Z$5,AND(L1021&gt;30000,L1021&lt;=50000),$Z$6,L1021&gt;50000,$Z$7)</f>
        <v>Sangat Rendah</v>
      </c>
      <c r="V1021" s="2"/>
    </row>
    <row r="1022" spans="1:22" ht="15.75" customHeight="1" x14ac:dyDescent="0.25">
      <c r="A1022" s="26"/>
      <c r="B1022" s="2" t="s">
        <v>1411</v>
      </c>
      <c r="C1022" s="32">
        <v>45744.885023148148</v>
      </c>
      <c r="D1022" s="53">
        <f>YEAR(Table1[[#This Row],[Order Date]])</f>
        <v>2025</v>
      </c>
      <c r="E1022" s="2" t="s">
        <v>184</v>
      </c>
      <c r="F1022" s="2" t="s">
        <v>103</v>
      </c>
      <c r="G1022" s="2" t="s">
        <v>190</v>
      </c>
      <c r="H1022" s="23">
        <v>35000</v>
      </c>
      <c r="I1022" s="2">
        <v>1</v>
      </c>
      <c r="J1022" s="31">
        <v>20</v>
      </c>
      <c r="K1022" s="7">
        <f t="shared" si="60"/>
        <v>35000</v>
      </c>
      <c r="L1022" s="7">
        <f t="shared" si="61"/>
        <v>7000</v>
      </c>
      <c r="M1022" s="7">
        <f t="shared" si="62"/>
        <v>28000</v>
      </c>
      <c r="N1022" s="23">
        <v>85000</v>
      </c>
      <c r="O1022" s="7">
        <f t="shared" si="63"/>
        <v>113000</v>
      </c>
      <c r="P1022" s="2" t="s">
        <v>29</v>
      </c>
      <c r="Q1022" t="str">
        <f>_xlfn.XLOOKUP(B1022,Status!$A$2:$A$1867,Status!$B$2:$B$1867)</f>
        <v>Completed</v>
      </c>
      <c r="R1022" s="2" t="s">
        <v>46</v>
      </c>
      <c r="S1022" s="8">
        <v>4</v>
      </c>
      <c r="T1022" s="2" t="s">
        <v>24</v>
      </c>
      <c r="U1022" s="31" t="str" cm="1">
        <f t="array" ref="U1022">_xlfn.IFS(L1022&lt;=5000,$Z$3,AND(L1022&gt;5000,L1022&lt;=15000),$Z$4,AND(L1022&gt;15000,L1022&lt;=30000),$Z$5,AND(L1022&gt;30000,L1022&lt;=50000),$Z$6,L1022&gt;50000,$Z$7)</f>
        <v>Rendah</v>
      </c>
      <c r="V1022" s="2"/>
    </row>
    <row r="1023" spans="1:22" ht="15.75" customHeight="1" x14ac:dyDescent="0.25">
      <c r="A1023" s="26"/>
      <c r="B1023" s="2" t="s">
        <v>1412</v>
      </c>
      <c r="C1023" s="32">
        <v>45744.981238425928</v>
      </c>
      <c r="D1023" s="53">
        <f>YEAR(Table1[[#This Row],[Order Date]])</f>
        <v>2025</v>
      </c>
      <c r="E1023" s="2" t="s">
        <v>133</v>
      </c>
      <c r="F1023" s="2" t="s">
        <v>33</v>
      </c>
      <c r="G1023" s="2" t="s">
        <v>190</v>
      </c>
      <c r="H1023" s="23">
        <v>35000</v>
      </c>
      <c r="I1023" s="2">
        <v>4</v>
      </c>
      <c r="J1023" s="31">
        <v>15</v>
      </c>
      <c r="K1023" s="7">
        <f t="shared" si="60"/>
        <v>140000</v>
      </c>
      <c r="L1023" s="7">
        <f t="shared" si="61"/>
        <v>21000</v>
      </c>
      <c r="M1023" s="7">
        <f t="shared" si="62"/>
        <v>119000</v>
      </c>
      <c r="N1023" s="23">
        <v>76000</v>
      </c>
      <c r="O1023" s="7">
        <f t="shared" si="63"/>
        <v>195000</v>
      </c>
      <c r="P1023" s="2" t="s">
        <v>35</v>
      </c>
      <c r="Q1023" t="str">
        <f>_xlfn.XLOOKUP(B1023,Status!$A$2:$A$1867,Status!$B$2:$B$1867)</f>
        <v>Completed</v>
      </c>
      <c r="R1023" s="2" t="s">
        <v>23</v>
      </c>
      <c r="S1023" s="8">
        <v>1</v>
      </c>
      <c r="T1023" s="2" t="s">
        <v>24</v>
      </c>
      <c r="U1023" s="31" t="str" cm="1">
        <f t="array" ref="U1023">_xlfn.IFS(L1023&lt;=5000,$Z$3,AND(L1023&gt;5000,L1023&lt;=15000),$Z$4,AND(L1023&gt;15000,L1023&lt;=30000),$Z$5,AND(L1023&gt;30000,L1023&lt;=50000),$Z$6,L1023&gt;50000,$Z$7)</f>
        <v>Normal</v>
      </c>
      <c r="V1023" s="2"/>
    </row>
    <row r="1024" spans="1:22" ht="15.75" customHeight="1" x14ac:dyDescent="0.25">
      <c r="A1024" s="26"/>
      <c r="B1024" s="2" t="s">
        <v>1413</v>
      </c>
      <c r="C1024" s="32">
        <v>45745.021608796298</v>
      </c>
      <c r="D1024" s="53">
        <f>YEAR(Table1[[#This Row],[Order Date]])</f>
        <v>2025</v>
      </c>
      <c r="E1024" s="2" t="s">
        <v>337</v>
      </c>
      <c r="F1024" s="2" t="s">
        <v>131</v>
      </c>
      <c r="G1024" s="2" t="s">
        <v>174</v>
      </c>
      <c r="H1024" s="23">
        <v>10000</v>
      </c>
      <c r="I1024" s="2">
        <v>5</v>
      </c>
      <c r="J1024" s="31">
        <v>0</v>
      </c>
      <c r="K1024" s="7">
        <f t="shared" si="60"/>
        <v>50000</v>
      </c>
      <c r="L1024" s="7">
        <f t="shared" si="61"/>
        <v>0</v>
      </c>
      <c r="M1024" s="7">
        <f t="shared" si="62"/>
        <v>50000</v>
      </c>
      <c r="N1024" s="23">
        <v>59000</v>
      </c>
      <c r="O1024" s="7">
        <f t="shared" si="63"/>
        <v>109000</v>
      </c>
      <c r="P1024" s="2" t="s">
        <v>63</v>
      </c>
      <c r="Q1024" t="str">
        <f>_xlfn.XLOOKUP(B1024,Status!$A$2:$A$1867,Status!$B$2:$B$1867)</f>
        <v>Completed</v>
      </c>
      <c r="R1024" s="2" t="s">
        <v>36</v>
      </c>
      <c r="S1024" s="8">
        <v>4</v>
      </c>
      <c r="T1024" s="2" t="s">
        <v>24</v>
      </c>
      <c r="U1024" s="31" t="str" cm="1">
        <f t="array" ref="U1024">_xlfn.IFS(L1024&lt;=5000,$Z$3,AND(L1024&gt;5000,L1024&lt;=15000),$Z$4,AND(L1024&gt;15000,L1024&lt;=30000),$Z$5,AND(L1024&gt;30000,L1024&lt;=50000),$Z$6,L1024&gt;50000,$Z$7)</f>
        <v>Sangat Rendah</v>
      </c>
      <c r="V1024" s="2"/>
    </row>
    <row r="1025" spans="1:22" ht="15.75" customHeight="1" x14ac:dyDescent="0.25">
      <c r="A1025" s="26"/>
      <c r="B1025" s="2" t="s">
        <v>1413</v>
      </c>
      <c r="C1025" s="32">
        <v>45745.021608796298</v>
      </c>
      <c r="D1025" s="53">
        <f>YEAR(Table1[[#This Row],[Order Date]])</f>
        <v>2025</v>
      </c>
      <c r="E1025" s="2" t="s">
        <v>337</v>
      </c>
      <c r="F1025" s="2" t="s">
        <v>131</v>
      </c>
      <c r="G1025" s="2" t="s">
        <v>45</v>
      </c>
      <c r="H1025" s="23">
        <v>40000</v>
      </c>
      <c r="I1025" s="2">
        <v>3</v>
      </c>
      <c r="J1025" s="31">
        <v>20</v>
      </c>
      <c r="K1025" s="7">
        <f t="shared" si="60"/>
        <v>120000</v>
      </c>
      <c r="L1025" s="7">
        <f t="shared" si="61"/>
        <v>24000</v>
      </c>
      <c r="M1025" s="7">
        <f t="shared" si="62"/>
        <v>96000</v>
      </c>
      <c r="N1025" s="23">
        <v>0</v>
      </c>
      <c r="O1025" s="7">
        <f t="shared" si="63"/>
        <v>96000</v>
      </c>
      <c r="P1025" s="2" t="s">
        <v>63</v>
      </c>
      <c r="Q1025" t="str">
        <f>_xlfn.XLOOKUP(B1025,Status!$A$2:$A$1867,Status!$B$2:$B$1867)</f>
        <v>Completed</v>
      </c>
      <c r="R1025" s="2" t="s">
        <v>36</v>
      </c>
      <c r="S1025" s="8">
        <v>4</v>
      </c>
      <c r="T1025" s="2" t="s">
        <v>24</v>
      </c>
      <c r="U1025" s="31" t="str" cm="1">
        <f t="array" ref="U1025">_xlfn.IFS(L1025&lt;=5000,$Z$3,AND(L1025&gt;5000,L1025&lt;=15000),$Z$4,AND(L1025&gt;15000,L1025&lt;=30000),$Z$5,AND(L1025&gt;30000,L1025&lt;=50000),$Z$6,L1025&gt;50000,$Z$7)</f>
        <v>Normal</v>
      </c>
      <c r="V1025" s="2"/>
    </row>
    <row r="1026" spans="1:22" ht="15.75" customHeight="1" x14ac:dyDescent="0.25">
      <c r="A1026" s="26"/>
      <c r="B1026" s="2" t="s">
        <v>1414</v>
      </c>
      <c r="C1026" s="32">
        <v>45745.218368055554</v>
      </c>
      <c r="D1026" s="53">
        <f>YEAR(Table1[[#This Row],[Order Date]])</f>
        <v>2025</v>
      </c>
      <c r="E1026" s="2" t="s">
        <v>295</v>
      </c>
      <c r="F1026" s="2" t="s">
        <v>296</v>
      </c>
      <c r="G1026" s="2" t="s">
        <v>75</v>
      </c>
      <c r="H1026" s="23">
        <v>55000</v>
      </c>
      <c r="I1026" s="2">
        <v>5</v>
      </c>
      <c r="J1026" s="31">
        <v>10</v>
      </c>
      <c r="K1026" s="7">
        <f t="shared" si="60"/>
        <v>275000</v>
      </c>
      <c r="L1026" s="7">
        <f t="shared" si="61"/>
        <v>27500</v>
      </c>
      <c r="M1026" s="7">
        <f t="shared" si="62"/>
        <v>247500</v>
      </c>
      <c r="N1026" s="23">
        <v>79000</v>
      </c>
      <c r="O1026" s="7">
        <f t="shared" si="63"/>
        <v>326500</v>
      </c>
      <c r="P1026" s="2" t="s">
        <v>35</v>
      </c>
      <c r="Q1026" t="str">
        <f>_xlfn.XLOOKUP(B1026,Status!$A$2:$A$1867,Status!$B$2:$B$1867)</f>
        <v>Completed</v>
      </c>
      <c r="R1026" s="2" t="s">
        <v>82</v>
      </c>
      <c r="S1026" s="8">
        <v>4</v>
      </c>
      <c r="T1026" s="2" t="s">
        <v>24</v>
      </c>
      <c r="U1026" s="31" t="str" cm="1">
        <f t="array" ref="U1026">_xlfn.IFS(L1026&lt;=5000,$Z$3,AND(L1026&gt;5000,L1026&lt;=15000),$Z$4,AND(L1026&gt;15000,L1026&lt;=30000),$Z$5,AND(L1026&gt;30000,L1026&lt;=50000),$Z$6,L1026&gt;50000,$Z$7)</f>
        <v>Normal</v>
      </c>
      <c r="V1026" s="2"/>
    </row>
    <row r="1027" spans="1:22" ht="15.75" customHeight="1" x14ac:dyDescent="0.25">
      <c r="A1027" s="26"/>
      <c r="B1027" s="2" t="s">
        <v>1415</v>
      </c>
      <c r="C1027" s="32">
        <v>45745.329351851848</v>
      </c>
      <c r="D1027" s="53">
        <f>YEAR(Table1[[#This Row],[Order Date]])</f>
        <v>2025</v>
      </c>
      <c r="E1027" s="2" t="s">
        <v>269</v>
      </c>
      <c r="F1027" s="2" t="s">
        <v>173</v>
      </c>
      <c r="G1027" s="2" t="s">
        <v>54</v>
      </c>
      <c r="H1027" s="23">
        <v>16000</v>
      </c>
      <c r="I1027" s="2">
        <v>4</v>
      </c>
      <c r="J1027" s="31">
        <v>20</v>
      </c>
      <c r="K1027" s="7">
        <f t="shared" si="60"/>
        <v>64000</v>
      </c>
      <c r="L1027" s="7">
        <f t="shared" si="61"/>
        <v>12800</v>
      </c>
      <c r="M1027" s="7">
        <f t="shared" si="62"/>
        <v>51200</v>
      </c>
      <c r="N1027" s="23">
        <v>49000</v>
      </c>
      <c r="O1027" s="7">
        <f t="shared" si="63"/>
        <v>100200</v>
      </c>
      <c r="P1027" s="2" t="s">
        <v>22</v>
      </c>
      <c r="Q1027" t="str">
        <f>_xlfn.XLOOKUP(B1027,Status!$A$2:$A$1867,Status!$B$2:$B$1867)</f>
        <v>Completed</v>
      </c>
      <c r="R1027" s="2" t="s">
        <v>30</v>
      </c>
      <c r="S1027" s="8">
        <v>2</v>
      </c>
      <c r="T1027" s="2" t="s">
        <v>37</v>
      </c>
      <c r="U1027" s="31" t="str" cm="1">
        <f t="array" ref="U1027">_xlfn.IFS(L1027&lt;=5000,$Z$3,AND(L1027&gt;5000,L1027&lt;=15000),$Z$4,AND(L1027&gt;15000,L1027&lt;=30000),$Z$5,AND(L1027&gt;30000,L1027&lt;=50000),$Z$6,L1027&gt;50000,$Z$7)</f>
        <v>Rendah</v>
      </c>
      <c r="V1027" s="2"/>
    </row>
    <row r="1028" spans="1:22" ht="15.75" customHeight="1" x14ac:dyDescent="0.25">
      <c r="A1028" s="26"/>
      <c r="B1028" s="2" t="s">
        <v>1416</v>
      </c>
      <c r="C1028" s="32">
        <v>45745.366122685176</v>
      </c>
      <c r="D1028" s="53">
        <f>YEAR(Table1[[#This Row],[Order Date]])</f>
        <v>2025</v>
      </c>
      <c r="E1028" s="2" t="s">
        <v>1066</v>
      </c>
      <c r="F1028" s="2" t="s">
        <v>113</v>
      </c>
      <c r="G1028" s="2" t="s">
        <v>174</v>
      </c>
      <c r="H1028" s="23">
        <v>10000</v>
      </c>
      <c r="I1028" s="2">
        <v>3</v>
      </c>
      <c r="J1028" s="31">
        <v>5</v>
      </c>
      <c r="K1028" s="7">
        <f t="shared" ref="K1028:K1091" si="64">H1028*I1028</f>
        <v>30000</v>
      </c>
      <c r="L1028" s="7">
        <f t="shared" ref="L1028:L1091" si="65">K1028*(J1028/100)</f>
        <v>1500</v>
      </c>
      <c r="M1028" s="7">
        <f t="shared" ref="M1028:M1091" si="66">K1028-L1028</f>
        <v>28500</v>
      </c>
      <c r="N1028" s="23">
        <v>18000</v>
      </c>
      <c r="O1028" s="7">
        <f t="shared" ref="O1028:O1091" si="67">SUM(M1028:N1028)</f>
        <v>46500</v>
      </c>
      <c r="P1028" s="2" t="s">
        <v>63</v>
      </c>
      <c r="Q1028" t="str">
        <f>_xlfn.XLOOKUP(B1028,Status!$A$2:$A$1867,Status!$B$2:$B$1867)</f>
        <v>Completed</v>
      </c>
      <c r="R1028" s="2" t="s">
        <v>23</v>
      </c>
      <c r="S1028" s="8">
        <v>3</v>
      </c>
      <c r="T1028" s="2" t="s">
        <v>24</v>
      </c>
      <c r="U1028" s="31" t="str" cm="1">
        <f t="array" ref="U1028">_xlfn.IFS(L1028&lt;=5000,$Z$3,AND(L1028&gt;5000,L1028&lt;=15000),$Z$4,AND(L1028&gt;15000,L1028&lt;=30000),$Z$5,AND(L1028&gt;30000,L1028&lt;=50000),$Z$6,L1028&gt;50000,$Z$7)</f>
        <v>Sangat Rendah</v>
      </c>
      <c r="V1028" s="2"/>
    </row>
    <row r="1029" spans="1:22" ht="15.75" customHeight="1" x14ac:dyDescent="0.25">
      <c r="A1029" s="26"/>
      <c r="B1029" s="2" t="s">
        <v>1417</v>
      </c>
      <c r="C1029" s="32">
        <v>45745.597604166673</v>
      </c>
      <c r="D1029" s="53">
        <f>YEAR(Table1[[#This Row],[Order Date]])</f>
        <v>2025</v>
      </c>
      <c r="E1029" s="2" t="s">
        <v>1418</v>
      </c>
      <c r="F1029" s="2" t="s">
        <v>262</v>
      </c>
      <c r="G1029" s="2" t="s">
        <v>174</v>
      </c>
      <c r="H1029" s="23">
        <v>10000</v>
      </c>
      <c r="I1029" s="2">
        <v>4</v>
      </c>
      <c r="J1029" s="31">
        <v>5</v>
      </c>
      <c r="K1029" s="7">
        <f t="shared" si="64"/>
        <v>40000</v>
      </c>
      <c r="L1029" s="7">
        <f t="shared" si="65"/>
        <v>2000</v>
      </c>
      <c r="M1029" s="7">
        <f t="shared" si="66"/>
        <v>38000</v>
      </c>
      <c r="N1029" s="23">
        <v>18000</v>
      </c>
      <c r="O1029" s="7">
        <f t="shared" si="67"/>
        <v>56000</v>
      </c>
      <c r="P1029" s="2" t="s">
        <v>29</v>
      </c>
      <c r="Q1029" t="str">
        <f>_xlfn.XLOOKUP(B1029,Status!$A$2:$A$1867,Status!$B$2:$B$1867)</f>
        <v>Completed</v>
      </c>
      <c r="R1029" s="2" t="s">
        <v>82</v>
      </c>
      <c r="S1029" s="8">
        <v>4</v>
      </c>
      <c r="T1029" s="2" t="s">
        <v>24</v>
      </c>
      <c r="U1029" s="31" t="str" cm="1">
        <f t="array" ref="U1029">_xlfn.IFS(L1029&lt;=5000,$Z$3,AND(L1029&gt;5000,L1029&lt;=15000),$Z$4,AND(L1029&gt;15000,L1029&lt;=30000),$Z$5,AND(L1029&gt;30000,L1029&lt;=50000),$Z$6,L1029&gt;50000,$Z$7)</f>
        <v>Sangat Rendah</v>
      </c>
      <c r="V1029" s="2"/>
    </row>
    <row r="1030" spans="1:22" ht="15.75" customHeight="1" x14ac:dyDescent="0.25">
      <c r="A1030" s="26"/>
      <c r="B1030" s="2" t="s">
        <v>1419</v>
      </c>
      <c r="C1030" s="32">
        <v>45745.640833333331</v>
      </c>
      <c r="D1030" s="53">
        <f>YEAR(Table1[[#This Row],[Order Date]])</f>
        <v>2025</v>
      </c>
      <c r="E1030" s="2" t="s">
        <v>515</v>
      </c>
      <c r="F1030" s="2" t="s">
        <v>182</v>
      </c>
      <c r="G1030" s="2" t="s">
        <v>54</v>
      </c>
      <c r="H1030" s="23">
        <v>16000</v>
      </c>
      <c r="I1030" s="2">
        <v>2</v>
      </c>
      <c r="J1030" s="31">
        <v>20</v>
      </c>
      <c r="K1030" s="7">
        <f t="shared" si="64"/>
        <v>32000</v>
      </c>
      <c r="L1030" s="7">
        <f t="shared" si="65"/>
        <v>6400</v>
      </c>
      <c r="M1030" s="7">
        <f t="shared" si="66"/>
        <v>25600</v>
      </c>
      <c r="N1030" s="23">
        <v>48000</v>
      </c>
      <c r="O1030" s="7">
        <f t="shared" si="67"/>
        <v>73600</v>
      </c>
      <c r="P1030" s="2" t="s">
        <v>63</v>
      </c>
      <c r="Q1030" t="str">
        <f>_xlfn.XLOOKUP(B1030,Status!$A$2:$A$1867,Status!$B$2:$B$1867)</f>
        <v>Completed</v>
      </c>
      <c r="R1030" s="2" t="s">
        <v>36</v>
      </c>
      <c r="S1030" s="8">
        <v>2</v>
      </c>
      <c r="T1030" s="2" t="s">
        <v>24</v>
      </c>
      <c r="U1030" s="31" t="str" cm="1">
        <f t="array" ref="U1030">_xlfn.IFS(L1030&lt;=5000,$Z$3,AND(L1030&gt;5000,L1030&lt;=15000),$Z$4,AND(L1030&gt;15000,L1030&lt;=30000),$Z$5,AND(L1030&gt;30000,L1030&lt;=50000),$Z$6,L1030&gt;50000,$Z$7)</f>
        <v>Rendah</v>
      </c>
      <c r="V1030" s="2"/>
    </row>
    <row r="1031" spans="1:22" ht="15.75" customHeight="1" x14ac:dyDescent="0.25">
      <c r="A1031" s="26"/>
      <c r="B1031" s="2" t="s">
        <v>1420</v>
      </c>
      <c r="C1031" s="32">
        <v>45746.238703703697</v>
      </c>
      <c r="D1031" s="53">
        <f>YEAR(Table1[[#This Row],[Order Date]])</f>
        <v>2025</v>
      </c>
      <c r="E1031" s="2" t="s">
        <v>162</v>
      </c>
      <c r="F1031" s="2" t="s">
        <v>163</v>
      </c>
      <c r="G1031" s="2" t="s">
        <v>88</v>
      </c>
      <c r="H1031" s="23">
        <v>14000</v>
      </c>
      <c r="I1031" s="2">
        <v>2</v>
      </c>
      <c r="J1031" s="31">
        <v>5</v>
      </c>
      <c r="K1031" s="7">
        <f t="shared" si="64"/>
        <v>28000</v>
      </c>
      <c r="L1031" s="7">
        <f t="shared" si="65"/>
        <v>1400</v>
      </c>
      <c r="M1031" s="7">
        <f t="shared" si="66"/>
        <v>26600</v>
      </c>
      <c r="N1031" s="23">
        <v>50000</v>
      </c>
      <c r="O1031" s="7">
        <f t="shared" si="67"/>
        <v>76600</v>
      </c>
      <c r="P1031" s="2" t="s">
        <v>22</v>
      </c>
      <c r="Q1031" t="str">
        <f>_xlfn.XLOOKUP(B1031,Status!$A$2:$A$1867,Status!$B$2:$B$1867)</f>
        <v>Completed</v>
      </c>
      <c r="R1031" s="2" t="s">
        <v>36</v>
      </c>
      <c r="S1031" s="8">
        <v>3</v>
      </c>
      <c r="T1031" s="2" t="s">
        <v>24</v>
      </c>
      <c r="U1031" s="31" t="str" cm="1">
        <f t="array" ref="U1031">_xlfn.IFS(L1031&lt;=5000,$Z$3,AND(L1031&gt;5000,L1031&lt;=15000),$Z$4,AND(L1031&gt;15000,L1031&lt;=30000),$Z$5,AND(L1031&gt;30000,L1031&lt;=50000),$Z$6,L1031&gt;50000,$Z$7)</f>
        <v>Sangat Rendah</v>
      </c>
      <c r="V1031" s="2"/>
    </row>
    <row r="1032" spans="1:22" ht="15.75" customHeight="1" x14ac:dyDescent="0.25">
      <c r="A1032" s="26"/>
      <c r="B1032" s="2" t="s">
        <v>1421</v>
      </c>
      <c r="C1032" s="32">
        <v>45746.490671296298</v>
      </c>
      <c r="D1032" s="53">
        <f>YEAR(Table1[[#This Row],[Order Date]])</f>
        <v>2025</v>
      </c>
      <c r="E1032" s="2" t="s">
        <v>1336</v>
      </c>
      <c r="F1032" s="2" t="s">
        <v>96</v>
      </c>
      <c r="G1032" s="2" t="s">
        <v>41</v>
      </c>
      <c r="H1032" s="23">
        <v>4000</v>
      </c>
      <c r="I1032" s="2">
        <v>3</v>
      </c>
      <c r="J1032" s="31">
        <v>10</v>
      </c>
      <c r="K1032" s="7">
        <f t="shared" si="64"/>
        <v>12000</v>
      </c>
      <c r="L1032" s="7">
        <f t="shared" si="65"/>
        <v>1200</v>
      </c>
      <c r="M1032" s="7">
        <f t="shared" si="66"/>
        <v>10800</v>
      </c>
      <c r="N1032" s="23">
        <v>49000</v>
      </c>
      <c r="O1032" s="7">
        <f t="shared" si="67"/>
        <v>59800</v>
      </c>
      <c r="P1032" s="2" t="s">
        <v>35</v>
      </c>
      <c r="Q1032" t="str">
        <f>_xlfn.XLOOKUP(B1032,Status!$A$2:$A$1867,Status!$B$2:$B$1867)</f>
        <v>Returned</v>
      </c>
      <c r="R1032" s="2" t="s">
        <v>46</v>
      </c>
      <c r="S1032" s="8">
        <v>4</v>
      </c>
      <c r="T1032" s="2" t="s">
        <v>37</v>
      </c>
      <c r="U1032" s="31" t="str" cm="1">
        <f t="array" ref="U1032">_xlfn.IFS(L1032&lt;=5000,$Z$3,AND(L1032&gt;5000,L1032&lt;=15000),$Z$4,AND(L1032&gt;15000,L1032&lt;=30000),$Z$5,AND(L1032&gt;30000,L1032&lt;=50000),$Z$6,L1032&gt;50000,$Z$7)</f>
        <v>Sangat Rendah</v>
      </c>
      <c r="V1032" s="2"/>
    </row>
    <row r="1033" spans="1:22" ht="15.75" customHeight="1" x14ac:dyDescent="0.25">
      <c r="A1033" s="26"/>
      <c r="B1033" s="2" t="s">
        <v>1422</v>
      </c>
      <c r="C1033" s="32">
        <v>45746.511157407411</v>
      </c>
      <c r="D1033" s="53">
        <f>YEAR(Table1[[#This Row],[Order Date]])</f>
        <v>2025</v>
      </c>
      <c r="E1033" s="2" t="s">
        <v>229</v>
      </c>
      <c r="F1033" s="2" t="s">
        <v>195</v>
      </c>
      <c r="G1033" s="2" t="s">
        <v>67</v>
      </c>
      <c r="H1033" s="23">
        <v>15000</v>
      </c>
      <c r="I1033" s="2">
        <v>5</v>
      </c>
      <c r="J1033" s="31">
        <v>10</v>
      </c>
      <c r="K1033" s="7">
        <f t="shared" si="64"/>
        <v>75000</v>
      </c>
      <c r="L1033" s="7">
        <f t="shared" si="65"/>
        <v>7500</v>
      </c>
      <c r="M1033" s="7">
        <f t="shared" si="66"/>
        <v>67500</v>
      </c>
      <c r="N1033" s="23">
        <v>87000</v>
      </c>
      <c r="O1033" s="7">
        <f t="shared" si="67"/>
        <v>154500</v>
      </c>
      <c r="P1033" s="2" t="s">
        <v>63</v>
      </c>
      <c r="Q1033" t="str">
        <f>_xlfn.XLOOKUP(B1033,Status!$A$2:$A$1867,Status!$B$2:$B$1867)</f>
        <v>Completed</v>
      </c>
      <c r="R1033" s="2" t="s">
        <v>36</v>
      </c>
      <c r="S1033" s="8">
        <v>4</v>
      </c>
      <c r="T1033" s="2" t="s">
        <v>24</v>
      </c>
      <c r="U1033" s="31" t="str" cm="1">
        <f t="array" ref="U1033">_xlfn.IFS(L1033&lt;=5000,$Z$3,AND(L1033&gt;5000,L1033&lt;=15000),$Z$4,AND(L1033&gt;15000,L1033&lt;=30000),$Z$5,AND(L1033&gt;30000,L1033&lt;=50000),$Z$6,L1033&gt;50000,$Z$7)</f>
        <v>Rendah</v>
      </c>
      <c r="V1033" s="2"/>
    </row>
    <row r="1034" spans="1:22" ht="15.75" customHeight="1" x14ac:dyDescent="0.25">
      <c r="A1034" s="26"/>
      <c r="B1034" s="2" t="s">
        <v>1423</v>
      </c>
      <c r="C1034" s="32">
        <v>45746.834351851852</v>
      </c>
      <c r="D1034" s="53">
        <f>YEAR(Table1[[#This Row],[Order Date]])</f>
        <v>2025</v>
      </c>
      <c r="E1034" s="2" t="s">
        <v>1424</v>
      </c>
      <c r="F1034" s="2" t="s">
        <v>296</v>
      </c>
      <c r="G1034" s="2" t="s">
        <v>186</v>
      </c>
      <c r="H1034" s="23">
        <v>45000</v>
      </c>
      <c r="I1034" s="2">
        <v>1</v>
      </c>
      <c r="J1034" s="31">
        <v>20</v>
      </c>
      <c r="K1034" s="7">
        <f t="shared" si="64"/>
        <v>45000</v>
      </c>
      <c r="L1034" s="7">
        <f t="shared" si="65"/>
        <v>9000</v>
      </c>
      <c r="M1034" s="7">
        <f t="shared" si="66"/>
        <v>36000</v>
      </c>
      <c r="N1034" s="23">
        <v>79000</v>
      </c>
      <c r="O1034" s="7">
        <f t="shared" si="67"/>
        <v>115000</v>
      </c>
      <c r="P1034" s="2" t="s">
        <v>29</v>
      </c>
      <c r="Q1034" t="str">
        <f>_xlfn.XLOOKUP(B1034,Status!$A$2:$A$1867,Status!$B$2:$B$1867)</f>
        <v>Completed</v>
      </c>
      <c r="R1034" s="2" t="s">
        <v>46</v>
      </c>
      <c r="S1034" s="8">
        <v>3</v>
      </c>
      <c r="T1034" s="2" t="s">
        <v>24</v>
      </c>
      <c r="U1034" s="31" t="str" cm="1">
        <f t="array" ref="U1034">_xlfn.IFS(L1034&lt;=5000,$Z$3,AND(L1034&gt;5000,L1034&lt;=15000),$Z$4,AND(L1034&gt;15000,L1034&lt;=30000),$Z$5,AND(L1034&gt;30000,L1034&lt;=50000),$Z$6,L1034&gt;50000,$Z$7)</f>
        <v>Rendah</v>
      </c>
      <c r="V1034" s="2"/>
    </row>
    <row r="1035" spans="1:22" ht="15.75" customHeight="1" x14ac:dyDescent="0.25">
      <c r="A1035" s="26"/>
      <c r="B1035" s="2" t="s">
        <v>1425</v>
      </c>
      <c r="C1035" s="32">
        <v>45747.215324074074</v>
      </c>
      <c r="D1035" s="53">
        <f>YEAR(Table1[[#This Row],[Order Date]])</f>
        <v>2025</v>
      </c>
      <c r="E1035" s="2" t="s">
        <v>983</v>
      </c>
      <c r="F1035" s="2" t="s">
        <v>262</v>
      </c>
      <c r="G1035" s="2" t="s">
        <v>28</v>
      </c>
      <c r="H1035" s="23">
        <v>5000</v>
      </c>
      <c r="I1035" s="2">
        <v>1</v>
      </c>
      <c r="J1035" s="31">
        <v>0</v>
      </c>
      <c r="K1035" s="7">
        <f t="shared" si="64"/>
        <v>5000</v>
      </c>
      <c r="L1035" s="7">
        <f t="shared" si="65"/>
        <v>0</v>
      </c>
      <c r="M1035" s="7">
        <f t="shared" si="66"/>
        <v>5000</v>
      </c>
      <c r="N1035" s="23">
        <v>18000</v>
      </c>
      <c r="O1035" s="7">
        <f t="shared" si="67"/>
        <v>23000</v>
      </c>
      <c r="P1035" s="2" t="s">
        <v>22</v>
      </c>
      <c r="Q1035" t="str">
        <f>_xlfn.XLOOKUP(B1035,Status!$A$2:$A$1867,Status!$B$2:$B$1867)</f>
        <v>Completed</v>
      </c>
      <c r="R1035" s="2" t="s">
        <v>46</v>
      </c>
      <c r="S1035" s="8">
        <v>1</v>
      </c>
      <c r="T1035" s="2" t="s">
        <v>37</v>
      </c>
      <c r="U1035" s="31" t="str" cm="1">
        <f t="array" ref="U1035">_xlfn.IFS(L1035&lt;=5000,$Z$3,AND(L1035&gt;5000,L1035&lt;=15000),$Z$4,AND(L1035&gt;15000,L1035&lt;=30000),$Z$5,AND(L1035&gt;30000,L1035&lt;=50000),$Z$6,L1035&gt;50000,$Z$7)</f>
        <v>Sangat Rendah</v>
      </c>
      <c r="V1035" s="2"/>
    </row>
    <row r="1036" spans="1:22" ht="15.75" customHeight="1" x14ac:dyDescent="0.25">
      <c r="A1036" s="26"/>
      <c r="B1036" s="2" t="s">
        <v>1426</v>
      </c>
      <c r="C1036" s="32">
        <v>45747.776400462957</v>
      </c>
      <c r="D1036" s="53">
        <f>YEAR(Table1[[#This Row],[Order Date]])</f>
        <v>2025</v>
      </c>
      <c r="E1036" s="2" t="s">
        <v>56</v>
      </c>
      <c r="F1036" s="2" t="s">
        <v>57</v>
      </c>
      <c r="G1036" s="2" t="s">
        <v>85</v>
      </c>
      <c r="H1036" s="23">
        <v>35000</v>
      </c>
      <c r="I1036" s="2">
        <v>3</v>
      </c>
      <c r="J1036" s="31">
        <v>20</v>
      </c>
      <c r="K1036" s="7">
        <f t="shared" si="64"/>
        <v>105000</v>
      </c>
      <c r="L1036" s="7">
        <f t="shared" si="65"/>
        <v>21000</v>
      </c>
      <c r="M1036" s="7">
        <f t="shared" si="66"/>
        <v>84000</v>
      </c>
      <c r="N1036" s="23">
        <v>80000</v>
      </c>
      <c r="O1036" s="7">
        <f t="shared" si="67"/>
        <v>164000</v>
      </c>
      <c r="P1036" s="2" t="s">
        <v>29</v>
      </c>
      <c r="Q1036" t="str">
        <f>_xlfn.XLOOKUP(B1036,Status!$A$2:$A$1867,Status!$B$2:$B$1867)</f>
        <v>Completed</v>
      </c>
      <c r="R1036" s="2" t="s">
        <v>82</v>
      </c>
      <c r="S1036" s="8">
        <v>1</v>
      </c>
      <c r="T1036" s="2" t="s">
        <v>24</v>
      </c>
      <c r="U1036" s="31" t="str" cm="1">
        <f t="array" ref="U1036">_xlfn.IFS(L1036&lt;=5000,$Z$3,AND(L1036&gt;5000,L1036&lt;=15000),$Z$4,AND(L1036&gt;15000,L1036&lt;=30000),$Z$5,AND(L1036&gt;30000,L1036&lt;=50000),$Z$6,L1036&gt;50000,$Z$7)</f>
        <v>Normal</v>
      </c>
      <c r="V1036" s="2"/>
    </row>
    <row r="1037" spans="1:22" ht="15.75" customHeight="1" x14ac:dyDescent="0.25">
      <c r="A1037" s="26"/>
      <c r="B1037" s="2" t="s">
        <v>1427</v>
      </c>
      <c r="C1037" s="32">
        <v>45747.794293981482</v>
      </c>
      <c r="D1037" s="53">
        <f>YEAR(Table1[[#This Row],[Order Date]])</f>
        <v>2025</v>
      </c>
      <c r="E1037" s="2" t="s">
        <v>1317</v>
      </c>
      <c r="F1037" s="2" t="s">
        <v>113</v>
      </c>
      <c r="G1037" s="2" t="s">
        <v>190</v>
      </c>
      <c r="H1037" s="23">
        <v>35000</v>
      </c>
      <c r="I1037" s="2">
        <v>4</v>
      </c>
      <c r="J1037" s="31">
        <v>5</v>
      </c>
      <c r="K1037" s="7">
        <f t="shared" si="64"/>
        <v>140000</v>
      </c>
      <c r="L1037" s="7">
        <f t="shared" si="65"/>
        <v>7000</v>
      </c>
      <c r="M1037" s="7">
        <f t="shared" si="66"/>
        <v>133000</v>
      </c>
      <c r="N1037" s="23">
        <v>18000</v>
      </c>
      <c r="O1037" s="7">
        <f t="shared" si="67"/>
        <v>151000</v>
      </c>
      <c r="P1037" s="2" t="s">
        <v>63</v>
      </c>
      <c r="Q1037" t="str">
        <f>_xlfn.XLOOKUP(B1037,Status!$A$2:$A$1867,Status!$B$2:$B$1867)</f>
        <v>Completed</v>
      </c>
      <c r="R1037" s="2" t="s">
        <v>82</v>
      </c>
      <c r="S1037" s="8">
        <v>3</v>
      </c>
      <c r="T1037" s="2" t="s">
        <v>37</v>
      </c>
      <c r="U1037" s="31" t="str" cm="1">
        <f t="array" ref="U1037">_xlfn.IFS(L1037&lt;=5000,$Z$3,AND(L1037&gt;5000,L1037&lt;=15000),$Z$4,AND(L1037&gt;15000,L1037&lt;=30000),$Z$5,AND(L1037&gt;30000,L1037&lt;=50000),$Z$6,L1037&gt;50000,$Z$7)</f>
        <v>Rendah</v>
      </c>
      <c r="V1037" s="2"/>
    </row>
    <row r="1038" spans="1:22" ht="15.75" customHeight="1" x14ac:dyDescent="0.25">
      <c r="A1038" s="26"/>
      <c r="B1038" s="2" t="s">
        <v>1428</v>
      </c>
      <c r="C1038" s="32">
        <v>45748.173981481479</v>
      </c>
      <c r="D1038" s="53">
        <f>YEAR(Table1[[#This Row],[Order Date]])</f>
        <v>2025</v>
      </c>
      <c r="E1038" s="2" t="s">
        <v>651</v>
      </c>
      <c r="F1038" s="2" t="s">
        <v>182</v>
      </c>
      <c r="G1038" s="2" t="s">
        <v>104</v>
      </c>
      <c r="H1038" s="23">
        <v>30000</v>
      </c>
      <c r="I1038" s="2">
        <v>5</v>
      </c>
      <c r="J1038" s="31">
        <v>20</v>
      </c>
      <c r="K1038" s="7">
        <f t="shared" si="64"/>
        <v>150000</v>
      </c>
      <c r="L1038" s="7">
        <f t="shared" si="65"/>
        <v>30000</v>
      </c>
      <c r="M1038" s="7">
        <f t="shared" si="66"/>
        <v>120000</v>
      </c>
      <c r="N1038" s="23">
        <v>48000</v>
      </c>
      <c r="O1038" s="7">
        <f t="shared" si="67"/>
        <v>168000</v>
      </c>
      <c r="P1038" s="2" t="s">
        <v>35</v>
      </c>
      <c r="Q1038" t="str">
        <f>_xlfn.XLOOKUP(B1038,Status!$A$2:$A$1867,Status!$B$2:$B$1867)</f>
        <v>Completed</v>
      </c>
      <c r="R1038" s="2" t="s">
        <v>36</v>
      </c>
      <c r="S1038" s="8">
        <v>2</v>
      </c>
      <c r="T1038" s="2" t="s">
        <v>37</v>
      </c>
      <c r="U1038" s="31" t="str" cm="1">
        <f t="array" ref="U1038">_xlfn.IFS(L1038&lt;=5000,$Z$3,AND(L1038&gt;5000,L1038&lt;=15000),$Z$4,AND(L1038&gt;15000,L1038&lt;=30000),$Z$5,AND(L1038&gt;30000,L1038&lt;=50000),$Z$6,L1038&gt;50000,$Z$7)</f>
        <v>Normal</v>
      </c>
      <c r="V1038" s="2"/>
    </row>
    <row r="1039" spans="1:22" ht="15.75" customHeight="1" x14ac:dyDescent="0.25">
      <c r="A1039" s="26"/>
      <c r="B1039" s="2" t="s">
        <v>1429</v>
      </c>
      <c r="C1039" s="32">
        <v>45748.177071759259</v>
      </c>
      <c r="D1039" s="53">
        <f>YEAR(Table1[[#This Row],[Order Date]])</f>
        <v>2025</v>
      </c>
      <c r="E1039" s="2" t="s">
        <v>162</v>
      </c>
      <c r="F1039" s="2" t="s">
        <v>163</v>
      </c>
      <c r="G1039" s="2" t="s">
        <v>21</v>
      </c>
      <c r="H1039" s="23">
        <v>45000</v>
      </c>
      <c r="I1039" s="2">
        <v>5</v>
      </c>
      <c r="J1039" s="31">
        <v>15</v>
      </c>
      <c r="K1039" s="7">
        <f t="shared" si="64"/>
        <v>225000</v>
      </c>
      <c r="L1039" s="7">
        <f t="shared" si="65"/>
        <v>33750</v>
      </c>
      <c r="M1039" s="7">
        <f t="shared" si="66"/>
        <v>191250</v>
      </c>
      <c r="N1039" s="23">
        <v>50000</v>
      </c>
      <c r="O1039" s="7">
        <f t="shared" si="67"/>
        <v>241250</v>
      </c>
      <c r="P1039" s="2" t="s">
        <v>29</v>
      </c>
      <c r="Q1039" t="str">
        <f>_xlfn.XLOOKUP(B1039,Status!$A$2:$A$1867,Status!$B$2:$B$1867)</f>
        <v>Completed</v>
      </c>
      <c r="R1039" s="2" t="s">
        <v>23</v>
      </c>
      <c r="S1039" s="8">
        <v>1</v>
      </c>
      <c r="T1039" s="2" t="s">
        <v>24</v>
      </c>
      <c r="U1039" s="31" t="str" cm="1">
        <f t="array" ref="U1039">_xlfn.IFS(L1039&lt;=5000,$Z$3,AND(L1039&gt;5000,L1039&lt;=15000),$Z$4,AND(L1039&gt;15000,L1039&lt;=30000),$Z$5,AND(L1039&gt;30000,L1039&lt;=50000),$Z$6,L1039&gt;50000,$Z$7)</f>
        <v>Tinggi</v>
      </c>
      <c r="V1039" s="2"/>
    </row>
    <row r="1040" spans="1:22" ht="15.75" customHeight="1" x14ac:dyDescent="0.25">
      <c r="A1040" s="26"/>
      <c r="B1040" s="2" t="s">
        <v>1430</v>
      </c>
      <c r="C1040" s="32">
        <v>45748.264421296299</v>
      </c>
      <c r="D1040" s="53">
        <f>YEAR(Table1[[#This Row],[Order Date]])</f>
        <v>2025</v>
      </c>
      <c r="E1040" s="2" t="s">
        <v>214</v>
      </c>
      <c r="F1040" s="2" t="s">
        <v>131</v>
      </c>
      <c r="G1040" s="2" t="s">
        <v>190</v>
      </c>
      <c r="H1040" s="23">
        <v>35000</v>
      </c>
      <c r="I1040" s="2">
        <v>1</v>
      </c>
      <c r="J1040" s="31">
        <v>20</v>
      </c>
      <c r="K1040" s="7">
        <f t="shared" si="64"/>
        <v>35000</v>
      </c>
      <c r="L1040" s="7">
        <f t="shared" si="65"/>
        <v>7000</v>
      </c>
      <c r="M1040" s="7">
        <f t="shared" si="66"/>
        <v>28000</v>
      </c>
      <c r="N1040" s="23">
        <v>59000</v>
      </c>
      <c r="O1040" s="7">
        <f t="shared" si="67"/>
        <v>87000</v>
      </c>
      <c r="P1040" s="2" t="s">
        <v>63</v>
      </c>
      <c r="Q1040" t="str">
        <f>_xlfn.XLOOKUP(B1040,Status!$A$2:$A$1867,Status!$B$2:$B$1867)</f>
        <v>Completed</v>
      </c>
      <c r="R1040" s="2" t="s">
        <v>30</v>
      </c>
      <c r="S1040" s="8">
        <v>1</v>
      </c>
      <c r="T1040" s="2" t="s">
        <v>24</v>
      </c>
      <c r="U1040" s="31" t="str" cm="1">
        <f t="array" ref="U1040">_xlfn.IFS(L1040&lt;=5000,$Z$3,AND(L1040&gt;5000,L1040&lt;=15000),$Z$4,AND(L1040&gt;15000,L1040&lt;=30000),$Z$5,AND(L1040&gt;30000,L1040&lt;=50000),$Z$6,L1040&gt;50000,$Z$7)</f>
        <v>Rendah</v>
      </c>
      <c r="V1040" s="2"/>
    </row>
    <row r="1041" spans="1:22" ht="15.75" customHeight="1" x14ac:dyDescent="0.25">
      <c r="A1041" s="26"/>
      <c r="B1041" s="2" t="s">
        <v>1431</v>
      </c>
      <c r="C1041" s="32">
        <v>45748.499374999999</v>
      </c>
      <c r="D1041" s="53">
        <f>YEAR(Table1[[#This Row],[Order Date]])</f>
        <v>2025</v>
      </c>
      <c r="E1041" s="2" t="s">
        <v>95</v>
      </c>
      <c r="F1041" s="2" t="s">
        <v>96</v>
      </c>
      <c r="G1041" s="2" t="s">
        <v>28</v>
      </c>
      <c r="H1041" s="23">
        <v>5000</v>
      </c>
      <c r="I1041" s="2">
        <v>1</v>
      </c>
      <c r="J1041" s="31">
        <v>20</v>
      </c>
      <c r="K1041" s="7">
        <f t="shared" si="64"/>
        <v>5000</v>
      </c>
      <c r="L1041" s="7">
        <f t="shared" si="65"/>
        <v>1000</v>
      </c>
      <c r="M1041" s="7">
        <f t="shared" si="66"/>
        <v>4000</v>
      </c>
      <c r="N1041" s="23">
        <v>49000</v>
      </c>
      <c r="O1041" s="7">
        <f t="shared" si="67"/>
        <v>53000</v>
      </c>
      <c r="P1041" s="2" t="s">
        <v>35</v>
      </c>
      <c r="Q1041" t="str">
        <f>_xlfn.XLOOKUP(B1041,Status!$A$2:$A$1867,Status!$B$2:$B$1867)</f>
        <v>Completed</v>
      </c>
      <c r="R1041" s="2" t="s">
        <v>30</v>
      </c>
      <c r="S1041" s="8">
        <v>1</v>
      </c>
      <c r="T1041" s="2" t="s">
        <v>24</v>
      </c>
      <c r="U1041" s="31" t="str" cm="1">
        <f t="array" ref="U1041">_xlfn.IFS(L1041&lt;=5000,$Z$3,AND(L1041&gt;5000,L1041&lt;=15000),$Z$4,AND(L1041&gt;15000,L1041&lt;=30000),$Z$5,AND(L1041&gt;30000,L1041&lt;=50000),$Z$6,L1041&gt;50000,$Z$7)</f>
        <v>Sangat Rendah</v>
      </c>
      <c r="V1041" s="2"/>
    </row>
    <row r="1042" spans="1:22" ht="15.75" customHeight="1" x14ac:dyDescent="0.25">
      <c r="A1042" s="26"/>
      <c r="B1042" s="2" t="s">
        <v>1432</v>
      </c>
      <c r="C1042" s="32">
        <v>45748.5153587963</v>
      </c>
      <c r="D1042" s="53">
        <f>YEAR(Table1[[#This Row],[Order Date]])</f>
        <v>2025</v>
      </c>
      <c r="E1042" s="2" t="s">
        <v>1130</v>
      </c>
      <c r="F1042" s="2" t="s">
        <v>122</v>
      </c>
      <c r="G1042" s="2" t="s">
        <v>88</v>
      </c>
      <c r="H1042" s="23">
        <v>14000</v>
      </c>
      <c r="I1042" s="2">
        <v>3</v>
      </c>
      <c r="J1042" s="31">
        <v>15</v>
      </c>
      <c r="K1042" s="7">
        <f t="shared" si="64"/>
        <v>42000</v>
      </c>
      <c r="L1042" s="7">
        <f t="shared" si="65"/>
        <v>6300</v>
      </c>
      <c r="M1042" s="7">
        <f t="shared" si="66"/>
        <v>35700</v>
      </c>
      <c r="N1042" s="23">
        <v>78000</v>
      </c>
      <c r="O1042" s="7">
        <f t="shared" si="67"/>
        <v>113700</v>
      </c>
      <c r="P1042" s="2" t="s">
        <v>29</v>
      </c>
      <c r="Q1042" t="str">
        <f>_xlfn.XLOOKUP(B1042,Status!$A$2:$A$1867,Status!$B$2:$B$1867)</f>
        <v>Cancelled</v>
      </c>
      <c r="R1042" s="2" t="s">
        <v>30</v>
      </c>
      <c r="S1042" s="8">
        <v>4</v>
      </c>
      <c r="T1042" s="2" t="s">
        <v>24</v>
      </c>
      <c r="U1042" s="31" t="str" cm="1">
        <f t="array" ref="U1042">_xlfn.IFS(L1042&lt;=5000,$Z$3,AND(L1042&gt;5000,L1042&lt;=15000),$Z$4,AND(L1042&gt;15000,L1042&lt;=30000),$Z$5,AND(L1042&gt;30000,L1042&lt;=50000),$Z$6,L1042&gt;50000,$Z$7)</f>
        <v>Rendah</v>
      </c>
      <c r="V1042" s="2"/>
    </row>
    <row r="1043" spans="1:22" ht="15.75" customHeight="1" x14ac:dyDescent="0.25">
      <c r="A1043" s="26"/>
      <c r="B1043" s="2" t="s">
        <v>1433</v>
      </c>
      <c r="C1043" s="32">
        <v>45749.739803240736</v>
      </c>
      <c r="D1043" s="53">
        <f>YEAR(Table1[[#This Row],[Order Date]])</f>
        <v>2025</v>
      </c>
      <c r="E1043" s="2" t="s">
        <v>969</v>
      </c>
      <c r="F1043" s="2" t="s">
        <v>177</v>
      </c>
      <c r="G1043" s="2" t="s">
        <v>45</v>
      </c>
      <c r="H1043" s="23">
        <v>40000</v>
      </c>
      <c r="I1043" s="2">
        <v>4</v>
      </c>
      <c r="J1043" s="31">
        <v>10</v>
      </c>
      <c r="K1043" s="7">
        <f t="shared" si="64"/>
        <v>160000</v>
      </c>
      <c r="L1043" s="7">
        <f t="shared" si="65"/>
        <v>16000</v>
      </c>
      <c r="M1043" s="7">
        <f t="shared" si="66"/>
        <v>144000</v>
      </c>
      <c r="N1043" s="23">
        <v>56000</v>
      </c>
      <c r="O1043" s="7">
        <f t="shared" si="67"/>
        <v>200000</v>
      </c>
      <c r="P1043" s="2" t="s">
        <v>63</v>
      </c>
      <c r="Q1043" t="str">
        <f>_xlfn.XLOOKUP(B1043,Status!$A$2:$A$1867,Status!$B$2:$B$1867)</f>
        <v>Returned</v>
      </c>
      <c r="R1043" s="2" t="s">
        <v>30</v>
      </c>
      <c r="S1043" s="8">
        <v>1</v>
      </c>
      <c r="T1043" s="2" t="s">
        <v>24</v>
      </c>
      <c r="U1043" s="31" t="str" cm="1">
        <f t="array" ref="U1043">_xlfn.IFS(L1043&lt;=5000,$Z$3,AND(L1043&gt;5000,L1043&lt;=15000),$Z$4,AND(L1043&gt;15000,L1043&lt;=30000),$Z$5,AND(L1043&gt;30000,L1043&lt;=50000),$Z$6,L1043&gt;50000,$Z$7)</f>
        <v>Normal</v>
      </c>
      <c r="V1043" s="2"/>
    </row>
    <row r="1044" spans="1:22" ht="15.75" customHeight="1" x14ac:dyDescent="0.25">
      <c r="A1044" s="26"/>
      <c r="B1044" s="2" t="s">
        <v>1434</v>
      </c>
      <c r="C1044" s="32">
        <v>45750.04550925926</v>
      </c>
      <c r="D1044" s="53">
        <f>YEAR(Table1[[#This Row],[Order Date]])</f>
        <v>2025</v>
      </c>
      <c r="E1044" s="2" t="s">
        <v>983</v>
      </c>
      <c r="F1044" s="2" t="s">
        <v>262</v>
      </c>
      <c r="G1044" s="2" t="s">
        <v>136</v>
      </c>
      <c r="H1044" s="23">
        <v>12000</v>
      </c>
      <c r="I1044" s="2">
        <v>4</v>
      </c>
      <c r="J1044" s="31">
        <v>0</v>
      </c>
      <c r="K1044" s="7">
        <f t="shared" si="64"/>
        <v>48000</v>
      </c>
      <c r="L1044" s="7">
        <f t="shared" si="65"/>
        <v>0</v>
      </c>
      <c r="M1044" s="7">
        <f t="shared" si="66"/>
        <v>48000</v>
      </c>
      <c r="N1044" s="23">
        <v>18000</v>
      </c>
      <c r="O1044" s="7">
        <f t="shared" si="67"/>
        <v>66000</v>
      </c>
      <c r="P1044" s="2" t="s">
        <v>63</v>
      </c>
      <c r="Q1044" t="str">
        <f>_xlfn.XLOOKUP(B1044,Status!$A$2:$A$1867,Status!$B$2:$B$1867)</f>
        <v>Completed</v>
      </c>
      <c r="R1044" s="2" t="s">
        <v>36</v>
      </c>
      <c r="S1044" s="8">
        <v>1</v>
      </c>
      <c r="T1044" s="2" t="s">
        <v>37</v>
      </c>
      <c r="U1044" s="31" t="str" cm="1">
        <f t="array" ref="U1044">_xlfn.IFS(L1044&lt;=5000,$Z$3,AND(L1044&gt;5000,L1044&lt;=15000),$Z$4,AND(L1044&gt;15000,L1044&lt;=30000),$Z$5,AND(L1044&gt;30000,L1044&lt;=50000),$Z$6,L1044&gt;50000,$Z$7)</f>
        <v>Sangat Rendah</v>
      </c>
      <c r="V1044" s="2"/>
    </row>
    <row r="1045" spans="1:22" ht="15.75" customHeight="1" x14ac:dyDescent="0.25">
      <c r="A1045" s="26"/>
      <c r="B1045" s="2" t="s">
        <v>1435</v>
      </c>
      <c r="C1045" s="32">
        <v>45750.168321759258</v>
      </c>
      <c r="D1045" s="53">
        <f>YEAR(Table1[[#This Row],[Order Date]])</f>
        <v>2025</v>
      </c>
      <c r="E1045" s="2" t="s">
        <v>1436</v>
      </c>
      <c r="F1045" s="2" t="s">
        <v>119</v>
      </c>
      <c r="G1045" s="2" t="s">
        <v>81</v>
      </c>
      <c r="H1045" s="23">
        <v>17000</v>
      </c>
      <c r="I1045" s="2">
        <v>2</v>
      </c>
      <c r="J1045" s="31">
        <v>15</v>
      </c>
      <c r="K1045" s="7">
        <f t="shared" si="64"/>
        <v>34000</v>
      </c>
      <c r="L1045" s="7">
        <f t="shared" si="65"/>
        <v>5100</v>
      </c>
      <c r="M1045" s="7">
        <f t="shared" si="66"/>
        <v>28900</v>
      </c>
      <c r="N1045" s="23">
        <v>0</v>
      </c>
      <c r="O1045" s="7">
        <f t="shared" si="67"/>
        <v>28900</v>
      </c>
      <c r="P1045" s="2" t="s">
        <v>63</v>
      </c>
      <c r="Q1045" t="str">
        <f>_xlfn.XLOOKUP(B1045,Status!$A$2:$A$1867,Status!$B$2:$B$1867)</f>
        <v>Completed</v>
      </c>
      <c r="R1045" s="2" t="s">
        <v>82</v>
      </c>
      <c r="S1045" s="8">
        <v>2</v>
      </c>
      <c r="T1045" s="2" t="s">
        <v>24</v>
      </c>
      <c r="U1045" s="31" t="str" cm="1">
        <f t="array" ref="U1045">_xlfn.IFS(L1045&lt;=5000,$Z$3,AND(L1045&gt;5000,L1045&lt;=15000),$Z$4,AND(L1045&gt;15000,L1045&lt;=30000),$Z$5,AND(L1045&gt;30000,L1045&lt;=50000),$Z$6,L1045&gt;50000,$Z$7)</f>
        <v>Rendah</v>
      </c>
      <c r="V1045" s="2"/>
    </row>
    <row r="1046" spans="1:22" ht="15.75" customHeight="1" x14ac:dyDescent="0.25">
      <c r="A1046" s="26"/>
      <c r="B1046" s="2" t="s">
        <v>1437</v>
      </c>
      <c r="C1046" s="32">
        <v>45750.200752314813</v>
      </c>
      <c r="D1046" s="53">
        <f>YEAR(Table1[[#This Row],[Order Date]])</f>
        <v>2025</v>
      </c>
      <c r="E1046" s="2" t="s">
        <v>455</v>
      </c>
      <c r="F1046" s="2" t="s">
        <v>33</v>
      </c>
      <c r="G1046" s="2" t="s">
        <v>28</v>
      </c>
      <c r="H1046" s="23">
        <v>5000</v>
      </c>
      <c r="I1046" s="2">
        <v>1</v>
      </c>
      <c r="J1046" s="31">
        <v>10</v>
      </c>
      <c r="K1046" s="7">
        <f t="shared" si="64"/>
        <v>5000</v>
      </c>
      <c r="L1046" s="7">
        <f t="shared" si="65"/>
        <v>500</v>
      </c>
      <c r="M1046" s="7">
        <f t="shared" si="66"/>
        <v>4500</v>
      </c>
      <c r="N1046" s="23">
        <v>76000</v>
      </c>
      <c r="O1046" s="7">
        <f t="shared" si="67"/>
        <v>80500</v>
      </c>
      <c r="P1046" s="2" t="s">
        <v>63</v>
      </c>
      <c r="Q1046" t="str">
        <f>_xlfn.XLOOKUP(B1046,Status!$A$2:$A$1867,Status!$B$2:$B$1867)</f>
        <v>Completed</v>
      </c>
      <c r="R1046" s="2" t="s">
        <v>30</v>
      </c>
      <c r="S1046" s="8">
        <v>1</v>
      </c>
      <c r="T1046" s="2" t="s">
        <v>24</v>
      </c>
      <c r="U1046" s="31" t="str" cm="1">
        <f t="array" ref="U1046">_xlfn.IFS(L1046&lt;=5000,$Z$3,AND(L1046&gt;5000,L1046&lt;=15000),$Z$4,AND(L1046&gt;15000,L1046&lt;=30000),$Z$5,AND(L1046&gt;30000,L1046&lt;=50000),$Z$6,L1046&gt;50000,$Z$7)</f>
        <v>Sangat Rendah</v>
      </c>
      <c r="V1046" s="2"/>
    </row>
    <row r="1047" spans="1:22" ht="15.75" customHeight="1" x14ac:dyDescent="0.25">
      <c r="A1047" s="26"/>
      <c r="B1047" s="2" t="s">
        <v>1438</v>
      </c>
      <c r="C1047" s="32">
        <v>45750.217245370368</v>
      </c>
      <c r="D1047" s="53">
        <f>YEAR(Table1[[#This Row],[Order Date]])</f>
        <v>2025</v>
      </c>
      <c r="E1047" s="2" t="s">
        <v>307</v>
      </c>
      <c r="F1047" s="2" t="s">
        <v>70</v>
      </c>
      <c r="G1047" s="2" t="s">
        <v>81</v>
      </c>
      <c r="H1047" s="23">
        <v>17000</v>
      </c>
      <c r="I1047" s="2">
        <v>2</v>
      </c>
      <c r="J1047" s="31">
        <v>20</v>
      </c>
      <c r="K1047" s="7">
        <f t="shared" si="64"/>
        <v>34000</v>
      </c>
      <c r="L1047" s="7">
        <f t="shared" si="65"/>
        <v>6800</v>
      </c>
      <c r="M1047" s="7">
        <f t="shared" si="66"/>
        <v>27200</v>
      </c>
      <c r="N1047" s="23">
        <v>89000</v>
      </c>
      <c r="O1047" s="7">
        <f t="shared" si="67"/>
        <v>116200</v>
      </c>
      <c r="P1047" s="2" t="s">
        <v>22</v>
      </c>
      <c r="Q1047" t="str">
        <f>_xlfn.XLOOKUP(B1047,Status!$A$2:$A$1867,Status!$B$2:$B$1867)</f>
        <v>Completed</v>
      </c>
      <c r="R1047" s="2" t="s">
        <v>23</v>
      </c>
      <c r="S1047" s="8">
        <v>5</v>
      </c>
      <c r="T1047" s="2" t="s">
        <v>24</v>
      </c>
      <c r="U1047" s="31" t="str" cm="1">
        <f t="array" ref="U1047">_xlfn.IFS(L1047&lt;=5000,$Z$3,AND(L1047&gt;5000,L1047&lt;=15000),$Z$4,AND(L1047&gt;15000,L1047&lt;=30000),$Z$5,AND(L1047&gt;30000,L1047&lt;=50000),$Z$6,L1047&gt;50000,$Z$7)</f>
        <v>Rendah</v>
      </c>
      <c r="V1047" s="2"/>
    </row>
    <row r="1048" spans="1:22" ht="15.75" customHeight="1" x14ac:dyDescent="0.25">
      <c r="A1048" s="26"/>
      <c r="B1048" s="2" t="s">
        <v>1439</v>
      </c>
      <c r="C1048" s="32">
        <v>45750.277291666673</v>
      </c>
      <c r="D1048" s="53">
        <f>YEAR(Table1[[#This Row],[Order Date]])</f>
        <v>2025</v>
      </c>
      <c r="E1048" s="2" t="s">
        <v>877</v>
      </c>
      <c r="F1048" s="2" t="s">
        <v>107</v>
      </c>
      <c r="G1048" s="2" t="s">
        <v>81</v>
      </c>
      <c r="H1048" s="23">
        <v>17000</v>
      </c>
      <c r="I1048" s="2">
        <v>4</v>
      </c>
      <c r="J1048" s="31">
        <v>10</v>
      </c>
      <c r="K1048" s="7">
        <f t="shared" si="64"/>
        <v>68000</v>
      </c>
      <c r="L1048" s="7">
        <f t="shared" si="65"/>
        <v>6800</v>
      </c>
      <c r="M1048" s="7">
        <f t="shared" si="66"/>
        <v>61200</v>
      </c>
      <c r="N1048" s="23">
        <v>97000</v>
      </c>
      <c r="O1048" s="7">
        <f t="shared" si="67"/>
        <v>158200</v>
      </c>
      <c r="P1048" s="2" t="s">
        <v>29</v>
      </c>
      <c r="Q1048" t="str">
        <f>_xlfn.XLOOKUP(B1048,Status!$A$2:$A$1867,Status!$B$2:$B$1867)</f>
        <v>Cancelled</v>
      </c>
      <c r="R1048" s="2" t="s">
        <v>36</v>
      </c>
      <c r="S1048" s="8">
        <v>1</v>
      </c>
      <c r="T1048" s="2" t="s">
        <v>24</v>
      </c>
      <c r="U1048" s="31" t="str" cm="1">
        <f t="array" ref="U1048">_xlfn.IFS(L1048&lt;=5000,$Z$3,AND(L1048&gt;5000,L1048&lt;=15000),$Z$4,AND(L1048&gt;15000,L1048&lt;=30000),$Z$5,AND(L1048&gt;30000,L1048&lt;=50000),$Z$6,L1048&gt;50000,$Z$7)</f>
        <v>Rendah</v>
      </c>
      <c r="V1048" s="2"/>
    </row>
    <row r="1049" spans="1:22" ht="15.75" customHeight="1" x14ac:dyDescent="0.25">
      <c r="A1049" s="26"/>
      <c r="B1049" s="2" t="s">
        <v>1440</v>
      </c>
      <c r="C1049" s="32">
        <v>45750.577199074083</v>
      </c>
      <c r="D1049" s="53">
        <f>YEAR(Table1[[#This Row],[Order Date]])</f>
        <v>2025</v>
      </c>
      <c r="E1049" s="2" t="s">
        <v>596</v>
      </c>
      <c r="F1049" s="2" t="s">
        <v>70</v>
      </c>
      <c r="G1049" s="2" t="s">
        <v>85</v>
      </c>
      <c r="H1049" s="23">
        <v>35000</v>
      </c>
      <c r="I1049" s="2">
        <v>4</v>
      </c>
      <c r="J1049" s="31">
        <v>10</v>
      </c>
      <c r="K1049" s="7">
        <f t="shared" si="64"/>
        <v>140000</v>
      </c>
      <c r="L1049" s="7">
        <f t="shared" si="65"/>
        <v>14000</v>
      </c>
      <c r="M1049" s="7">
        <f t="shared" si="66"/>
        <v>126000</v>
      </c>
      <c r="N1049" s="23">
        <v>89000</v>
      </c>
      <c r="O1049" s="7">
        <f t="shared" si="67"/>
        <v>215000</v>
      </c>
      <c r="P1049" s="2" t="s">
        <v>22</v>
      </c>
      <c r="Q1049" t="str">
        <f>_xlfn.XLOOKUP(B1049,Status!$A$2:$A$1867,Status!$B$2:$B$1867)</f>
        <v>Completed</v>
      </c>
      <c r="R1049" s="2" t="s">
        <v>46</v>
      </c>
      <c r="S1049" s="8">
        <v>4</v>
      </c>
      <c r="T1049" s="2" t="s">
        <v>24</v>
      </c>
      <c r="U1049" s="31" t="str" cm="1">
        <f t="array" ref="U1049">_xlfn.IFS(L1049&lt;=5000,$Z$3,AND(L1049&gt;5000,L1049&lt;=15000),$Z$4,AND(L1049&gt;15000,L1049&lt;=30000),$Z$5,AND(L1049&gt;30000,L1049&lt;=50000),$Z$6,L1049&gt;50000,$Z$7)</f>
        <v>Rendah</v>
      </c>
      <c r="V1049" s="2"/>
    </row>
    <row r="1050" spans="1:22" ht="15.75" customHeight="1" x14ac:dyDescent="0.25">
      <c r="A1050" s="26"/>
      <c r="B1050" s="2" t="s">
        <v>1441</v>
      </c>
      <c r="C1050" s="32">
        <v>45750.997083333343</v>
      </c>
      <c r="D1050" s="53">
        <f>YEAR(Table1[[#This Row],[Order Date]])</f>
        <v>2025</v>
      </c>
      <c r="E1050" s="2" t="s">
        <v>1237</v>
      </c>
      <c r="F1050" s="2" t="s">
        <v>92</v>
      </c>
      <c r="G1050" s="2" t="s">
        <v>21</v>
      </c>
      <c r="H1050" s="23">
        <v>45000</v>
      </c>
      <c r="I1050" s="2">
        <v>1</v>
      </c>
      <c r="J1050" s="31">
        <v>10</v>
      </c>
      <c r="K1050" s="7">
        <f t="shared" si="64"/>
        <v>45000</v>
      </c>
      <c r="L1050" s="7">
        <f t="shared" si="65"/>
        <v>4500</v>
      </c>
      <c r="M1050" s="7">
        <f t="shared" si="66"/>
        <v>40500</v>
      </c>
      <c r="N1050" s="23">
        <v>30000</v>
      </c>
      <c r="O1050" s="7">
        <f t="shared" si="67"/>
        <v>70500</v>
      </c>
      <c r="P1050" s="2" t="s">
        <v>22</v>
      </c>
      <c r="Q1050" t="str">
        <f>_xlfn.XLOOKUP(B1050,Status!$A$2:$A$1867,Status!$B$2:$B$1867)</f>
        <v>Completed</v>
      </c>
      <c r="R1050" s="2" t="s">
        <v>82</v>
      </c>
      <c r="S1050" s="8">
        <v>4</v>
      </c>
      <c r="T1050" s="2" t="s">
        <v>24</v>
      </c>
      <c r="U1050" s="31" t="str" cm="1">
        <f t="array" ref="U1050">_xlfn.IFS(L1050&lt;=5000,$Z$3,AND(L1050&gt;5000,L1050&lt;=15000),$Z$4,AND(L1050&gt;15000,L1050&lt;=30000),$Z$5,AND(L1050&gt;30000,L1050&lt;=50000),$Z$6,L1050&gt;50000,$Z$7)</f>
        <v>Sangat Rendah</v>
      </c>
      <c r="V1050" s="2"/>
    </row>
    <row r="1051" spans="1:22" ht="15.75" customHeight="1" x14ac:dyDescent="0.25">
      <c r="A1051" s="26"/>
      <c r="B1051" s="2" t="s">
        <v>1442</v>
      </c>
      <c r="C1051" s="32">
        <v>45751.136388888888</v>
      </c>
      <c r="D1051" s="53">
        <f>YEAR(Table1[[#This Row],[Order Date]])</f>
        <v>2025</v>
      </c>
      <c r="E1051" s="2" t="s">
        <v>726</v>
      </c>
      <c r="F1051" s="2" t="s">
        <v>53</v>
      </c>
      <c r="G1051" s="2" t="s">
        <v>21</v>
      </c>
      <c r="H1051" s="23">
        <v>45000</v>
      </c>
      <c r="I1051" s="2">
        <v>3</v>
      </c>
      <c r="J1051" s="31">
        <v>10</v>
      </c>
      <c r="K1051" s="7">
        <f t="shared" si="64"/>
        <v>135000</v>
      </c>
      <c r="L1051" s="7">
        <f t="shared" si="65"/>
        <v>13500</v>
      </c>
      <c r="M1051" s="7">
        <f t="shared" si="66"/>
        <v>121500</v>
      </c>
      <c r="N1051" s="23">
        <v>18000</v>
      </c>
      <c r="O1051" s="7">
        <f t="shared" si="67"/>
        <v>139500</v>
      </c>
      <c r="P1051" s="2" t="s">
        <v>29</v>
      </c>
      <c r="Q1051" t="str">
        <f>_xlfn.XLOOKUP(B1051,Status!$A$2:$A$1867,Status!$B$2:$B$1867)</f>
        <v>Completed</v>
      </c>
      <c r="R1051" s="2" t="s">
        <v>46</v>
      </c>
      <c r="S1051" s="8">
        <v>3</v>
      </c>
      <c r="T1051" s="2" t="s">
        <v>37</v>
      </c>
      <c r="U1051" s="31" t="str" cm="1">
        <f t="array" ref="U1051">_xlfn.IFS(L1051&lt;=5000,$Z$3,AND(L1051&gt;5000,L1051&lt;=15000),$Z$4,AND(L1051&gt;15000,L1051&lt;=30000),$Z$5,AND(L1051&gt;30000,L1051&lt;=50000),$Z$6,L1051&gt;50000,$Z$7)</f>
        <v>Rendah</v>
      </c>
      <c r="V1051" s="2"/>
    </row>
    <row r="1052" spans="1:22" ht="15.75" customHeight="1" x14ac:dyDescent="0.25">
      <c r="A1052" s="26"/>
      <c r="B1052" s="2" t="s">
        <v>1443</v>
      </c>
      <c r="C1052" s="32">
        <v>45751.214456018519</v>
      </c>
      <c r="D1052" s="53">
        <f>YEAR(Table1[[#This Row],[Order Date]])</f>
        <v>2025</v>
      </c>
      <c r="E1052" s="2" t="s">
        <v>530</v>
      </c>
      <c r="F1052" s="2" t="s">
        <v>151</v>
      </c>
      <c r="G1052" s="2" t="s">
        <v>138</v>
      </c>
      <c r="H1052" s="23">
        <v>17000</v>
      </c>
      <c r="I1052" s="2">
        <v>4</v>
      </c>
      <c r="J1052" s="31">
        <v>15</v>
      </c>
      <c r="K1052" s="7">
        <f t="shared" si="64"/>
        <v>68000</v>
      </c>
      <c r="L1052" s="7">
        <f t="shared" si="65"/>
        <v>10200</v>
      </c>
      <c r="M1052" s="7">
        <f t="shared" si="66"/>
        <v>57800</v>
      </c>
      <c r="N1052" s="23">
        <v>55000</v>
      </c>
      <c r="O1052" s="7">
        <f t="shared" si="67"/>
        <v>112800</v>
      </c>
      <c r="P1052" s="2" t="s">
        <v>29</v>
      </c>
      <c r="Q1052" t="str">
        <f>_xlfn.XLOOKUP(B1052,Status!$A$2:$A$1867,Status!$B$2:$B$1867)</f>
        <v>Completed</v>
      </c>
      <c r="R1052" s="2" t="s">
        <v>36</v>
      </c>
      <c r="S1052" s="8">
        <v>2</v>
      </c>
      <c r="T1052" s="2" t="s">
        <v>24</v>
      </c>
      <c r="U1052" s="31" t="str" cm="1">
        <f t="array" ref="U1052">_xlfn.IFS(L1052&lt;=5000,$Z$3,AND(L1052&gt;5000,L1052&lt;=15000),$Z$4,AND(L1052&gt;15000,L1052&lt;=30000),$Z$5,AND(L1052&gt;30000,L1052&lt;=50000),$Z$6,L1052&gt;50000,$Z$7)</f>
        <v>Rendah</v>
      </c>
      <c r="V1052" s="2"/>
    </row>
    <row r="1053" spans="1:22" ht="15.75" customHeight="1" x14ac:dyDescent="0.25">
      <c r="A1053" s="26"/>
      <c r="B1053" s="2" t="s">
        <v>1443</v>
      </c>
      <c r="C1053" s="32">
        <v>45751.214456018519</v>
      </c>
      <c r="D1053" s="53">
        <f>YEAR(Table1[[#This Row],[Order Date]])</f>
        <v>2025</v>
      </c>
      <c r="E1053" s="2" t="s">
        <v>530</v>
      </c>
      <c r="F1053" s="2" t="s">
        <v>151</v>
      </c>
      <c r="G1053" s="2" t="s">
        <v>93</v>
      </c>
      <c r="H1053" s="23">
        <v>25000</v>
      </c>
      <c r="I1053" s="2">
        <v>5</v>
      </c>
      <c r="J1053" s="31">
        <v>10</v>
      </c>
      <c r="K1053" s="7">
        <f t="shared" si="64"/>
        <v>125000</v>
      </c>
      <c r="L1053" s="7">
        <f t="shared" si="65"/>
        <v>12500</v>
      </c>
      <c r="M1053" s="7">
        <f t="shared" si="66"/>
        <v>112500</v>
      </c>
      <c r="N1053" s="23">
        <v>0</v>
      </c>
      <c r="O1053" s="7">
        <f t="shared" si="67"/>
        <v>112500</v>
      </c>
      <c r="P1053" s="2" t="s">
        <v>29</v>
      </c>
      <c r="Q1053" t="str">
        <f>_xlfn.XLOOKUP(B1053,Status!$A$2:$A$1867,Status!$B$2:$B$1867)</f>
        <v>Completed</v>
      </c>
      <c r="R1053" s="2" t="s">
        <v>36</v>
      </c>
      <c r="S1053" s="8">
        <v>2</v>
      </c>
      <c r="T1053" s="2" t="s">
        <v>24</v>
      </c>
      <c r="U1053" s="31" t="str" cm="1">
        <f t="array" ref="U1053">_xlfn.IFS(L1053&lt;=5000,$Z$3,AND(L1053&gt;5000,L1053&lt;=15000),$Z$4,AND(L1053&gt;15000,L1053&lt;=30000),$Z$5,AND(L1053&gt;30000,L1053&lt;=50000),$Z$6,L1053&gt;50000,$Z$7)</f>
        <v>Rendah</v>
      </c>
      <c r="V1053" s="2"/>
    </row>
    <row r="1054" spans="1:22" ht="15.75" customHeight="1" x14ac:dyDescent="0.25">
      <c r="A1054" s="26"/>
      <c r="B1054" s="2" t="s">
        <v>1444</v>
      </c>
      <c r="C1054" s="32">
        <v>45751.327152777783</v>
      </c>
      <c r="D1054" s="53">
        <f>YEAR(Table1[[#This Row],[Order Date]])</f>
        <v>2025</v>
      </c>
      <c r="E1054" s="2" t="s">
        <v>1445</v>
      </c>
      <c r="F1054" s="2" t="s">
        <v>296</v>
      </c>
      <c r="G1054" s="2" t="s">
        <v>75</v>
      </c>
      <c r="H1054" s="23">
        <v>55000</v>
      </c>
      <c r="I1054" s="2">
        <v>1</v>
      </c>
      <c r="J1054" s="31">
        <v>5</v>
      </c>
      <c r="K1054" s="7">
        <f t="shared" si="64"/>
        <v>55000</v>
      </c>
      <c r="L1054" s="7">
        <f t="shared" si="65"/>
        <v>2750</v>
      </c>
      <c r="M1054" s="7">
        <f t="shared" si="66"/>
        <v>52250</v>
      </c>
      <c r="N1054" s="23">
        <v>79000</v>
      </c>
      <c r="O1054" s="7">
        <f t="shared" si="67"/>
        <v>131250</v>
      </c>
      <c r="P1054" s="2" t="s">
        <v>29</v>
      </c>
      <c r="Q1054" t="str">
        <f>_xlfn.XLOOKUP(B1054,Status!$A$2:$A$1867,Status!$B$2:$B$1867)</f>
        <v>Completed</v>
      </c>
      <c r="R1054" s="2" t="s">
        <v>30</v>
      </c>
      <c r="S1054" s="8">
        <v>2</v>
      </c>
      <c r="T1054" s="2" t="s">
        <v>37</v>
      </c>
      <c r="U1054" s="31" t="str" cm="1">
        <f t="array" ref="U1054">_xlfn.IFS(L1054&lt;=5000,$Z$3,AND(L1054&gt;5000,L1054&lt;=15000),$Z$4,AND(L1054&gt;15000,L1054&lt;=30000),$Z$5,AND(L1054&gt;30000,L1054&lt;=50000),$Z$6,L1054&gt;50000,$Z$7)</f>
        <v>Sangat Rendah</v>
      </c>
      <c r="V1054" s="2"/>
    </row>
    <row r="1055" spans="1:22" ht="15.75" customHeight="1" x14ac:dyDescent="0.25">
      <c r="A1055" s="26"/>
      <c r="B1055" s="2" t="s">
        <v>1446</v>
      </c>
      <c r="C1055" s="32">
        <v>45751.547349537039</v>
      </c>
      <c r="D1055" s="53">
        <f>YEAR(Table1[[#This Row],[Order Date]])</f>
        <v>2025</v>
      </c>
      <c r="E1055" s="2" t="s">
        <v>385</v>
      </c>
      <c r="F1055" s="2" t="s">
        <v>375</v>
      </c>
      <c r="G1055" s="2" t="s">
        <v>50</v>
      </c>
      <c r="H1055" s="23">
        <v>14000</v>
      </c>
      <c r="I1055" s="2">
        <v>2</v>
      </c>
      <c r="J1055" s="31">
        <v>10</v>
      </c>
      <c r="K1055" s="7">
        <f t="shared" si="64"/>
        <v>28000</v>
      </c>
      <c r="L1055" s="7">
        <f t="shared" si="65"/>
        <v>2800</v>
      </c>
      <c r="M1055" s="7">
        <f t="shared" si="66"/>
        <v>25200</v>
      </c>
      <c r="N1055" s="23">
        <v>21000</v>
      </c>
      <c r="O1055" s="7">
        <f t="shared" si="67"/>
        <v>46200</v>
      </c>
      <c r="P1055" s="2" t="s">
        <v>35</v>
      </c>
      <c r="Q1055" t="str">
        <f>_xlfn.XLOOKUP(B1055,Status!$A$2:$A$1867,Status!$B$2:$B$1867)</f>
        <v>Completed</v>
      </c>
      <c r="R1055" s="2" t="s">
        <v>82</v>
      </c>
      <c r="S1055" s="8">
        <v>2</v>
      </c>
      <c r="T1055" s="2" t="s">
        <v>24</v>
      </c>
      <c r="U1055" s="31" t="str" cm="1">
        <f t="array" ref="U1055">_xlfn.IFS(L1055&lt;=5000,$Z$3,AND(L1055&gt;5000,L1055&lt;=15000),$Z$4,AND(L1055&gt;15000,L1055&lt;=30000),$Z$5,AND(L1055&gt;30000,L1055&lt;=50000),$Z$6,L1055&gt;50000,$Z$7)</f>
        <v>Sangat Rendah</v>
      </c>
      <c r="V1055" s="2"/>
    </row>
    <row r="1056" spans="1:22" ht="15.75" customHeight="1" x14ac:dyDescent="0.25">
      <c r="A1056" s="26"/>
      <c r="B1056" s="2" t="s">
        <v>1447</v>
      </c>
      <c r="C1056" s="32">
        <v>45751.882256944453</v>
      </c>
      <c r="D1056" s="53">
        <f>YEAR(Table1[[#This Row],[Order Date]])</f>
        <v>2025</v>
      </c>
      <c r="E1056" s="2" t="s">
        <v>40</v>
      </c>
      <c r="F1056" s="2" t="s">
        <v>27</v>
      </c>
      <c r="G1056" s="2" t="s">
        <v>81</v>
      </c>
      <c r="H1056" s="23">
        <v>17000</v>
      </c>
      <c r="I1056" s="2">
        <v>5</v>
      </c>
      <c r="J1056" s="31">
        <v>10</v>
      </c>
      <c r="K1056" s="7">
        <f t="shared" si="64"/>
        <v>85000</v>
      </c>
      <c r="L1056" s="7">
        <f t="shared" si="65"/>
        <v>8500</v>
      </c>
      <c r="M1056" s="7">
        <f t="shared" si="66"/>
        <v>76500</v>
      </c>
      <c r="N1056" s="23">
        <v>17000</v>
      </c>
      <c r="O1056" s="7">
        <f t="shared" si="67"/>
        <v>93500</v>
      </c>
      <c r="P1056" s="2" t="s">
        <v>63</v>
      </c>
      <c r="Q1056" t="str">
        <f>_xlfn.XLOOKUP(B1056,Status!$A$2:$A$1867,Status!$B$2:$B$1867)</f>
        <v>Completed</v>
      </c>
      <c r="R1056" s="2" t="s">
        <v>23</v>
      </c>
      <c r="S1056" s="8">
        <v>1</v>
      </c>
      <c r="T1056" s="2" t="s">
        <v>24</v>
      </c>
      <c r="U1056" s="31" t="str" cm="1">
        <f t="array" ref="U1056">_xlfn.IFS(L1056&lt;=5000,$Z$3,AND(L1056&gt;5000,L1056&lt;=15000),$Z$4,AND(L1056&gt;15000,L1056&lt;=30000),$Z$5,AND(L1056&gt;30000,L1056&lt;=50000),$Z$6,L1056&gt;50000,$Z$7)</f>
        <v>Rendah</v>
      </c>
      <c r="V1056" s="2"/>
    </row>
    <row r="1057" spans="1:22" ht="15.75" customHeight="1" x14ac:dyDescent="0.25">
      <c r="A1057" s="26"/>
      <c r="B1057" s="2" t="s">
        <v>1448</v>
      </c>
      <c r="C1057" s="32">
        <v>45751.964918981481</v>
      </c>
      <c r="D1057" s="53">
        <f>YEAR(Table1[[#This Row],[Order Date]])</f>
        <v>2025</v>
      </c>
      <c r="E1057" s="2" t="s">
        <v>488</v>
      </c>
      <c r="F1057" s="2" t="s">
        <v>49</v>
      </c>
      <c r="G1057" s="2" t="s">
        <v>186</v>
      </c>
      <c r="H1057" s="23">
        <v>45000</v>
      </c>
      <c r="I1057" s="2">
        <v>4</v>
      </c>
      <c r="J1057" s="31">
        <v>15</v>
      </c>
      <c r="K1057" s="7">
        <f t="shared" si="64"/>
        <v>180000</v>
      </c>
      <c r="L1057" s="7">
        <f t="shared" si="65"/>
        <v>27000</v>
      </c>
      <c r="M1057" s="7">
        <f t="shared" si="66"/>
        <v>153000</v>
      </c>
      <c r="N1057" s="23">
        <v>43000</v>
      </c>
      <c r="O1057" s="7">
        <f t="shared" si="67"/>
        <v>196000</v>
      </c>
      <c r="P1057" s="2" t="s">
        <v>35</v>
      </c>
      <c r="Q1057" t="str">
        <f>_xlfn.XLOOKUP(B1057,Status!$A$2:$A$1867,Status!$B$2:$B$1867)</f>
        <v>Completed</v>
      </c>
      <c r="R1057" s="2" t="s">
        <v>30</v>
      </c>
      <c r="S1057" s="8">
        <v>4</v>
      </c>
      <c r="T1057" s="2" t="s">
        <v>24</v>
      </c>
      <c r="U1057" s="31" t="str" cm="1">
        <f t="array" ref="U1057">_xlfn.IFS(L1057&lt;=5000,$Z$3,AND(L1057&gt;5000,L1057&lt;=15000),$Z$4,AND(L1057&gt;15000,L1057&lt;=30000),$Z$5,AND(L1057&gt;30000,L1057&lt;=50000),$Z$6,L1057&gt;50000,$Z$7)</f>
        <v>Normal</v>
      </c>
      <c r="V1057" s="2"/>
    </row>
    <row r="1058" spans="1:22" ht="15.75" customHeight="1" x14ac:dyDescent="0.25">
      <c r="A1058" s="26"/>
      <c r="B1058" s="2" t="s">
        <v>1449</v>
      </c>
      <c r="C1058" s="32">
        <v>45752.093229166669</v>
      </c>
      <c r="D1058" s="53">
        <f>YEAR(Table1[[#This Row],[Order Date]])</f>
        <v>2025</v>
      </c>
      <c r="E1058" s="2" t="s">
        <v>598</v>
      </c>
      <c r="F1058" s="2" t="s">
        <v>61</v>
      </c>
      <c r="G1058" s="2" t="s">
        <v>71</v>
      </c>
      <c r="H1058" s="23">
        <v>40000</v>
      </c>
      <c r="I1058" s="2">
        <v>2</v>
      </c>
      <c r="J1058" s="31">
        <v>15</v>
      </c>
      <c r="K1058" s="7">
        <f t="shared" si="64"/>
        <v>80000</v>
      </c>
      <c r="L1058" s="7">
        <f t="shared" si="65"/>
        <v>12000</v>
      </c>
      <c r="M1058" s="7">
        <f t="shared" si="66"/>
        <v>68000</v>
      </c>
      <c r="N1058" s="23">
        <v>26000</v>
      </c>
      <c r="O1058" s="7">
        <f t="shared" si="67"/>
        <v>94000</v>
      </c>
      <c r="P1058" s="2" t="s">
        <v>22</v>
      </c>
      <c r="Q1058" t="str">
        <f>_xlfn.XLOOKUP(B1058,Status!$A$2:$A$1867,Status!$B$2:$B$1867)</f>
        <v>Returned</v>
      </c>
      <c r="R1058" s="2" t="s">
        <v>36</v>
      </c>
      <c r="S1058" s="8">
        <v>3</v>
      </c>
      <c r="T1058" s="2" t="s">
        <v>24</v>
      </c>
      <c r="U1058" s="31" t="str" cm="1">
        <f t="array" ref="U1058">_xlfn.IFS(L1058&lt;=5000,$Z$3,AND(L1058&gt;5000,L1058&lt;=15000),$Z$4,AND(L1058&gt;15000,L1058&lt;=30000),$Z$5,AND(L1058&gt;30000,L1058&lt;=50000),$Z$6,L1058&gt;50000,$Z$7)</f>
        <v>Rendah</v>
      </c>
      <c r="V1058" s="2"/>
    </row>
    <row r="1059" spans="1:22" ht="15.75" customHeight="1" x14ac:dyDescent="0.25">
      <c r="A1059" s="26"/>
      <c r="B1059" s="2" t="s">
        <v>1450</v>
      </c>
      <c r="C1059" s="32">
        <v>45752.300821759258</v>
      </c>
      <c r="D1059" s="53">
        <f>YEAR(Table1[[#This Row],[Order Date]])</f>
        <v>2025</v>
      </c>
      <c r="E1059" s="2" t="s">
        <v>188</v>
      </c>
      <c r="F1059" s="2" t="s">
        <v>189</v>
      </c>
      <c r="G1059" s="2" t="s">
        <v>45</v>
      </c>
      <c r="H1059" s="23">
        <v>40000</v>
      </c>
      <c r="I1059" s="2">
        <v>5</v>
      </c>
      <c r="J1059" s="31">
        <v>0</v>
      </c>
      <c r="K1059" s="7">
        <f t="shared" si="64"/>
        <v>200000</v>
      </c>
      <c r="L1059" s="7">
        <f t="shared" si="65"/>
        <v>0</v>
      </c>
      <c r="M1059" s="7">
        <f t="shared" si="66"/>
        <v>200000</v>
      </c>
      <c r="N1059" s="23">
        <v>57000</v>
      </c>
      <c r="O1059" s="7">
        <f t="shared" si="67"/>
        <v>257000</v>
      </c>
      <c r="P1059" s="2" t="s">
        <v>29</v>
      </c>
      <c r="Q1059" t="str">
        <f>_xlfn.XLOOKUP(B1059,Status!$A$2:$A$1867,Status!$B$2:$B$1867)</f>
        <v>Completed</v>
      </c>
      <c r="R1059" s="2" t="s">
        <v>46</v>
      </c>
      <c r="S1059" s="8">
        <v>5</v>
      </c>
      <c r="T1059" s="2" t="s">
        <v>24</v>
      </c>
      <c r="U1059" s="31" t="str" cm="1">
        <f t="array" ref="U1059">_xlfn.IFS(L1059&lt;=5000,$Z$3,AND(L1059&gt;5000,L1059&lt;=15000),$Z$4,AND(L1059&gt;15000,L1059&lt;=30000),$Z$5,AND(L1059&gt;30000,L1059&lt;=50000),$Z$6,L1059&gt;50000,$Z$7)</f>
        <v>Sangat Rendah</v>
      </c>
      <c r="V1059" s="2"/>
    </row>
    <row r="1060" spans="1:22" ht="15.75" customHeight="1" x14ac:dyDescent="0.25">
      <c r="A1060" s="26"/>
      <c r="B1060" s="2" t="s">
        <v>1451</v>
      </c>
      <c r="C1060" s="32">
        <v>45752.329907407409</v>
      </c>
      <c r="D1060" s="53">
        <f>YEAR(Table1[[#This Row],[Order Date]])</f>
        <v>2025</v>
      </c>
      <c r="E1060" s="2" t="s">
        <v>79</v>
      </c>
      <c r="F1060" s="2" t="s">
        <v>80</v>
      </c>
      <c r="G1060" s="2" t="s">
        <v>58</v>
      </c>
      <c r="H1060" s="23">
        <v>16000</v>
      </c>
      <c r="I1060" s="2">
        <v>4</v>
      </c>
      <c r="J1060" s="31">
        <v>5</v>
      </c>
      <c r="K1060" s="7">
        <f t="shared" si="64"/>
        <v>64000</v>
      </c>
      <c r="L1060" s="7">
        <f t="shared" si="65"/>
        <v>3200</v>
      </c>
      <c r="M1060" s="7">
        <f t="shared" si="66"/>
        <v>60800</v>
      </c>
      <c r="N1060" s="23">
        <v>74000</v>
      </c>
      <c r="O1060" s="7">
        <f t="shared" si="67"/>
        <v>134800</v>
      </c>
      <c r="P1060" s="2" t="s">
        <v>35</v>
      </c>
      <c r="Q1060" t="str">
        <f>_xlfn.XLOOKUP(B1060,Status!$A$2:$A$1867,Status!$B$2:$B$1867)</f>
        <v>Completed</v>
      </c>
      <c r="R1060" s="2" t="s">
        <v>23</v>
      </c>
      <c r="S1060" s="8">
        <v>5</v>
      </c>
      <c r="T1060" s="2" t="s">
        <v>24</v>
      </c>
      <c r="U1060" s="31" t="str" cm="1">
        <f t="array" ref="U1060">_xlfn.IFS(L1060&lt;=5000,$Z$3,AND(L1060&gt;5000,L1060&lt;=15000),$Z$4,AND(L1060&gt;15000,L1060&lt;=30000),$Z$5,AND(L1060&gt;30000,L1060&lt;=50000),$Z$6,L1060&gt;50000,$Z$7)</f>
        <v>Sangat Rendah</v>
      </c>
      <c r="V1060" s="2"/>
    </row>
    <row r="1061" spans="1:22" ht="15.75" customHeight="1" x14ac:dyDescent="0.25">
      <c r="A1061" s="26"/>
      <c r="B1061" s="2" t="s">
        <v>1452</v>
      </c>
      <c r="C1061" s="32">
        <v>45752.344236111108</v>
      </c>
      <c r="D1061" s="53">
        <f>YEAR(Table1[[#This Row],[Order Date]])</f>
        <v>2025</v>
      </c>
      <c r="E1061" s="2" t="s">
        <v>19</v>
      </c>
      <c r="F1061" s="2" t="s">
        <v>20</v>
      </c>
      <c r="G1061" s="2" t="s">
        <v>85</v>
      </c>
      <c r="H1061" s="23">
        <v>35000</v>
      </c>
      <c r="I1061" s="2">
        <v>2</v>
      </c>
      <c r="J1061" s="31">
        <v>0</v>
      </c>
      <c r="K1061" s="7">
        <f t="shared" si="64"/>
        <v>70000</v>
      </c>
      <c r="L1061" s="7">
        <f t="shared" si="65"/>
        <v>0</v>
      </c>
      <c r="M1061" s="7">
        <f t="shared" si="66"/>
        <v>70000</v>
      </c>
      <c r="N1061" s="23">
        <v>15000</v>
      </c>
      <c r="O1061" s="7">
        <f t="shared" si="67"/>
        <v>85000</v>
      </c>
      <c r="P1061" s="2" t="s">
        <v>22</v>
      </c>
      <c r="Q1061" t="str">
        <f>_xlfn.XLOOKUP(B1061,Status!$A$2:$A$1867,Status!$B$2:$B$1867)</f>
        <v>Completed</v>
      </c>
      <c r="R1061" s="2" t="s">
        <v>46</v>
      </c>
      <c r="S1061" s="8">
        <v>1</v>
      </c>
      <c r="T1061" s="2" t="s">
        <v>24</v>
      </c>
      <c r="U1061" s="31" t="str" cm="1">
        <f t="array" ref="U1061">_xlfn.IFS(L1061&lt;=5000,$Z$3,AND(L1061&gt;5000,L1061&lt;=15000),$Z$4,AND(L1061&gt;15000,L1061&lt;=30000),$Z$5,AND(L1061&gt;30000,L1061&lt;=50000),$Z$6,L1061&gt;50000,$Z$7)</f>
        <v>Sangat Rendah</v>
      </c>
      <c r="V1061" s="2"/>
    </row>
    <row r="1062" spans="1:22" ht="15.75" customHeight="1" x14ac:dyDescent="0.25">
      <c r="A1062" s="26"/>
      <c r="B1062" s="2" t="s">
        <v>1453</v>
      </c>
      <c r="C1062" s="32">
        <v>45752.705439814818</v>
      </c>
      <c r="D1062" s="53">
        <f>YEAR(Table1[[#This Row],[Order Date]])</f>
        <v>2025</v>
      </c>
      <c r="E1062" s="2" t="s">
        <v>165</v>
      </c>
      <c r="F1062" s="2" t="s">
        <v>143</v>
      </c>
      <c r="G1062" s="2" t="s">
        <v>110</v>
      </c>
      <c r="H1062" s="23">
        <v>6000</v>
      </c>
      <c r="I1062" s="2">
        <v>3</v>
      </c>
      <c r="J1062" s="31">
        <v>20</v>
      </c>
      <c r="K1062" s="7">
        <f t="shared" si="64"/>
        <v>18000</v>
      </c>
      <c r="L1062" s="7">
        <f t="shared" si="65"/>
        <v>3600</v>
      </c>
      <c r="M1062" s="7">
        <f t="shared" si="66"/>
        <v>14400</v>
      </c>
      <c r="N1062" s="23">
        <v>50000</v>
      </c>
      <c r="O1062" s="7">
        <f t="shared" si="67"/>
        <v>64400</v>
      </c>
      <c r="P1062" s="2" t="s">
        <v>63</v>
      </c>
      <c r="Q1062" t="str">
        <f>_xlfn.XLOOKUP(B1062,Status!$A$2:$A$1867,Status!$B$2:$B$1867)</f>
        <v>Completed</v>
      </c>
      <c r="R1062" s="2" t="s">
        <v>23</v>
      </c>
      <c r="S1062" s="8">
        <v>1</v>
      </c>
      <c r="T1062" s="2" t="s">
        <v>24</v>
      </c>
      <c r="U1062" s="31" t="str" cm="1">
        <f t="array" ref="U1062">_xlfn.IFS(L1062&lt;=5000,$Z$3,AND(L1062&gt;5000,L1062&lt;=15000),$Z$4,AND(L1062&gt;15000,L1062&lt;=30000),$Z$5,AND(L1062&gt;30000,L1062&lt;=50000),$Z$6,L1062&gt;50000,$Z$7)</f>
        <v>Sangat Rendah</v>
      </c>
      <c r="V1062" s="2"/>
    </row>
    <row r="1063" spans="1:22" ht="15.75" customHeight="1" x14ac:dyDescent="0.25">
      <c r="A1063" s="26"/>
      <c r="B1063" s="2" t="s">
        <v>1454</v>
      </c>
      <c r="C1063" s="32">
        <v>45753.030462962961</v>
      </c>
      <c r="D1063" s="53">
        <f>YEAR(Table1[[#This Row],[Order Date]])</f>
        <v>2025</v>
      </c>
      <c r="E1063" s="2" t="s">
        <v>780</v>
      </c>
      <c r="F1063" s="2" t="s">
        <v>113</v>
      </c>
      <c r="G1063" s="2" t="s">
        <v>93</v>
      </c>
      <c r="H1063" s="23">
        <v>25000</v>
      </c>
      <c r="I1063" s="2">
        <v>2</v>
      </c>
      <c r="J1063" s="31">
        <v>5</v>
      </c>
      <c r="K1063" s="7">
        <f t="shared" si="64"/>
        <v>50000</v>
      </c>
      <c r="L1063" s="7">
        <f t="shared" si="65"/>
        <v>2500</v>
      </c>
      <c r="M1063" s="7">
        <f t="shared" si="66"/>
        <v>47500</v>
      </c>
      <c r="N1063" s="23">
        <v>18000</v>
      </c>
      <c r="O1063" s="7">
        <f t="shared" si="67"/>
        <v>65500</v>
      </c>
      <c r="P1063" s="2" t="s">
        <v>35</v>
      </c>
      <c r="Q1063" t="str">
        <f>_xlfn.XLOOKUP(B1063,Status!$A$2:$A$1867,Status!$B$2:$B$1867)</f>
        <v>Completed</v>
      </c>
      <c r="R1063" s="2" t="s">
        <v>23</v>
      </c>
      <c r="S1063" s="8">
        <v>4</v>
      </c>
      <c r="T1063" s="2" t="s">
        <v>24</v>
      </c>
      <c r="U1063" s="31" t="str" cm="1">
        <f t="array" ref="U1063">_xlfn.IFS(L1063&lt;=5000,$Z$3,AND(L1063&gt;5000,L1063&lt;=15000),$Z$4,AND(L1063&gt;15000,L1063&lt;=30000),$Z$5,AND(L1063&gt;30000,L1063&lt;=50000),$Z$6,L1063&gt;50000,$Z$7)</f>
        <v>Sangat Rendah</v>
      </c>
      <c r="V1063" s="2"/>
    </row>
    <row r="1064" spans="1:22" ht="15.75" customHeight="1" x14ac:dyDescent="0.25">
      <c r="A1064" s="26"/>
      <c r="B1064" s="2" t="s">
        <v>1455</v>
      </c>
      <c r="C1064" s="32">
        <v>45753.605590277781</v>
      </c>
      <c r="D1064" s="53">
        <f>YEAR(Table1[[#This Row],[Order Date]])</f>
        <v>2025</v>
      </c>
      <c r="E1064" s="2" t="s">
        <v>429</v>
      </c>
      <c r="F1064" s="2" t="s">
        <v>177</v>
      </c>
      <c r="G1064" s="2" t="s">
        <v>123</v>
      </c>
      <c r="H1064" s="23">
        <v>22000</v>
      </c>
      <c r="I1064" s="2">
        <v>1</v>
      </c>
      <c r="J1064" s="31">
        <v>10</v>
      </c>
      <c r="K1064" s="7">
        <f t="shared" si="64"/>
        <v>22000</v>
      </c>
      <c r="L1064" s="7">
        <f t="shared" si="65"/>
        <v>2200</v>
      </c>
      <c r="M1064" s="7">
        <f t="shared" si="66"/>
        <v>19800</v>
      </c>
      <c r="N1064" s="23">
        <v>56000</v>
      </c>
      <c r="O1064" s="7">
        <f t="shared" si="67"/>
        <v>75800</v>
      </c>
      <c r="P1064" s="2" t="s">
        <v>29</v>
      </c>
      <c r="Q1064" t="str">
        <f>_xlfn.XLOOKUP(B1064,Status!$A$2:$A$1867,Status!$B$2:$B$1867)</f>
        <v>Completed</v>
      </c>
      <c r="R1064" s="2" t="s">
        <v>82</v>
      </c>
      <c r="S1064" s="8">
        <v>3</v>
      </c>
      <c r="T1064" s="2" t="s">
        <v>37</v>
      </c>
      <c r="U1064" s="31" t="str" cm="1">
        <f t="array" ref="U1064">_xlfn.IFS(L1064&lt;=5000,$Z$3,AND(L1064&gt;5000,L1064&lt;=15000),$Z$4,AND(L1064&gt;15000,L1064&lt;=30000),$Z$5,AND(L1064&gt;30000,L1064&lt;=50000),$Z$6,L1064&gt;50000,$Z$7)</f>
        <v>Sangat Rendah</v>
      </c>
      <c r="V1064" s="2"/>
    </row>
    <row r="1065" spans="1:22" ht="15.75" customHeight="1" x14ac:dyDescent="0.25">
      <c r="A1065" s="26"/>
      <c r="B1065" s="2" t="s">
        <v>1456</v>
      </c>
      <c r="C1065" s="32">
        <v>45753.93849537037</v>
      </c>
      <c r="D1065" s="53">
        <f>YEAR(Table1[[#This Row],[Order Date]])</f>
        <v>2025</v>
      </c>
      <c r="E1065" s="2" t="s">
        <v>1098</v>
      </c>
      <c r="F1065" s="2" t="s">
        <v>126</v>
      </c>
      <c r="G1065" s="2" t="s">
        <v>58</v>
      </c>
      <c r="H1065" s="23">
        <v>16000</v>
      </c>
      <c r="I1065" s="2">
        <v>4</v>
      </c>
      <c r="J1065" s="31">
        <v>0</v>
      </c>
      <c r="K1065" s="7">
        <f t="shared" si="64"/>
        <v>64000</v>
      </c>
      <c r="L1065" s="7">
        <f t="shared" si="65"/>
        <v>0</v>
      </c>
      <c r="M1065" s="7">
        <f t="shared" si="66"/>
        <v>64000</v>
      </c>
      <c r="N1065" s="23">
        <v>84000</v>
      </c>
      <c r="O1065" s="7">
        <f t="shared" si="67"/>
        <v>148000</v>
      </c>
      <c r="P1065" s="2" t="s">
        <v>22</v>
      </c>
      <c r="Q1065" t="str">
        <f>_xlfn.XLOOKUP(B1065,Status!$A$2:$A$1867,Status!$B$2:$B$1867)</f>
        <v>Completed</v>
      </c>
      <c r="R1065" s="2" t="s">
        <v>36</v>
      </c>
      <c r="S1065" s="8">
        <v>1</v>
      </c>
      <c r="T1065" s="2" t="s">
        <v>37</v>
      </c>
      <c r="U1065" s="31" t="str" cm="1">
        <f t="array" ref="U1065">_xlfn.IFS(L1065&lt;=5000,$Z$3,AND(L1065&gt;5000,L1065&lt;=15000),$Z$4,AND(L1065&gt;15000,L1065&lt;=30000),$Z$5,AND(L1065&gt;30000,L1065&lt;=50000),$Z$6,L1065&gt;50000,$Z$7)</f>
        <v>Sangat Rendah</v>
      </c>
      <c r="V1065" s="2"/>
    </row>
    <row r="1066" spans="1:22" ht="15.75" customHeight="1" x14ac:dyDescent="0.25">
      <c r="A1066" s="26"/>
      <c r="B1066" s="2" t="s">
        <v>1457</v>
      </c>
      <c r="C1066" s="32">
        <v>45754.109212962961</v>
      </c>
      <c r="D1066" s="53">
        <f>YEAR(Table1[[#This Row],[Order Date]])</f>
        <v>2025</v>
      </c>
      <c r="E1066" s="2" t="s">
        <v>1285</v>
      </c>
      <c r="F1066" s="2" t="s">
        <v>163</v>
      </c>
      <c r="G1066" s="2" t="s">
        <v>123</v>
      </c>
      <c r="H1066" s="23">
        <v>22000</v>
      </c>
      <c r="I1066" s="2">
        <v>1</v>
      </c>
      <c r="J1066" s="31">
        <v>10</v>
      </c>
      <c r="K1066" s="7">
        <f t="shared" si="64"/>
        <v>22000</v>
      </c>
      <c r="L1066" s="7">
        <f t="shared" si="65"/>
        <v>2200</v>
      </c>
      <c r="M1066" s="7">
        <f t="shared" si="66"/>
        <v>19800</v>
      </c>
      <c r="N1066" s="23">
        <v>50000</v>
      </c>
      <c r="O1066" s="7">
        <f t="shared" si="67"/>
        <v>69800</v>
      </c>
      <c r="P1066" s="2" t="s">
        <v>63</v>
      </c>
      <c r="Q1066" t="str">
        <f>_xlfn.XLOOKUP(B1066,Status!$A$2:$A$1867,Status!$B$2:$B$1867)</f>
        <v>Completed</v>
      </c>
      <c r="R1066" s="2" t="s">
        <v>46</v>
      </c>
      <c r="S1066" s="8">
        <v>4</v>
      </c>
      <c r="T1066" s="2" t="s">
        <v>24</v>
      </c>
      <c r="U1066" s="31" t="str" cm="1">
        <f t="array" ref="U1066">_xlfn.IFS(L1066&lt;=5000,$Z$3,AND(L1066&gt;5000,L1066&lt;=15000),$Z$4,AND(L1066&gt;15000,L1066&lt;=30000),$Z$5,AND(L1066&gt;30000,L1066&lt;=50000),$Z$6,L1066&gt;50000,$Z$7)</f>
        <v>Sangat Rendah</v>
      </c>
      <c r="V1066" s="2"/>
    </row>
    <row r="1067" spans="1:22" ht="15.75" customHeight="1" x14ac:dyDescent="0.25">
      <c r="A1067" s="26"/>
      <c r="B1067" s="2" t="s">
        <v>1458</v>
      </c>
      <c r="C1067" s="32">
        <v>45754.119652777779</v>
      </c>
      <c r="D1067" s="53">
        <f>YEAR(Table1[[#This Row],[Order Date]])</f>
        <v>2025</v>
      </c>
      <c r="E1067" s="2" t="s">
        <v>669</v>
      </c>
      <c r="F1067" s="2" t="s">
        <v>151</v>
      </c>
      <c r="G1067" s="2" t="s">
        <v>54</v>
      </c>
      <c r="H1067" s="23">
        <v>16000</v>
      </c>
      <c r="I1067" s="2">
        <v>2</v>
      </c>
      <c r="J1067" s="31">
        <v>15</v>
      </c>
      <c r="K1067" s="7">
        <f t="shared" si="64"/>
        <v>32000</v>
      </c>
      <c r="L1067" s="7">
        <f t="shared" si="65"/>
        <v>4800</v>
      </c>
      <c r="M1067" s="7">
        <f t="shared" si="66"/>
        <v>27200</v>
      </c>
      <c r="N1067" s="23">
        <v>55000</v>
      </c>
      <c r="O1067" s="7">
        <f t="shared" si="67"/>
        <v>82200</v>
      </c>
      <c r="P1067" s="2" t="s">
        <v>29</v>
      </c>
      <c r="Q1067" t="str">
        <f>_xlfn.XLOOKUP(B1067,Status!$A$2:$A$1867,Status!$B$2:$B$1867)</f>
        <v>Completed</v>
      </c>
      <c r="R1067" s="2" t="s">
        <v>36</v>
      </c>
      <c r="S1067" s="8">
        <v>4</v>
      </c>
      <c r="T1067" s="2" t="s">
        <v>24</v>
      </c>
      <c r="U1067" s="31" t="str" cm="1">
        <f t="array" ref="U1067">_xlfn.IFS(L1067&lt;=5000,$Z$3,AND(L1067&gt;5000,L1067&lt;=15000),$Z$4,AND(L1067&gt;15000,L1067&lt;=30000),$Z$5,AND(L1067&gt;30000,L1067&lt;=50000),$Z$6,L1067&gt;50000,$Z$7)</f>
        <v>Sangat Rendah</v>
      </c>
      <c r="V1067" s="2"/>
    </row>
    <row r="1068" spans="1:22" ht="15.75" customHeight="1" x14ac:dyDescent="0.25">
      <c r="A1068" s="26"/>
      <c r="B1068" s="2" t="s">
        <v>1459</v>
      </c>
      <c r="C1068" s="32">
        <v>45754.476412037038</v>
      </c>
      <c r="D1068" s="53">
        <f>YEAR(Table1[[#This Row],[Order Date]])</f>
        <v>2025</v>
      </c>
      <c r="E1068" s="2" t="s">
        <v>371</v>
      </c>
      <c r="F1068" s="2" t="s">
        <v>27</v>
      </c>
      <c r="G1068" s="2" t="s">
        <v>190</v>
      </c>
      <c r="H1068" s="23">
        <v>35000</v>
      </c>
      <c r="I1068" s="2">
        <v>3</v>
      </c>
      <c r="J1068" s="31">
        <v>5</v>
      </c>
      <c r="K1068" s="7">
        <f t="shared" si="64"/>
        <v>105000</v>
      </c>
      <c r="L1068" s="7">
        <f t="shared" si="65"/>
        <v>5250</v>
      </c>
      <c r="M1068" s="7">
        <f t="shared" si="66"/>
        <v>99750</v>
      </c>
      <c r="N1068" s="23">
        <v>17000</v>
      </c>
      <c r="O1068" s="7">
        <f t="shared" si="67"/>
        <v>116750</v>
      </c>
      <c r="P1068" s="2" t="s">
        <v>35</v>
      </c>
      <c r="Q1068" t="str">
        <f>_xlfn.XLOOKUP(B1068,Status!$A$2:$A$1867,Status!$B$2:$B$1867)</f>
        <v>Completed</v>
      </c>
      <c r="R1068" s="2" t="s">
        <v>30</v>
      </c>
      <c r="S1068" s="8">
        <v>5</v>
      </c>
      <c r="T1068" s="2" t="s">
        <v>24</v>
      </c>
      <c r="U1068" s="31" t="str" cm="1">
        <f t="array" ref="U1068">_xlfn.IFS(L1068&lt;=5000,$Z$3,AND(L1068&gt;5000,L1068&lt;=15000),$Z$4,AND(L1068&gt;15000,L1068&lt;=30000),$Z$5,AND(L1068&gt;30000,L1068&lt;=50000),$Z$6,L1068&gt;50000,$Z$7)</f>
        <v>Rendah</v>
      </c>
      <c r="V1068" s="2"/>
    </row>
    <row r="1069" spans="1:22" ht="15.75" customHeight="1" x14ac:dyDescent="0.25">
      <c r="A1069" s="26"/>
      <c r="B1069" s="2" t="s">
        <v>1460</v>
      </c>
      <c r="C1069" s="32">
        <v>45754.760428240741</v>
      </c>
      <c r="D1069" s="53">
        <f>YEAR(Table1[[#This Row],[Order Date]])</f>
        <v>2025</v>
      </c>
      <c r="E1069" s="2" t="s">
        <v>776</v>
      </c>
      <c r="F1069" s="2" t="s">
        <v>103</v>
      </c>
      <c r="G1069" s="2" t="s">
        <v>58</v>
      </c>
      <c r="H1069" s="23">
        <v>16000</v>
      </c>
      <c r="I1069" s="2">
        <v>2</v>
      </c>
      <c r="J1069" s="31">
        <v>0</v>
      </c>
      <c r="K1069" s="7">
        <f t="shared" si="64"/>
        <v>32000</v>
      </c>
      <c r="L1069" s="7">
        <f t="shared" si="65"/>
        <v>0</v>
      </c>
      <c r="M1069" s="7">
        <f t="shared" si="66"/>
        <v>32000</v>
      </c>
      <c r="N1069" s="23">
        <v>85000</v>
      </c>
      <c r="O1069" s="7">
        <f t="shared" si="67"/>
        <v>117000</v>
      </c>
      <c r="P1069" s="2" t="s">
        <v>22</v>
      </c>
      <c r="Q1069" t="str">
        <f>_xlfn.XLOOKUP(B1069,Status!$A$2:$A$1867,Status!$B$2:$B$1867)</f>
        <v>Completed</v>
      </c>
      <c r="R1069" s="2" t="s">
        <v>23</v>
      </c>
      <c r="S1069" s="8">
        <v>1</v>
      </c>
      <c r="T1069" s="2" t="s">
        <v>24</v>
      </c>
      <c r="U1069" s="31" t="str" cm="1">
        <f t="array" ref="U1069">_xlfn.IFS(L1069&lt;=5000,$Z$3,AND(L1069&gt;5000,L1069&lt;=15000),$Z$4,AND(L1069&gt;15000,L1069&lt;=30000),$Z$5,AND(L1069&gt;30000,L1069&lt;=50000),$Z$6,L1069&gt;50000,$Z$7)</f>
        <v>Sangat Rendah</v>
      </c>
      <c r="V1069" s="2"/>
    </row>
    <row r="1070" spans="1:22" ht="15.75" customHeight="1" x14ac:dyDescent="0.25">
      <c r="A1070" s="26"/>
      <c r="B1070" s="2" t="s">
        <v>1461</v>
      </c>
      <c r="C1070" s="32">
        <v>45755.042569444442</v>
      </c>
      <c r="D1070" s="53">
        <f>YEAR(Table1[[#This Row],[Order Date]])</f>
        <v>2025</v>
      </c>
      <c r="E1070" s="2" t="s">
        <v>649</v>
      </c>
      <c r="F1070" s="2" t="s">
        <v>177</v>
      </c>
      <c r="G1070" s="2" t="s">
        <v>190</v>
      </c>
      <c r="H1070" s="23">
        <v>35000</v>
      </c>
      <c r="I1070" s="2">
        <v>3</v>
      </c>
      <c r="J1070" s="31">
        <v>0</v>
      </c>
      <c r="K1070" s="7">
        <f t="shared" si="64"/>
        <v>105000</v>
      </c>
      <c r="L1070" s="7">
        <f t="shared" si="65"/>
        <v>0</v>
      </c>
      <c r="M1070" s="7">
        <f t="shared" si="66"/>
        <v>105000</v>
      </c>
      <c r="N1070" s="23">
        <v>56000</v>
      </c>
      <c r="O1070" s="7">
        <f t="shared" si="67"/>
        <v>161000</v>
      </c>
      <c r="P1070" s="2" t="s">
        <v>22</v>
      </c>
      <c r="Q1070" t="str">
        <f>_xlfn.XLOOKUP(B1070,Status!$A$2:$A$1867,Status!$B$2:$B$1867)</f>
        <v>Returned</v>
      </c>
      <c r="R1070" s="2" t="s">
        <v>36</v>
      </c>
      <c r="S1070" s="8">
        <v>1</v>
      </c>
      <c r="T1070" s="2" t="s">
        <v>24</v>
      </c>
      <c r="U1070" s="31" t="str" cm="1">
        <f t="array" ref="U1070">_xlfn.IFS(L1070&lt;=5000,$Z$3,AND(L1070&gt;5000,L1070&lt;=15000),$Z$4,AND(L1070&gt;15000,L1070&lt;=30000),$Z$5,AND(L1070&gt;30000,L1070&lt;=50000),$Z$6,L1070&gt;50000,$Z$7)</f>
        <v>Sangat Rendah</v>
      </c>
      <c r="V1070" s="2"/>
    </row>
    <row r="1071" spans="1:22" ht="15.75" customHeight="1" x14ac:dyDescent="0.25">
      <c r="A1071" s="26"/>
      <c r="B1071" s="2" t="s">
        <v>1462</v>
      </c>
      <c r="C1071" s="32">
        <v>45755.104618055557</v>
      </c>
      <c r="D1071" s="53">
        <f>YEAR(Table1[[#This Row],[Order Date]])</f>
        <v>2025</v>
      </c>
      <c r="E1071" s="2" t="s">
        <v>235</v>
      </c>
      <c r="F1071" s="2" t="s">
        <v>189</v>
      </c>
      <c r="G1071" s="2" t="s">
        <v>41</v>
      </c>
      <c r="H1071" s="23">
        <v>4000</v>
      </c>
      <c r="I1071" s="2">
        <v>1</v>
      </c>
      <c r="J1071" s="31">
        <v>10</v>
      </c>
      <c r="K1071" s="7">
        <f t="shared" si="64"/>
        <v>4000</v>
      </c>
      <c r="L1071" s="7">
        <f t="shared" si="65"/>
        <v>400</v>
      </c>
      <c r="M1071" s="7">
        <f t="shared" si="66"/>
        <v>3600</v>
      </c>
      <c r="N1071" s="23">
        <v>57000</v>
      </c>
      <c r="O1071" s="7">
        <f t="shared" si="67"/>
        <v>60600</v>
      </c>
      <c r="P1071" s="2" t="s">
        <v>63</v>
      </c>
      <c r="Q1071" t="str">
        <f>_xlfn.XLOOKUP(B1071,Status!$A$2:$A$1867,Status!$B$2:$B$1867)</f>
        <v>Completed</v>
      </c>
      <c r="R1071" s="2" t="s">
        <v>82</v>
      </c>
      <c r="S1071" s="8">
        <v>3</v>
      </c>
      <c r="T1071" s="2" t="s">
        <v>37</v>
      </c>
      <c r="U1071" s="31" t="str" cm="1">
        <f t="array" ref="U1071">_xlfn.IFS(L1071&lt;=5000,$Z$3,AND(L1071&gt;5000,L1071&lt;=15000),$Z$4,AND(L1071&gt;15000,L1071&lt;=30000),$Z$5,AND(L1071&gt;30000,L1071&lt;=50000),$Z$6,L1071&gt;50000,$Z$7)</f>
        <v>Sangat Rendah</v>
      </c>
      <c r="V1071" s="2"/>
    </row>
    <row r="1072" spans="1:22" ht="15.75" customHeight="1" x14ac:dyDescent="0.25">
      <c r="A1072" s="26"/>
      <c r="B1072" s="2" t="s">
        <v>1463</v>
      </c>
      <c r="C1072" s="32">
        <v>45755.135312500002</v>
      </c>
      <c r="D1072" s="53">
        <f>YEAR(Table1[[#This Row],[Order Date]])</f>
        <v>2025</v>
      </c>
      <c r="E1072" s="2" t="s">
        <v>649</v>
      </c>
      <c r="F1072" s="2" t="s">
        <v>177</v>
      </c>
      <c r="G1072" s="2" t="s">
        <v>45</v>
      </c>
      <c r="H1072" s="23">
        <v>40000</v>
      </c>
      <c r="I1072" s="2">
        <v>4</v>
      </c>
      <c r="J1072" s="31">
        <v>5</v>
      </c>
      <c r="K1072" s="7">
        <f t="shared" si="64"/>
        <v>160000</v>
      </c>
      <c r="L1072" s="7">
        <f t="shared" si="65"/>
        <v>8000</v>
      </c>
      <c r="M1072" s="7">
        <f t="shared" si="66"/>
        <v>152000</v>
      </c>
      <c r="N1072" s="23">
        <v>56000</v>
      </c>
      <c r="O1072" s="7">
        <f t="shared" si="67"/>
        <v>208000</v>
      </c>
      <c r="P1072" s="2" t="s">
        <v>63</v>
      </c>
      <c r="Q1072" t="str">
        <f>_xlfn.XLOOKUP(B1072,Status!$A$2:$A$1867,Status!$B$2:$B$1867)</f>
        <v>Completed</v>
      </c>
      <c r="R1072" s="2" t="s">
        <v>46</v>
      </c>
      <c r="S1072" s="8">
        <v>1</v>
      </c>
      <c r="T1072" s="2" t="s">
        <v>24</v>
      </c>
      <c r="U1072" s="31" t="str" cm="1">
        <f t="array" ref="U1072">_xlfn.IFS(L1072&lt;=5000,$Z$3,AND(L1072&gt;5000,L1072&lt;=15000),$Z$4,AND(L1072&gt;15000,L1072&lt;=30000),$Z$5,AND(L1072&gt;30000,L1072&lt;=50000),$Z$6,L1072&gt;50000,$Z$7)</f>
        <v>Rendah</v>
      </c>
      <c r="V1072" s="2"/>
    </row>
    <row r="1073" spans="1:22" ht="15.75" customHeight="1" x14ac:dyDescent="0.25">
      <c r="A1073" s="26"/>
      <c r="B1073" s="2" t="s">
        <v>1463</v>
      </c>
      <c r="C1073" s="32">
        <v>45755.135312500002</v>
      </c>
      <c r="D1073" s="53">
        <f>YEAR(Table1[[#This Row],[Order Date]])</f>
        <v>2025</v>
      </c>
      <c r="E1073" s="2" t="s">
        <v>649</v>
      </c>
      <c r="F1073" s="2" t="s">
        <v>177</v>
      </c>
      <c r="G1073" s="2" t="s">
        <v>67</v>
      </c>
      <c r="H1073" s="23">
        <v>15000</v>
      </c>
      <c r="I1073" s="2">
        <v>2</v>
      </c>
      <c r="J1073" s="31">
        <v>10</v>
      </c>
      <c r="K1073" s="7">
        <f t="shared" si="64"/>
        <v>30000</v>
      </c>
      <c r="L1073" s="7">
        <f t="shared" si="65"/>
        <v>3000</v>
      </c>
      <c r="M1073" s="7">
        <f t="shared" si="66"/>
        <v>27000</v>
      </c>
      <c r="N1073" s="23">
        <v>0</v>
      </c>
      <c r="O1073" s="7">
        <f t="shared" si="67"/>
        <v>27000</v>
      </c>
      <c r="P1073" s="2" t="s">
        <v>63</v>
      </c>
      <c r="Q1073" t="str">
        <f>_xlfn.XLOOKUP(B1073,Status!$A$2:$A$1867,Status!$B$2:$B$1867)</f>
        <v>Completed</v>
      </c>
      <c r="R1073" s="2" t="s">
        <v>46</v>
      </c>
      <c r="S1073" s="8">
        <v>1</v>
      </c>
      <c r="T1073" s="2" t="s">
        <v>24</v>
      </c>
      <c r="U1073" s="31" t="str" cm="1">
        <f t="array" ref="U1073">_xlfn.IFS(L1073&lt;=5000,$Z$3,AND(L1073&gt;5000,L1073&lt;=15000),$Z$4,AND(L1073&gt;15000,L1073&lt;=30000),$Z$5,AND(L1073&gt;30000,L1073&lt;=50000),$Z$6,L1073&gt;50000,$Z$7)</f>
        <v>Sangat Rendah</v>
      </c>
      <c r="V1073" s="2"/>
    </row>
    <row r="1074" spans="1:22" ht="15.75" customHeight="1" x14ac:dyDescent="0.25">
      <c r="A1074" s="26"/>
      <c r="B1074" s="2" t="s">
        <v>1464</v>
      </c>
      <c r="C1074" s="32">
        <v>45755.440636574072</v>
      </c>
      <c r="D1074" s="53">
        <f>YEAR(Table1[[#This Row],[Order Date]])</f>
        <v>2025</v>
      </c>
      <c r="E1074" s="2" t="s">
        <v>708</v>
      </c>
      <c r="F1074" s="2" t="s">
        <v>116</v>
      </c>
      <c r="G1074" s="2" t="s">
        <v>67</v>
      </c>
      <c r="H1074" s="23">
        <v>15000</v>
      </c>
      <c r="I1074" s="2">
        <v>1</v>
      </c>
      <c r="J1074" s="31">
        <v>10</v>
      </c>
      <c r="K1074" s="7">
        <f t="shared" si="64"/>
        <v>15000</v>
      </c>
      <c r="L1074" s="7">
        <f t="shared" si="65"/>
        <v>1500</v>
      </c>
      <c r="M1074" s="7">
        <f t="shared" si="66"/>
        <v>13500</v>
      </c>
      <c r="N1074" s="23">
        <v>72000</v>
      </c>
      <c r="O1074" s="7">
        <f t="shared" si="67"/>
        <v>85500</v>
      </c>
      <c r="P1074" s="2" t="s">
        <v>63</v>
      </c>
      <c r="Q1074" t="str">
        <f>_xlfn.XLOOKUP(B1074,Status!$A$2:$A$1867,Status!$B$2:$B$1867)</f>
        <v>Completed</v>
      </c>
      <c r="R1074" s="2" t="s">
        <v>30</v>
      </c>
      <c r="S1074" s="8">
        <v>2</v>
      </c>
      <c r="T1074" s="2" t="s">
        <v>24</v>
      </c>
      <c r="U1074" s="31" t="str" cm="1">
        <f t="array" ref="U1074">_xlfn.IFS(L1074&lt;=5000,$Z$3,AND(L1074&gt;5000,L1074&lt;=15000),$Z$4,AND(L1074&gt;15000,L1074&lt;=30000),$Z$5,AND(L1074&gt;30000,L1074&lt;=50000),$Z$6,L1074&gt;50000,$Z$7)</f>
        <v>Sangat Rendah</v>
      </c>
      <c r="V1074" s="2"/>
    </row>
    <row r="1075" spans="1:22" ht="15.75" customHeight="1" x14ac:dyDescent="0.25">
      <c r="A1075" s="26"/>
      <c r="B1075" s="2" t="s">
        <v>1465</v>
      </c>
      <c r="C1075" s="32">
        <v>45755.90111111111</v>
      </c>
      <c r="D1075" s="53">
        <f>YEAR(Table1[[#This Row],[Order Date]])</f>
        <v>2025</v>
      </c>
      <c r="E1075" s="2" t="s">
        <v>832</v>
      </c>
      <c r="F1075" s="2" t="s">
        <v>131</v>
      </c>
      <c r="G1075" s="2" t="s">
        <v>34</v>
      </c>
      <c r="H1075" s="23">
        <v>16000</v>
      </c>
      <c r="I1075" s="2">
        <v>1</v>
      </c>
      <c r="J1075" s="31">
        <v>15</v>
      </c>
      <c r="K1075" s="7">
        <f t="shared" si="64"/>
        <v>16000</v>
      </c>
      <c r="L1075" s="7">
        <f t="shared" si="65"/>
        <v>2400</v>
      </c>
      <c r="M1075" s="7">
        <f t="shared" si="66"/>
        <v>13600</v>
      </c>
      <c r="N1075" s="23">
        <v>59000</v>
      </c>
      <c r="O1075" s="7">
        <f t="shared" si="67"/>
        <v>72600</v>
      </c>
      <c r="P1075" s="2" t="s">
        <v>22</v>
      </c>
      <c r="Q1075" t="str">
        <f>_xlfn.XLOOKUP(B1075,Status!$A$2:$A$1867,Status!$B$2:$B$1867)</f>
        <v>Completed</v>
      </c>
      <c r="R1075" s="2" t="s">
        <v>46</v>
      </c>
      <c r="S1075" s="8">
        <v>3</v>
      </c>
      <c r="T1075" s="2" t="s">
        <v>24</v>
      </c>
      <c r="U1075" s="31" t="str" cm="1">
        <f t="array" ref="U1075">_xlfn.IFS(L1075&lt;=5000,$Z$3,AND(L1075&gt;5000,L1075&lt;=15000),$Z$4,AND(L1075&gt;15000,L1075&lt;=30000),$Z$5,AND(L1075&gt;30000,L1075&lt;=50000),$Z$6,L1075&gt;50000,$Z$7)</f>
        <v>Sangat Rendah</v>
      </c>
      <c r="V1075" s="2"/>
    </row>
    <row r="1076" spans="1:22" ht="15.75" customHeight="1" x14ac:dyDescent="0.25">
      <c r="A1076" s="26"/>
      <c r="B1076" s="2" t="s">
        <v>1466</v>
      </c>
      <c r="C1076" s="32">
        <v>45756.402337962973</v>
      </c>
      <c r="D1076" s="53">
        <f>YEAR(Table1[[#This Row],[Order Date]])</f>
        <v>2025</v>
      </c>
      <c r="E1076" s="2" t="s">
        <v>542</v>
      </c>
      <c r="F1076" s="2" t="s">
        <v>122</v>
      </c>
      <c r="G1076" s="2" t="s">
        <v>110</v>
      </c>
      <c r="H1076" s="23">
        <v>6000</v>
      </c>
      <c r="I1076" s="2">
        <v>5</v>
      </c>
      <c r="J1076" s="31">
        <v>5</v>
      </c>
      <c r="K1076" s="7">
        <f t="shared" si="64"/>
        <v>30000</v>
      </c>
      <c r="L1076" s="7">
        <f t="shared" si="65"/>
        <v>1500</v>
      </c>
      <c r="M1076" s="7">
        <f t="shared" si="66"/>
        <v>28500</v>
      </c>
      <c r="N1076" s="23">
        <v>78000</v>
      </c>
      <c r="O1076" s="7">
        <f t="shared" si="67"/>
        <v>106500</v>
      </c>
      <c r="P1076" s="2" t="s">
        <v>35</v>
      </c>
      <c r="Q1076" t="str">
        <f>_xlfn.XLOOKUP(B1076,Status!$A$2:$A$1867,Status!$B$2:$B$1867)</f>
        <v>Completed</v>
      </c>
      <c r="R1076" s="2" t="s">
        <v>23</v>
      </c>
      <c r="S1076" s="8">
        <v>1</v>
      </c>
      <c r="T1076" s="2" t="s">
        <v>24</v>
      </c>
      <c r="U1076" s="31" t="str" cm="1">
        <f t="array" ref="U1076">_xlfn.IFS(L1076&lt;=5000,$Z$3,AND(L1076&gt;5000,L1076&lt;=15000),$Z$4,AND(L1076&gt;15000,L1076&lt;=30000),$Z$5,AND(L1076&gt;30000,L1076&lt;=50000),$Z$6,L1076&gt;50000,$Z$7)</f>
        <v>Sangat Rendah</v>
      </c>
      <c r="V1076" s="2"/>
    </row>
    <row r="1077" spans="1:22" ht="15.75" customHeight="1" x14ac:dyDescent="0.25">
      <c r="A1077" s="26"/>
      <c r="B1077" s="2" t="s">
        <v>1467</v>
      </c>
      <c r="C1077" s="32">
        <v>45756.60083333333</v>
      </c>
      <c r="D1077" s="53">
        <f>YEAR(Table1[[#This Row],[Order Date]])</f>
        <v>2025</v>
      </c>
      <c r="E1077" s="2" t="s">
        <v>615</v>
      </c>
      <c r="F1077" s="2" t="s">
        <v>92</v>
      </c>
      <c r="G1077" s="2" t="s">
        <v>123</v>
      </c>
      <c r="H1077" s="23">
        <v>22000</v>
      </c>
      <c r="I1077" s="2">
        <v>4</v>
      </c>
      <c r="J1077" s="31">
        <v>20</v>
      </c>
      <c r="K1077" s="7">
        <f t="shared" si="64"/>
        <v>88000</v>
      </c>
      <c r="L1077" s="7">
        <f t="shared" si="65"/>
        <v>17600</v>
      </c>
      <c r="M1077" s="7">
        <f t="shared" si="66"/>
        <v>70400</v>
      </c>
      <c r="N1077" s="23">
        <v>30000</v>
      </c>
      <c r="O1077" s="7">
        <f t="shared" si="67"/>
        <v>100400</v>
      </c>
      <c r="P1077" s="2" t="s">
        <v>22</v>
      </c>
      <c r="Q1077" t="str">
        <f>_xlfn.XLOOKUP(B1077,Status!$A$2:$A$1867,Status!$B$2:$B$1867)</f>
        <v>Completed</v>
      </c>
      <c r="R1077" s="2" t="s">
        <v>46</v>
      </c>
      <c r="S1077" s="8">
        <v>1</v>
      </c>
      <c r="T1077" s="2" t="s">
        <v>24</v>
      </c>
      <c r="U1077" s="31" t="str" cm="1">
        <f t="array" ref="U1077">_xlfn.IFS(L1077&lt;=5000,$Z$3,AND(L1077&gt;5000,L1077&lt;=15000),$Z$4,AND(L1077&gt;15000,L1077&lt;=30000),$Z$5,AND(L1077&gt;30000,L1077&lt;=50000),$Z$6,L1077&gt;50000,$Z$7)</f>
        <v>Normal</v>
      </c>
      <c r="V1077" s="2"/>
    </row>
    <row r="1078" spans="1:22" ht="15.75" customHeight="1" x14ac:dyDescent="0.25">
      <c r="A1078" s="26"/>
      <c r="B1078" s="2" t="s">
        <v>1468</v>
      </c>
      <c r="C1078" s="32">
        <v>45756.609548611108</v>
      </c>
      <c r="D1078" s="53">
        <f>YEAR(Table1[[#This Row],[Order Date]])</f>
        <v>2025</v>
      </c>
      <c r="E1078" s="2" t="s">
        <v>135</v>
      </c>
      <c r="F1078" s="2" t="s">
        <v>27</v>
      </c>
      <c r="G1078" s="2" t="s">
        <v>21</v>
      </c>
      <c r="H1078" s="23">
        <v>45000</v>
      </c>
      <c r="I1078" s="2">
        <v>3</v>
      </c>
      <c r="J1078" s="31">
        <v>20</v>
      </c>
      <c r="K1078" s="7">
        <f t="shared" si="64"/>
        <v>135000</v>
      </c>
      <c r="L1078" s="7">
        <f t="shared" si="65"/>
        <v>27000</v>
      </c>
      <c r="M1078" s="7">
        <f t="shared" si="66"/>
        <v>108000</v>
      </c>
      <c r="N1078" s="23">
        <v>17000</v>
      </c>
      <c r="O1078" s="7">
        <f t="shared" si="67"/>
        <v>125000</v>
      </c>
      <c r="P1078" s="2" t="s">
        <v>63</v>
      </c>
      <c r="Q1078" t="str">
        <f>_xlfn.XLOOKUP(B1078,Status!$A$2:$A$1867,Status!$B$2:$B$1867)</f>
        <v>Completed</v>
      </c>
      <c r="R1078" s="2" t="s">
        <v>23</v>
      </c>
      <c r="S1078" s="8">
        <v>2</v>
      </c>
      <c r="T1078" s="2" t="s">
        <v>24</v>
      </c>
      <c r="U1078" s="31" t="str" cm="1">
        <f t="array" ref="U1078">_xlfn.IFS(L1078&lt;=5000,$Z$3,AND(L1078&gt;5000,L1078&lt;=15000),$Z$4,AND(L1078&gt;15000,L1078&lt;=30000),$Z$5,AND(L1078&gt;30000,L1078&lt;=50000),$Z$6,L1078&gt;50000,$Z$7)</f>
        <v>Normal</v>
      </c>
      <c r="V1078" s="2"/>
    </row>
    <row r="1079" spans="1:22" ht="15.75" customHeight="1" x14ac:dyDescent="0.25">
      <c r="A1079" s="26"/>
      <c r="B1079" s="2" t="s">
        <v>1469</v>
      </c>
      <c r="C1079" s="32">
        <v>45756.907071759262</v>
      </c>
      <c r="D1079" s="53">
        <f>YEAR(Table1[[#This Row],[Order Date]])</f>
        <v>2025</v>
      </c>
      <c r="E1079" s="2" t="s">
        <v>203</v>
      </c>
      <c r="F1079" s="2" t="s">
        <v>20</v>
      </c>
      <c r="G1079" s="2" t="s">
        <v>50</v>
      </c>
      <c r="H1079" s="23">
        <v>14000</v>
      </c>
      <c r="I1079" s="2">
        <v>5</v>
      </c>
      <c r="J1079" s="31">
        <v>0</v>
      </c>
      <c r="K1079" s="7">
        <f t="shared" si="64"/>
        <v>70000</v>
      </c>
      <c r="L1079" s="7">
        <f t="shared" si="65"/>
        <v>0</v>
      </c>
      <c r="M1079" s="7">
        <f t="shared" si="66"/>
        <v>70000</v>
      </c>
      <c r="N1079" s="23">
        <v>15000</v>
      </c>
      <c r="O1079" s="7">
        <f t="shared" si="67"/>
        <v>85000</v>
      </c>
      <c r="P1079" s="2" t="s">
        <v>29</v>
      </c>
      <c r="Q1079" t="str">
        <f>_xlfn.XLOOKUP(B1079,Status!$A$2:$A$1867,Status!$B$2:$B$1867)</f>
        <v>Completed</v>
      </c>
      <c r="R1079" s="2" t="s">
        <v>46</v>
      </c>
      <c r="S1079" s="8">
        <v>4</v>
      </c>
      <c r="T1079" s="2" t="s">
        <v>24</v>
      </c>
      <c r="U1079" s="31" t="str" cm="1">
        <f t="array" ref="U1079">_xlfn.IFS(L1079&lt;=5000,$Z$3,AND(L1079&gt;5000,L1079&lt;=15000),$Z$4,AND(L1079&gt;15000,L1079&lt;=30000),$Z$5,AND(L1079&gt;30000,L1079&lt;=50000),$Z$6,L1079&gt;50000,$Z$7)</f>
        <v>Sangat Rendah</v>
      </c>
      <c r="V1079" s="2"/>
    </row>
    <row r="1080" spans="1:22" ht="15.75" customHeight="1" x14ac:dyDescent="0.25">
      <c r="A1080" s="26"/>
      <c r="B1080" s="2" t="s">
        <v>1470</v>
      </c>
      <c r="C1080" s="32">
        <v>45757.279039351852</v>
      </c>
      <c r="D1080" s="53">
        <f>YEAR(Table1[[#This Row],[Order Date]])</f>
        <v>2025</v>
      </c>
      <c r="E1080" s="2" t="s">
        <v>867</v>
      </c>
      <c r="F1080" s="2" t="s">
        <v>20</v>
      </c>
      <c r="G1080" s="2" t="s">
        <v>144</v>
      </c>
      <c r="H1080" s="23">
        <v>18000</v>
      </c>
      <c r="I1080" s="2">
        <v>3</v>
      </c>
      <c r="J1080" s="31">
        <v>5</v>
      </c>
      <c r="K1080" s="7">
        <f t="shared" si="64"/>
        <v>54000</v>
      </c>
      <c r="L1080" s="7">
        <f t="shared" si="65"/>
        <v>2700</v>
      </c>
      <c r="M1080" s="7">
        <f t="shared" si="66"/>
        <v>51300</v>
      </c>
      <c r="N1080" s="23">
        <v>15000</v>
      </c>
      <c r="O1080" s="7">
        <f t="shared" si="67"/>
        <v>66300</v>
      </c>
      <c r="P1080" s="2" t="s">
        <v>35</v>
      </c>
      <c r="Q1080" t="str">
        <f>_xlfn.XLOOKUP(B1080,Status!$A$2:$A$1867,Status!$B$2:$B$1867)</f>
        <v>Completed</v>
      </c>
      <c r="R1080" s="2" t="s">
        <v>23</v>
      </c>
      <c r="S1080" s="8">
        <v>2</v>
      </c>
      <c r="T1080" s="2" t="s">
        <v>37</v>
      </c>
      <c r="U1080" s="31" t="str" cm="1">
        <f t="array" ref="U1080">_xlfn.IFS(L1080&lt;=5000,$Z$3,AND(L1080&gt;5000,L1080&lt;=15000),$Z$4,AND(L1080&gt;15000,L1080&lt;=30000),$Z$5,AND(L1080&gt;30000,L1080&lt;=50000),$Z$6,L1080&gt;50000,$Z$7)</f>
        <v>Sangat Rendah</v>
      </c>
      <c r="V1080" s="2"/>
    </row>
    <row r="1081" spans="1:22" ht="15.75" customHeight="1" x14ac:dyDescent="0.25">
      <c r="A1081" s="26"/>
      <c r="B1081" s="2" t="s">
        <v>1471</v>
      </c>
      <c r="C1081" s="32">
        <v>45757.298391203702</v>
      </c>
      <c r="D1081" s="53">
        <f>YEAR(Table1[[#This Row],[Order Date]])</f>
        <v>2025</v>
      </c>
      <c r="E1081" s="2" t="s">
        <v>125</v>
      </c>
      <c r="F1081" s="2" t="s">
        <v>126</v>
      </c>
      <c r="G1081" s="2" t="s">
        <v>71</v>
      </c>
      <c r="H1081" s="23">
        <v>40000</v>
      </c>
      <c r="I1081" s="2">
        <v>3</v>
      </c>
      <c r="J1081" s="31">
        <v>5</v>
      </c>
      <c r="K1081" s="7">
        <f t="shared" si="64"/>
        <v>120000</v>
      </c>
      <c r="L1081" s="7">
        <f t="shared" si="65"/>
        <v>6000</v>
      </c>
      <c r="M1081" s="7">
        <f t="shared" si="66"/>
        <v>114000</v>
      </c>
      <c r="N1081" s="23">
        <v>84000</v>
      </c>
      <c r="O1081" s="7">
        <f t="shared" si="67"/>
        <v>198000</v>
      </c>
      <c r="P1081" s="2" t="s">
        <v>63</v>
      </c>
      <c r="Q1081" t="str">
        <f>_xlfn.XLOOKUP(B1081,Status!$A$2:$A$1867,Status!$B$2:$B$1867)</f>
        <v>Completed</v>
      </c>
      <c r="R1081" s="2" t="s">
        <v>82</v>
      </c>
      <c r="S1081" s="8">
        <v>5</v>
      </c>
      <c r="T1081" s="2" t="s">
        <v>24</v>
      </c>
      <c r="U1081" s="31" t="str" cm="1">
        <f t="array" ref="U1081">_xlfn.IFS(L1081&lt;=5000,$Z$3,AND(L1081&gt;5000,L1081&lt;=15000),$Z$4,AND(L1081&gt;15000,L1081&lt;=30000),$Z$5,AND(L1081&gt;30000,L1081&lt;=50000),$Z$6,L1081&gt;50000,$Z$7)</f>
        <v>Rendah</v>
      </c>
      <c r="V1081" s="2"/>
    </row>
    <row r="1082" spans="1:22" ht="15.75" customHeight="1" x14ac:dyDescent="0.25">
      <c r="A1082" s="26"/>
      <c r="B1082" s="2" t="s">
        <v>1472</v>
      </c>
      <c r="C1082" s="32">
        <v>45757.344097222223</v>
      </c>
      <c r="D1082" s="53">
        <f>YEAR(Table1[[#This Row],[Order Date]])</f>
        <v>2025</v>
      </c>
      <c r="E1082" s="2" t="s">
        <v>391</v>
      </c>
      <c r="F1082" s="2" t="s">
        <v>122</v>
      </c>
      <c r="G1082" s="2" t="s">
        <v>38</v>
      </c>
      <c r="H1082" s="23">
        <v>28000</v>
      </c>
      <c r="I1082" s="2">
        <v>3</v>
      </c>
      <c r="J1082" s="31">
        <v>0</v>
      </c>
      <c r="K1082" s="7">
        <f t="shared" si="64"/>
        <v>84000</v>
      </c>
      <c r="L1082" s="7">
        <f t="shared" si="65"/>
        <v>0</v>
      </c>
      <c r="M1082" s="7">
        <f t="shared" si="66"/>
        <v>84000</v>
      </c>
      <c r="N1082" s="23">
        <v>78000</v>
      </c>
      <c r="O1082" s="7">
        <f t="shared" si="67"/>
        <v>162000</v>
      </c>
      <c r="P1082" s="2" t="s">
        <v>63</v>
      </c>
      <c r="Q1082" t="str">
        <f>_xlfn.XLOOKUP(B1082,Status!$A$2:$A$1867,Status!$B$2:$B$1867)</f>
        <v>Completed</v>
      </c>
      <c r="R1082" s="2" t="s">
        <v>46</v>
      </c>
      <c r="S1082" s="8">
        <v>2</v>
      </c>
      <c r="T1082" s="2" t="s">
        <v>24</v>
      </c>
      <c r="U1082" s="31" t="str" cm="1">
        <f t="array" ref="U1082">_xlfn.IFS(L1082&lt;=5000,$Z$3,AND(L1082&gt;5000,L1082&lt;=15000),$Z$4,AND(L1082&gt;15000,L1082&lt;=30000),$Z$5,AND(L1082&gt;30000,L1082&lt;=50000),$Z$6,L1082&gt;50000,$Z$7)</f>
        <v>Sangat Rendah</v>
      </c>
      <c r="V1082" s="2"/>
    </row>
    <row r="1083" spans="1:22" ht="15.75" customHeight="1" x14ac:dyDescent="0.25">
      <c r="A1083" s="26"/>
      <c r="B1083" s="2" t="s">
        <v>1473</v>
      </c>
      <c r="C1083" s="32">
        <v>45757.552777777782</v>
      </c>
      <c r="D1083" s="53">
        <f>YEAR(Table1[[#This Row],[Order Date]])</f>
        <v>2025</v>
      </c>
      <c r="E1083" s="2" t="s">
        <v>355</v>
      </c>
      <c r="F1083" s="2" t="s">
        <v>116</v>
      </c>
      <c r="G1083" s="2" t="s">
        <v>144</v>
      </c>
      <c r="H1083" s="23">
        <v>18000</v>
      </c>
      <c r="I1083" s="2">
        <v>1</v>
      </c>
      <c r="J1083" s="31">
        <v>20</v>
      </c>
      <c r="K1083" s="7">
        <f t="shared" si="64"/>
        <v>18000</v>
      </c>
      <c r="L1083" s="7">
        <f t="shared" si="65"/>
        <v>3600</v>
      </c>
      <c r="M1083" s="7">
        <f t="shared" si="66"/>
        <v>14400</v>
      </c>
      <c r="N1083" s="23">
        <v>72000</v>
      </c>
      <c r="O1083" s="7">
        <f t="shared" si="67"/>
        <v>86400</v>
      </c>
      <c r="P1083" s="2" t="s">
        <v>22</v>
      </c>
      <c r="Q1083" t="str">
        <f>_xlfn.XLOOKUP(B1083,Status!$A$2:$A$1867,Status!$B$2:$B$1867)</f>
        <v>Completed</v>
      </c>
      <c r="R1083" s="2" t="s">
        <v>30</v>
      </c>
      <c r="S1083" s="8">
        <v>3</v>
      </c>
      <c r="T1083" s="2" t="s">
        <v>24</v>
      </c>
      <c r="U1083" s="31" t="str" cm="1">
        <f t="array" ref="U1083">_xlfn.IFS(L1083&lt;=5000,$Z$3,AND(L1083&gt;5000,L1083&lt;=15000),$Z$4,AND(L1083&gt;15000,L1083&lt;=30000),$Z$5,AND(L1083&gt;30000,L1083&lt;=50000),$Z$6,L1083&gt;50000,$Z$7)</f>
        <v>Sangat Rendah</v>
      </c>
      <c r="V1083" s="2"/>
    </row>
    <row r="1084" spans="1:22" ht="15.75" customHeight="1" x14ac:dyDescent="0.25">
      <c r="A1084" s="26"/>
      <c r="B1084" s="2" t="s">
        <v>1474</v>
      </c>
      <c r="C1084" s="32">
        <v>45757.577997685177</v>
      </c>
      <c r="D1084" s="53">
        <f>YEAR(Table1[[#This Row],[Order Date]])</f>
        <v>2025</v>
      </c>
      <c r="E1084" s="2" t="s">
        <v>681</v>
      </c>
      <c r="F1084" s="2" t="s">
        <v>262</v>
      </c>
      <c r="G1084" s="2" t="s">
        <v>110</v>
      </c>
      <c r="H1084" s="23">
        <v>6000</v>
      </c>
      <c r="I1084" s="2">
        <v>1</v>
      </c>
      <c r="J1084" s="31">
        <v>15</v>
      </c>
      <c r="K1084" s="7">
        <f t="shared" si="64"/>
        <v>6000</v>
      </c>
      <c r="L1084" s="7">
        <f t="shared" si="65"/>
        <v>900</v>
      </c>
      <c r="M1084" s="7">
        <f t="shared" si="66"/>
        <v>5100</v>
      </c>
      <c r="N1084" s="23">
        <v>18000</v>
      </c>
      <c r="O1084" s="7">
        <f t="shared" si="67"/>
        <v>23100</v>
      </c>
      <c r="P1084" s="2" t="s">
        <v>35</v>
      </c>
      <c r="Q1084" t="str">
        <f>_xlfn.XLOOKUP(B1084,Status!$A$2:$A$1867,Status!$B$2:$B$1867)</f>
        <v>Returned</v>
      </c>
      <c r="R1084" s="2" t="s">
        <v>46</v>
      </c>
      <c r="S1084" s="8">
        <v>3</v>
      </c>
      <c r="T1084" s="2" t="s">
        <v>24</v>
      </c>
      <c r="U1084" s="31" t="str" cm="1">
        <f t="array" ref="U1084">_xlfn.IFS(L1084&lt;=5000,$Z$3,AND(L1084&gt;5000,L1084&lt;=15000),$Z$4,AND(L1084&gt;15000,L1084&lt;=30000),$Z$5,AND(L1084&gt;30000,L1084&lt;=50000),$Z$6,L1084&gt;50000,$Z$7)</f>
        <v>Sangat Rendah</v>
      </c>
      <c r="V1084" s="2"/>
    </row>
    <row r="1085" spans="1:22" ht="15.75" customHeight="1" x14ac:dyDescent="0.25">
      <c r="A1085" s="26"/>
      <c r="B1085" s="2" t="s">
        <v>1475</v>
      </c>
      <c r="C1085" s="32">
        <v>45757.587118055562</v>
      </c>
      <c r="D1085" s="53">
        <f>YEAR(Table1[[#This Row],[Order Date]])</f>
        <v>2025</v>
      </c>
      <c r="E1085" s="2" t="s">
        <v>1445</v>
      </c>
      <c r="F1085" s="2" t="s">
        <v>296</v>
      </c>
      <c r="G1085" s="2" t="s">
        <v>144</v>
      </c>
      <c r="H1085" s="23">
        <v>18000</v>
      </c>
      <c r="I1085" s="2">
        <v>1</v>
      </c>
      <c r="J1085" s="31">
        <v>20</v>
      </c>
      <c r="K1085" s="7">
        <f t="shared" si="64"/>
        <v>18000</v>
      </c>
      <c r="L1085" s="7">
        <f t="shared" si="65"/>
        <v>3600</v>
      </c>
      <c r="M1085" s="7">
        <f t="shared" si="66"/>
        <v>14400</v>
      </c>
      <c r="N1085" s="23">
        <v>79000</v>
      </c>
      <c r="O1085" s="7">
        <f t="shared" si="67"/>
        <v>93400</v>
      </c>
      <c r="P1085" s="2" t="s">
        <v>29</v>
      </c>
      <c r="Q1085" t="str">
        <f>_xlfn.XLOOKUP(B1085,Status!$A$2:$A$1867,Status!$B$2:$B$1867)</f>
        <v>Completed</v>
      </c>
      <c r="R1085" s="2" t="s">
        <v>36</v>
      </c>
      <c r="S1085" s="8">
        <v>2</v>
      </c>
      <c r="T1085" s="2" t="s">
        <v>37</v>
      </c>
      <c r="U1085" s="31" t="str" cm="1">
        <f t="array" ref="U1085">_xlfn.IFS(L1085&lt;=5000,$Z$3,AND(L1085&gt;5000,L1085&lt;=15000),$Z$4,AND(L1085&gt;15000,L1085&lt;=30000),$Z$5,AND(L1085&gt;30000,L1085&lt;=50000),$Z$6,L1085&gt;50000,$Z$7)</f>
        <v>Sangat Rendah</v>
      </c>
      <c r="V1085" s="2"/>
    </row>
    <row r="1086" spans="1:22" ht="15.75" customHeight="1" x14ac:dyDescent="0.25">
      <c r="A1086" s="26"/>
      <c r="B1086" s="2" t="s">
        <v>1476</v>
      </c>
      <c r="C1086" s="32">
        <v>45757.787037037036</v>
      </c>
      <c r="D1086" s="53">
        <f>YEAR(Table1[[#This Row],[Order Date]])</f>
        <v>2025</v>
      </c>
      <c r="E1086" s="2" t="s">
        <v>361</v>
      </c>
      <c r="F1086" s="2" t="s">
        <v>70</v>
      </c>
      <c r="G1086" s="2" t="s">
        <v>71</v>
      </c>
      <c r="H1086" s="23">
        <v>40000</v>
      </c>
      <c r="I1086" s="2">
        <v>2</v>
      </c>
      <c r="J1086" s="31">
        <v>5</v>
      </c>
      <c r="K1086" s="7">
        <f t="shared" si="64"/>
        <v>80000</v>
      </c>
      <c r="L1086" s="7">
        <f t="shared" si="65"/>
        <v>4000</v>
      </c>
      <c r="M1086" s="7">
        <f t="shared" si="66"/>
        <v>76000</v>
      </c>
      <c r="N1086" s="23">
        <v>89000</v>
      </c>
      <c r="O1086" s="7">
        <f t="shared" si="67"/>
        <v>165000</v>
      </c>
      <c r="P1086" s="2" t="s">
        <v>22</v>
      </c>
      <c r="Q1086" t="str">
        <f>_xlfn.XLOOKUP(B1086,Status!$A$2:$A$1867,Status!$B$2:$B$1867)</f>
        <v>Cancelled</v>
      </c>
      <c r="R1086" s="2" t="s">
        <v>23</v>
      </c>
      <c r="S1086" s="8">
        <v>1</v>
      </c>
      <c r="T1086" s="2" t="s">
        <v>37</v>
      </c>
      <c r="U1086" s="31" t="str" cm="1">
        <f t="array" ref="U1086">_xlfn.IFS(L1086&lt;=5000,$Z$3,AND(L1086&gt;5000,L1086&lt;=15000),$Z$4,AND(L1086&gt;15000,L1086&lt;=30000),$Z$5,AND(L1086&gt;30000,L1086&lt;=50000),$Z$6,L1086&gt;50000,$Z$7)</f>
        <v>Sangat Rendah</v>
      </c>
      <c r="V1086" s="2"/>
    </row>
    <row r="1087" spans="1:22" ht="15.75" customHeight="1" x14ac:dyDescent="0.25">
      <c r="A1087" s="26"/>
      <c r="B1087" s="2" t="s">
        <v>1477</v>
      </c>
      <c r="C1087" s="32">
        <v>45757.930636574078</v>
      </c>
      <c r="D1087" s="53">
        <f>YEAR(Table1[[#This Row],[Order Date]])</f>
        <v>2025</v>
      </c>
      <c r="E1087" s="2" t="s">
        <v>95</v>
      </c>
      <c r="F1087" s="2" t="s">
        <v>96</v>
      </c>
      <c r="G1087" s="2" t="s">
        <v>93</v>
      </c>
      <c r="H1087" s="23">
        <v>25000</v>
      </c>
      <c r="I1087" s="2">
        <v>4</v>
      </c>
      <c r="J1087" s="31">
        <v>5</v>
      </c>
      <c r="K1087" s="7">
        <f t="shared" si="64"/>
        <v>100000</v>
      </c>
      <c r="L1087" s="7">
        <f t="shared" si="65"/>
        <v>5000</v>
      </c>
      <c r="M1087" s="7">
        <f t="shared" si="66"/>
        <v>95000</v>
      </c>
      <c r="N1087" s="23">
        <v>49000</v>
      </c>
      <c r="O1087" s="7">
        <f t="shared" si="67"/>
        <v>144000</v>
      </c>
      <c r="P1087" s="2" t="s">
        <v>63</v>
      </c>
      <c r="Q1087" t="str">
        <f>_xlfn.XLOOKUP(B1087,Status!$A$2:$A$1867,Status!$B$2:$B$1867)</f>
        <v>Completed</v>
      </c>
      <c r="R1087" s="2" t="s">
        <v>23</v>
      </c>
      <c r="S1087" s="8">
        <v>1</v>
      </c>
      <c r="T1087" s="2" t="s">
        <v>24</v>
      </c>
      <c r="U1087" s="31" t="str" cm="1">
        <f t="array" ref="U1087">_xlfn.IFS(L1087&lt;=5000,$Z$3,AND(L1087&gt;5000,L1087&lt;=15000),$Z$4,AND(L1087&gt;15000,L1087&lt;=30000),$Z$5,AND(L1087&gt;30000,L1087&lt;=50000),$Z$6,L1087&gt;50000,$Z$7)</f>
        <v>Sangat Rendah</v>
      </c>
      <c r="V1087" s="2"/>
    </row>
    <row r="1088" spans="1:22" ht="15.75" customHeight="1" x14ac:dyDescent="0.25">
      <c r="A1088" s="26"/>
      <c r="B1088" s="2" t="s">
        <v>1478</v>
      </c>
      <c r="C1088" s="32">
        <v>45758.120034722233</v>
      </c>
      <c r="D1088" s="53">
        <f>YEAR(Table1[[#This Row],[Order Date]])</f>
        <v>2025</v>
      </c>
      <c r="E1088" s="2" t="s">
        <v>159</v>
      </c>
      <c r="F1088" s="2" t="s">
        <v>160</v>
      </c>
      <c r="G1088" s="2" t="s">
        <v>34</v>
      </c>
      <c r="H1088" s="23">
        <v>16000</v>
      </c>
      <c r="I1088" s="2">
        <v>1</v>
      </c>
      <c r="J1088" s="31">
        <v>10</v>
      </c>
      <c r="K1088" s="7">
        <f t="shared" si="64"/>
        <v>16000</v>
      </c>
      <c r="L1088" s="7">
        <f t="shared" si="65"/>
        <v>1600</v>
      </c>
      <c r="M1088" s="7">
        <f t="shared" si="66"/>
        <v>14400</v>
      </c>
      <c r="N1088" s="23">
        <v>68000</v>
      </c>
      <c r="O1088" s="7">
        <f t="shared" si="67"/>
        <v>82400</v>
      </c>
      <c r="P1088" s="2" t="s">
        <v>63</v>
      </c>
      <c r="Q1088" t="str">
        <f>_xlfn.XLOOKUP(B1088,Status!$A$2:$A$1867,Status!$B$2:$B$1867)</f>
        <v>Completed</v>
      </c>
      <c r="R1088" s="2" t="s">
        <v>30</v>
      </c>
      <c r="S1088" s="8">
        <v>3</v>
      </c>
      <c r="T1088" s="2" t="s">
        <v>24</v>
      </c>
      <c r="U1088" s="31" t="str" cm="1">
        <f t="array" ref="U1088">_xlfn.IFS(L1088&lt;=5000,$Z$3,AND(L1088&gt;5000,L1088&lt;=15000),$Z$4,AND(L1088&gt;15000,L1088&lt;=30000),$Z$5,AND(L1088&gt;30000,L1088&lt;=50000),$Z$6,L1088&gt;50000,$Z$7)</f>
        <v>Sangat Rendah</v>
      </c>
      <c r="V1088" s="2"/>
    </row>
    <row r="1089" spans="1:22" ht="15.75" customHeight="1" x14ac:dyDescent="0.25">
      <c r="A1089" s="26"/>
      <c r="B1089" s="2" t="s">
        <v>1479</v>
      </c>
      <c r="C1089" s="32">
        <v>45758.285497685189</v>
      </c>
      <c r="D1089" s="53">
        <f>YEAR(Table1[[#This Row],[Order Date]])</f>
        <v>2025</v>
      </c>
      <c r="E1089" s="2" t="s">
        <v>741</v>
      </c>
      <c r="F1089" s="2" t="s">
        <v>189</v>
      </c>
      <c r="G1089" s="2" t="s">
        <v>58</v>
      </c>
      <c r="H1089" s="23">
        <v>16000</v>
      </c>
      <c r="I1089" s="2">
        <v>4</v>
      </c>
      <c r="J1089" s="31">
        <v>20</v>
      </c>
      <c r="K1089" s="7">
        <f t="shared" si="64"/>
        <v>64000</v>
      </c>
      <c r="L1089" s="7">
        <f t="shared" si="65"/>
        <v>12800</v>
      </c>
      <c r="M1089" s="7">
        <f t="shared" si="66"/>
        <v>51200</v>
      </c>
      <c r="N1089" s="23">
        <v>57000</v>
      </c>
      <c r="O1089" s="7">
        <f t="shared" si="67"/>
        <v>108200</v>
      </c>
      <c r="P1089" s="2" t="s">
        <v>22</v>
      </c>
      <c r="Q1089" t="str">
        <f>_xlfn.XLOOKUP(B1089,Status!$A$2:$A$1867,Status!$B$2:$B$1867)</f>
        <v>Completed</v>
      </c>
      <c r="R1089" s="2" t="s">
        <v>46</v>
      </c>
      <c r="S1089" s="8">
        <v>3</v>
      </c>
      <c r="T1089" s="2" t="s">
        <v>24</v>
      </c>
      <c r="U1089" s="31" t="str" cm="1">
        <f t="array" ref="U1089">_xlfn.IFS(L1089&lt;=5000,$Z$3,AND(L1089&gt;5000,L1089&lt;=15000),$Z$4,AND(L1089&gt;15000,L1089&lt;=30000),$Z$5,AND(L1089&gt;30000,L1089&lt;=50000),$Z$6,L1089&gt;50000,$Z$7)</f>
        <v>Rendah</v>
      </c>
      <c r="V1089" s="2"/>
    </row>
    <row r="1090" spans="1:22" ht="15.75" customHeight="1" x14ac:dyDescent="0.25">
      <c r="A1090" s="26"/>
      <c r="B1090" s="2" t="s">
        <v>1480</v>
      </c>
      <c r="C1090" s="32">
        <v>45758.358599537038</v>
      </c>
      <c r="D1090" s="53">
        <f>YEAR(Table1[[#This Row],[Order Date]])</f>
        <v>2025</v>
      </c>
      <c r="E1090" s="2" t="s">
        <v>449</v>
      </c>
      <c r="F1090" s="2" t="s">
        <v>151</v>
      </c>
      <c r="G1090" s="2" t="s">
        <v>28</v>
      </c>
      <c r="H1090" s="23">
        <v>5000</v>
      </c>
      <c r="I1090" s="2">
        <v>4</v>
      </c>
      <c r="J1090" s="31">
        <v>15</v>
      </c>
      <c r="K1090" s="7">
        <f t="shared" si="64"/>
        <v>20000</v>
      </c>
      <c r="L1090" s="7">
        <f t="shared" si="65"/>
        <v>3000</v>
      </c>
      <c r="M1090" s="7">
        <f t="shared" si="66"/>
        <v>17000</v>
      </c>
      <c r="N1090" s="23">
        <v>55000</v>
      </c>
      <c r="O1090" s="7">
        <f t="shared" si="67"/>
        <v>72000</v>
      </c>
      <c r="P1090" s="2" t="s">
        <v>22</v>
      </c>
      <c r="Q1090" t="str">
        <f>_xlfn.XLOOKUP(B1090,Status!$A$2:$A$1867,Status!$B$2:$B$1867)</f>
        <v>Completed</v>
      </c>
      <c r="R1090" s="2" t="s">
        <v>46</v>
      </c>
      <c r="S1090" s="8">
        <v>2</v>
      </c>
      <c r="T1090" s="2" t="s">
        <v>24</v>
      </c>
      <c r="U1090" s="31" t="str" cm="1">
        <f t="array" ref="U1090">_xlfn.IFS(L1090&lt;=5000,$Z$3,AND(L1090&gt;5000,L1090&lt;=15000),$Z$4,AND(L1090&gt;15000,L1090&lt;=30000),$Z$5,AND(L1090&gt;30000,L1090&lt;=50000),$Z$6,L1090&gt;50000,$Z$7)</f>
        <v>Sangat Rendah</v>
      </c>
      <c r="V1090" s="2"/>
    </row>
    <row r="1091" spans="1:22" ht="15.75" customHeight="1" x14ac:dyDescent="0.25">
      <c r="A1091" s="26"/>
      <c r="B1091" s="2" t="s">
        <v>1481</v>
      </c>
      <c r="C1091" s="32">
        <v>45758.379479166673</v>
      </c>
      <c r="D1091" s="53">
        <f>YEAR(Table1[[#This Row],[Order Date]])</f>
        <v>2025</v>
      </c>
      <c r="E1091" s="2" t="s">
        <v>271</v>
      </c>
      <c r="F1091" s="2" t="s">
        <v>49</v>
      </c>
      <c r="G1091" s="2" t="s">
        <v>41</v>
      </c>
      <c r="H1091" s="23">
        <v>4000</v>
      </c>
      <c r="I1091" s="2">
        <v>4</v>
      </c>
      <c r="J1091" s="31">
        <v>10</v>
      </c>
      <c r="K1091" s="7">
        <f t="shared" si="64"/>
        <v>16000</v>
      </c>
      <c r="L1091" s="7">
        <f t="shared" si="65"/>
        <v>1600</v>
      </c>
      <c r="M1091" s="7">
        <f t="shared" si="66"/>
        <v>14400</v>
      </c>
      <c r="N1091" s="23">
        <v>43000</v>
      </c>
      <c r="O1091" s="7">
        <f t="shared" si="67"/>
        <v>57400</v>
      </c>
      <c r="P1091" s="2" t="s">
        <v>22</v>
      </c>
      <c r="Q1091" t="str">
        <f>_xlfn.XLOOKUP(B1091,Status!$A$2:$A$1867,Status!$B$2:$B$1867)</f>
        <v>Returned</v>
      </c>
      <c r="R1091" s="2" t="s">
        <v>23</v>
      </c>
      <c r="S1091" s="8">
        <v>2</v>
      </c>
      <c r="T1091" s="2" t="s">
        <v>24</v>
      </c>
      <c r="U1091" s="31" t="str" cm="1">
        <f t="array" ref="U1091">_xlfn.IFS(L1091&lt;=5000,$Z$3,AND(L1091&gt;5000,L1091&lt;=15000),$Z$4,AND(L1091&gt;15000,L1091&lt;=30000),$Z$5,AND(L1091&gt;30000,L1091&lt;=50000),$Z$6,L1091&gt;50000,$Z$7)</f>
        <v>Sangat Rendah</v>
      </c>
      <c r="V1091" s="2"/>
    </row>
    <row r="1092" spans="1:22" ht="15.75" customHeight="1" x14ac:dyDescent="0.25">
      <c r="A1092" s="26"/>
      <c r="B1092" s="2" t="s">
        <v>1482</v>
      </c>
      <c r="C1092" s="32">
        <v>45758.631840277783</v>
      </c>
      <c r="D1092" s="53">
        <f>YEAR(Table1[[#This Row],[Order Date]])</f>
        <v>2025</v>
      </c>
      <c r="E1092" s="2" t="s">
        <v>804</v>
      </c>
      <c r="F1092" s="2" t="s">
        <v>49</v>
      </c>
      <c r="G1092" s="2" t="s">
        <v>58</v>
      </c>
      <c r="H1092" s="23">
        <v>16000</v>
      </c>
      <c r="I1092" s="2">
        <v>1</v>
      </c>
      <c r="J1092" s="31">
        <v>5</v>
      </c>
      <c r="K1092" s="7">
        <f t="shared" ref="K1092:K1155" si="68">H1092*I1092</f>
        <v>16000</v>
      </c>
      <c r="L1092" s="7">
        <f t="shared" ref="L1092:L1155" si="69">K1092*(J1092/100)</f>
        <v>800</v>
      </c>
      <c r="M1092" s="7">
        <f t="shared" ref="M1092:M1155" si="70">K1092-L1092</f>
        <v>15200</v>
      </c>
      <c r="N1092" s="23">
        <v>43000</v>
      </c>
      <c r="O1092" s="7">
        <f t="shared" ref="O1092:O1155" si="71">SUM(M1092:N1092)</f>
        <v>58200</v>
      </c>
      <c r="P1092" s="2" t="s">
        <v>22</v>
      </c>
      <c r="Q1092" t="str">
        <f>_xlfn.XLOOKUP(B1092,Status!$A$2:$A$1867,Status!$B$2:$B$1867)</f>
        <v>Completed</v>
      </c>
      <c r="R1092" s="2" t="s">
        <v>36</v>
      </c>
      <c r="S1092" s="8">
        <v>3</v>
      </c>
      <c r="T1092" s="2" t="s">
        <v>24</v>
      </c>
      <c r="U1092" s="31" t="str" cm="1">
        <f t="array" ref="U1092">_xlfn.IFS(L1092&lt;=5000,$Z$3,AND(L1092&gt;5000,L1092&lt;=15000),$Z$4,AND(L1092&gt;15000,L1092&lt;=30000),$Z$5,AND(L1092&gt;30000,L1092&lt;=50000),$Z$6,L1092&gt;50000,$Z$7)</f>
        <v>Sangat Rendah</v>
      </c>
      <c r="V1092" s="2"/>
    </row>
    <row r="1093" spans="1:22" ht="15.75" customHeight="1" x14ac:dyDescent="0.25">
      <c r="A1093" s="26"/>
      <c r="B1093" s="2" t="s">
        <v>1483</v>
      </c>
      <c r="C1093" s="32">
        <v>45758.780046296299</v>
      </c>
      <c r="D1093" s="53">
        <f>YEAR(Table1[[#This Row],[Order Date]])</f>
        <v>2025</v>
      </c>
      <c r="E1093" s="2" t="s">
        <v>214</v>
      </c>
      <c r="F1093" s="2" t="s">
        <v>131</v>
      </c>
      <c r="G1093" s="2" t="s">
        <v>50</v>
      </c>
      <c r="H1093" s="23">
        <v>14000</v>
      </c>
      <c r="I1093" s="2">
        <v>2</v>
      </c>
      <c r="J1093" s="31">
        <v>20</v>
      </c>
      <c r="K1093" s="7">
        <f t="shared" si="68"/>
        <v>28000</v>
      </c>
      <c r="L1093" s="7">
        <f t="shared" si="69"/>
        <v>5600</v>
      </c>
      <c r="M1093" s="7">
        <f t="shared" si="70"/>
        <v>22400</v>
      </c>
      <c r="N1093" s="23">
        <v>59000</v>
      </c>
      <c r="O1093" s="7">
        <f t="shared" si="71"/>
        <v>81400</v>
      </c>
      <c r="P1093" s="2" t="s">
        <v>22</v>
      </c>
      <c r="Q1093" t="str">
        <f>_xlfn.XLOOKUP(B1093,Status!$A$2:$A$1867,Status!$B$2:$B$1867)</f>
        <v>Returned</v>
      </c>
      <c r="R1093" s="2" t="s">
        <v>82</v>
      </c>
      <c r="S1093" s="8">
        <v>5</v>
      </c>
      <c r="T1093" s="2" t="s">
        <v>24</v>
      </c>
      <c r="U1093" s="31" t="str" cm="1">
        <f t="array" ref="U1093">_xlfn.IFS(L1093&lt;=5000,$Z$3,AND(L1093&gt;5000,L1093&lt;=15000),$Z$4,AND(L1093&gt;15000,L1093&lt;=30000),$Z$5,AND(L1093&gt;30000,L1093&lt;=50000),$Z$6,L1093&gt;50000,$Z$7)</f>
        <v>Rendah</v>
      </c>
      <c r="V1093" s="2"/>
    </row>
    <row r="1094" spans="1:22" ht="15.75" customHeight="1" x14ac:dyDescent="0.25">
      <c r="A1094" s="26"/>
      <c r="B1094" s="2" t="s">
        <v>1484</v>
      </c>
      <c r="C1094" s="32">
        <v>45758.829409722217</v>
      </c>
      <c r="D1094" s="53">
        <f>YEAR(Table1[[#This Row],[Order Date]])</f>
        <v>2025</v>
      </c>
      <c r="E1094" s="2" t="s">
        <v>525</v>
      </c>
      <c r="F1094" s="2" t="s">
        <v>96</v>
      </c>
      <c r="G1094" s="2" t="s">
        <v>250</v>
      </c>
      <c r="H1094" s="23">
        <v>18000</v>
      </c>
      <c r="I1094" s="2">
        <v>1</v>
      </c>
      <c r="J1094" s="31">
        <v>20</v>
      </c>
      <c r="K1094" s="7">
        <f t="shared" si="68"/>
        <v>18000</v>
      </c>
      <c r="L1094" s="7">
        <f t="shared" si="69"/>
        <v>3600</v>
      </c>
      <c r="M1094" s="7">
        <f t="shared" si="70"/>
        <v>14400</v>
      </c>
      <c r="N1094" s="23">
        <v>49000</v>
      </c>
      <c r="O1094" s="7">
        <f t="shared" si="71"/>
        <v>63400</v>
      </c>
      <c r="P1094" s="2" t="s">
        <v>22</v>
      </c>
      <c r="Q1094" t="str">
        <f>_xlfn.XLOOKUP(B1094,Status!$A$2:$A$1867,Status!$B$2:$B$1867)</f>
        <v>Completed</v>
      </c>
      <c r="R1094" s="2" t="s">
        <v>36</v>
      </c>
      <c r="S1094" s="8">
        <v>3</v>
      </c>
      <c r="T1094" s="2" t="s">
        <v>24</v>
      </c>
      <c r="U1094" s="31" t="str" cm="1">
        <f t="array" ref="U1094">_xlfn.IFS(L1094&lt;=5000,$Z$3,AND(L1094&gt;5000,L1094&lt;=15000),$Z$4,AND(L1094&gt;15000,L1094&lt;=30000),$Z$5,AND(L1094&gt;30000,L1094&lt;=50000),$Z$6,L1094&gt;50000,$Z$7)</f>
        <v>Sangat Rendah</v>
      </c>
      <c r="V1094" s="2"/>
    </row>
    <row r="1095" spans="1:22" ht="15.75" customHeight="1" x14ac:dyDescent="0.25">
      <c r="A1095" s="26"/>
      <c r="B1095" s="2" t="s">
        <v>1485</v>
      </c>
      <c r="C1095" s="32">
        <v>45759.326747685183</v>
      </c>
      <c r="D1095" s="53">
        <f>YEAR(Table1[[#This Row],[Order Date]])</f>
        <v>2025</v>
      </c>
      <c r="E1095" s="2" t="s">
        <v>416</v>
      </c>
      <c r="F1095" s="2" t="s">
        <v>131</v>
      </c>
      <c r="G1095" s="2" t="s">
        <v>50</v>
      </c>
      <c r="H1095" s="23">
        <v>14000</v>
      </c>
      <c r="I1095" s="2">
        <v>4</v>
      </c>
      <c r="J1095" s="31">
        <v>5</v>
      </c>
      <c r="K1095" s="7">
        <f t="shared" si="68"/>
        <v>56000</v>
      </c>
      <c r="L1095" s="7">
        <f t="shared" si="69"/>
        <v>2800</v>
      </c>
      <c r="M1095" s="7">
        <f t="shared" si="70"/>
        <v>53200</v>
      </c>
      <c r="N1095" s="23">
        <v>59000</v>
      </c>
      <c r="O1095" s="7">
        <f t="shared" si="71"/>
        <v>112200</v>
      </c>
      <c r="P1095" s="2" t="s">
        <v>29</v>
      </c>
      <c r="Q1095" t="str">
        <f>_xlfn.XLOOKUP(B1095,Status!$A$2:$A$1867,Status!$B$2:$B$1867)</f>
        <v>Completed</v>
      </c>
      <c r="R1095" s="2" t="s">
        <v>82</v>
      </c>
      <c r="S1095" s="8">
        <v>3</v>
      </c>
      <c r="T1095" s="2" t="s">
        <v>24</v>
      </c>
      <c r="U1095" s="31" t="str" cm="1">
        <f t="array" ref="U1095">_xlfn.IFS(L1095&lt;=5000,$Z$3,AND(L1095&gt;5000,L1095&lt;=15000),$Z$4,AND(L1095&gt;15000,L1095&lt;=30000),$Z$5,AND(L1095&gt;30000,L1095&lt;=50000),$Z$6,L1095&gt;50000,$Z$7)</f>
        <v>Sangat Rendah</v>
      </c>
      <c r="V1095" s="2"/>
    </row>
    <row r="1096" spans="1:22" ht="15.75" customHeight="1" x14ac:dyDescent="0.25">
      <c r="A1096" s="26"/>
      <c r="B1096" s="2" t="s">
        <v>1486</v>
      </c>
      <c r="C1096" s="32">
        <v>45759.435787037037</v>
      </c>
      <c r="D1096" s="53">
        <f>YEAR(Table1[[#This Row],[Order Date]])</f>
        <v>2025</v>
      </c>
      <c r="E1096" s="2" t="s">
        <v>207</v>
      </c>
      <c r="F1096" s="2" t="s">
        <v>96</v>
      </c>
      <c r="G1096" s="2" t="s">
        <v>144</v>
      </c>
      <c r="H1096" s="23">
        <v>18000</v>
      </c>
      <c r="I1096" s="2">
        <v>1</v>
      </c>
      <c r="J1096" s="31">
        <v>5</v>
      </c>
      <c r="K1096" s="7">
        <f t="shared" si="68"/>
        <v>18000</v>
      </c>
      <c r="L1096" s="7">
        <f t="shared" si="69"/>
        <v>900</v>
      </c>
      <c r="M1096" s="7">
        <f t="shared" si="70"/>
        <v>17100</v>
      </c>
      <c r="N1096" s="23">
        <v>49000</v>
      </c>
      <c r="O1096" s="7">
        <f t="shared" si="71"/>
        <v>66100</v>
      </c>
      <c r="P1096" s="2" t="s">
        <v>22</v>
      </c>
      <c r="Q1096" t="str">
        <f>_xlfn.XLOOKUP(B1096,Status!$A$2:$A$1867,Status!$B$2:$B$1867)</f>
        <v>Cancelled</v>
      </c>
      <c r="R1096" s="2" t="s">
        <v>36</v>
      </c>
      <c r="S1096" s="8">
        <v>4</v>
      </c>
      <c r="T1096" s="2" t="s">
        <v>24</v>
      </c>
      <c r="U1096" s="31" t="str" cm="1">
        <f t="array" ref="U1096">_xlfn.IFS(L1096&lt;=5000,$Z$3,AND(L1096&gt;5000,L1096&lt;=15000),$Z$4,AND(L1096&gt;15000,L1096&lt;=30000),$Z$5,AND(L1096&gt;30000,L1096&lt;=50000),$Z$6,L1096&gt;50000,$Z$7)</f>
        <v>Sangat Rendah</v>
      </c>
      <c r="V1096" s="2"/>
    </row>
    <row r="1097" spans="1:22" ht="15.75" customHeight="1" x14ac:dyDescent="0.25">
      <c r="A1097" s="26"/>
      <c r="B1097" s="2" t="s">
        <v>1486</v>
      </c>
      <c r="C1097" s="32">
        <v>45759.435787037037</v>
      </c>
      <c r="D1097" s="53">
        <f>YEAR(Table1[[#This Row],[Order Date]])</f>
        <v>2025</v>
      </c>
      <c r="E1097" s="2" t="s">
        <v>207</v>
      </c>
      <c r="F1097" s="2" t="s">
        <v>96</v>
      </c>
      <c r="G1097" s="2" t="s">
        <v>50</v>
      </c>
      <c r="H1097" s="23">
        <v>14000</v>
      </c>
      <c r="I1097" s="2">
        <v>4</v>
      </c>
      <c r="J1097" s="31">
        <v>5</v>
      </c>
      <c r="K1097" s="7">
        <f t="shared" si="68"/>
        <v>56000</v>
      </c>
      <c r="L1097" s="7">
        <f t="shared" si="69"/>
        <v>2800</v>
      </c>
      <c r="M1097" s="7">
        <f t="shared" si="70"/>
        <v>53200</v>
      </c>
      <c r="N1097" s="23">
        <v>0</v>
      </c>
      <c r="O1097" s="7">
        <f t="shared" si="71"/>
        <v>53200</v>
      </c>
      <c r="P1097" s="2" t="s">
        <v>22</v>
      </c>
      <c r="Q1097" t="str">
        <f>_xlfn.XLOOKUP(B1097,Status!$A$2:$A$1867,Status!$B$2:$B$1867)</f>
        <v>Cancelled</v>
      </c>
      <c r="R1097" s="2" t="s">
        <v>36</v>
      </c>
      <c r="S1097" s="8">
        <v>4</v>
      </c>
      <c r="T1097" s="2" t="s">
        <v>24</v>
      </c>
      <c r="U1097" s="31" t="str" cm="1">
        <f t="array" ref="U1097">_xlfn.IFS(L1097&lt;=5000,$Z$3,AND(L1097&gt;5000,L1097&lt;=15000),$Z$4,AND(L1097&gt;15000,L1097&lt;=30000),$Z$5,AND(L1097&gt;30000,L1097&lt;=50000),$Z$6,L1097&gt;50000,$Z$7)</f>
        <v>Sangat Rendah</v>
      </c>
      <c r="V1097" s="2"/>
    </row>
    <row r="1098" spans="1:22" ht="15.75" customHeight="1" x14ac:dyDescent="0.25">
      <c r="A1098" s="26"/>
      <c r="B1098" s="2" t="s">
        <v>1487</v>
      </c>
      <c r="C1098" s="32">
        <v>45759.465162037042</v>
      </c>
      <c r="D1098" s="53">
        <f>YEAR(Table1[[#This Row],[Order Date]])</f>
        <v>2025</v>
      </c>
      <c r="E1098" s="2" t="s">
        <v>128</v>
      </c>
      <c r="F1098" s="2" t="s">
        <v>103</v>
      </c>
      <c r="G1098" s="2" t="s">
        <v>45</v>
      </c>
      <c r="H1098" s="23">
        <v>40000</v>
      </c>
      <c r="I1098" s="2">
        <v>4</v>
      </c>
      <c r="J1098" s="31">
        <v>0</v>
      </c>
      <c r="K1098" s="7">
        <f t="shared" si="68"/>
        <v>160000</v>
      </c>
      <c r="L1098" s="7">
        <f t="shared" si="69"/>
        <v>0</v>
      </c>
      <c r="M1098" s="7">
        <f t="shared" si="70"/>
        <v>160000</v>
      </c>
      <c r="N1098" s="23">
        <v>85000</v>
      </c>
      <c r="O1098" s="7">
        <f t="shared" si="71"/>
        <v>245000</v>
      </c>
      <c r="P1098" s="2" t="s">
        <v>29</v>
      </c>
      <c r="Q1098" t="str">
        <f>_xlfn.XLOOKUP(B1098,Status!$A$2:$A$1867,Status!$B$2:$B$1867)</f>
        <v>Completed</v>
      </c>
      <c r="R1098" s="2" t="s">
        <v>46</v>
      </c>
      <c r="S1098" s="8">
        <v>4</v>
      </c>
      <c r="T1098" s="2" t="s">
        <v>37</v>
      </c>
      <c r="U1098" s="31" t="str" cm="1">
        <f t="array" ref="U1098">_xlfn.IFS(L1098&lt;=5000,$Z$3,AND(L1098&gt;5000,L1098&lt;=15000),$Z$4,AND(L1098&gt;15000,L1098&lt;=30000),$Z$5,AND(L1098&gt;30000,L1098&lt;=50000),$Z$6,L1098&gt;50000,$Z$7)</f>
        <v>Sangat Rendah</v>
      </c>
      <c r="V1098" s="2"/>
    </row>
    <row r="1099" spans="1:22" ht="15.75" customHeight="1" x14ac:dyDescent="0.25">
      <c r="A1099" s="26"/>
      <c r="B1099" s="2" t="s">
        <v>1488</v>
      </c>
      <c r="C1099" s="32">
        <v>45759.633217592593</v>
      </c>
      <c r="D1099" s="53">
        <f>YEAR(Table1[[#This Row],[Order Date]])</f>
        <v>2025</v>
      </c>
      <c r="E1099" s="2" t="s">
        <v>1128</v>
      </c>
      <c r="F1099" s="2" t="s">
        <v>113</v>
      </c>
      <c r="G1099" s="2" t="s">
        <v>138</v>
      </c>
      <c r="H1099" s="23">
        <v>17000</v>
      </c>
      <c r="I1099" s="2">
        <v>5</v>
      </c>
      <c r="J1099" s="31">
        <v>20</v>
      </c>
      <c r="K1099" s="7">
        <f t="shared" si="68"/>
        <v>85000</v>
      </c>
      <c r="L1099" s="7">
        <f t="shared" si="69"/>
        <v>17000</v>
      </c>
      <c r="M1099" s="7">
        <f t="shared" si="70"/>
        <v>68000</v>
      </c>
      <c r="N1099" s="23">
        <v>18000</v>
      </c>
      <c r="O1099" s="7">
        <f t="shared" si="71"/>
        <v>86000</v>
      </c>
      <c r="P1099" s="2" t="s">
        <v>63</v>
      </c>
      <c r="Q1099" t="str">
        <f>_xlfn.XLOOKUP(B1099,Status!$A$2:$A$1867,Status!$B$2:$B$1867)</f>
        <v>Completed</v>
      </c>
      <c r="R1099" s="2" t="s">
        <v>82</v>
      </c>
      <c r="S1099" s="8">
        <v>3</v>
      </c>
      <c r="T1099" s="2" t="s">
        <v>24</v>
      </c>
      <c r="U1099" s="31" t="str" cm="1">
        <f t="array" ref="U1099">_xlfn.IFS(L1099&lt;=5000,$Z$3,AND(L1099&gt;5000,L1099&lt;=15000),$Z$4,AND(L1099&gt;15000,L1099&lt;=30000),$Z$5,AND(L1099&gt;30000,L1099&lt;=50000),$Z$6,L1099&gt;50000,$Z$7)</f>
        <v>Normal</v>
      </c>
      <c r="V1099" s="2"/>
    </row>
    <row r="1100" spans="1:22" ht="15.75" customHeight="1" x14ac:dyDescent="0.25">
      <c r="A1100" s="26"/>
      <c r="B1100" s="2" t="s">
        <v>1489</v>
      </c>
      <c r="C1100" s="32">
        <v>45760.088553240741</v>
      </c>
      <c r="D1100" s="53">
        <f>YEAR(Table1[[#This Row],[Order Date]])</f>
        <v>2025</v>
      </c>
      <c r="E1100" s="2" t="s">
        <v>584</v>
      </c>
      <c r="F1100" s="2" t="s">
        <v>92</v>
      </c>
      <c r="G1100" s="2" t="s">
        <v>123</v>
      </c>
      <c r="H1100" s="23">
        <v>22000</v>
      </c>
      <c r="I1100" s="2">
        <v>2</v>
      </c>
      <c r="J1100" s="31">
        <v>0</v>
      </c>
      <c r="K1100" s="7">
        <f t="shared" si="68"/>
        <v>44000</v>
      </c>
      <c r="L1100" s="7">
        <f t="shared" si="69"/>
        <v>0</v>
      </c>
      <c r="M1100" s="7">
        <f t="shared" si="70"/>
        <v>44000</v>
      </c>
      <c r="N1100" s="23">
        <v>30000</v>
      </c>
      <c r="O1100" s="7">
        <f t="shared" si="71"/>
        <v>74000</v>
      </c>
      <c r="P1100" s="2" t="s">
        <v>63</v>
      </c>
      <c r="Q1100" t="str">
        <f>_xlfn.XLOOKUP(B1100,Status!$A$2:$A$1867,Status!$B$2:$B$1867)</f>
        <v>Returned</v>
      </c>
      <c r="R1100" s="2" t="s">
        <v>46</v>
      </c>
      <c r="S1100" s="8">
        <v>5</v>
      </c>
      <c r="T1100" s="2" t="s">
        <v>24</v>
      </c>
      <c r="U1100" s="31" t="str" cm="1">
        <f t="array" ref="U1100">_xlfn.IFS(L1100&lt;=5000,$Z$3,AND(L1100&gt;5000,L1100&lt;=15000),$Z$4,AND(L1100&gt;15000,L1100&lt;=30000),$Z$5,AND(L1100&gt;30000,L1100&lt;=50000),$Z$6,L1100&gt;50000,$Z$7)</f>
        <v>Sangat Rendah</v>
      </c>
      <c r="V1100" s="2"/>
    </row>
    <row r="1101" spans="1:22" ht="15.75" customHeight="1" x14ac:dyDescent="0.25">
      <c r="A1101" s="26"/>
      <c r="B1101" s="2" t="s">
        <v>1490</v>
      </c>
      <c r="C1101" s="32">
        <v>45760.089467592603</v>
      </c>
      <c r="D1101" s="53">
        <f>YEAR(Table1[[#This Row],[Order Date]])</f>
        <v>2025</v>
      </c>
      <c r="E1101" s="2" t="s">
        <v>851</v>
      </c>
      <c r="F1101" s="2" t="s">
        <v>66</v>
      </c>
      <c r="G1101" s="2" t="s">
        <v>123</v>
      </c>
      <c r="H1101" s="23">
        <v>22000</v>
      </c>
      <c r="I1101" s="2">
        <v>5</v>
      </c>
      <c r="J1101" s="31">
        <v>5</v>
      </c>
      <c r="K1101" s="7">
        <f t="shared" si="68"/>
        <v>110000</v>
      </c>
      <c r="L1101" s="7">
        <f t="shared" si="69"/>
        <v>5500</v>
      </c>
      <c r="M1101" s="7">
        <f t="shared" si="70"/>
        <v>104500</v>
      </c>
      <c r="N1101" s="23">
        <v>59000</v>
      </c>
      <c r="O1101" s="7">
        <f t="shared" si="71"/>
        <v>163500</v>
      </c>
      <c r="P1101" s="2" t="s">
        <v>22</v>
      </c>
      <c r="Q1101" t="str">
        <f>_xlfn.XLOOKUP(B1101,Status!$A$2:$A$1867,Status!$B$2:$B$1867)</f>
        <v>Completed</v>
      </c>
      <c r="R1101" s="2" t="s">
        <v>82</v>
      </c>
      <c r="S1101" s="8">
        <v>1</v>
      </c>
      <c r="T1101" s="2" t="s">
        <v>37</v>
      </c>
      <c r="U1101" s="31" t="str" cm="1">
        <f t="array" ref="U1101">_xlfn.IFS(L1101&lt;=5000,$Z$3,AND(L1101&gt;5000,L1101&lt;=15000),$Z$4,AND(L1101&gt;15000,L1101&lt;=30000),$Z$5,AND(L1101&gt;30000,L1101&lt;=50000),$Z$6,L1101&gt;50000,$Z$7)</f>
        <v>Rendah</v>
      </c>
      <c r="V1101" s="2"/>
    </row>
    <row r="1102" spans="1:22" ht="15.75" customHeight="1" x14ac:dyDescent="0.25">
      <c r="A1102" s="26"/>
      <c r="B1102" s="2" t="s">
        <v>1491</v>
      </c>
      <c r="C1102" s="32">
        <v>45760.267974537041</v>
      </c>
      <c r="D1102" s="53">
        <f>YEAR(Table1[[#This Row],[Order Date]])</f>
        <v>2025</v>
      </c>
      <c r="E1102" s="2" t="s">
        <v>258</v>
      </c>
      <c r="F1102" s="2" t="s">
        <v>44</v>
      </c>
      <c r="G1102" s="2" t="s">
        <v>250</v>
      </c>
      <c r="H1102" s="23">
        <v>18000</v>
      </c>
      <c r="I1102" s="2">
        <v>1</v>
      </c>
      <c r="J1102" s="31">
        <v>20</v>
      </c>
      <c r="K1102" s="7">
        <f t="shared" si="68"/>
        <v>18000</v>
      </c>
      <c r="L1102" s="7">
        <f t="shared" si="69"/>
        <v>3600</v>
      </c>
      <c r="M1102" s="7">
        <f t="shared" si="70"/>
        <v>14400</v>
      </c>
      <c r="N1102" s="23">
        <v>93000</v>
      </c>
      <c r="O1102" s="7">
        <f t="shared" si="71"/>
        <v>107400</v>
      </c>
      <c r="P1102" s="2" t="s">
        <v>35</v>
      </c>
      <c r="Q1102" t="str">
        <f>_xlfn.XLOOKUP(B1102,Status!$A$2:$A$1867,Status!$B$2:$B$1867)</f>
        <v>Completed</v>
      </c>
      <c r="R1102" s="2" t="s">
        <v>23</v>
      </c>
      <c r="S1102" s="8">
        <v>3</v>
      </c>
      <c r="T1102" s="2" t="s">
        <v>24</v>
      </c>
      <c r="U1102" s="31" t="str" cm="1">
        <f t="array" ref="U1102">_xlfn.IFS(L1102&lt;=5000,$Z$3,AND(L1102&gt;5000,L1102&lt;=15000),$Z$4,AND(L1102&gt;15000,L1102&lt;=30000),$Z$5,AND(L1102&gt;30000,L1102&lt;=50000),$Z$6,L1102&gt;50000,$Z$7)</f>
        <v>Sangat Rendah</v>
      </c>
      <c r="V1102" s="2"/>
    </row>
    <row r="1103" spans="1:22" ht="15.75" customHeight="1" x14ac:dyDescent="0.25">
      <c r="A1103" s="26"/>
      <c r="B1103" s="2" t="s">
        <v>1492</v>
      </c>
      <c r="C1103" s="32">
        <v>45760.287974537037</v>
      </c>
      <c r="D1103" s="53">
        <f>YEAR(Table1[[#This Row],[Order Date]])</f>
        <v>2025</v>
      </c>
      <c r="E1103" s="2" t="s">
        <v>582</v>
      </c>
      <c r="F1103" s="2" t="s">
        <v>435</v>
      </c>
      <c r="G1103" s="2" t="s">
        <v>71</v>
      </c>
      <c r="H1103" s="23">
        <v>40000</v>
      </c>
      <c r="I1103" s="2">
        <v>5</v>
      </c>
      <c r="J1103" s="31">
        <v>20</v>
      </c>
      <c r="K1103" s="7">
        <f t="shared" si="68"/>
        <v>200000</v>
      </c>
      <c r="L1103" s="7">
        <f t="shared" si="69"/>
        <v>40000</v>
      </c>
      <c r="M1103" s="7">
        <f t="shared" si="70"/>
        <v>160000</v>
      </c>
      <c r="N1103" s="23">
        <v>67000</v>
      </c>
      <c r="O1103" s="7">
        <f t="shared" si="71"/>
        <v>227000</v>
      </c>
      <c r="P1103" s="2" t="s">
        <v>35</v>
      </c>
      <c r="Q1103" t="str">
        <f>_xlfn.XLOOKUP(B1103,Status!$A$2:$A$1867,Status!$B$2:$B$1867)</f>
        <v>Completed</v>
      </c>
      <c r="R1103" s="2" t="s">
        <v>23</v>
      </c>
      <c r="S1103" s="8">
        <v>5</v>
      </c>
      <c r="T1103" s="2" t="s">
        <v>24</v>
      </c>
      <c r="U1103" s="31" t="str" cm="1">
        <f t="array" ref="U1103">_xlfn.IFS(L1103&lt;=5000,$Z$3,AND(L1103&gt;5000,L1103&lt;=15000),$Z$4,AND(L1103&gt;15000,L1103&lt;=30000),$Z$5,AND(L1103&gt;30000,L1103&lt;=50000),$Z$6,L1103&gt;50000,$Z$7)</f>
        <v>Tinggi</v>
      </c>
      <c r="V1103" s="2"/>
    </row>
    <row r="1104" spans="1:22" ht="15.75" customHeight="1" x14ac:dyDescent="0.25">
      <c r="A1104" s="26"/>
      <c r="B1104" s="2" t="s">
        <v>1492</v>
      </c>
      <c r="C1104" s="32">
        <v>45760.287974537037</v>
      </c>
      <c r="D1104" s="53">
        <f>YEAR(Table1[[#This Row],[Order Date]])</f>
        <v>2025</v>
      </c>
      <c r="E1104" s="2" t="s">
        <v>582</v>
      </c>
      <c r="F1104" s="2" t="s">
        <v>435</v>
      </c>
      <c r="G1104" s="2" t="s">
        <v>81</v>
      </c>
      <c r="H1104" s="23">
        <v>17000</v>
      </c>
      <c r="I1104" s="2">
        <v>5</v>
      </c>
      <c r="J1104" s="31">
        <v>20</v>
      </c>
      <c r="K1104" s="7">
        <f t="shared" si="68"/>
        <v>85000</v>
      </c>
      <c r="L1104" s="7">
        <f t="shared" si="69"/>
        <v>17000</v>
      </c>
      <c r="M1104" s="7">
        <f t="shared" si="70"/>
        <v>68000</v>
      </c>
      <c r="N1104" s="23">
        <v>0</v>
      </c>
      <c r="O1104" s="7">
        <f t="shared" si="71"/>
        <v>68000</v>
      </c>
      <c r="P1104" s="2" t="s">
        <v>35</v>
      </c>
      <c r="Q1104" t="str">
        <f>_xlfn.XLOOKUP(B1104,Status!$A$2:$A$1867,Status!$B$2:$B$1867)</f>
        <v>Completed</v>
      </c>
      <c r="R1104" s="2" t="s">
        <v>23</v>
      </c>
      <c r="S1104" s="8">
        <v>5</v>
      </c>
      <c r="T1104" s="2" t="s">
        <v>24</v>
      </c>
      <c r="U1104" s="31" t="str" cm="1">
        <f t="array" ref="U1104">_xlfn.IFS(L1104&lt;=5000,$Z$3,AND(L1104&gt;5000,L1104&lt;=15000),$Z$4,AND(L1104&gt;15000,L1104&lt;=30000),$Z$5,AND(L1104&gt;30000,L1104&lt;=50000),$Z$6,L1104&gt;50000,$Z$7)</f>
        <v>Normal</v>
      </c>
      <c r="V1104" s="2"/>
    </row>
    <row r="1105" spans="1:22" ht="15.75" customHeight="1" x14ac:dyDescent="0.25">
      <c r="A1105" s="26"/>
      <c r="B1105" s="2" t="s">
        <v>1493</v>
      </c>
      <c r="C1105" s="32">
        <v>45760.309490740743</v>
      </c>
      <c r="D1105" s="53">
        <f>YEAR(Table1[[#This Row],[Order Date]])</f>
        <v>2025</v>
      </c>
      <c r="E1105" s="2" t="s">
        <v>102</v>
      </c>
      <c r="F1105" s="2" t="s">
        <v>103</v>
      </c>
      <c r="G1105" s="2" t="s">
        <v>138</v>
      </c>
      <c r="H1105" s="23">
        <v>17000</v>
      </c>
      <c r="I1105" s="2">
        <v>5</v>
      </c>
      <c r="J1105" s="31">
        <v>5</v>
      </c>
      <c r="K1105" s="7">
        <f t="shared" si="68"/>
        <v>85000</v>
      </c>
      <c r="L1105" s="7">
        <f t="shared" si="69"/>
        <v>4250</v>
      </c>
      <c r="M1105" s="7">
        <f t="shared" si="70"/>
        <v>80750</v>
      </c>
      <c r="N1105" s="23">
        <v>85000</v>
      </c>
      <c r="O1105" s="7">
        <f t="shared" si="71"/>
        <v>165750</v>
      </c>
      <c r="P1105" s="2" t="s">
        <v>63</v>
      </c>
      <c r="Q1105" t="str">
        <f>_xlfn.XLOOKUP(B1105,Status!$A$2:$A$1867,Status!$B$2:$B$1867)</f>
        <v>Returned</v>
      </c>
      <c r="R1105" s="2" t="s">
        <v>46</v>
      </c>
      <c r="S1105" s="8">
        <v>2</v>
      </c>
      <c r="T1105" s="2" t="s">
        <v>24</v>
      </c>
      <c r="U1105" s="31" t="str" cm="1">
        <f t="array" ref="U1105">_xlfn.IFS(L1105&lt;=5000,$Z$3,AND(L1105&gt;5000,L1105&lt;=15000),$Z$4,AND(L1105&gt;15000,L1105&lt;=30000),$Z$5,AND(L1105&gt;30000,L1105&lt;=50000),$Z$6,L1105&gt;50000,$Z$7)</f>
        <v>Sangat Rendah</v>
      </c>
      <c r="V1105" s="2"/>
    </row>
    <row r="1106" spans="1:22" ht="15.75" customHeight="1" x14ac:dyDescent="0.25">
      <c r="A1106" s="26"/>
      <c r="B1106" s="2" t="s">
        <v>1494</v>
      </c>
      <c r="C1106" s="32">
        <v>45760.381064814806</v>
      </c>
      <c r="D1106" s="53">
        <f>YEAR(Table1[[#This Row],[Order Date]])</f>
        <v>2025</v>
      </c>
      <c r="E1106" s="2" t="s">
        <v>582</v>
      </c>
      <c r="F1106" s="2" t="s">
        <v>435</v>
      </c>
      <c r="G1106" s="2" t="s">
        <v>123</v>
      </c>
      <c r="H1106" s="23">
        <v>22000</v>
      </c>
      <c r="I1106" s="2">
        <v>1</v>
      </c>
      <c r="J1106" s="31">
        <v>15</v>
      </c>
      <c r="K1106" s="7">
        <f t="shared" si="68"/>
        <v>22000</v>
      </c>
      <c r="L1106" s="7">
        <f t="shared" si="69"/>
        <v>3300</v>
      </c>
      <c r="M1106" s="7">
        <f t="shared" si="70"/>
        <v>18700</v>
      </c>
      <c r="N1106" s="23">
        <v>67000</v>
      </c>
      <c r="O1106" s="7">
        <f t="shared" si="71"/>
        <v>85700</v>
      </c>
      <c r="P1106" s="2" t="s">
        <v>35</v>
      </c>
      <c r="Q1106" t="str">
        <f>_xlfn.XLOOKUP(B1106,Status!$A$2:$A$1867,Status!$B$2:$B$1867)</f>
        <v>Completed</v>
      </c>
      <c r="R1106" s="2" t="s">
        <v>46</v>
      </c>
      <c r="S1106" s="8">
        <v>3</v>
      </c>
      <c r="T1106" s="2" t="s">
        <v>24</v>
      </c>
      <c r="U1106" s="31" t="str" cm="1">
        <f t="array" ref="U1106">_xlfn.IFS(L1106&lt;=5000,$Z$3,AND(L1106&gt;5000,L1106&lt;=15000),$Z$4,AND(L1106&gt;15000,L1106&lt;=30000),$Z$5,AND(L1106&gt;30000,L1106&lt;=50000),$Z$6,L1106&gt;50000,$Z$7)</f>
        <v>Sangat Rendah</v>
      </c>
      <c r="V1106" s="2"/>
    </row>
    <row r="1107" spans="1:22" ht="15.75" customHeight="1" x14ac:dyDescent="0.25">
      <c r="A1107" s="26"/>
      <c r="B1107" s="2" t="s">
        <v>1494</v>
      </c>
      <c r="C1107" s="32">
        <v>45760.381064814806</v>
      </c>
      <c r="D1107" s="53">
        <f>YEAR(Table1[[#This Row],[Order Date]])</f>
        <v>2025</v>
      </c>
      <c r="E1107" s="2" t="s">
        <v>582</v>
      </c>
      <c r="F1107" s="2" t="s">
        <v>435</v>
      </c>
      <c r="G1107" s="2" t="s">
        <v>250</v>
      </c>
      <c r="H1107" s="23">
        <v>18000</v>
      </c>
      <c r="I1107" s="2">
        <v>1</v>
      </c>
      <c r="J1107" s="31">
        <v>10</v>
      </c>
      <c r="K1107" s="7">
        <f t="shared" si="68"/>
        <v>18000</v>
      </c>
      <c r="L1107" s="7">
        <f t="shared" si="69"/>
        <v>1800</v>
      </c>
      <c r="M1107" s="7">
        <f t="shared" si="70"/>
        <v>16200</v>
      </c>
      <c r="N1107" s="23">
        <v>0</v>
      </c>
      <c r="O1107" s="7">
        <f t="shared" si="71"/>
        <v>16200</v>
      </c>
      <c r="P1107" s="2" t="s">
        <v>35</v>
      </c>
      <c r="Q1107" t="str">
        <f>_xlfn.XLOOKUP(B1107,Status!$A$2:$A$1867,Status!$B$2:$B$1867)</f>
        <v>Completed</v>
      </c>
      <c r="R1107" s="2" t="s">
        <v>46</v>
      </c>
      <c r="S1107" s="8">
        <v>3</v>
      </c>
      <c r="T1107" s="2" t="s">
        <v>24</v>
      </c>
      <c r="U1107" s="31" t="str" cm="1">
        <f t="array" ref="U1107">_xlfn.IFS(L1107&lt;=5000,$Z$3,AND(L1107&gt;5000,L1107&lt;=15000),$Z$4,AND(L1107&gt;15000,L1107&lt;=30000),$Z$5,AND(L1107&gt;30000,L1107&lt;=50000),$Z$6,L1107&gt;50000,$Z$7)</f>
        <v>Sangat Rendah</v>
      </c>
      <c r="V1107" s="2"/>
    </row>
    <row r="1108" spans="1:22" ht="15.75" customHeight="1" x14ac:dyDescent="0.25">
      <c r="A1108" s="26"/>
      <c r="B1108" s="2" t="s">
        <v>1495</v>
      </c>
      <c r="C1108" s="32">
        <v>45760.54241898148</v>
      </c>
      <c r="D1108" s="53">
        <f>YEAR(Table1[[#This Row],[Order Date]])</f>
        <v>2025</v>
      </c>
      <c r="E1108" s="2" t="s">
        <v>73</v>
      </c>
      <c r="F1108" s="2" t="s">
        <v>74</v>
      </c>
      <c r="G1108" s="2" t="s">
        <v>190</v>
      </c>
      <c r="H1108" s="23">
        <v>35000</v>
      </c>
      <c r="I1108" s="2">
        <v>2</v>
      </c>
      <c r="J1108" s="31">
        <v>0</v>
      </c>
      <c r="K1108" s="7">
        <f t="shared" si="68"/>
        <v>70000</v>
      </c>
      <c r="L1108" s="7">
        <f t="shared" si="69"/>
        <v>0</v>
      </c>
      <c r="M1108" s="7">
        <f t="shared" si="70"/>
        <v>70000</v>
      </c>
      <c r="N1108" s="23">
        <v>87000</v>
      </c>
      <c r="O1108" s="7">
        <f t="shared" si="71"/>
        <v>157000</v>
      </c>
      <c r="P1108" s="2" t="s">
        <v>35</v>
      </c>
      <c r="Q1108" t="str">
        <f>_xlfn.XLOOKUP(B1108,Status!$A$2:$A$1867,Status!$B$2:$B$1867)</f>
        <v>Completed</v>
      </c>
      <c r="R1108" s="2" t="s">
        <v>82</v>
      </c>
      <c r="S1108" s="8">
        <v>2</v>
      </c>
      <c r="T1108" s="2" t="s">
        <v>24</v>
      </c>
      <c r="U1108" s="31" t="str" cm="1">
        <f t="array" ref="U1108">_xlfn.IFS(L1108&lt;=5000,$Z$3,AND(L1108&gt;5000,L1108&lt;=15000),$Z$4,AND(L1108&gt;15000,L1108&lt;=30000),$Z$5,AND(L1108&gt;30000,L1108&lt;=50000),$Z$6,L1108&gt;50000,$Z$7)</f>
        <v>Sangat Rendah</v>
      </c>
      <c r="V1108" s="2"/>
    </row>
    <row r="1109" spans="1:22" ht="15.75" customHeight="1" x14ac:dyDescent="0.25">
      <c r="A1109" s="26"/>
      <c r="B1109" s="2" t="s">
        <v>1496</v>
      </c>
      <c r="C1109" s="32">
        <v>45760.649143518523</v>
      </c>
      <c r="D1109" s="53">
        <f>YEAR(Table1[[#This Row],[Order Date]])</f>
        <v>2025</v>
      </c>
      <c r="E1109" s="2" t="s">
        <v>638</v>
      </c>
      <c r="F1109" s="2" t="s">
        <v>195</v>
      </c>
      <c r="G1109" s="2" t="s">
        <v>186</v>
      </c>
      <c r="H1109" s="23">
        <v>45000</v>
      </c>
      <c r="I1109" s="2">
        <v>4</v>
      </c>
      <c r="J1109" s="31">
        <v>5</v>
      </c>
      <c r="K1109" s="7">
        <f t="shared" si="68"/>
        <v>180000</v>
      </c>
      <c r="L1109" s="7">
        <f t="shared" si="69"/>
        <v>9000</v>
      </c>
      <c r="M1109" s="7">
        <f t="shared" si="70"/>
        <v>171000</v>
      </c>
      <c r="N1109" s="23">
        <v>87000</v>
      </c>
      <c r="O1109" s="7">
        <f t="shared" si="71"/>
        <v>258000</v>
      </c>
      <c r="P1109" s="2" t="s">
        <v>29</v>
      </c>
      <c r="Q1109" t="str">
        <f>_xlfn.XLOOKUP(B1109,Status!$A$2:$A$1867,Status!$B$2:$B$1867)</f>
        <v>Completed</v>
      </c>
      <c r="R1109" s="2" t="s">
        <v>36</v>
      </c>
      <c r="S1109" s="8">
        <v>1</v>
      </c>
      <c r="T1109" s="2" t="s">
        <v>37</v>
      </c>
      <c r="U1109" s="31" t="str" cm="1">
        <f t="array" ref="U1109">_xlfn.IFS(L1109&lt;=5000,$Z$3,AND(L1109&gt;5000,L1109&lt;=15000),$Z$4,AND(L1109&gt;15000,L1109&lt;=30000),$Z$5,AND(L1109&gt;30000,L1109&lt;=50000),$Z$6,L1109&gt;50000,$Z$7)</f>
        <v>Rendah</v>
      </c>
      <c r="V1109" s="2"/>
    </row>
    <row r="1110" spans="1:22" ht="15.75" customHeight="1" x14ac:dyDescent="0.25">
      <c r="A1110" s="26"/>
      <c r="B1110" s="2" t="s">
        <v>1497</v>
      </c>
      <c r="C1110" s="32">
        <v>45760.714467592603</v>
      </c>
      <c r="D1110" s="53">
        <f>YEAR(Table1[[#This Row],[Order Date]])</f>
        <v>2025</v>
      </c>
      <c r="E1110" s="2" t="s">
        <v>95</v>
      </c>
      <c r="F1110" s="2" t="s">
        <v>96</v>
      </c>
      <c r="G1110" s="2" t="s">
        <v>67</v>
      </c>
      <c r="H1110" s="23">
        <v>15000</v>
      </c>
      <c r="I1110" s="2">
        <v>5</v>
      </c>
      <c r="J1110" s="31">
        <v>10</v>
      </c>
      <c r="K1110" s="7">
        <f t="shared" si="68"/>
        <v>75000</v>
      </c>
      <c r="L1110" s="7">
        <f t="shared" si="69"/>
        <v>7500</v>
      </c>
      <c r="M1110" s="7">
        <f t="shared" si="70"/>
        <v>67500</v>
      </c>
      <c r="N1110" s="23">
        <v>49000</v>
      </c>
      <c r="O1110" s="7">
        <f t="shared" si="71"/>
        <v>116500</v>
      </c>
      <c r="P1110" s="2" t="s">
        <v>29</v>
      </c>
      <c r="Q1110" t="str">
        <f>_xlfn.XLOOKUP(B1110,Status!$A$2:$A$1867,Status!$B$2:$B$1867)</f>
        <v>Cancelled</v>
      </c>
      <c r="R1110" s="2" t="s">
        <v>82</v>
      </c>
      <c r="S1110" s="8">
        <v>4</v>
      </c>
      <c r="T1110" s="2" t="s">
        <v>24</v>
      </c>
      <c r="U1110" s="31" t="str" cm="1">
        <f t="array" ref="U1110">_xlfn.IFS(L1110&lt;=5000,$Z$3,AND(L1110&gt;5000,L1110&lt;=15000),$Z$4,AND(L1110&gt;15000,L1110&lt;=30000),$Z$5,AND(L1110&gt;30000,L1110&lt;=50000),$Z$6,L1110&gt;50000,$Z$7)</f>
        <v>Rendah</v>
      </c>
      <c r="V1110" s="2"/>
    </row>
    <row r="1111" spans="1:22" ht="15.75" customHeight="1" x14ac:dyDescent="0.25">
      <c r="A1111" s="26"/>
      <c r="B1111" s="2" t="s">
        <v>1498</v>
      </c>
      <c r="C1111" s="32">
        <v>45760.76048611111</v>
      </c>
      <c r="D1111" s="53">
        <f>YEAR(Table1[[#This Row],[Order Date]])</f>
        <v>2025</v>
      </c>
      <c r="E1111" s="2" t="s">
        <v>269</v>
      </c>
      <c r="F1111" s="2" t="s">
        <v>173</v>
      </c>
      <c r="G1111" s="2" t="s">
        <v>34</v>
      </c>
      <c r="H1111" s="23">
        <v>16000</v>
      </c>
      <c r="I1111" s="2">
        <v>1</v>
      </c>
      <c r="J1111" s="31">
        <v>5</v>
      </c>
      <c r="K1111" s="7">
        <f t="shared" si="68"/>
        <v>16000</v>
      </c>
      <c r="L1111" s="7">
        <f t="shared" si="69"/>
        <v>800</v>
      </c>
      <c r="M1111" s="7">
        <f t="shared" si="70"/>
        <v>15200</v>
      </c>
      <c r="N1111" s="23">
        <v>49000</v>
      </c>
      <c r="O1111" s="7">
        <f t="shared" si="71"/>
        <v>64200</v>
      </c>
      <c r="P1111" s="2" t="s">
        <v>29</v>
      </c>
      <c r="Q1111" t="str">
        <f>_xlfn.XLOOKUP(B1111,Status!$A$2:$A$1867,Status!$B$2:$B$1867)</f>
        <v>Completed</v>
      </c>
      <c r="R1111" s="2" t="s">
        <v>30</v>
      </c>
      <c r="S1111" s="8">
        <v>2</v>
      </c>
      <c r="T1111" s="2" t="s">
        <v>37</v>
      </c>
      <c r="U1111" s="31" t="str" cm="1">
        <f t="array" ref="U1111">_xlfn.IFS(L1111&lt;=5000,$Z$3,AND(L1111&gt;5000,L1111&lt;=15000),$Z$4,AND(L1111&gt;15000,L1111&lt;=30000),$Z$5,AND(L1111&gt;30000,L1111&lt;=50000),$Z$6,L1111&gt;50000,$Z$7)</f>
        <v>Sangat Rendah</v>
      </c>
      <c r="V1111" s="2"/>
    </row>
    <row r="1112" spans="1:22" ht="15.75" customHeight="1" x14ac:dyDescent="0.25">
      <c r="A1112" s="26"/>
      <c r="B1112" s="2" t="s">
        <v>1499</v>
      </c>
      <c r="C1112" s="32">
        <v>45760.78162037037</v>
      </c>
      <c r="D1112" s="53">
        <f>YEAR(Table1[[#This Row],[Order Date]])</f>
        <v>2025</v>
      </c>
      <c r="E1112" s="2" t="s">
        <v>774</v>
      </c>
      <c r="F1112" s="2" t="s">
        <v>262</v>
      </c>
      <c r="G1112" s="2" t="s">
        <v>34</v>
      </c>
      <c r="H1112" s="23">
        <v>16000</v>
      </c>
      <c r="I1112" s="2">
        <v>2</v>
      </c>
      <c r="J1112" s="31">
        <v>15</v>
      </c>
      <c r="K1112" s="7">
        <f t="shared" si="68"/>
        <v>32000</v>
      </c>
      <c r="L1112" s="7">
        <f t="shared" si="69"/>
        <v>4800</v>
      </c>
      <c r="M1112" s="7">
        <f t="shared" si="70"/>
        <v>27200</v>
      </c>
      <c r="N1112" s="23">
        <v>18000</v>
      </c>
      <c r="O1112" s="7">
        <f t="shared" si="71"/>
        <v>45200</v>
      </c>
      <c r="P1112" s="2" t="s">
        <v>29</v>
      </c>
      <c r="Q1112" t="str">
        <f>_xlfn.XLOOKUP(B1112,Status!$A$2:$A$1867,Status!$B$2:$B$1867)</f>
        <v>Returned</v>
      </c>
      <c r="R1112" s="2" t="s">
        <v>36</v>
      </c>
      <c r="S1112" s="8">
        <v>5</v>
      </c>
      <c r="T1112" s="2" t="s">
        <v>24</v>
      </c>
      <c r="U1112" s="31" t="str" cm="1">
        <f t="array" ref="U1112">_xlfn.IFS(L1112&lt;=5000,$Z$3,AND(L1112&gt;5000,L1112&lt;=15000),$Z$4,AND(L1112&gt;15000,L1112&lt;=30000),$Z$5,AND(L1112&gt;30000,L1112&lt;=50000),$Z$6,L1112&gt;50000,$Z$7)</f>
        <v>Sangat Rendah</v>
      </c>
      <c r="V1112" s="2"/>
    </row>
    <row r="1113" spans="1:22" ht="15.75" customHeight="1" x14ac:dyDescent="0.25">
      <c r="A1113" s="26"/>
      <c r="B1113" s="2" t="s">
        <v>1500</v>
      </c>
      <c r="C1113" s="32">
        <v>45761.031817129631</v>
      </c>
      <c r="D1113" s="53">
        <f>YEAR(Table1[[#This Row],[Order Date]])</f>
        <v>2025</v>
      </c>
      <c r="E1113" s="2" t="s">
        <v>693</v>
      </c>
      <c r="F1113" s="2" t="s">
        <v>119</v>
      </c>
      <c r="G1113" s="2" t="s">
        <v>104</v>
      </c>
      <c r="H1113" s="23">
        <v>30000</v>
      </c>
      <c r="I1113" s="2">
        <v>1</v>
      </c>
      <c r="J1113" s="31">
        <v>0</v>
      </c>
      <c r="K1113" s="7">
        <f t="shared" si="68"/>
        <v>30000</v>
      </c>
      <c r="L1113" s="7">
        <f t="shared" si="69"/>
        <v>0</v>
      </c>
      <c r="M1113" s="7">
        <f t="shared" si="70"/>
        <v>30000</v>
      </c>
      <c r="N1113" s="23">
        <v>0</v>
      </c>
      <c r="O1113" s="7">
        <f t="shared" si="71"/>
        <v>30000</v>
      </c>
      <c r="P1113" s="2" t="s">
        <v>22</v>
      </c>
      <c r="Q1113" t="str">
        <f>_xlfn.XLOOKUP(B1113,Status!$A$2:$A$1867,Status!$B$2:$B$1867)</f>
        <v>Completed</v>
      </c>
      <c r="R1113" s="2" t="s">
        <v>36</v>
      </c>
      <c r="S1113" s="8">
        <v>5</v>
      </c>
      <c r="T1113" s="2" t="s">
        <v>24</v>
      </c>
      <c r="U1113" s="31" t="str" cm="1">
        <f t="array" ref="U1113">_xlfn.IFS(L1113&lt;=5000,$Z$3,AND(L1113&gt;5000,L1113&lt;=15000),$Z$4,AND(L1113&gt;15000,L1113&lt;=30000),$Z$5,AND(L1113&gt;30000,L1113&lt;=50000),$Z$6,L1113&gt;50000,$Z$7)</f>
        <v>Sangat Rendah</v>
      </c>
      <c r="V1113" s="2"/>
    </row>
    <row r="1114" spans="1:22" ht="15.75" customHeight="1" x14ac:dyDescent="0.25">
      <c r="A1114" s="26"/>
      <c r="B1114" s="2" t="s">
        <v>1501</v>
      </c>
      <c r="C1114" s="32">
        <v>45761.144421296303</v>
      </c>
      <c r="D1114" s="53">
        <f>YEAR(Table1[[#This Row],[Order Date]])</f>
        <v>2025</v>
      </c>
      <c r="E1114" s="2" t="s">
        <v>79</v>
      </c>
      <c r="F1114" s="2" t="s">
        <v>80</v>
      </c>
      <c r="G1114" s="2" t="s">
        <v>21</v>
      </c>
      <c r="H1114" s="23">
        <v>45000</v>
      </c>
      <c r="I1114" s="2">
        <v>5</v>
      </c>
      <c r="J1114" s="31">
        <v>0</v>
      </c>
      <c r="K1114" s="7">
        <f t="shared" si="68"/>
        <v>225000</v>
      </c>
      <c r="L1114" s="7">
        <f t="shared" si="69"/>
        <v>0</v>
      </c>
      <c r="M1114" s="7">
        <f t="shared" si="70"/>
        <v>225000</v>
      </c>
      <c r="N1114" s="23">
        <v>74000</v>
      </c>
      <c r="O1114" s="7">
        <f t="shared" si="71"/>
        <v>299000</v>
      </c>
      <c r="P1114" s="2" t="s">
        <v>29</v>
      </c>
      <c r="Q1114" t="str">
        <f>_xlfn.XLOOKUP(B1114,Status!$A$2:$A$1867,Status!$B$2:$B$1867)</f>
        <v>Completed</v>
      </c>
      <c r="R1114" s="2" t="s">
        <v>36</v>
      </c>
      <c r="S1114" s="8">
        <v>1</v>
      </c>
      <c r="T1114" s="2" t="s">
        <v>24</v>
      </c>
      <c r="U1114" s="31" t="str" cm="1">
        <f t="array" ref="U1114">_xlfn.IFS(L1114&lt;=5000,$Z$3,AND(L1114&gt;5000,L1114&lt;=15000),$Z$4,AND(L1114&gt;15000,L1114&lt;=30000),$Z$5,AND(L1114&gt;30000,L1114&lt;=50000),$Z$6,L1114&gt;50000,$Z$7)</f>
        <v>Sangat Rendah</v>
      </c>
      <c r="V1114" s="2"/>
    </row>
    <row r="1115" spans="1:22" ht="15.75" customHeight="1" x14ac:dyDescent="0.25">
      <c r="A1115" s="26"/>
      <c r="B1115" s="2" t="s">
        <v>1502</v>
      </c>
      <c r="C1115" s="32">
        <v>45761.204641203702</v>
      </c>
      <c r="D1115" s="53">
        <f>YEAR(Table1[[#This Row],[Order Date]])</f>
        <v>2025</v>
      </c>
      <c r="E1115" s="2" t="s">
        <v>295</v>
      </c>
      <c r="F1115" s="2" t="s">
        <v>296</v>
      </c>
      <c r="G1115" s="2" t="s">
        <v>81</v>
      </c>
      <c r="H1115" s="23">
        <v>17000</v>
      </c>
      <c r="I1115" s="2">
        <v>1</v>
      </c>
      <c r="J1115" s="31">
        <v>0</v>
      </c>
      <c r="K1115" s="7">
        <f t="shared" si="68"/>
        <v>17000</v>
      </c>
      <c r="L1115" s="7">
        <f t="shared" si="69"/>
        <v>0</v>
      </c>
      <c r="M1115" s="7">
        <f t="shared" si="70"/>
        <v>17000</v>
      </c>
      <c r="N1115" s="23">
        <v>79000</v>
      </c>
      <c r="O1115" s="7">
        <f t="shared" si="71"/>
        <v>96000</v>
      </c>
      <c r="P1115" s="2" t="s">
        <v>29</v>
      </c>
      <c r="Q1115" t="str">
        <f>_xlfn.XLOOKUP(B1115,Status!$A$2:$A$1867,Status!$B$2:$B$1867)</f>
        <v>Completed</v>
      </c>
      <c r="R1115" s="2" t="s">
        <v>82</v>
      </c>
      <c r="S1115" s="8">
        <v>3</v>
      </c>
      <c r="T1115" s="2" t="s">
        <v>24</v>
      </c>
      <c r="U1115" s="31" t="str" cm="1">
        <f t="array" ref="U1115">_xlfn.IFS(L1115&lt;=5000,$Z$3,AND(L1115&gt;5000,L1115&lt;=15000),$Z$4,AND(L1115&gt;15000,L1115&lt;=30000),$Z$5,AND(L1115&gt;30000,L1115&lt;=50000),$Z$6,L1115&gt;50000,$Z$7)</f>
        <v>Sangat Rendah</v>
      </c>
      <c r="V1115" s="2"/>
    </row>
    <row r="1116" spans="1:22" ht="15.75" customHeight="1" x14ac:dyDescent="0.25">
      <c r="A1116" s="26"/>
      <c r="B1116" s="2" t="s">
        <v>1503</v>
      </c>
      <c r="C1116" s="32">
        <v>45761.648240740738</v>
      </c>
      <c r="D1116" s="53">
        <f>YEAR(Table1[[#This Row],[Order Date]])</f>
        <v>2025</v>
      </c>
      <c r="E1116" s="2" t="s">
        <v>459</v>
      </c>
      <c r="F1116" s="2" t="s">
        <v>61</v>
      </c>
      <c r="G1116" s="2" t="s">
        <v>186</v>
      </c>
      <c r="H1116" s="23">
        <v>45000</v>
      </c>
      <c r="I1116" s="2">
        <v>5</v>
      </c>
      <c r="J1116" s="31">
        <v>5</v>
      </c>
      <c r="K1116" s="7">
        <f t="shared" si="68"/>
        <v>225000</v>
      </c>
      <c r="L1116" s="7">
        <f t="shared" si="69"/>
        <v>11250</v>
      </c>
      <c r="M1116" s="7">
        <f t="shared" si="70"/>
        <v>213750</v>
      </c>
      <c r="N1116" s="23">
        <v>26000</v>
      </c>
      <c r="O1116" s="7">
        <f t="shared" si="71"/>
        <v>239750</v>
      </c>
      <c r="P1116" s="2" t="s">
        <v>63</v>
      </c>
      <c r="Q1116" t="str">
        <f>_xlfn.XLOOKUP(B1116,Status!$A$2:$A$1867,Status!$B$2:$B$1867)</f>
        <v>Completed</v>
      </c>
      <c r="R1116" s="2" t="s">
        <v>46</v>
      </c>
      <c r="S1116" s="8">
        <v>5</v>
      </c>
      <c r="T1116" s="2" t="s">
        <v>24</v>
      </c>
      <c r="U1116" s="31" t="str" cm="1">
        <f t="array" ref="U1116">_xlfn.IFS(L1116&lt;=5000,$Z$3,AND(L1116&gt;5000,L1116&lt;=15000),$Z$4,AND(L1116&gt;15000,L1116&lt;=30000),$Z$5,AND(L1116&gt;30000,L1116&lt;=50000),$Z$6,L1116&gt;50000,$Z$7)</f>
        <v>Rendah</v>
      </c>
      <c r="V1116" s="2"/>
    </row>
    <row r="1117" spans="1:22" ht="15.75" customHeight="1" x14ac:dyDescent="0.25">
      <c r="A1117" s="26"/>
      <c r="B1117" s="2" t="s">
        <v>1504</v>
      </c>
      <c r="C1117" s="32">
        <v>45762.365925925929</v>
      </c>
      <c r="D1117" s="53">
        <f>YEAR(Table1[[#This Row],[Order Date]])</f>
        <v>2025</v>
      </c>
      <c r="E1117" s="2" t="s">
        <v>374</v>
      </c>
      <c r="F1117" s="2" t="s">
        <v>375</v>
      </c>
      <c r="G1117" s="2" t="s">
        <v>62</v>
      </c>
      <c r="H1117" s="23">
        <v>50000</v>
      </c>
      <c r="I1117" s="2">
        <v>5</v>
      </c>
      <c r="J1117" s="31">
        <v>0</v>
      </c>
      <c r="K1117" s="7">
        <f t="shared" si="68"/>
        <v>250000</v>
      </c>
      <c r="L1117" s="7">
        <f t="shared" si="69"/>
        <v>0</v>
      </c>
      <c r="M1117" s="7">
        <f t="shared" si="70"/>
        <v>250000</v>
      </c>
      <c r="N1117" s="23">
        <v>21000</v>
      </c>
      <c r="O1117" s="7">
        <f t="shared" si="71"/>
        <v>271000</v>
      </c>
      <c r="P1117" s="2" t="s">
        <v>63</v>
      </c>
      <c r="Q1117" t="str">
        <f>_xlfn.XLOOKUP(B1117,Status!$A$2:$A$1867,Status!$B$2:$B$1867)</f>
        <v>Completed</v>
      </c>
      <c r="R1117" s="2" t="s">
        <v>30</v>
      </c>
      <c r="S1117" s="8">
        <v>5</v>
      </c>
      <c r="T1117" s="2" t="s">
        <v>37</v>
      </c>
      <c r="U1117" s="31" t="str" cm="1">
        <f t="array" ref="U1117">_xlfn.IFS(L1117&lt;=5000,$Z$3,AND(L1117&gt;5000,L1117&lt;=15000),$Z$4,AND(L1117&gt;15000,L1117&lt;=30000),$Z$5,AND(L1117&gt;30000,L1117&lt;=50000),$Z$6,L1117&gt;50000,$Z$7)</f>
        <v>Sangat Rendah</v>
      </c>
      <c r="V1117" s="2"/>
    </row>
    <row r="1118" spans="1:22" ht="15.75" customHeight="1" x14ac:dyDescent="0.25">
      <c r="A1118" s="26"/>
      <c r="B1118" s="2" t="s">
        <v>1505</v>
      </c>
      <c r="C1118" s="32">
        <v>45762.45076388889</v>
      </c>
      <c r="D1118" s="53">
        <f>YEAR(Table1[[#This Row],[Order Date]])</f>
        <v>2025</v>
      </c>
      <c r="E1118" s="2" t="s">
        <v>804</v>
      </c>
      <c r="F1118" s="2" t="s">
        <v>49</v>
      </c>
      <c r="G1118" s="2" t="s">
        <v>45</v>
      </c>
      <c r="H1118" s="23">
        <v>40000</v>
      </c>
      <c r="I1118" s="2">
        <v>4</v>
      </c>
      <c r="J1118" s="31">
        <v>5</v>
      </c>
      <c r="K1118" s="7">
        <f t="shared" si="68"/>
        <v>160000</v>
      </c>
      <c r="L1118" s="7">
        <f t="shared" si="69"/>
        <v>8000</v>
      </c>
      <c r="M1118" s="7">
        <f t="shared" si="70"/>
        <v>152000</v>
      </c>
      <c r="N1118" s="23">
        <v>43000</v>
      </c>
      <c r="O1118" s="7">
        <f t="shared" si="71"/>
        <v>195000</v>
      </c>
      <c r="P1118" s="2" t="s">
        <v>22</v>
      </c>
      <c r="Q1118" t="str">
        <f>_xlfn.XLOOKUP(B1118,Status!$A$2:$A$1867,Status!$B$2:$B$1867)</f>
        <v>Returned</v>
      </c>
      <c r="R1118" s="2" t="s">
        <v>23</v>
      </c>
      <c r="S1118" s="8">
        <v>2</v>
      </c>
      <c r="T1118" s="2" t="s">
        <v>24</v>
      </c>
      <c r="U1118" s="31" t="str" cm="1">
        <f t="array" ref="U1118">_xlfn.IFS(L1118&lt;=5000,$Z$3,AND(L1118&gt;5000,L1118&lt;=15000),$Z$4,AND(L1118&gt;15000,L1118&lt;=30000),$Z$5,AND(L1118&gt;30000,L1118&lt;=50000),$Z$6,L1118&gt;50000,$Z$7)</f>
        <v>Rendah</v>
      </c>
      <c r="V1118" s="2"/>
    </row>
    <row r="1119" spans="1:22" ht="15.75" customHeight="1" x14ac:dyDescent="0.25">
      <c r="A1119" s="26"/>
      <c r="B1119" s="2" t="s">
        <v>1506</v>
      </c>
      <c r="C1119" s="32">
        <v>45762.508668981478</v>
      </c>
      <c r="D1119" s="53">
        <f>YEAR(Table1[[#This Row],[Order Date]])</f>
        <v>2025</v>
      </c>
      <c r="E1119" s="2" t="s">
        <v>832</v>
      </c>
      <c r="F1119" s="2" t="s">
        <v>131</v>
      </c>
      <c r="G1119" s="2" t="s">
        <v>28</v>
      </c>
      <c r="H1119" s="23">
        <v>5000</v>
      </c>
      <c r="I1119" s="2">
        <v>1</v>
      </c>
      <c r="J1119" s="31">
        <v>0</v>
      </c>
      <c r="K1119" s="7">
        <f t="shared" si="68"/>
        <v>5000</v>
      </c>
      <c r="L1119" s="7">
        <f t="shared" si="69"/>
        <v>0</v>
      </c>
      <c r="M1119" s="7">
        <f t="shared" si="70"/>
        <v>5000</v>
      </c>
      <c r="N1119" s="23">
        <v>59000</v>
      </c>
      <c r="O1119" s="7">
        <f t="shared" si="71"/>
        <v>64000</v>
      </c>
      <c r="P1119" s="2" t="s">
        <v>29</v>
      </c>
      <c r="Q1119" t="str">
        <f>_xlfn.XLOOKUP(B1119,Status!$A$2:$A$1867,Status!$B$2:$B$1867)</f>
        <v>Completed</v>
      </c>
      <c r="R1119" s="2" t="s">
        <v>23</v>
      </c>
      <c r="S1119" s="8">
        <v>2</v>
      </c>
      <c r="T1119" s="2" t="s">
        <v>24</v>
      </c>
      <c r="U1119" s="31" t="str" cm="1">
        <f t="array" ref="U1119">_xlfn.IFS(L1119&lt;=5000,$Z$3,AND(L1119&gt;5000,L1119&lt;=15000),$Z$4,AND(L1119&gt;15000,L1119&lt;=30000),$Z$5,AND(L1119&gt;30000,L1119&lt;=50000),$Z$6,L1119&gt;50000,$Z$7)</f>
        <v>Sangat Rendah</v>
      </c>
      <c r="V1119" s="2"/>
    </row>
    <row r="1120" spans="1:22" ht="15.75" customHeight="1" x14ac:dyDescent="0.25">
      <c r="A1120" s="26"/>
      <c r="B1120" s="2" t="s">
        <v>1507</v>
      </c>
      <c r="C1120" s="32">
        <v>45762.786064814813</v>
      </c>
      <c r="D1120" s="53">
        <f>YEAR(Table1[[#This Row],[Order Date]])</f>
        <v>2025</v>
      </c>
      <c r="E1120" s="2" t="s">
        <v>468</v>
      </c>
      <c r="F1120" s="2" t="s">
        <v>163</v>
      </c>
      <c r="G1120" s="2" t="s">
        <v>104</v>
      </c>
      <c r="H1120" s="23">
        <v>30000</v>
      </c>
      <c r="I1120" s="2">
        <v>3</v>
      </c>
      <c r="J1120" s="31">
        <v>10</v>
      </c>
      <c r="K1120" s="7">
        <f t="shared" si="68"/>
        <v>90000</v>
      </c>
      <c r="L1120" s="7">
        <f t="shared" si="69"/>
        <v>9000</v>
      </c>
      <c r="M1120" s="7">
        <f t="shared" si="70"/>
        <v>81000</v>
      </c>
      <c r="N1120" s="23">
        <v>50000</v>
      </c>
      <c r="O1120" s="7">
        <f t="shared" si="71"/>
        <v>131000</v>
      </c>
      <c r="P1120" s="2" t="s">
        <v>22</v>
      </c>
      <c r="Q1120" t="str">
        <f>_xlfn.XLOOKUP(B1120,Status!$A$2:$A$1867,Status!$B$2:$B$1867)</f>
        <v>Completed</v>
      </c>
      <c r="R1120" s="2" t="s">
        <v>36</v>
      </c>
      <c r="S1120" s="8">
        <v>4</v>
      </c>
      <c r="T1120" s="2" t="s">
        <v>24</v>
      </c>
      <c r="U1120" s="31" t="str" cm="1">
        <f t="array" ref="U1120">_xlfn.IFS(L1120&lt;=5000,$Z$3,AND(L1120&gt;5000,L1120&lt;=15000),$Z$4,AND(L1120&gt;15000,L1120&lt;=30000),$Z$5,AND(L1120&gt;30000,L1120&lt;=50000),$Z$6,L1120&gt;50000,$Z$7)</f>
        <v>Rendah</v>
      </c>
      <c r="V1120" s="2"/>
    </row>
    <row r="1121" spans="1:22" ht="15.75" customHeight="1" x14ac:dyDescent="0.25">
      <c r="A1121" s="26"/>
      <c r="B1121" s="2" t="s">
        <v>1508</v>
      </c>
      <c r="C1121" s="32">
        <v>45763.144907407397</v>
      </c>
      <c r="D1121" s="53">
        <f>YEAR(Table1[[#This Row],[Order Date]])</f>
        <v>2025</v>
      </c>
      <c r="E1121" s="2" t="s">
        <v>1509</v>
      </c>
      <c r="F1121" s="2" t="s">
        <v>122</v>
      </c>
      <c r="G1121" s="2" t="s">
        <v>50</v>
      </c>
      <c r="H1121" s="23">
        <v>14000</v>
      </c>
      <c r="I1121" s="2">
        <v>4</v>
      </c>
      <c r="J1121" s="31">
        <v>10</v>
      </c>
      <c r="K1121" s="7">
        <f t="shared" si="68"/>
        <v>56000</v>
      </c>
      <c r="L1121" s="7">
        <f t="shared" si="69"/>
        <v>5600</v>
      </c>
      <c r="M1121" s="7">
        <f t="shared" si="70"/>
        <v>50400</v>
      </c>
      <c r="N1121" s="23">
        <v>78000</v>
      </c>
      <c r="O1121" s="7">
        <f t="shared" si="71"/>
        <v>128400</v>
      </c>
      <c r="P1121" s="2" t="s">
        <v>35</v>
      </c>
      <c r="Q1121" t="str">
        <f>_xlfn.XLOOKUP(B1121,Status!$A$2:$A$1867,Status!$B$2:$B$1867)</f>
        <v>Returned</v>
      </c>
      <c r="R1121" s="2" t="s">
        <v>36</v>
      </c>
      <c r="S1121" s="8">
        <v>1</v>
      </c>
      <c r="T1121" s="2" t="s">
        <v>24</v>
      </c>
      <c r="U1121" s="31" t="str" cm="1">
        <f t="array" ref="U1121">_xlfn.IFS(L1121&lt;=5000,$Z$3,AND(L1121&gt;5000,L1121&lt;=15000),$Z$4,AND(L1121&gt;15000,L1121&lt;=30000),$Z$5,AND(L1121&gt;30000,L1121&lt;=50000),$Z$6,L1121&gt;50000,$Z$7)</f>
        <v>Rendah</v>
      </c>
      <c r="V1121" s="2"/>
    </row>
    <row r="1122" spans="1:22" ht="15.75" customHeight="1" x14ac:dyDescent="0.25">
      <c r="A1122" s="26"/>
      <c r="B1122" s="2" t="s">
        <v>1510</v>
      </c>
      <c r="C1122" s="32">
        <v>45763.149722222217</v>
      </c>
      <c r="D1122" s="53">
        <f>YEAR(Table1[[#This Row],[Order Date]])</f>
        <v>2025</v>
      </c>
      <c r="E1122" s="2" t="s">
        <v>32</v>
      </c>
      <c r="F1122" s="2" t="s">
        <v>33</v>
      </c>
      <c r="G1122" s="2" t="s">
        <v>54</v>
      </c>
      <c r="H1122" s="23">
        <v>16000</v>
      </c>
      <c r="I1122" s="2">
        <v>4</v>
      </c>
      <c r="J1122" s="31">
        <v>0</v>
      </c>
      <c r="K1122" s="7">
        <f t="shared" si="68"/>
        <v>64000</v>
      </c>
      <c r="L1122" s="7">
        <f t="shared" si="69"/>
        <v>0</v>
      </c>
      <c r="M1122" s="7">
        <f t="shared" si="70"/>
        <v>64000</v>
      </c>
      <c r="N1122" s="23">
        <v>76000</v>
      </c>
      <c r="O1122" s="7">
        <f t="shared" si="71"/>
        <v>140000</v>
      </c>
      <c r="P1122" s="2" t="s">
        <v>63</v>
      </c>
      <c r="Q1122" t="str">
        <f>_xlfn.XLOOKUP(B1122,Status!$A$2:$A$1867,Status!$B$2:$B$1867)</f>
        <v>Completed</v>
      </c>
      <c r="R1122" s="2" t="s">
        <v>30</v>
      </c>
      <c r="S1122" s="8">
        <v>1</v>
      </c>
      <c r="T1122" s="2" t="s">
        <v>37</v>
      </c>
      <c r="U1122" s="31" t="str" cm="1">
        <f t="array" ref="U1122">_xlfn.IFS(L1122&lt;=5000,$Z$3,AND(L1122&gt;5000,L1122&lt;=15000),$Z$4,AND(L1122&gt;15000,L1122&lt;=30000),$Z$5,AND(L1122&gt;30000,L1122&lt;=50000),$Z$6,L1122&gt;50000,$Z$7)</f>
        <v>Sangat Rendah</v>
      </c>
      <c r="V1122" s="2"/>
    </row>
    <row r="1123" spans="1:22" ht="15.75" customHeight="1" x14ac:dyDescent="0.25">
      <c r="A1123" s="26"/>
      <c r="B1123" s="2" t="s">
        <v>1511</v>
      </c>
      <c r="C1123" s="32">
        <v>45763.371516203697</v>
      </c>
      <c r="D1123" s="53">
        <f>YEAR(Table1[[#This Row],[Order Date]])</f>
        <v>2025</v>
      </c>
      <c r="E1123" s="2" t="s">
        <v>265</v>
      </c>
      <c r="F1123" s="2" t="s">
        <v>119</v>
      </c>
      <c r="G1123" s="2" t="s">
        <v>88</v>
      </c>
      <c r="H1123" s="23">
        <v>14000</v>
      </c>
      <c r="I1123" s="2">
        <v>5</v>
      </c>
      <c r="J1123" s="31">
        <v>15</v>
      </c>
      <c r="K1123" s="7">
        <f t="shared" si="68"/>
        <v>70000</v>
      </c>
      <c r="L1123" s="7">
        <f t="shared" si="69"/>
        <v>10500</v>
      </c>
      <c r="M1123" s="7">
        <f t="shared" si="70"/>
        <v>59500</v>
      </c>
      <c r="N1123" s="23">
        <v>0</v>
      </c>
      <c r="O1123" s="7">
        <f t="shared" si="71"/>
        <v>59500</v>
      </c>
      <c r="P1123" s="2" t="s">
        <v>63</v>
      </c>
      <c r="Q1123" t="str">
        <f>_xlfn.XLOOKUP(B1123,Status!$A$2:$A$1867,Status!$B$2:$B$1867)</f>
        <v>Completed</v>
      </c>
      <c r="R1123" s="2" t="s">
        <v>30</v>
      </c>
      <c r="S1123" s="8">
        <v>1</v>
      </c>
      <c r="T1123" s="2" t="s">
        <v>24</v>
      </c>
      <c r="U1123" s="31" t="str" cm="1">
        <f t="array" ref="U1123">_xlfn.IFS(L1123&lt;=5000,$Z$3,AND(L1123&gt;5000,L1123&lt;=15000),$Z$4,AND(L1123&gt;15000,L1123&lt;=30000),$Z$5,AND(L1123&gt;30000,L1123&lt;=50000),$Z$6,L1123&gt;50000,$Z$7)</f>
        <v>Rendah</v>
      </c>
      <c r="V1123" s="2"/>
    </row>
    <row r="1124" spans="1:22" ht="15.75" customHeight="1" x14ac:dyDescent="0.25">
      <c r="A1124" s="26"/>
      <c r="B1124" s="2" t="s">
        <v>1512</v>
      </c>
      <c r="C1124" s="32">
        <v>45763.471747685187</v>
      </c>
      <c r="D1124" s="53">
        <f>YEAR(Table1[[#This Row],[Order Date]])</f>
        <v>2025</v>
      </c>
      <c r="E1124" s="2" t="s">
        <v>121</v>
      </c>
      <c r="F1124" s="2" t="s">
        <v>122</v>
      </c>
      <c r="G1124" s="2" t="s">
        <v>250</v>
      </c>
      <c r="H1124" s="23">
        <v>18000</v>
      </c>
      <c r="I1124" s="2">
        <v>2</v>
      </c>
      <c r="J1124" s="31">
        <v>5</v>
      </c>
      <c r="K1124" s="7">
        <f t="shared" si="68"/>
        <v>36000</v>
      </c>
      <c r="L1124" s="7">
        <f t="shared" si="69"/>
        <v>1800</v>
      </c>
      <c r="M1124" s="7">
        <f t="shared" si="70"/>
        <v>34200</v>
      </c>
      <c r="N1124" s="23">
        <v>78000</v>
      </c>
      <c r="O1124" s="7">
        <f t="shared" si="71"/>
        <v>112200</v>
      </c>
      <c r="P1124" s="2" t="s">
        <v>29</v>
      </c>
      <c r="Q1124" t="str">
        <f>_xlfn.XLOOKUP(B1124,Status!$A$2:$A$1867,Status!$B$2:$B$1867)</f>
        <v>Completed</v>
      </c>
      <c r="R1124" s="2" t="s">
        <v>82</v>
      </c>
      <c r="S1124" s="8">
        <v>3</v>
      </c>
      <c r="T1124" s="2" t="s">
        <v>24</v>
      </c>
      <c r="U1124" s="31" t="str" cm="1">
        <f t="array" ref="U1124">_xlfn.IFS(L1124&lt;=5000,$Z$3,AND(L1124&gt;5000,L1124&lt;=15000),$Z$4,AND(L1124&gt;15000,L1124&lt;=30000),$Z$5,AND(L1124&gt;30000,L1124&lt;=50000),$Z$6,L1124&gt;50000,$Z$7)</f>
        <v>Sangat Rendah</v>
      </c>
      <c r="V1124" s="2"/>
    </row>
    <row r="1125" spans="1:22" ht="15.75" customHeight="1" x14ac:dyDescent="0.25">
      <c r="A1125" s="26"/>
      <c r="B1125" s="2" t="s">
        <v>1513</v>
      </c>
      <c r="C1125" s="32">
        <v>45763.515949074077</v>
      </c>
      <c r="D1125" s="53">
        <f>YEAR(Table1[[#This Row],[Order Date]])</f>
        <v>2025</v>
      </c>
      <c r="E1125" s="2" t="s">
        <v>209</v>
      </c>
      <c r="F1125" s="2" t="s">
        <v>143</v>
      </c>
      <c r="G1125" s="2" t="s">
        <v>50</v>
      </c>
      <c r="H1125" s="23">
        <v>14000</v>
      </c>
      <c r="I1125" s="2">
        <v>4</v>
      </c>
      <c r="J1125" s="31">
        <v>20</v>
      </c>
      <c r="K1125" s="7">
        <f t="shared" si="68"/>
        <v>56000</v>
      </c>
      <c r="L1125" s="7">
        <f t="shared" si="69"/>
        <v>11200</v>
      </c>
      <c r="M1125" s="7">
        <f t="shared" si="70"/>
        <v>44800</v>
      </c>
      <c r="N1125" s="23">
        <v>50000</v>
      </c>
      <c r="O1125" s="7">
        <f t="shared" si="71"/>
        <v>94800</v>
      </c>
      <c r="P1125" s="2" t="s">
        <v>29</v>
      </c>
      <c r="Q1125" t="str">
        <f>_xlfn.XLOOKUP(B1125,Status!$A$2:$A$1867,Status!$B$2:$B$1867)</f>
        <v>Completed</v>
      </c>
      <c r="R1125" s="2" t="s">
        <v>36</v>
      </c>
      <c r="S1125" s="8">
        <v>5</v>
      </c>
      <c r="T1125" s="2" t="s">
        <v>37</v>
      </c>
      <c r="U1125" s="31" t="str" cm="1">
        <f t="array" ref="U1125">_xlfn.IFS(L1125&lt;=5000,$Z$3,AND(L1125&gt;5000,L1125&lt;=15000),$Z$4,AND(L1125&gt;15000,L1125&lt;=30000),$Z$5,AND(L1125&gt;30000,L1125&lt;=50000),$Z$6,L1125&gt;50000,$Z$7)</f>
        <v>Rendah</v>
      </c>
      <c r="V1125" s="2"/>
    </row>
    <row r="1126" spans="1:22" ht="15.75" customHeight="1" x14ac:dyDescent="0.25">
      <c r="A1126" s="26"/>
      <c r="B1126" s="2" t="s">
        <v>1514</v>
      </c>
      <c r="C1126" s="32">
        <v>45763.700844907413</v>
      </c>
      <c r="D1126" s="53">
        <f>YEAR(Table1[[#This Row],[Order Date]])</f>
        <v>2025</v>
      </c>
      <c r="E1126" s="2" t="s">
        <v>431</v>
      </c>
      <c r="F1126" s="2" t="s">
        <v>33</v>
      </c>
      <c r="G1126" s="2" t="s">
        <v>186</v>
      </c>
      <c r="H1126" s="23">
        <v>45000</v>
      </c>
      <c r="I1126" s="2">
        <v>2</v>
      </c>
      <c r="J1126" s="31">
        <v>5</v>
      </c>
      <c r="K1126" s="7">
        <f t="shared" si="68"/>
        <v>90000</v>
      </c>
      <c r="L1126" s="7">
        <f t="shared" si="69"/>
        <v>4500</v>
      </c>
      <c r="M1126" s="7">
        <f t="shared" si="70"/>
        <v>85500</v>
      </c>
      <c r="N1126" s="23">
        <v>76000</v>
      </c>
      <c r="O1126" s="7">
        <f t="shared" si="71"/>
        <v>161500</v>
      </c>
      <c r="P1126" s="2" t="s">
        <v>35</v>
      </c>
      <c r="Q1126" t="str">
        <f>_xlfn.XLOOKUP(B1126,Status!$A$2:$A$1867,Status!$B$2:$B$1867)</f>
        <v>Completed</v>
      </c>
      <c r="R1126" s="2" t="s">
        <v>36</v>
      </c>
      <c r="S1126" s="8">
        <v>5</v>
      </c>
      <c r="T1126" s="2" t="s">
        <v>24</v>
      </c>
      <c r="U1126" s="31" t="str" cm="1">
        <f t="array" ref="U1126">_xlfn.IFS(L1126&lt;=5000,$Z$3,AND(L1126&gt;5000,L1126&lt;=15000),$Z$4,AND(L1126&gt;15000,L1126&lt;=30000),$Z$5,AND(L1126&gt;30000,L1126&lt;=50000),$Z$6,L1126&gt;50000,$Z$7)</f>
        <v>Sangat Rendah</v>
      </c>
      <c r="V1126" s="2"/>
    </row>
    <row r="1127" spans="1:22" ht="15.75" customHeight="1" x14ac:dyDescent="0.25">
      <c r="A1127" s="26"/>
      <c r="B1127" s="2" t="s">
        <v>1515</v>
      </c>
      <c r="C1127" s="32">
        <v>45764.046620370369</v>
      </c>
      <c r="D1127" s="53">
        <f>YEAR(Table1[[#This Row],[Order Date]])</f>
        <v>2025</v>
      </c>
      <c r="E1127" s="2" t="s">
        <v>459</v>
      </c>
      <c r="F1127" s="2" t="s">
        <v>61</v>
      </c>
      <c r="G1127" s="2" t="s">
        <v>28</v>
      </c>
      <c r="H1127" s="23">
        <v>5000</v>
      </c>
      <c r="I1127" s="2">
        <v>2</v>
      </c>
      <c r="J1127" s="31">
        <v>5</v>
      </c>
      <c r="K1127" s="7">
        <f t="shared" si="68"/>
        <v>10000</v>
      </c>
      <c r="L1127" s="7">
        <f t="shared" si="69"/>
        <v>500</v>
      </c>
      <c r="M1127" s="7">
        <f t="shared" si="70"/>
        <v>9500</v>
      </c>
      <c r="N1127" s="23">
        <v>26000</v>
      </c>
      <c r="O1127" s="7">
        <f t="shared" si="71"/>
        <v>35500</v>
      </c>
      <c r="P1127" s="2" t="s">
        <v>22</v>
      </c>
      <c r="Q1127" t="str">
        <f>_xlfn.XLOOKUP(B1127,Status!$A$2:$A$1867,Status!$B$2:$B$1867)</f>
        <v>Completed</v>
      </c>
      <c r="R1127" s="2" t="s">
        <v>46</v>
      </c>
      <c r="S1127" s="8">
        <v>2</v>
      </c>
      <c r="T1127" s="2" t="s">
        <v>24</v>
      </c>
      <c r="U1127" s="31" t="str" cm="1">
        <f t="array" ref="U1127">_xlfn.IFS(L1127&lt;=5000,$Z$3,AND(L1127&gt;5000,L1127&lt;=15000),$Z$4,AND(L1127&gt;15000,L1127&lt;=30000),$Z$5,AND(L1127&gt;30000,L1127&lt;=50000),$Z$6,L1127&gt;50000,$Z$7)</f>
        <v>Sangat Rendah</v>
      </c>
      <c r="V1127" s="2"/>
    </row>
    <row r="1128" spans="1:22" ht="15.75" customHeight="1" x14ac:dyDescent="0.25">
      <c r="A1128" s="26"/>
      <c r="B1128" s="2" t="s">
        <v>1516</v>
      </c>
      <c r="C1128" s="32">
        <v>45764.619722222233</v>
      </c>
      <c r="D1128" s="53">
        <f>YEAR(Table1[[#This Row],[Order Date]])</f>
        <v>2025</v>
      </c>
      <c r="E1128" s="2" t="s">
        <v>922</v>
      </c>
      <c r="F1128" s="2" t="s">
        <v>33</v>
      </c>
      <c r="G1128" s="2" t="s">
        <v>45</v>
      </c>
      <c r="H1128" s="23">
        <v>40000</v>
      </c>
      <c r="I1128" s="2">
        <v>3</v>
      </c>
      <c r="J1128" s="31">
        <v>0</v>
      </c>
      <c r="K1128" s="7">
        <f t="shared" si="68"/>
        <v>120000</v>
      </c>
      <c r="L1128" s="7">
        <f t="shared" si="69"/>
        <v>0</v>
      </c>
      <c r="M1128" s="7">
        <f t="shared" si="70"/>
        <v>120000</v>
      </c>
      <c r="N1128" s="23">
        <v>76000</v>
      </c>
      <c r="O1128" s="7">
        <f t="shared" si="71"/>
        <v>196000</v>
      </c>
      <c r="P1128" s="2" t="s">
        <v>35</v>
      </c>
      <c r="Q1128" t="str">
        <f>_xlfn.XLOOKUP(B1128,Status!$A$2:$A$1867,Status!$B$2:$B$1867)</f>
        <v>Completed</v>
      </c>
      <c r="R1128" s="2" t="s">
        <v>36</v>
      </c>
      <c r="S1128" s="8">
        <v>5</v>
      </c>
      <c r="T1128" s="2" t="s">
        <v>37</v>
      </c>
      <c r="U1128" s="31" t="str" cm="1">
        <f t="array" ref="U1128">_xlfn.IFS(L1128&lt;=5000,$Z$3,AND(L1128&gt;5000,L1128&lt;=15000),$Z$4,AND(L1128&gt;15000,L1128&lt;=30000),$Z$5,AND(L1128&gt;30000,L1128&lt;=50000),$Z$6,L1128&gt;50000,$Z$7)</f>
        <v>Sangat Rendah</v>
      </c>
      <c r="V1128" s="2"/>
    </row>
    <row r="1129" spans="1:22" ht="15.75" customHeight="1" x14ac:dyDescent="0.25">
      <c r="A1129" s="26"/>
      <c r="B1129" s="2" t="s">
        <v>1517</v>
      </c>
      <c r="C1129" s="32">
        <v>45764.76189814815</v>
      </c>
      <c r="D1129" s="53">
        <f>YEAR(Table1[[#This Row],[Order Date]])</f>
        <v>2025</v>
      </c>
      <c r="E1129" s="2" t="s">
        <v>572</v>
      </c>
      <c r="F1129" s="2" t="s">
        <v>33</v>
      </c>
      <c r="G1129" s="2" t="s">
        <v>34</v>
      </c>
      <c r="H1129" s="23">
        <v>16000</v>
      </c>
      <c r="I1129" s="2">
        <v>5</v>
      </c>
      <c r="J1129" s="31">
        <v>10</v>
      </c>
      <c r="K1129" s="7">
        <f t="shared" si="68"/>
        <v>80000</v>
      </c>
      <c r="L1129" s="7">
        <f t="shared" si="69"/>
        <v>8000</v>
      </c>
      <c r="M1129" s="7">
        <f t="shared" si="70"/>
        <v>72000</v>
      </c>
      <c r="N1129" s="23">
        <v>76000</v>
      </c>
      <c r="O1129" s="7">
        <f t="shared" si="71"/>
        <v>148000</v>
      </c>
      <c r="P1129" s="2" t="s">
        <v>35</v>
      </c>
      <c r="Q1129" t="str">
        <f>_xlfn.XLOOKUP(B1129,Status!$A$2:$A$1867,Status!$B$2:$B$1867)</f>
        <v>Completed</v>
      </c>
      <c r="R1129" s="2" t="s">
        <v>23</v>
      </c>
      <c r="S1129" s="8">
        <v>2</v>
      </c>
      <c r="T1129" s="2" t="s">
        <v>24</v>
      </c>
      <c r="U1129" s="31" t="str" cm="1">
        <f t="array" ref="U1129">_xlfn.IFS(L1129&lt;=5000,$Z$3,AND(L1129&gt;5000,L1129&lt;=15000),$Z$4,AND(L1129&gt;15000,L1129&lt;=30000),$Z$5,AND(L1129&gt;30000,L1129&lt;=50000),$Z$6,L1129&gt;50000,$Z$7)</f>
        <v>Rendah</v>
      </c>
      <c r="V1129" s="2"/>
    </row>
    <row r="1130" spans="1:22" ht="15.75" customHeight="1" x14ac:dyDescent="0.25">
      <c r="A1130" s="26"/>
      <c r="B1130" s="2" t="s">
        <v>1518</v>
      </c>
      <c r="C1130" s="32">
        <v>45764.911377314813</v>
      </c>
      <c r="D1130" s="53">
        <f>YEAR(Table1[[#This Row],[Order Date]])</f>
        <v>2025</v>
      </c>
      <c r="E1130" s="2" t="s">
        <v>596</v>
      </c>
      <c r="F1130" s="2" t="s">
        <v>70</v>
      </c>
      <c r="G1130" s="2" t="s">
        <v>45</v>
      </c>
      <c r="H1130" s="23">
        <v>40000</v>
      </c>
      <c r="I1130" s="2">
        <v>3</v>
      </c>
      <c r="J1130" s="31">
        <v>0</v>
      </c>
      <c r="K1130" s="7">
        <f t="shared" si="68"/>
        <v>120000</v>
      </c>
      <c r="L1130" s="7">
        <f t="shared" si="69"/>
        <v>0</v>
      </c>
      <c r="M1130" s="7">
        <f t="shared" si="70"/>
        <v>120000</v>
      </c>
      <c r="N1130" s="23">
        <v>89000</v>
      </c>
      <c r="O1130" s="7">
        <f t="shared" si="71"/>
        <v>209000</v>
      </c>
      <c r="P1130" s="2" t="s">
        <v>63</v>
      </c>
      <c r="Q1130" t="str">
        <f>_xlfn.XLOOKUP(B1130,Status!$A$2:$A$1867,Status!$B$2:$B$1867)</f>
        <v>Completed</v>
      </c>
      <c r="R1130" s="2" t="s">
        <v>36</v>
      </c>
      <c r="S1130" s="8">
        <v>4</v>
      </c>
      <c r="T1130" s="2" t="s">
        <v>24</v>
      </c>
      <c r="U1130" s="31" t="str" cm="1">
        <f t="array" ref="U1130">_xlfn.IFS(L1130&lt;=5000,$Z$3,AND(L1130&gt;5000,L1130&lt;=15000),$Z$4,AND(L1130&gt;15000,L1130&lt;=30000),$Z$5,AND(L1130&gt;30000,L1130&lt;=50000),$Z$6,L1130&gt;50000,$Z$7)</f>
        <v>Sangat Rendah</v>
      </c>
      <c r="V1130" s="2"/>
    </row>
    <row r="1131" spans="1:22" ht="15.75" customHeight="1" x14ac:dyDescent="0.25">
      <c r="A1131" s="26"/>
      <c r="B1131" s="2" t="s">
        <v>1519</v>
      </c>
      <c r="C1131" s="32">
        <v>45764.948333333326</v>
      </c>
      <c r="D1131" s="53">
        <f>YEAR(Table1[[#This Row],[Order Date]])</f>
        <v>2025</v>
      </c>
      <c r="E1131" s="2" t="s">
        <v>898</v>
      </c>
      <c r="F1131" s="2" t="s">
        <v>195</v>
      </c>
      <c r="G1131" s="2" t="s">
        <v>174</v>
      </c>
      <c r="H1131" s="23">
        <v>10000</v>
      </c>
      <c r="I1131" s="2">
        <v>3</v>
      </c>
      <c r="J1131" s="31">
        <v>20</v>
      </c>
      <c r="K1131" s="7">
        <f t="shared" si="68"/>
        <v>30000</v>
      </c>
      <c r="L1131" s="7">
        <f t="shared" si="69"/>
        <v>6000</v>
      </c>
      <c r="M1131" s="7">
        <f t="shared" si="70"/>
        <v>24000</v>
      </c>
      <c r="N1131" s="23">
        <v>87000</v>
      </c>
      <c r="O1131" s="7">
        <f t="shared" si="71"/>
        <v>111000</v>
      </c>
      <c r="P1131" s="2" t="s">
        <v>29</v>
      </c>
      <c r="Q1131" t="str">
        <f>_xlfn.XLOOKUP(B1131,Status!$A$2:$A$1867,Status!$B$2:$B$1867)</f>
        <v>Completed</v>
      </c>
      <c r="R1131" s="2" t="s">
        <v>30</v>
      </c>
      <c r="S1131" s="8">
        <v>2</v>
      </c>
      <c r="T1131" s="2" t="s">
        <v>24</v>
      </c>
      <c r="U1131" s="31" t="str" cm="1">
        <f t="array" ref="U1131">_xlfn.IFS(L1131&lt;=5000,$Z$3,AND(L1131&gt;5000,L1131&lt;=15000),$Z$4,AND(L1131&gt;15000,L1131&lt;=30000),$Z$5,AND(L1131&gt;30000,L1131&lt;=50000),$Z$6,L1131&gt;50000,$Z$7)</f>
        <v>Rendah</v>
      </c>
      <c r="V1131" s="2"/>
    </row>
    <row r="1132" spans="1:22" ht="15.75" customHeight="1" x14ac:dyDescent="0.25">
      <c r="A1132" s="26"/>
      <c r="B1132" s="2" t="s">
        <v>1520</v>
      </c>
      <c r="C1132" s="32">
        <v>45765.371145833327</v>
      </c>
      <c r="D1132" s="53">
        <f>YEAR(Table1[[#This Row],[Order Date]])</f>
        <v>2025</v>
      </c>
      <c r="E1132" s="2" t="s">
        <v>383</v>
      </c>
      <c r="F1132" s="2" t="s">
        <v>122</v>
      </c>
      <c r="G1132" s="2" t="s">
        <v>34</v>
      </c>
      <c r="H1132" s="23">
        <v>16000</v>
      </c>
      <c r="I1132" s="2">
        <v>2</v>
      </c>
      <c r="J1132" s="31">
        <v>0</v>
      </c>
      <c r="K1132" s="7">
        <f t="shared" si="68"/>
        <v>32000</v>
      </c>
      <c r="L1132" s="7">
        <f t="shared" si="69"/>
        <v>0</v>
      </c>
      <c r="M1132" s="7">
        <f t="shared" si="70"/>
        <v>32000</v>
      </c>
      <c r="N1132" s="23">
        <v>78000</v>
      </c>
      <c r="O1132" s="7">
        <f t="shared" si="71"/>
        <v>110000</v>
      </c>
      <c r="P1132" s="2" t="s">
        <v>63</v>
      </c>
      <c r="Q1132" t="str">
        <f>_xlfn.XLOOKUP(B1132,Status!$A$2:$A$1867,Status!$B$2:$B$1867)</f>
        <v>Completed</v>
      </c>
      <c r="R1132" s="2" t="s">
        <v>82</v>
      </c>
      <c r="S1132" s="8">
        <v>5</v>
      </c>
      <c r="T1132" s="2" t="s">
        <v>24</v>
      </c>
      <c r="U1132" s="31" t="str" cm="1">
        <f t="array" ref="U1132">_xlfn.IFS(L1132&lt;=5000,$Z$3,AND(L1132&gt;5000,L1132&lt;=15000),$Z$4,AND(L1132&gt;15000,L1132&lt;=30000),$Z$5,AND(L1132&gt;30000,L1132&lt;=50000),$Z$6,L1132&gt;50000,$Z$7)</f>
        <v>Sangat Rendah</v>
      </c>
      <c r="V1132" s="2"/>
    </row>
    <row r="1133" spans="1:22" ht="15.75" customHeight="1" x14ac:dyDescent="0.25">
      <c r="A1133" s="26"/>
      <c r="B1133" s="2" t="s">
        <v>1521</v>
      </c>
      <c r="C1133" s="32">
        <v>45765.387916666667</v>
      </c>
      <c r="D1133" s="53">
        <f>YEAR(Table1[[#This Row],[Order Date]])</f>
        <v>2025</v>
      </c>
      <c r="E1133" s="2" t="s">
        <v>443</v>
      </c>
      <c r="F1133" s="2" t="s">
        <v>53</v>
      </c>
      <c r="G1133" s="2" t="s">
        <v>58</v>
      </c>
      <c r="H1133" s="23">
        <v>16000</v>
      </c>
      <c r="I1133" s="2">
        <v>5</v>
      </c>
      <c r="J1133" s="31">
        <v>15</v>
      </c>
      <c r="K1133" s="7">
        <f t="shared" si="68"/>
        <v>80000</v>
      </c>
      <c r="L1133" s="7">
        <f t="shared" si="69"/>
        <v>12000</v>
      </c>
      <c r="M1133" s="7">
        <f t="shared" si="70"/>
        <v>68000</v>
      </c>
      <c r="N1133" s="23">
        <v>18000</v>
      </c>
      <c r="O1133" s="7">
        <f t="shared" si="71"/>
        <v>86000</v>
      </c>
      <c r="P1133" s="2" t="s">
        <v>63</v>
      </c>
      <c r="Q1133" t="str">
        <f>_xlfn.XLOOKUP(B1133,Status!$A$2:$A$1867,Status!$B$2:$B$1867)</f>
        <v>Completed</v>
      </c>
      <c r="R1133" s="2" t="s">
        <v>30</v>
      </c>
      <c r="S1133" s="8">
        <v>4</v>
      </c>
      <c r="T1133" s="2" t="s">
        <v>24</v>
      </c>
      <c r="U1133" s="31" t="str" cm="1">
        <f t="array" ref="U1133">_xlfn.IFS(L1133&lt;=5000,$Z$3,AND(L1133&gt;5000,L1133&lt;=15000),$Z$4,AND(L1133&gt;15000,L1133&lt;=30000),$Z$5,AND(L1133&gt;30000,L1133&lt;=50000),$Z$6,L1133&gt;50000,$Z$7)</f>
        <v>Rendah</v>
      </c>
      <c r="V1133" s="2"/>
    </row>
    <row r="1134" spans="1:22" ht="15.75" customHeight="1" x14ac:dyDescent="0.25">
      <c r="A1134" s="26"/>
      <c r="B1134" s="2" t="s">
        <v>1522</v>
      </c>
      <c r="C1134" s="32">
        <v>45765.740231481483</v>
      </c>
      <c r="D1134" s="53">
        <f>YEAR(Table1[[#This Row],[Order Date]])</f>
        <v>2025</v>
      </c>
      <c r="E1134" s="2" t="s">
        <v>1523</v>
      </c>
      <c r="F1134" s="2" t="s">
        <v>96</v>
      </c>
      <c r="G1134" s="2" t="s">
        <v>28</v>
      </c>
      <c r="H1134" s="23">
        <v>5000</v>
      </c>
      <c r="I1134" s="2">
        <v>1</v>
      </c>
      <c r="J1134" s="31">
        <v>10</v>
      </c>
      <c r="K1134" s="7">
        <f t="shared" si="68"/>
        <v>5000</v>
      </c>
      <c r="L1134" s="7">
        <f t="shared" si="69"/>
        <v>500</v>
      </c>
      <c r="M1134" s="7">
        <f t="shared" si="70"/>
        <v>4500</v>
      </c>
      <c r="N1134" s="23">
        <v>49000</v>
      </c>
      <c r="O1134" s="7">
        <f t="shared" si="71"/>
        <v>53500</v>
      </c>
      <c r="P1134" s="2" t="s">
        <v>63</v>
      </c>
      <c r="Q1134" t="str">
        <f>_xlfn.XLOOKUP(B1134,Status!$A$2:$A$1867,Status!$B$2:$B$1867)</f>
        <v>Completed</v>
      </c>
      <c r="R1134" s="2" t="s">
        <v>30</v>
      </c>
      <c r="S1134" s="8">
        <v>4</v>
      </c>
      <c r="T1134" s="2" t="s">
        <v>24</v>
      </c>
      <c r="U1134" s="31" t="str" cm="1">
        <f t="array" ref="U1134">_xlfn.IFS(L1134&lt;=5000,$Z$3,AND(L1134&gt;5000,L1134&lt;=15000),$Z$4,AND(L1134&gt;15000,L1134&lt;=30000),$Z$5,AND(L1134&gt;30000,L1134&lt;=50000),$Z$6,L1134&gt;50000,$Z$7)</f>
        <v>Sangat Rendah</v>
      </c>
      <c r="V1134" s="2"/>
    </row>
    <row r="1135" spans="1:22" ht="15.75" customHeight="1" x14ac:dyDescent="0.25">
      <c r="A1135" s="26"/>
      <c r="B1135" s="2" t="s">
        <v>1524</v>
      </c>
      <c r="C1135" s="32">
        <v>45766.156759259262</v>
      </c>
      <c r="D1135" s="53">
        <f>YEAR(Table1[[#This Row],[Order Date]])</f>
        <v>2025</v>
      </c>
      <c r="E1135" s="2" t="s">
        <v>1263</v>
      </c>
      <c r="F1135" s="2" t="s">
        <v>435</v>
      </c>
      <c r="G1135" s="2" t="s">
        <v>81</v>
      </c>
      <c r="H1135" s="23">
        <v>17000</v>
      </c>
      <c r="I1135" s="2">
        <v>4</v>
      </c>
      <c r="J1135" s="31">
        <v>0</v>
      </c>
      <c r="K1135" s="7">
        <f t="shared" si="68"/>
        <v>68000</v>
      </c>
      <c r="L1135" s="7">
        <f t="shared" si="69"/>
        <v>0</v>
      </c>
      <c r="M1135" s="7">
        <f t="shared" si="70"/>
        <v>68000</v>
      </c>
      <c r="N1135" s="23">
        <v>67000</v>
      </c>
      <c r="O1135" s="7">
        <f t="shared" si="71"/>
        <v>135000</v>
      </c>
      <c r="P1135" s="2" t="s">
        <v>35</v>
      </c>
      <c r="Q1135" t="str">
        <f>_xlfn.XLOOKUP(B1135,Status!$A$2:$A$1867,Status!$B$2:$B$1867)</f>
        <v>Completed</v>
      </c>
      <c r="R1135" s="2" t="s">
        <v>30</v>
      </c>
      <c r="S1135" s="8">
        <v>2</v>
      </c>
      <c r="T1135" s="2" t="s">
        <v>24</v>
      </c>
      <c r="U1135" s="31" t="str" cm="1">
        <f t="array" ref="U1135">_xlfn.IFS(L1135&lt;=5000,$Z$3,AND(L1135&gt;5000,L1135&lt;=15000),$Z$4,AND(L1135&gt;15000,L1135&lt;=30000),$Z$5,AND(L1135&gt;30000,L1135&lt;=50000),$Z$6,L1135&gt;50000,$Z$7)</f>
        <v>Sangat Rendah</v>
      </c>
      <c r="V1135" s="2"/>
    </row>
    <row r="1136" spans="1:22" ht="15.75" customHeight="1" x14ac:dyDescent="0.25">
      <c r="A1136" s="26"/>
      <c r="B1136" s="2" t="s">
        <v>1525</v>
      </c>
      <c r="C1136" s="32">
        <v>45766.712314814817</v>
      </c>
      <c r="D1136" s="53">
        <f>YEAR(Table1[[#This Row],[Order Date]])</f>
        <v>2025</v>
      </c>
      <c r="E1136" s="2" t="s">
        <v>383</v>
      </c>
      <c r="F1136" s="2" t="s">
        <v>122</v>
      </c>
      <c r="G1136" s="2" t="s">
        <v>38</v>
      </c>
      <c r="H1136" s="23">
        <v>28000</v>
      </c>
      <c r="I1136" s="2">
        <v>4</v>
      </c>
      <c r="J1136" s="31">
        <v>5</v>
      </c>
      <c r="K1136" s="7">
        <f t="shared" si="68"/>
        <v>112000</v>
      </c>
      <c r="L1136" s="7">
        <f t="shared" si="69"/>
        <v>5600</v>
      </c>
      <c r="M1136" s="7">
        <f t="shared" si="70"/>
        <v>106400</v>
      </c>
      <c r="N1136" s="23">
        <v>78000</v>
      </c>
      <c r="O1136" s="7">
        <f t="shared" si="71"/>
        <v>184400</v>
      </c>
      <c r="P1136" s="2" t="s">
        <v>22</v>
      </c>
      <c r="Q1136" t="str">
        <f>_xlfn.XLOOKUP(B1136,Status!$A$2:$A$1867,Status!$B$2:$B$1867)</f>
        <v>Completed</v>
      </c>
      <c r="R1136" s="2" t="s">
        <v>23</v>
      </c>
      <c r="S1136" s="8">
        <v>1</v>
      </c>
      <c r="T1136" s="2" t="s">
        <v>24</v>
      </c>
      <c r="U1136" s="31" t="str" cm="1">
        <f t="array" ref="U1136">_xlfn.IFS(L1136&lt;=5000,$Z$3,AND(L1136&gt;5000,L1136&lt;=15000),$Z$4,AND(L1136&gt;15000,L1136&lt;=30000),$Z$5,AND(L1136&gt;30000,L1136&lt;=50000),$Z$6,L1136&gt;50000,$Z$7)</f>
        <v>Rendah</v>
      </c>
      <c r="V1136" s="2"/>
    </row>
    <row r="1137" spans="1:22" ht="15.75" customHeight="1" x14ac:dyDescent="0.25">
      <c r="A1137" s="26"/>
      <c r="B1137" s="2" t="s">
        <v>1526</v>
      </c>
      <c r="C1137" s="32">
        <v>45767.189675925933</v>
      </c>
      <c r="D1137" s="53">
        <f>YEAR(Table1[[#This Row],[Order Date]])</f>
        <v>2025</v>
      </c>
      <c r="E1137" s="2" t="s">
        <v>95</v>
      </c>
      <c r="F1137" s="2" t="s">
        <v>96</v>
      </c>
      <c r="G1137" s="2" t="s">
        <v>21</v>
      </c>
      <c r="H1137" s="23">
        <v>45000</v>
      </c>
      <c r="I1137" s="2">
        <v>2</v>
      </c>
      <c r="J1137" s="31">
        <v>20</v>
      </c>
      <c r="K1137" s="7">
        <f t="shared" si="68"/>
        <v>90000</v>
      </c>
      <c r="L1137" s="7">
        <f t="shared" si="69"/>
        <v>18000</v>
      </c>
      <c r="M1137" s="7">
        <f t="shared" si="70"/>
        <v>72000</v>
      </c>
      <c r="N1137" s="23">
        <v>49000</v>
      </c>
      <c r="O1137" s="7">
        <f t="shared" si="71"/>
        <v>121000</v>
      </c>
      <c r="P1137" s="2" t="s">
        <v>35</v>
      </c>
      <c r="Q1137" t="str">
        <f>_xlfn.XLOOKUP(B1137,Status!$A$2:$A$1867,Status!$B$2:$B$1867)</f>
        <v>Cancelled</v>
      </c>
      <c r="R1137" s="2" t="s">
        <v>36</v>
      </c>
      <c r="S1137" s="8">
        <v>1</v>
      </c>
      <c r="T1137" s="2" t="s">
        <v>24</v>
      </c>
      <c r="U1137" s="31" t="str" cm="1">
        <f t="array" ref="U1137">_xlfn.IFS(L1137&lt;=5000,$Z$3,AND(L1137&gt;5000,L1137&lt;=15000),$Z$4,AND(L1137&gt;15000,L1137&lt;=30000),$Z$5,AND(L1137&gt;30000,L1137&lt;=50000),$Z$6,L1137&gt;50000,$Z$7)</f>
        <v>Normal</v>
      </c>
      <c r="V1137" s="2"/>
    </row>
    <row r="1138" spans="1:22" ht="15.75" customHeight="1" x14ac:dyDescent="0.25">
      <c r="A1138" s="26"/>
      <c r="B1138" s="2" t="s">
        <v>1527</v>
      </c>
      <c r="C1138" s="32">
        <v>45767.371342592603</v>
      </c>
      <c r="D1138" s="53">
        <f>YEAR(Table1[[#This Row],[Order Date]])</f>
        <v>2025</v>
      </c>
      <c r="E1138" s="2" t="s">
        <v>666</v>
      </c>
      <c r="F1138" s="2" t="s">
        <v>66</v>
      </c>
      <c r="G1138" s="2" t="s">
        <v>62</v>
      </c>
      <c r="H1138" s="23">
        <v>50000</v>
      </c>
      <c r="I1138" s="2">
        <v>1</v>
      </c>
      <c r="J1138" s="31">
        <v>0</v>
      </c>
      <c r="K1138" s="7">
        <f t="shared" si="68"/>
        <v>50000</v>
      </c>
      <c r="L1138" s="7">
        <f t="shared" si="69"/>
        <v>0</v>
      </c>
      <c r="M1138" s="7">
        <f t="shared" si="70"/>
        <v>50000</v>
      </c>
      <c r="N1138" s="23">
        <v>59000</v>
      </c>
      <c r="O1138" s="7">
        <f t="shared" si="71"/>
        <v>109000</v>
      </c>
      <c r="P1138" s="2" t="s">
        <v>35</v>
      </c>
      <c r="Q1138" t="str">
        <f>_xlfn.XLOOKUP(B1138,Status!$A$2:$A$1867,Status!$B$2:$B$1867)</f>
        <v>Completed</v>
      </c>
      <c r="R1138" s="2" t="s">
        <v>82</v>
      </c>
      <c r="S1138" s="8">
        <v>1</v>
      </c>
      <c r="T1138" s="2" t="s">
        <v>24</v>
      </c>
      <c r="U1138" s="31" t="str" cm="1">
        <f t="array" ref="U1138">_xlfn.IFS(L1138&lt;=5000,$Z$3,AND(L1138&gt;5000,L1138&lt;=15000),$Z$4,AND(L1138&gt;15000,L1138&lt;=30000),$Z$5,AND(L1138&gt;30000,L1138&lt;=50000),$Z$6,L1138&gt;50000,$Z$7)</f>
        <v>Sangat Rendah</v>
      </c>
      <c r="V1138" s="2"/>
    </row>
    <row r="1139" spans="1:22" ht="15.75" customHeight="1" x14ac:dyDescent="0.25">
      <c r="A1139" s="26"/>
      <c r="B1139" s="2" t="s">
        <v>1528</v>
      </c>
      <c r="C1139" s="32">
        <v>45767.893483796302</v>
      </c>
      <c r="D1139" s="53">
        <f>YEAR(Table1[[#This Row],[Order Date]])</f>
        <v>2025</v>
      </c>
      <c r="E1139" s="2" t="s">
        <v>794</v>
      </c>
      <c r="F1139" s="2" t="s">
        <v>61</v>
      </c>
      <c r="G1139" s="2" t="s">
        <v>21</v>
      </c>
      <c r="H1139" s="23">
        <v>45000</v>
      </c>
      <c r="I1139" s="2">
        <v>5</v>
      </c>
      <c r="J1139" s="31">
        <v>5</v>
      </c>
      <c r="K1139" s="7">
        <f t="shared" si="68"/>
        <v>225000</v>
      </c>
      <c r="L1139" s="7">
        <f t="shared" si="69"/>
        <v>11250</v>
      </c>
      <c r="M1139" s="7">
        <f t="shared" si="70"/>
        <v>213750</v>
      </c>
      <c r="N1139" s="23">
        <v>26000</v>
      </c>
      <c r="O1139" s="7">
        <f t="shared" si="71"/>
        <v>239750</v>
      </c>
      <c r="P1139" s="2" t="s">
        <v>29</v>
      </c>
      <c r="Q1139" t="str">
        <f>_xlfn.XLOOKUP(B1139,Status!$A$2:$A$1867,Status!$B$2:$B$1867)</f>
        <v>Completed</v>
      </c>
      <c r="R1139" s="2" t="s">
        <v>23</v>
      </c>
      <c r="S1139" s="8">
        <v>5</v>
      </c>
      <c r="T1139" s="2" t="s">
        <v>37</v>
      </c>
      <c r="U1139" s="31" t="str" cm="1">
        <f t="array" ref="U1139">_xlfn.IFS(L1139&lt;=5000,$Z$3,AND(L1139&gt;5000,L1139&lt;=15000),$Z$4,AND(L1139&gt;15000,L1139&lt;=30000),$Z$5,AND(L1139&gt;30000,L1139&lt;=50000),$Z$6,L1139&gt;50000,$Z$7)</f>
        <v>Rendah</v>
      </c>
      <c r="V1139" s="2"/>
    </row>
    <row r="1140" spans="1:22" ht="15.75" customHeight="1" x14ac:dyDescent="0.25">
      <c r="A1140" s="26"/>
      <c r="B1140" s="2" t="s">
        <v>1529</v>
      </c>
      <c r="C1140" s="32">
        <v>45767.8983912037</v>
      </c>
      <c r="D1140" s="53">
        <f>YEAR(Table1[[#This Row],[Order Date]])</f>
        <v>2025</v>
      </c>
      <c r="E1140" s="2" t="s">
        <v>1530</v>
      </c>
      <c r="F1140" s="2" t="s">
        <v>122</v>
      </c>
      <c r="G1140" s="2" t="s">
        <v>138</v>
      </c>
      <c r="H1140" s="23">
        <v>17000</v>
      </c>
      <c r="I1140" s="2">
        <v>2</v>
      </c>
      <c r="J1140" s="31">
        <v>5</v>
      </c>
      <c r="K1140" s="7">
        <f t="shared" si="68"/>
        <v>34000</v>
      </c>
      <c r="L1140" s="7">
        <f t="shared" si="69"/>
        <v>1700</v>
      </c>
      <c r="M1140" s="7">
        <f t="shared" si="70"/>
        <v>32300</v>
      </c>
      <c r="N1140" s="23">
        <v>78000</v>
      </c>
      <c r="O1140" s="7">
        <f t="shared" si="71"/>
        <v>110300</v>
      </c>
      <c r="P1140" s="2" t="s">
        <v>63</v>
      </c>
      <c r="Q1140" t="str">
        <f>_xlfn.XLOOKUP(B1140,Status!$A$2:$A$1867,Status!$B$2:$B$1867)</f>
        <v>Returned</v>
      </c>
      <c r="R1140" s="2" t="s">
        <v>30</v>
      </c>
      <c r="S1140" s="8">
        <v>2</v>
      </c>
      <c r="T1140" s="2" t="s">
        <v>24</v>
      </c>
      <c r="U1140" s="31" t="str" cm="1">
        <f t="array" ref="U1140">_xlfn.IFS(L1140&lt;=5000,$Z$3,AND(L1140&gt;5000,L1140&lt;=15000),$Z$4,AND(L1140&gt;15000,L1140&lt;=30000),$Z$5,AND(L1140&gt;30000,L1140&lt;=50000),$Z$6,L1140&gt;50000,$Z$7)</f>
        <v>Sangat Rendah</v>
      </c>
      <c r="V1140" s="2"/>
    </row>
    <row r="1141" spans="1:22" ht="15.75" customHeight="1" x14ac:dyDescent="0.25">
      <c r="A1141" s="26"/>
      <c r="B1141" s="2" t="s">
        <v>1531</v>
      </c>
      <c r="C1141" s="32">
        <v>45768.227905092594</v>
      </c>
      <c r="D1141" s="53">
        <f>YEAR(Table1[[#This Row],[Order Date]])</f>
        <v>2025</v>
      </c>
      <c r="E1141" s="2" t="s">
        <v>891</v>
      </c>
      <c r="F1141" s="2" t="s">
        <v>126</v>
      </c>
      <c r="G1141" s="2" t="s">
        <v>75</v>
      </c>
      <c r="H1141" s="23">
        <v>55000</v>
      </c>
      <c r="I1141" s="2">
        <v>5</v>
      </c>
      <c r="J1141" s="31">
        <v>15</v>
      </c>
      <c r="K1141" s="7">
        <f t="shared" si="68"/>
        <v>275000</v>
      </c>
      <c r="L1141" s="7">
        <f t="shared" si="69"/>
        <v>41250</v>
      </c>
      <c r="M1141" s="7">
        <f t="shared" si="70"/>
        <v>233750</v>
      </c>
      <c r="N1141" s="23">
        <v>84000</v>
      </c>
      <c r="O1141" s="7">
        <f t="shared" si="71"/>
        <v>317750</v>
      </c>
      <c r="P1141" s="2" t="s">
        <v>63</v>
      </c>
      <c r="Q1141" t="str">
        <f>_xlfn.XLOOKUP(B1141,Status!$A$2:$A$1867,Status!$B$2:$B$1867)</f>
        <v>Returned</v>
      </c>
      <c r="R1141" s="2" t="s">
        <v>46</v>
      </c>
      <c r="S1141" s="8">
        <v>1</v>
      </c>
      <c r="T1141" s="2" t="s">
        <v>37</v>
      </c>
      <c r="U1141" s="31" t="str" cm="1">
        <f t="array" ref="U1141">_xlfn.IFS(L1141&lt;=5000,$Z$3,AND(L1141&gt;5000,L1141&lt;=15000),$Z$4,AND(L1141&gt;15000,L1141&lt;=30000),$Z$5,AND(L1141&gt;30000,L1141&lt;=50000),$Z$6,L1141&gt;50000,$Z$7)</f>
        <v>Tinggi</v>
      </c>
      <c r="V1141" s="2"/>
    </row>
    <row r="1142" spans="1:22" ht="15.75" customHeight="1" x14ac:dyDescent="0.25">
      <c r="A1142" s="26"/>
      <c r="B1142" s="2" t="s">
        <v>1532</v>
      </c>
      <c r="C1142" s="32">
        <v>45768.234861111108</v>
      </c>
      <c r="D1142" s="53">
        <f>YEAR(Table1[[#This Row],[Order Date]])</f>
        <v>2025</v>
      </c>
      <c r="E1142" s="2" t="s">
        <v>703</v>
      </c>
      <c r="F1142" s="2" t="s">
        <v>122</v>
      </c>
      <c r="G1142" s="2" t="s">
        <v>123</v>
      </c>
      <c r="H1142" s="23">
        <v>22000</v>
      </c>
      <c r="I1142" s="2">
        <v>4</v>
      </c>
      <c r="J1142" s="31">
        <v>0</v>
      </c>
      <c r="K1142" s="7">
        <f t="shared" si="68"/>
        <v>88000</v>
      </c>
      <c r="L1142" s="7">
        <f t="shared" si="69"/>
        <v>0</v>
      </c>
      <c r="M1142" s="7">
        <f t="shared" si="70"/>
        <v>88000</v>
      </c>
      <c r="N1142" s="23">
        <v>78000</v>
      </c>
      <c r="O1142" s="7">
        <f t="shared" si="71"/>
        <v>166000</v>
      </c>
      <c r="P1142" s="2" t="s">
        <v>29</v>
      </c>
      <c r="Q1142" t="str">
        <f>_xlfn.XLOOKUP(B1142,Status!$A$2:$A$1867,Status!$B$2:$B$1867)</f>
        <v>Completed</v>
      </c>
      <c r="R1142" s="2" t="s">
        <v>23</v>
      </c>
      <c r="S1142" s="8">
        <v>3</v>
      </c>
      <c r="T1142" s="2" t="s">
        <v>24</v>
      </c>
      <c r="U1142" s="31" t="str" cm="1">
        <f t="array" ref="U1142">_xlfn.IFS(L1142&lt;=5000,$Z$3,AND(L1142&gt;5000,L1142&lt;=15000),$Z$4,AND(L1142&gt;15000,L1142&lt;=30000),$Z$5,AND(L1142&gt;30000,L1142&lt;=50000),$Z$6,L1142&gt;50000,$Z$7)</f>
        <v>Sangat Rendah</v>
      </c>
      <c r="V1142" s="2"/>
    </row>
    <row r="1143" spans="1:22" ht="15.75" customHeight="1" x14ac:dyDescent="0.25">
      <c r="A1143" s="26"/>
      <c r="B1143" s="2" t="s">
        <v>1533</v>
      </c>
      <c r="C1143" s="32">
        <v>45768.241712962961</v>
      </c>
      <c r="D1143" s="53">
        <f>YEAR(Table1[[#This Row],[Order Date]])</f>
        <v>2025</v>
      </c>
      <c r="E1143" s="2" t="s">
        <v>125</v>
      </c>
      <c r="F1143" s="2" t="s">
        <v>126</v>
      </c>
      <c r="G1143" s="2" t="s">
        <v>21</v>
      </c>
      <c r="H1143" s="23">
        <v>45000</v>
      </c>
      <c r="I1143" s="2">
        <v>2</v>
      </c>
      <c r="J1143" s="31">
        <v>10</v>
      </c>
      <c r="K1143" s="7">
        <f t="shared" si="68"/>
        <v>90000</v>
      </c>
      <c r="L1143" s="7">
        <f t="shared" si="69"/>
        <v>9000</v>
      </c>
      <c r="M1143" s="7">
        <f t="shared" si="70"/>
        <v>81000</v>
      </c>
      <c r="N1143" s="23">
        <v>84000</v>
      </c>
      <c r="O1143" s="7">
        <f t="shared" si="71"/>
        <v>165000</v>
      </c>
      <c r="P1143" s="2" t="s">
        <v>63</v>
      </c>
      <c r="Q1143" t="str">
        <f>_xlfn.XLOOKUP(B1143,Status!$A$2:$A$1867,Status!$B$2:$B$1867)</f>
        <v>Completed</v>
      </c>
      <c r="R1143" s="2" t="s">
        <v>36</v>
      </c>
      <c r="S1143" s="8">
        <v>5</v>
      </c>
      <c r="T1143" s="2" t="s">
        <v>24</v>
      </c>
      <c r="U1143" s="31" t="str" cm="1">
        <f t="array" ref="U1143">_xlfn.IFS(L1143&lt;=5000,$Z$3,AND(L1143&gt;5000,L1143&lt;=15000),$Z$4,AND(L1143&gt;15000,L1143&lt;=30000),$Z$5,AND(L1143&gt;30000,L1143&lt;=50000),$Z$6,L1143&gt;50000,$Z$7)</f>
        <v>Rendah</v>
      </c>
      <c r="V1143" s="2"/>
    </row>
    <row r="1144" spans="1:22" ht="15.75" customHeight="1" x14ac:dyDescent="0.25">
      <c r="A1144" s="26"/>
      <c r="B1144" s="2" t="s">
        <v>1534</v>
      </c>
      <c r="C1144" s="32">
        <v>45769.019166666672</v>
      </c>
      <c r="D1144" s="53">
        <f>YEAR(Table1[[#This Row],[Order Date]])</f>
        <v>2025</v>
      </c>
      <c r="E1144" s="2" t="s">
        <v>335</v>
      </c>
      <c r="F1144" s="2" t="s">
        <v>80</v>
      </c>
      <c r="G1144" s="2" t="s">
        <v>138</v>
      </c>
      <c r="H1144" s="23">
        <v>17000</v>
      </c>
      <c r="I1144" s="2">
        <v>5</v>
      </c>
      <c r="J1144" s="31">
        <v>15</v>
      </c>
      <c r="K1144" s="7">
        <f t="shared" si="68"/>
        <v>85000</v>
      </c>
      <c r="L1144" s="7">
        <f t="shared" si="69"/>
        <v>12750</v>
      </c>
      <c r="M1144" s="7">
        <f t="shared" si="70"/>
        <v>72250</v>
      </c>
      <c r="N1144" s="23">
        <v>74000</v>
      </c>
      <c r="O1144" s="7">
        <f t="shared" si="71"/>
        <v>146250</v>
      </c>
      <c r="P1144" s="2" t="s">
        <v>35</v>
      </c>
      <c r="Q1144" t="str">
        <f>_xlfn.XLOOKUP(B1144,Status!$A$2:$A$1867,Status!$B$2:$B$1867)</f>
        <v>Cancelled</v>
      </c>
      <c r="R1144" s="2" t="s">
        <v>46</v>
      </c>
      <c r="S1144" s="8">
        <v>2</v>
      </c>
      <c r="T1144" s="2" t="s">
        <v>37</v>
      </c>
      <c r="U1144" s="31" t="str" cm="1">
        <f t="array" ref="U1144">_xlfn.IFS(L1144&lt;=5000,$Z$3,AND(L1144&gt;5000,L1144&lt;=15000),$Z$4,AND(L1144&gt;15000,L1144&lt;=30000),$Z$5,AND(L1144&gt;30000,L1144&lt;=50000),$Z$6,L1144&gt;50000,$Z$7)</f>
        <v>Rendah</v>
      </c>
      <c r="V1144" s="2"/>
    </row>
    <row r="1145" spans="1:22" ht="15.75" customHeight="1" x14ac:dyDescent="0.25">
      <c r="A1145" s="26"/>
      <c r="B1145" s="2" t="s">
        <v>1535</v>
      </c>
      <c r="C1145" s="32">
        <v>45769.240497685183</v>
      </c>
      <c r="D1145" s="53">
        <f>YEAR(Table1[[#This Row],[Order Date]])</f>
        <v>2025</v>
      </c>
      <c r="E1145" s="2" t="s">
        <v>708</v>
      </c>
      <c r="F1145" s="2" t="s">
        <v>116</v>
      </c>
      <c r="G1145" s="2" t="s">
        <v>75</v>
      </c>
      <c r="H1145" s="23">
        <v>55000</v>
      </c>
      <c r="I1145" s="2">
        <v>5</v>
      </c>
      <c r="J1145" s="31">
        <v>5</v>
      </c>
      <c r="K1145" s="7">
        <f t="shared" si="68"/>
        <v>275000</v>
      </c>
      <c r="L1145" s="7">
        <f t="shared" si="69"/>
        <v>13750</v>
      </c>
      <c r="M1145" s="7">
        <f t="shared" si="70"/>
        <v>261250</v>
      </c>
      <c r="N1145" s="23">
        <v>72000</v>
      </c>
      <c r="O1145" s="7">
        <f t="shared" si="71"/>
        <v>333250</v>
      </c>
      <c r="P1145" s="2" t="s">
        <v>63</v>
      </c>
      <c r="Q1145" t="str">
        <f>_xlfn.XLOOKUP(B1145,Status!$A$2:$A$1867,Status!$B$2:$B$1867)</f>
        <v>Completed</v>
      </c>
      <c r="R1145" s="2" t="s">
        <v>36</v>
      </c>
      <c r="S1145" s="8">
        <v>5</v>
      </c>
      <c r="T1145" s="2" t="s">
        <v>24</v>
      </c>
      <c r="U1145" s="31" t="str" cm="1">
        <f t="array" ref="U1145">_xlfn.IFS(L1145&lt;=5000,$Z$3,AND(L1145&gt;5000,L1145&lt;=15000),$Z$4,AND(L1145&gt;15000,L1145&lt;=30000),$Z$5,AND(L1145&gt;30000,L1145&lt;=50000),$Z$6,L1145&gt;50000,$Z$7)</f>
        <v>Rendah</v>
      </c>
      <c r="V1145" s="2"/>
    </row>
    <row r="1146" spans="1:22" ht="15.75" customHeight="1" x14ac:dyDescent="0.25">
      <c r="A1146" s="26"/>
      <c r="B1146" s="2" t="s">
        <v>1536</v>
      </c>
      <c r="C1146" s="32">
        <v>45769.297523148147</v>
      </c>
      <c r="D1146" s="53">
        <f>YEAR(Table1[[#This Row],[Order Date]])</f>
        <v>2025</v>
      </c>
      <c r="E1146" s="2" t="s">
        <v>1418</v>
      </c>
      <c r="F1146" s="2" t="s">
        <v>262</v>
      </c>
      <c r="G1146" s="2" t="s">
        <v>123</v>
      </c>
      <c r="H1146" s="23">
        <v>22000</v>
      </c>
      <c r="I1146" s="2">
        <v>4</v>
      </c>
      <c r="J1146" s="31">
        <v>10</v>
      </c>
      <c r="K1146" s="7">
        <f t="shared" si="68"/>
        <v>88000</v>
      </c>
      <c r="L1146" s="7">
        <f t="shared" si="69"/>
        <v>8800</v>
      </c>
      <c r="M1146" s="7">
        <f t="shared" si="70"/>
        <v>79200</v>
      </c>
      <c r="N1146" s="23">
        <v>18000</v>
      </c>
      <c r="O1146" s="7">
        <f t="shared" si="71"/>
        <v>97200</v>
      </c>
      <c r="P1146" s="2" t="s">
        <v>29</v>
      </c>
      <c r="Q1146" t="str">
        <f>_xlfn.XLOOKUP(B1146,Status!$A$2:$A$1867,Status!$B$2:$B$1867)</f>
        <v>Completed</v>
      </c>
      <c r="R1146" s="2" t="s">
        <v>23</v>
      </c>
      <c r="S1146" s="8">
        <v>5</v>
      </c>
      <c r="T1146" s="2" t="s">
        <v>24</v>
      </c>
      <c r="U1146" s="31" t="str" cm="1">
        <f t="array" ref="U1146">_xlfn.IFS(L1146&lt;=5000,$Z$3,AND(L1146&gt;5000,L1146&lt;=15000),$Z$4,AND(L1146&gt;15000,L1146&lt;=30000),$Z$5,AND(L1146&gt;30000,L1146&lt;=50000),$Z$6,L1146&gt;50000,$Z$7)</f>
        <v>Rendah</v>
      </c>
      <c r="V1146" s="2"/>
    </row>
    <row r="1147" spans="1:22" ht="15.75" customHeight="1" x14ac:dyDescent="0.25">
      <c r="A1147" s="26"/>
      <c r="B1147" s="2" t="s">
        <v>1537</v>
      </c>
      <c r="C1147" s="32">
        <v>45769.384467592587</v>
      </c>
      <c r="D1147" s="53">
        <f>YEAR(Table1[[#This Row],[Order Date]])</f>
        <v>2025</v>
      </c>
      <c r="E1147" s="2" t="s">
        <v>314</v>
      </c>
      <c r="F1147" s="2" t="s">
        <v>113</v>
      </c>
      <c r="G1147" s="2" t="s">
        <v>67</v>
      </c>
      <c r="H1147" s="23">
        <v>15000</v>
      </c>
      <c r="I1147" s="2">
        <v>1</v>
      </c>
      <c r="J1147" s="31">
        <v>10</v>
      </c>
      <c r="K1147" s="7">
        <f t="shared" si="68"/>
        <v>15000</v>
      </c>
      <c r="L1147" s="7">
        <f t="shared" si="69"/>
        <v>1500</v>
      </c>
      <c r="M1147" s="7">
        <f t="shared" si="70"/>
        <v>13500</v>
      </c>
      <c r="N1147" s="23">
        <v>18000</v>
      </c>
      <c r="O1147" s="7">
        <f t="shared" si="71"/>
        <v>31500</v>
      </c>
      <c r="P1147" s="2" t="s">
        <v>22</v>
      </c>
      <c r="Q1147" t="str">
        <f>_xlfn.XLOOKUP(B1147,Status!$A$2:$A$1867,Status!$B$2:$B$1867)</f>
        <v>Completed</v>
      </c>
      <c r="R1147" s="2" t="s">
        <v>30</v>
      </c>
      <c r="S1147" s="8">
        <v>3</v>
      </c>
      <c r="T1147" s="2" t="s">
        <v>24</v>
      </c>
      <c r="U1147" s="31" t="str" cm="1">
        <f t="array" ref="U1147">_xlfn.IFS(L1147&lt;=5000,$Z$3,AND(L1147&gt;5000,L1147&lt;=15000),$Z$4,AND(L1147&gt;15000,L1147&lt;=30000),$Z$5,AND(L1147&gt;30000,L1147&lt;=50000),$Z$6,L1147&gt;50000,$Z$7)</f>
        <v>Sangat Rendah</v>
      </c>
      <c r="V1147" s="2"/>
    </row>
    <row r="1148" spans="1:22" ht="15.75" customHeight="1" x14ac:dyDescent="0.25">
      <c r="A1148" s="26"/>
      <c r="B1148" s="2" t="s">
        <v>1538</v>
      </c>
      <c r="C1148" s="32">
        <v>45769.62190972222</v>
      </c>
      <c r="D1148" s="53">
        <f>YEAR(Table1[[#This Row],[Order Date]])</f>
        <v>2025</v>
      </c>
      <c r="E1148" s="2" t="s">
        <v>1348</v>
      </c>
      <c r="F1148" s="2" t="s">
        <v>296</v>
      </c>
      <c r="G1148" s="2" t="s">
        <v>190</v>
      </c>
      <c r="H1148" s="23">
        <v>35000</v>
      </c>
      <c r="I1148" s="2">
        <v>5</v>
      </c>
      <c r="J1148" s="31">
        <v>15</v>
      </c>
      <c r="K1148" s="7">
        <f t="shared" si="68"/>
        <v>175000</v>
      </c>
      <c r="L1148" s="7">
        <f t="shared" si="69"/>
        <v>26250</v>
      </c>
      <c r="M1148" s="7">
        <f t="shared" si="70"/>
        <v>148750</v>
      </c>
      <c r="N1148" s="23">
        <v>79000</v>
      </c>
      <c r="O1148" s="7">
        <f t="shared" si="71"/>
        <v>227750</v>
      </c>
      <c r="P1148" s="2" t="s">
        <v>63</v>
      </c>
      <c r="Q1148" t="str">
        <f>_xlfn.XLOOKUP(B1148,Status!$A$2:$A$1867,Status!$B$2:$B$1867)</f>
        <v>Completed</v>
      </c>
      <c r="R1148" s="2" t="s">
        <v>23</v>
      </c>
      <c r="S1148" s="8">
        <v>4</v>
      </c>
      <c r="T1148" s="2" t="s">
        <v>24</v>
      </c>
      <c r="U1148" s="31" t="str" cm="1">
        <f t="array" ref="U1148">_xlfn.IFS(L1148&lt;=5000,$Z$3,AND(L1148&gt;5000,L1148&lt;=15000),$Z$4,AND(L1148&gt;15000,L1148&lt;=30000),$Z$5,AND(L1148&gt;30000,L1148&lt;=50000),$Z$6,L1148&gt;50000,$Z$7)</f>
        <v>Normal</v>
      </c>
      <c r="V1148" s="2"/>
    </row>
    <row r="1149" spans="1:22" ht="15.75" customHeight="1" x14ac:dyDescent="0.25">
      <c r="A1149" s="26"/>
      <c r="B1149" s="2" t="s">
        <v>1539</v>
      </c>
      <c r="C1149" s="32">
        <v>45770.014398148152</v>
      </c>
      <c r="D1149" s="53">
        <f>YEAR(Table1[[#This Row],[Order Date]])</f>
        <v>2025</v>
      </c>
      <c r="E1149" s="2" t="s">
        <v>410</v>
      </c>
      <c r="F1149" s="2" t="s">
        <v>151</v>
      </c>
      <c r="G1149" s="2" t="s">
        <v>45</v>
      </c>
      <c r="H1149" s="23">
        <v>40000</v>
      </c>
      <c r="I1149" s="2">
        <v>3</v>
      </c>
      <c r="J1149" s="31">
        <v>10</v>
      </c>
      <c r="K1149" s="7">
        <f t="shared" si="68"/>
        <v>120000</v>
      </c>
      <c r="L1149" s="7">
        <f t="shared" si="69"/>
        <v>12000</v>
      </c>
      <c r="M1149" s="7">
        <f t="shared" si="70"/>
        <v>108000</v>
      </c>
      <c r="N1149" s="23">
        <v>55000</v>
      </c>
      <c r="O1149" s="7">
        <f t="shared" si="71"/>
        <v>163000</v>
      </c>
      <c r="P1149" s="2" t="s">
        <v>29</v>
      </c>
      <c r="Q1149" t="str">
        <f>_xlfn.XLOOKUP(B1149,Status!$A$2:$A$1867,Status!$B$2:$B$1867)</f>
        <v>Completed</v>
      </c>
      <c r="R1149" s="2" t="s">
        <v>36</v>
      </c>
      <c r="S1149" s="8">
        <v>2</v>
      </c>
      <c r="T1149" s="2" t="s">
        <v>24</v>
      </c>
      <c r="U1149" s="31" t="str" cm="1">
        <f t="array" ref="U1149">_xlfn.IFS(L1149&lt;=5000,$Z$3,AND(L1149&gt;5000,L1149&lt;=15000),$Z$4,AND(L1149&gt;15000,L1149&lt;=30000),$Z$5,AND(L1149&gt;30000,L1149&lt;=50000),$Z$6,L1149&gt;50000,$Z$7)</f>
        <v>Rendah</v>
      </c>
      <c r="V1149" s="2"/>
    </row>
    <row r="1150" spans="1:22" ht="15.75" customHeight="1" x14ac:dyDescent="0.25">
      <c r="A1150" s="26"/>
      <c r="B1150" s="2" t="s">
        <v>1540</v>
      </c>
      <c r="C1150" s="32">
        <v>45770.167627314811</v>
      </c>
      <c r="D1150" s="53">
        <f>YEAR(Table1[[#This Row],[Order Date]])</f>
        <v>2025</v>
      </c>
      <c r="E1150" s="2" t="s">
        <v>285</v>
      </c>
      <c r="F1150" s="2" t="s">
        <v>20</v>
      </c>
      <c r="G1150" s="2" t="s">
        <v>75</v>
      </c>
      <c r="H1150" s="23">
        <v>55000</v>
      </c>
      <c r="I1150" s="2">
        <v>4</v>
      </c>
      <c r="J1150" s="31">
        <v>5</v>
      </c>
      <c r="K1150" s="7">
        <f t="shared" si="68"/>
        <v>220000</v>
      </c>
      <c r="L1150" s="7">
        <f t="shared" si="69"/>
        <v>11000</v>
      </c>
      <c r="M1150" s="7">
        <f t="shared" si="70"/>
        <v>209000</v>
      </c>
      <c r="N1150" s="23">
        <v>15000</v>
      </c>
      <c r="O1150" s="7">
        <f t="shared" si="71"/>
        <v>224000</v>
      </c>
      <c r="P1150" s="2" t="s">
        <v>22</v>
      </c>
      <c r="Q1150" t="str">
        <f>_xlfn.XLOOKUP(B1150,Status!$A$2:$A$1867,Status!$B$2:$B$1867)</f>
        <v>Completed</v>
      </c>
      <c r="R1150" s="2" t="s">
        <v>82</v>
      </c>
      <c r="S1150" s="8">
        <v>2</v>
      </c>
      <c r="T1150" s="2" t="s">
        <v>37</v>
      </c>
      <c r="U1150" s="31" t="str" cm="1">
        <f t="array" ref="U1150">_xlfn.IFS(L1150&lt;=5000,$Z$3,AND(L1150&gt;5000,L1150&lt;=15000),$Z$4,AND(L1150&gt;15000,L1150&lt;=30000),$Z$5,AND(L1150&gt;30000,L1150&lt;=50000),$Z$6,L1150&gt;50000,$Z$7)</f>
        <v>Rendah</v>
      </c>
      <c r="V1150" s="2"/>
    </row>
    <row r="1151" spans="1:22" ht="15.75" customHeight="1" x14ac:dyDescent="0.25">
      <c r="A1151" s="26"/>
      <c r="B1151" s="2" t="s">
        <v>1541</v>
      </c>
      <c r="C1151" s="32">
        <v>45770.4606712963</v>
      </c>
      <c r="D1151" s="53">
        <f>YEAR(Table1[[#This Row],[Order Date]])</f>
        <v>2025</v>
      </c>
      <c r="E1151" s="2" t="s">
        <v>267</v>
      </c>
      <c r="F1151" s="2" t="s">
        <v>131</v>
      </c>
      <c r="G1151" s="2" t="s">
        <v>88</v>
      </c>
      <c r="H1151" s="23">
        <v>14000</v>
      </c>
      <c r="I1151" s="2">
        <v>1</v>
      </c>
      <c r="J1151" s="31">
        <v>10</v>
      </c>
      <c r="K1151" s="7">
        <f t="shared" si="68"/>
        <v>14000</v>
      </c>
      <c r="L1151" s="7">
        <f t="shared" si="69"/>
        <v>1400</v>
      </c>
      <c r="M1151" s="7">
        <f t="shared" si="70"/>
        <v>12600</v>
      </c>
      <c r="N1151" s="23">
        <v>59000</v>
      </c>
      <c r="O1151" s="7">
        <f t="shared" si="71"/>
        <v>71600</v>
      </c>
      <c r="P1151" s="2" t="s">
        <v>22</v>
      </c>
      <c r="Q1151" t="str">
        <f>_xlfn.XLOOKUP(B1151,Status!$A$2:$A$1867,Status!$B$2:$B$1867)</f>
        <v>Returned</v>
      </c>
      <c r="R1151" s="2" t="s">
        <v>46</v>
      </c>
      <c r="S1151" s="8">
        <v>5</v>
      </c>
      <c r="T1151" s="2" t="s">
        <v>24</v>
      </c>
      <c r="U1151" s="31" t="str" cm="1">
        <f t="array" ref="U1151">_xlfn.IFS(L1151&lt;=5000,$Z$3,AND(L1151&gt;5000,L1151&lt;=15000),$Z$4,AND(L1151&gt;15000,L1151&lt;=30000),$Z$5,AND(L1151&gt;30000,L1151&lt;=50000),$Z$6,L1151&gt;50000,$Z$7)</f>
        <v>Sangat Rendah</v>
      </c>
      <c r="V1151" s="2"/>
    </row>
    <row r="1152" spans="1:22" ht="15.75" customHeight="1" x14ac:dyDescent="0.25">
      <c r="A1152" s="26"/>
      <c r="B1152" s="2" t="s">
        <v>1542</v>
      </c>
      <c r="C1152" s="32">
        <v>45770.479027777779</v>
      </c>
      <c r="D1152" s="53">
        <f>YEAR(Table1[[#This Row],[Order Date]])</f>
        <v>2025</v>
      </c>
      <c r="E1152" s="2" t="s">
        <v>576</v>
      </c>
      <c r="F1152" s="2" t="s">
        <v>57</v>
      </c>
      <c r="G1152" s="2" t="s">
        <v>71</v>
      </c>
      <c r="H1152" s="23">
        <v>40000</v>
      </c>
      <c r="I1152" s="2">
        <v>3</v>
      </c>
      <c r="J1152" s="31">
        <v>0</v>
      </c>
      <c r="K1152" s="7">
        <f t="shared" si="68"/>
        <v>120000</v>
      </c>
      <c r="L1152" s="7">
        <f t="shared" si="69"/>
        <v>0</v>
      </c>
      <c r="M1152" s="7">
        <f t="shared" si="70"/>
        <v>120000</v>
      </c>
      <c r="N1152" s="23">
        <v>80000</v>
      </c>
      <c r="O1152" s="7">
        <f t="shared" si="71"/>
        <v>200000</v>
      </c>
      <c r="P1152" s="2" t="s">
        <v>63</v>
      </c>
      <c r="Q1152" t="str">
        <f>_xlfn.XLOOKUP(B1152,Status!$A$2:$A$1867,Status!$B$2:$B$1867)</f>
        <v>Completed</v>
      </c>
      <c r="R1152" s="2" t="s">
        <v>36</v>
      </c>
      <c r="S1152" s="8">
        <v>5</v>
      </c>
      <c r="T1152" s="2" t="s">
        <v>37</v>
      </c>
      <c r="U1152" s="31" t="str" cm="1">
        <f t="array" ref="U1152">_xlfn.IFS(L1152&lt;=5000,$Z$3,AND(L1152&gt;5000,L1152&lt;=15000),$Z$4,AND(L1152&gt;15000,L1152&lt;=30000),$Z$5,AND(L1152&gt;30000,L1152&lt;=50000),$Z$6,L1152&gt;50000,$Z$7)</f>
        <v>Sangat Rendah</v>
      </c>
      <c r="V1152" s="2"/>
    </row>
    <row r="1153" spans="1:22" ht="15.75" customHeight="1" x14ac:dyDescent="0.25">
      <c r="A1153" s="26"/>
      <c r="B1153" s="2" t="s">
        <v>1543</v>
      </c>
      <c r="C1153" s="32">
        <v>45770.734953703701</v>
      </c>
      <c r="D1153" s="53">
        <f>YEAR(Table1[[#This Row],[Order Date]])</f>
        <v>2025</v>
      </c>
      <c r="E1153" s="2" t="s">
        <v>570</v>
      </c>
      <c r="F1153" s="2" t="s">
        <v>80</v>
      </c>
      <c r="G1153" s="2" t="s">
        <v>85</v>
      </c>
      <c r="H1153" s="23">
        <v>35000</v>
      </c>
      <c r="I1153" s="2">
        <v>2</v>
      </c>
      <c r="J1153" s="31">
        <v>15</v>
      </c>
      <c r="K1153" s="7">
        <f t="shared" si="68"/>
        <v>70000</v>
      </c>
      <c r="L1153" s="7">
        <f t="shared" si="69"/>
        <v>10500</v>
      </c>
      <c r="M1153" s="7">
        <f t="shared" si="70"/>
        <v>59500</v>
      </c>
      <c r="N1153" s="23">
        <v>74000</v>
      </c>
      <c r="O1153" s="7">
        <f t="shared" si="71"/>
        <v>133500</v>
      </c>
      <c r="P1153" s="2" t="s">
        <v>63</v>
      </c>
      <c r="Q1153" t="str">
        <f>_xlfn.XLOOKUP(B1153,Status!$A$2:$A$1867,Status!$B$2:$B$1867)</f>
        <v>Cancelled</v>
      </c>
      <c r="R1153" s="2" t="s">
        <v>82</v>
      </c>
      <c r="S1153" s="8">
        <v>1</v>
      </c>
      <c r="T1153" s="2" t="s">
        <v>24</v>
      </c>
      <c r="U1153" s="31" t="str" cm="1">
        <f t="array" ref="U1153">_xlfn.IFS(L1153&lt;=5000,$Z$3,AND(L1153&gt;5000,L1153&lt;=15000),$Z$4,AND(L1153&gt;15000,L1153&lt;=30000),$Z$5,AND(L1153&gt;30000,L1153&lt;=50000),$Z$6,L1153&gt;50000,$Z$7)</f>
        <v>Rendah</v>
      </c>
      <c r="V1153" s="2"/>
    </row>
    <row r="1154" spans="1:22" ht="15.75" customHeight="1" x14ac:dyDescent="0.25">
      <c r="A1154" s="26"/>
      <c r="B1154" s="2" t="s">
        <v>1544</v>
      </c>
      <c r="C1154" s="32">
        <v>45770.838750000003</v>
      </c>
      <c r="D1154" s="53">
        <f>YEAR(Table1[[#This Row],[Order Date]])</f>
        <v>2025</v>
      </c>
      <c r="E1154" s="2" t="s">
        <v>549</v>
      </c>
      <c r="F1154" s="2" t="s">
        <v>107</v>
      </c>
      <c r="G1154" s="2" t="s">
        <v>62</v>
      </c>
      <c r="H1154" s="23">
        <v>50000</v>
      </c>
      <c r="I1154" s="2">
        <v>2</v>
      </c>
      <c r="J1154" s="31">
        <v>20</v>
      </c>
      <c r="K1154" s="7">
        <f t="shared" si="68"/>
        <v>100000</v>
      </c>
      <c r="L1154" s="7">
        <f t="shared" si="69"/>
        <v>20000</v>
      </c>
      <c r="M1154" s="7">
        <f t="shared" si="70"/>
        <v>80000</v>
      </c>
      <c r="N1154" s="23">
        <v>97000</v>
      </c>
      <c r="O1154" s="7">
        <f t="shared" si="71"/>
        <v>177000</v>
      </c>
      <c r="P1154" s="2" t="s">
        <v>29</v>
      </c>
      <c r="Q1154" t="str">
        <f>_xlfn.XLOOKUP(B1154,Status!$A$2:$A$1867,Status!$B$2:$B$1867)</f>
        <v>Completed</v>
      </c>
      <c r="R1154" s="2" t="s">
        <v>30</v>
      </c>
      <c r="S1154" s="8">
        <v>1</v>
      </c>
      <c r="T1154" s="2" t="s">
        <v>24</v>
      </c>
      <c r="U1154" s="31" t="str" cm="1">
        <f t="array" ref="U1154">_xlfn.IFS(L1154&lt;=5000,$Z$3,AND(L1154&gt;5000,L1154&lt;=15000),$Z$4,AND(L1154&gt;15000,L1154&lt;=30000),$Z$5,AND(L1154&gt;30000,L1154&lt;=50000),$Z$6,L1154&gt;50000,$Z$7)</f>
        <v>Normal</v>
      </c>
      <c r="V1154" s="2"/>
    </row>
    <row r="1155" spans="1:22" ht="15.75" customHeight="1" x14ac:dyDescent="0.25">
      <c r="A1155" s="26"/>
      <c r="B1155" s="2" t="s">
        <v>1545</v>
      </c>
      <c r="C1155" s="32">
        <v>45771.602141203701</v>
      </c>
      <c r="D1155" s="53">
        <f>YEAR(Table1[[#This Row],[Order Date]])</f>
        <v>2025</v>
      </c>
      <c r="E1155" s="2" t="s">
        <v>877</v>
      </c>
      <c r="F1155" s="2" t="s">
        <v>107</v>
      </c>
      <c r="G1155" s="2" t="s">
        <v>93</v>
      </c>
      <c r="H1155" s="23">
        <v>25000</v>
      </c>
      <c r="I1155" s="2">
        <v>1</v>
      </c>
      <c r="J1155" s="31">
        <v>5</v>
      </c>
      <c r="K1155" s="7">
        <f t="shared" si="68"/>
        <v>25000</v>
      </c>
      <c r="L1155" s="7">
        <f t="shared" si="69"/>
        <v>1250</v>
      </c>
      <c r="M1155" s="7">
        <f t="shared" si="70"/>
        <v>23750</v>
      </c>
      <c r="N1155" s="23">
        <v>97000</v>
      </c>
      <c r="O1155" s="7">
        <f t="shared" si="71"/>
        <v>120750</v>
      </c>
      <c r="P1155" s="2" t="s">
        <v>22</v>
      </c>
      <c r="Q1155" t="str">
        <f>_xlfn.XLOOKUP(B1155,Status!$A$2:$A$1867,Status!$B$2:$B$1867)</f>
        <v>Completed</v>
      </c>
      <c r="R1155" s="2" t="s">
        <v>36</v>
      </c>
      <c r="S1155" s="8">
        <v>3</v>
      </c>
      <c r="T1155" s="2" t="s">
        <v>24</v>
      </c>
      <c r="U1155" s="31" t="str" cm="1">
        <f t="array" ref="U1155">_xlfn.IFS(L1155&lt;=5000,$Z$3,AND(L1155&gt;5000,L1155&lt;=15000),$Z$4,AND(L1155&gt;15000,L1155&lt;=30000),$Z$5,AND(L1155&gt;30000,L1155&lt;=50000),$Z$6,L1155&gt;50000,$Z$7)</f>
        <v>Sangat Rendah</v>
      </c>
      <c r="V1155" s="2"/>
    </row>
    <row r="1156" spans="1:22" ht="15.75" customHeight="1" x14ac:dyDescent="0.25">
      <c r="A1156" s="26"/>
      <c r="B1156" s="2" t="s">
        <v>1546</v>
      </c>
      <c r="C1156" s="32">
        <v>45771.613807870373</v>
      </c>
      <c r="D1156" s="53">
        <f>YEAR(Table1[[#This Row],[Order Date]])</f>
        <v>2025</v>
      </c>
      <c r="E1156" s="2" t="s">
        <v>246</v>
      </c>
      <c r="F1156" s="2" t="s">
        <v>238</v>
      </c>
      <c r="G1156" s="2" t="s">
        <v>50</v>
      </c>
      <c r="H1156" s="23">
        <v>14000</v>
      </c>
      <c r="I1156" s="2">
        <v>5</v>
      </c>
      <c r="J1156" s="31">
        <v>15</v>
      </c>
      <c r="K1156" s="7">
        <f t="shared" ref="K1156:K1219" si="72">H1156*I1156</f>
        <v>70000</v>
      </c>
      <c r="L1156" s="7">
        <f t="shared" ref="L1156:L1219" si="73">K1156*(J1156/100)</f>
        <v>10500</v>
      </c>
      <c r="M1156" s="7">
        <f t="shared" ref="M1156:M1219" si="74">K1156-L1156</f>
        <v>59500</v>
      </c>
      <c r="N1156" s="23">
        <v>28000</v>
      </c>
      <c r="O1156" s="7">
        <f t="shared" ref="O1156:O1219" si="75">SUM(M1156:N1156)</f>
        <v>87500</v>
      </c>
      <c r="P1156" s="2" t="s">
        <v>22</v>
      </c>
      <c r="Q1156" t="str">
        <f>_xlfn.XLOOKUP(B1156,Status!$A$2:$A$1867,Status!$B$2:$B$1867)</f>
        <v>Completed</v>
      </c>
      <c r="R1156" s="2" t="s">
        <v>23</v>
      </c>
      <c r="S1156" s="8">
        <v>4</v>
      </c>
      <c r="T1156" s="2" t="s">
        <v>24</v>
      </c>
      <c r="U1156" s="31" t="str" cm="1">
        <f t="array" ref="U1156">_xlfn.IFS(L1156&lt;=5000,$Z$3,AND(L1156&gt;5000,L1156&lt;=15000),$Z$4,AND(L1156&gt;15000,L1156&lt;=30000),$Z$5,AND(L1156&gt;30000,L1156&lt;=50000),$Z$6,L1156&gt;50000,$Z$7)</f>
        <v>Rendah</v>
      </c>
      <c r="V1156" s="2"/>
    </row>
    <row r="1157" spans="1:22" ht="15.75" customHeight="1" x14ac:dyDescent="0.25">
      <c r="A1157" s="26"/>
      <c r="B1157" s="2" t="s">
        <v>1547</v>
      </c>
      <c r="C1157" s="32">
        <v>45771.835046296299</v>
      </c>
      <c r="D1157" s="53">
        <f>YEAR(Table1[[#This Row],[Order Date]])</f>
        <v>2025</v>
      </c>
      <c r="E1157" s="2" t="s">
        <v>287</v>
      </c>
      <c r="F1157" s="2" t="s">
        <v>262</v>
      </c>
      <c r="G1157" s="2" t="s">
        <v>110</v>
      </c>
      <c r="H1157" s="23">
        <v>6000</v>
      </c>
      <c r="I1157" s="2">
        <v>2</v>
      </c>
      <c r="J1157" s="31">
        <v>15</v>
      </c>
      <c r="K1157" s="7">
        <f t="shared" si="72"/>
        <v>12000</v>
      </c>
      <c r="L1157" s="7">
        <f t="shared" si="73"/>
        <v>1800</v>
      </c>
      <c r="M1157" s="7">
        <f t="shared" si="74"/>
        <v>10200</v>
      </c>
      <c r="N1157" s="23">
        <v>18000</v>
      </c>
      <c r="O1157" s="7">
        <f t="shared" si="75"/>
        <v>28200</v>
      </c>
      <c r="P1157" s="2" t="s">
        <v>35</v>
      </c>
      <c r="Q1157" t="str">
        <f>_xlfn.XLOOKUP(B1157,Status!$A$2:$A$1867,Status!$B$2:$B$1867)</f>
        <v>Completed</v>
      </c>
      <c r="R1157" s="2" t="s">
        <v>82</v>
      </c>
      <c r="S1157" s="8">
        <v>4</v>
      </c>
      <c r="T1157" s="2" t="s">
        <v>24</v>
      </c>
      <c r="U1157" s="31" t="str" cm="1">
        <f t="array" ref="U1157">_xlfn.IFS(L1157&lt;=5000,$Z$3,AND(L1157&gt;5000,L1157&lt;=15000),$Z$4,AND(L1157&gt;15000,L1157&lt;=30000),$Z$5,AND(L1157&gt;30000,L1157&lt;=50000),$Z$6,L1157&gt;50000,$Z$7)</f>
        <v>Sangat Rendah</v>
      </c>
      <c r="V1157" s="2"/>
    </row>
    <row r="1158" spans="1:22" ht="15.75" customHeight="1" x14ac:dyDescent="0.25">
      <c r="A1158" s="26"/>
      <c r="B1158" s="2" t="s">
        <v>1548</v>
      </c>
      <c r="C1158" s="32">
        <v>45772.230312500003</v>
      </c>
      <c r="D1158" s="53">
        <f>YEAR(Table1[[#This Row],[Order Date]])</f>
        <v>2025</v>
      </c>
      <c r="E1158" s="2" t="s">
        <v>488</v>
      </c>
      <c r="F1158" s="2" t="s">
        <v>49</v>
      </c>
      <c r="G1158" s="2" t="s">
        <v>110</v>
      </c>
      <c r="H1158" s="23">
        <v>6000</v>
      </c>
      <c r="I1158" s="2">
        <v>4</v>
      </c>
      <c r="J1158" s="31">
        <v>20</v>
      </c>
      <c r="K1158" s="7">
        <f t="shared" si="72"/>
        <v>24000</v>
      </c>
      <c r="L1158" s="7">
        <f t="shared" si="73"/>
        <v>4800</v>
      </c>
      <c r="M1158" s="7">
        <f t="shared" si="74"/>
        <v>19200</v>
      </c>
      <c r="N1158" s="23">
        <v>43000</v>
      </c>
      <c r="O1158" s="7">
        <f t="shared" si="75"/>
        <v>62200</v>
      </c>
      <c r="P1158" s="2" t="s">
        <v>22</v>
      </c>
      <c r="Q1158" t="str">
        <f>_xlfn.XLOOKUP(B1158,Status!$A$2:$A$1867,Status!$B$2:$B$1867)</f>
        <v>Returned</v>
      </c>
      <c r="R1158" s="2" t="s">
        <v>30</v>
      </c>
      <c r="S1158" s="8">
        <v>3</v>
      </c>
      <c r="T1158" s="2" t="s">
        <v>24</v>
      </c>
      <c r="U1158" s="31" t="str" cm="1">
        <f t="array" ref="U1158">_xlfn.IFS(L1158&lt;=5000,$Z$3,AND(L1158&gt;5000,L1158&lt;=15000),$Z$4,AND(L1158&gt;15000,L1158&lt;=30000),$Z$5,AND(L1158&gt;30000,L1158&lt;=50000),$Z$6,L1158&gt;50000,$Z$7)</f>
        <v>Sangat Rendah</v>
      </c>
      <c r="V1158" s="2"/>
    </row>
    <row r="1159" spans="1:22" ht="15.75" customHeight="1" x14ac:dyDescent="0.25">
      <c r="A1159" s="26"/>
      <c r="B1159" s="2" t="s">
        <v>1549</v>
      </c>
      <c r="C1159" s="32">
        <v>45772.276921296303</v>
      </c>
      <c r="D1159" s="53">
        <f>YEAR(Table1[[#This Row],[Order Date]])</f>
        <v>2025</v>
      </c>
      <c r="E1159" s="2" t="s">
        <v>844</v>
      </c>
      <c r="F1159" s="2" t="s">
        <v>119</v>
      </c>
      <c r="G1159" s="2" t="s">
        <v>93</v>
      </c>
      <c r="H1159" s="23">
        <v>25000</v>
      </c>
      <c r="I1159" s="2">
        <v>3</v>
      </c>
      <c r="J1159" s="31">
        <v>15</v>
      </c>
      <c r="K1159" s="7">
        <f t="shared" si="72"/>
        <v>75000</v>
      </c>
      <c r="L1159" s="7">
        <f t="shared" si="73"/>
        <v>11250</v>
      </c>
      <c r="M1159" s="7">
        <f t="shared" si="74"/>
        <v>63750</v>
      </c>
      <c r="N1159" s="23">
        <v>0</v>
      </c>
      <c r="O1159" s="7">
        <f t="shared" si="75"/>
        <v>63750</v>
      </c>
      <c r="P1159" s="2" t="s">
        <v>29</v>
      </c>
      <c r="Q1159" t="str">
        <f>_xlfn.XLOOKUP(B1159,Status!$A$2:$A$1867,Status!$B$2:$B$1867)</f>
        <v>Completed</v>
      </c>
      <c r="R1159" s="2" t="s">
        <v>46</v>
      </c>
      <c r="S1159" s="8">
        <v>3</v>
      </c>
      <c r="T1159" s="2" t="s">
        <v>24</v>
      </c>
      <c r="U1159" s="31" t="str" cm="1">
        <f t="array" ref="U1159">_xlfn.IFS(L1159&lt;=5000,$Z$3,AND(L1159&gt;5000,L1159&lt;=15000),$Z$4,AND(L1159&gt;15000,L1159&lt;=30000),$Z$5,AND(L1159&gt;30000,L1159&lt;=50000),$Z$6,L1159&gt;50000,$Z$7)</f>
        <v>Rendah</v>
      </c>
      <c r="V1159" s="2"/>
    </row>
    <row r="1160" spans="1:22" ht="15.75" customHeight="1" x14ac:dyDescent="0.25">
      <c r="A1160" s="26"/>
      <c r="B1160" s="2" t="s">
        <v>1550</v>
      </c>
      <c r="C1160" s="32">
        <v>45772.479386574072</v>
      </c>
      <c r="D1160" s="53">
        <f>YEAR(Table1[[#This Row],[Order Date]])</f>
        <v>2025</v>
      </c>
      <c r="E1160" s="2" t="s">
        <v>379</v>
      </c>
      <c r="F1160" s="2" t="s">
        <v>27</v>
      </c>
      <c r="G1160" s="2" t="s">
        <v>21</v>
      </c>
      <c r="H1160" s="23">
        <v>45000</v>
      </c>
      <c r="I1160" s="2">
        <v>3</v>
      </c>
      <c r="J1160" s="31">
        <v>20</v>
      </c>
      <c r="K1160" s="7">
        <f t="shared" si="72"/>
        <v>135000</v>
      </c>
      <c r="L1160" s="7">
        <f t="shared" si="73"/>
        <v>27000</v>
      </c>
      <c r="M1160" s="7">
        <f t="shared" si="74"/>
        <v>108000</v>
      </c>
      <c r="N1160" s="23">
        <v>17000</v>
      </c>
      <c r="O1160" s="7">
        <f t="shared" si="75"/>
        <v>125000</v>
      </c>
      <c r="P1160" s="2" t="s">
        <v>63</v>
      </c>
      <c r="Q1160" t="str">
        <f>_xlfn.XLOOKUP(B1160,Status!$A$2:$A$1867,Status!$B$2:$B$1867)</f>
        <v>Completed</v>
      </c>
      <c r="R1160" s="2" t="s">
        <v>30</v>
      </c>
      <c r="S1160" s="8">
        <v>1</v>
      </c>
      <c r="T1160" s="2" t="s">
        <v>24</v>
      </c>
      <c r="U1160" s="31" t="str" cm="1">
        <f t="array" ref="U1160">_xlfn.IFS(L1160&lt;=5000,$Z$3,AND(L1160&gt;5000,L1160&lt;=15000),$Z$4,AND(L1160&gt;15000,L1160&lt;=30000),$Z$5,AND(L1160&gt;30000,L1160&lt;=50000),$Z$6,L1160&gt;50000,$Z$7)</f>
        <v>Normal</v>
      </c>
      <c r="V1160" s="2"/>
    </row>
    <row r="1161" spans="1:22" ht="15.75" customHeight="1" x14ac:dyDescent="0.25">
      <c r="A1161" s="26"/>
      <c r="B1161" s="2" t="s">
        <v>1551</v>
      </c>
      <c r="C1161" s="32">
        <v>45772.542812500003</v>
      </c>
      <c r="D1161" s="53">
        <f>YEAR(Table1[[#This Row],[Order Date]])</f>
        <v>2025</v>
      </c>
      <c r="E1161" s="2" t="s">
        <v>1382</v>
      </c>
      <c r="F1161" s="2" t="s">
        <v>74</v>
      </c>
      <c r="G1161" s="2" t="s">
        <v>85</v>
      </c>
      <c r="H1161" s="23">
        <v>35000</v>
      </c>
      <c r="I1161" s="2">
        <v>2</v>
      </c>
      <c r="J1161" s="31">
        <v>15</v>
      </c>
      <c r="K1161" s="7">
        <f t="shared" si="72"/>
        <v>70000</v>
      </c>
      <c r="L1161" s="7">
        <f t="shared" si="73"/>
        <v>10500</v>
      </c>
      <c r="M1161" s="7">
        <f t="shared" si="74"/>
        <v>59500</v>
      </c>
      <c r="N1161" s="23">
        <v>87000</v>
      </c>
      <c r="O1161" s="7">
        <f t="shared" si="75"/>
        <v>146500</v>
      </c>
      <c r="P1161" s="2" t="s">
        <v>29</v>
      </c>
      <c r="Q1161" t="str">
        <f>_xlfn.XLOOKUP(B1161,Status!$A$2:$A$1867,Status!$B$2:$B$1867)</f>
        <v>Completed</v>
      </c>
      <c r="R1161" s="2" t="s">
        <v>36</v>
      </c>
      <c r="S1161" s="8">
        <v>3</v>
      </c>
      <c r="T1161" s="2" t="s">
        <v>24</v>
      </c>
      <c r="U1161" s="31" t="str" cm="1">
        <f t="array" ref="U1161">_xlfn.IFS(L1161&lt;=5000,$Z$3,AND(L1161&gt;5000,L1161&lt;=15000),$Z$4,AND(L1161&gt;15000,L1161&lt;=30000),$Z$5,AND(L1161&gt;30000,L1161&lt;=50000),$Z$6,L1161&gt;50000,$Z$7)</f>
        <v>Rendah</v>
      </c>
      <c r="V1161" s="2"/>
    </row>
    <row r="1162" spans="1:22" ht="15.75" customHeight="1" x14ac:dyDescent="0.25">
      <c r="A1162" s="26"/>
      <c r="B1162" s="2" t="s">
        <v>1552</v>
      </c>
      <c r="C1162" s="32">
        <v>45772.635474537034</v>
      </c>
      <c r="D1162" s="53">
        <f>YEAR(Table1[[#This Row],[Order Date]])</f>
        <v>2025</v>
      </c>
      <c r="E1162" s="2" t="s">
        <v>681</v>
      </c>
      <c r="F1162" s="2" t="s">
        <v>262</v>
      </c>
      <c r="G1162" s="2" t="s">
        <v>104</v>
      </c>
      <c r="H1162" s="23">
        <v>30000</v>
      </c>
      <c r="I1162" s="2">
        <v>1</v>
      </c>
      <c r="J1162" s="31">
        <v>15</v>
      </c>
      <c r="K1162" s="7">
        <f t="shared" si="72"/>
        <v>30000</v>
      </c>
      <c r="L1162" s="7">
        <f t="shared" si="73"/>
        <v>4500</v>
      </c>
      <c r="M1162" s="7">
        <f t="shared" si="74"/>
        <v>25500</v>
      </c>
      <c r="N1162" s="23">
        <v>18000</v>
      </c>
      <c r="O1162" s="7">
        <f t="shared" si="75"/>
        <v>43500</v>
      </c>
      <c r="P1162" s="2" t="s">
        <v>22</v>
      </c>
      <c r="Q1162" t="str">
        <f>_xlfn.XLOOKUP(B1162,Status!$A$2:$A$1867,Status!$B$2:$B$1867)</f>
        <v>Returned</v>
      </c>
      <c r="R1162" s="2" t="s">
        <v>36</v>
      </c>
      <c r="S1162" s="8">
        <v>4</v>
      </c>
      <c r="T1162" s="2" t="s">
        <v>24</v>
      </c>
      <c r="U1162" s="31" t="str" cm="1">
        <f t="array" ref="U1162">_xlfn.IFS(L1162&lt;=5000,$Z$3,AND(L1162&gt;5000,L1162&lt;=15000),$Z$4,AND(L1162&gt;15000,L1162&lt;=30000),$Z$5,AND(L1162&gt;30000,L1162&lt;=50000),$Z$6,L1162&gt;50000,$Z$7)</f>
        <v>Sangat Rendah</v>
      </c>
      <c r="V1162" s="2"/>
    </row>
    <row r="1163" spans="1:22" ht="15.75" customHeight="1" x14ac:dyDescent="0.25">
      <c r="A1163" s="26"/>
      <c r="B1163" s="2" t="s">
        <v>1553</v>
      </c>
      <c r="C1163" s="32">
        <v>45772.678842592592</v>
      </c>
      <c r="D1163" s="53">
        <f>YEAR(Table1[[#This Row],[Order Date]])</f>
        <v>2025</v>
      </c>
      <c r="E1163" s="2" t="s">
        <v>333</v>
      </c>
      <c r="F1163" s="2" t="s">
        <v>107</v>
      </c>
      <c r="G1163" s="2" t="s">
        <v>190</v>
      </c>
      <c r="H1163" s="23">
        <v>35000</v>
      </c>
      <c r="I1163" s="2">
        <v>3</v>
      </c>
      <c r="J1163" s="31">
        <v>0</v>
      </c>
      <c r="K1163" s="7">
        <f t="shared" si="72"/>
        <v>105000</v>
      </c>
      <c r="L1163" s="7">
        <f t="shared" si="73"/>
        <v>0</v>
      </c>
      <c r="M1163" s="7">
        <f t="shared" si="74"/>
        <v>105000</v>
      </c>
      <c r="N1163" s="23">
        <v>97000</v>
      </c>
      <c r="O1163" s="7">
        <f t="shared" si="75"/>
        <v>202000</v>
      </c>
      <c r="P1163" s="2" t="s">
        <v>35</v>
      </c>
      <c r="Q1163" t="str">
        <f>_xlfn.XLOOKUP(B1163,Status!$A$2:$A$1867,Status!$B$2:$B$1867)</f>
        <v>Returned</v>
      </c>
      <c r="R1163" s="2" t="s">
        <v>36</v>
      </c>
      <c r="S1163" s="8">
        <v>3</v>
      </c>
      <c r="T1163" s="2" t="s">
        <v>37</v>
      </c>
      <c r="U1163" s="31" t="str" cm="1">
        <f t="array" ref="U1163">_xlfn.IFS(L1163&lt;=5000,$Z$3,AND(L1163&gt;5000,L1163&lt;=15000),$Z$4,AND(L1163&gt;15000,L1163&lt;=30000),$Z$5,AND(L1163&gt;30000,L1163&lt;=50000),$Z$6,L1163&gt;50000,$Z$7)</f>
        <v>Sangat Rendah</v>
      </c>
      <c r="V1163" s="2"/>
    </row>
    <row r="1164" spans="1:22" ht="15.75" customHeight="1" x14ac:dyDescent="0.25">
      <c r="A1164" s="26"/>
      <c r="B1164" s="2" t="s">
        <v>1554</v>
      </c>
      <c r="C1164" s="32">
        <v>45772.681875000002</v>
      </c>
      <c r="D1164" s="53">
        <f>YEAR(Table1[[#This Row],[Order Date]])</f>
        <v>2025</v>
      </c>
      <c r="E1164" s="2" t="s">
        <v>184</v>
      </c>
      <c r="F1164" s="2" t="s">
        <v>103</v>
      </c>
      <c r="G1164" s="2" t="s">
        <v>138</v>
      </c>
      <c r="H1164" s="23">
        <v>17000</v>
      </c>
      <c r="I1164" s="2">
        <v>1</v>
      </c>
      <c r="J1164" s="31">
        <v>0</v>
      </c>
      <c r="K1164" s="7">
        <f t="shared" si="72"/>
        <v>17000</v>
      </c>
      <c r="L1164" s="7">
        <f t="shared" si="73"/>
        <v>0</v>
      </c>
      <c r="M1164" s="7">
        <f t="shared" si="74"/>
        <v>17000</v>
      </c>
      <c r="N1164" s="23">
        <v>85000</v>
      </c>
      <c r="O1164" s="7">
        <f t="shared" si="75"/>
        <v>102000</v>
      </c>
      <c r="P1164" s="2" t="s">
        <v>22</v>
      </c>
      <c r="Q1164" t="str">
        <f>_xlfn.XLOOKUP(B1164,Status!$A$2:$A$1867,Status!$B$2:$B$1867)</f>
        <v>Returned</v>
      </c>
      <c r="R1164" s="2" t="s">
        <v>30</v>
      </c>
      <c r="S1164" s="8">
        <v>5</v>
      </c>
      <c r="T1164" s="2" t="s">
        <v>24</v>
      </c>
      <c r="U1164" s="31" t="str" cm="1">
        <f t="array" ref="U1164">_xlfn.IFS(L1164&lt;=5000,$Z$3,AND(L1164&gt;5000,L1164&lt;=15000),$Z$4,AND(L1164&gt;15000,L1164&lt;=30000),$Z$5,AND(L1164&gt;30000,L1164&lt;=50000),$Z$6,L1164&gt;50000,$Z$7)</f>
        <v>Sangat Rendah</v>
      </c>
      <c r="V1164" s="2"/>
    </row>
    <row r="1165" spans="1:22" ht="15.75" customHeight="1" x14ac:dyDescent="0.25">
      <c r="A1165" s="26"/>
      <c r="B1165" s="2" t="s">
        <v>1555</v>
      </c>
      <c r="C1165" s="32">
        <v>45773.230671296304</v>
      </c>
      <c r="D1165" s="53">
        <f>YEAR(Table1[[#This Row],[Order Date]])</f>
        <v>2025</v>
      </c>
      <c r="E1165" s="2" t="s">
        <v>429</v>
      </c>
      <c r="F1165" s="2" t="s">
        <v>177</v>
      </c>
      <c r="G1165" s="2" t="s">
        <v>67</v>
      </c>
      <c r="H1165" s="23">
        <v>15000</v>
      </c>
      <c r="I1165" s="2">
        <v>2</v>
      </c>
      <c r="J1165" s="31">
        <v>0</v>
      </c>
      <c r="K1165" s="7">
        <f t="shared" si="72"/>
        <v>30000</v>
      </c>
      <c r="L1165" s="7">
        <f t="shared" si="73"/>
        <v>0</v>
      </c>
      <c r="M1165" s="7">
        <f t="shared" si="74"/>
        <v>30000</v>
      </c>
      <c r="N1165" s="23">
        <v>56000</v>
      </c>
      <c r="O1165" s="7">
        <f t="shared" si="75"/>
        <v>86000</v>
      </c>
      <c r="P1165" s="2" t="s">
        <v>35</v>
      </c>
      <c r="Q1165" t="str">
        <f>_xlfn.XLOOKUP(B1165,Status!$A$2:$A$1867,Status!$B$2:$B$1867)</f>
        <v>Completed</v>
      </c>
      <c r="R1165" s="2" t="s">
        <v>36</v>
      </c>
      <c r="S1165" s="8">
        <v>3</v>
      </c>
      <c r="T1165" s="2" t="s">
        <v>37</v>
      </c>
      <c r="U1165" s="31" t="str" cm="1">
        <f t="array" ref="U1165">_xlfn.IFS(L1165&lt;=5000,$Z$3,AND(L1165&gt;5000,L1165&lt;=15000),$Z$4,AND(L1165&gt;15000,L1165&lt;=30000),$Z$5,AND(L1165&gt;30000,L1165&lt;=50000),$Z$6,L1165&gt;50000,$Z$7)</f>
        <v>Sangat Rendah</v>
      </c>
      <c r="V1165" s="2"/>
    </row>
    <row r="1166" spans="1:22" ht="15.75" customHeight="1" x14ac:dyDescent="0.25">
      <c r="A1166" s="26"/>
      <c r="B1166" s="2" t="s">
        <v>1556</v>
      </c>
      <c r="C1166" s="32">
        <v>45773.302499999998</v>
      </c>
      <c r="D1166" s="53">
        <f>YEAR(Table1[[#This Row],[Order Date]])</f>
        <v>2025</v>
      </c>
      <c r="E1166" s="2" t="s">
        <v>249</v>
      </c>
      <c r="F1166" s="2" t="s">
        <v>49</v>
      </c>
      <c r="G1166" s="2" t="s">
        <v>50</v>
      </c>
      <c r="H1166" s="23">
        <v>14000</v>
      </c>
      <c r="I1166" s="2">
        <v>5</v>
      </c>
      <c r="J1166" s="31">
        <v>0</v>
      </c>
      <c r="K1166" s="7">
        <f t="shared" si="72"/>
        <v>70000</v>
      </c>
      <c r="L1166" s="7">
        <f t="shared" si="73"/>
        <v>0</v>
      </c>
      <c r="M1166" s="7">
        <f t="shared" si="74"/>
        <v>70000</v>
      </c>
      <c r="N1166" s="23">
        <v>43000</v>
      </c>
      <c r="O1166" s="7">
        <f t="shared" si="75"/>
        <v>113000</v>
      </c>
      <c r="P1166" s="2" t="s">
        <v>35</v>
      </c>
      <c r="Q1166" t="str">
        <f>_xlfn.XLOOKUP(B1166,Status!$A$2:$A$1867,Status!$B$2:$B$1867)</f>
        <v>Completed</v>
      </c>
      <c r="R1166" s="2" t="s">
        <v>46</v>
      </c>
      <c r="S1166" s="8">
        <v>3</v>
      </c>
      <c r="T1166" s="2" t="s">
        <v>24</v>
      </c>
      <c r="U1166" s="31" t="str" cm="1">
        <f t="array" ref="U1166">_xlfn.IFS(L1166&lt;=5000,$Z$3,AND(L1166&gt;5000,L1166&lt;=15000),$Z$4,AND(L1166&gt;15000,L1166&lt;=30000),$Z$5,AND(L1166&gt;30000,L1166&lt;=50000),$Z$6,L1166&gt;50000,$Z$7)</f>
        <v>Sangat Rendah</v>
      </c>
      <c r="V1166" s="2"/>
    </row>
    <row r="1167" spans="1:22" ht="15.75" customHeight="1" x14ac:dyDescent="0.25">
      <c r="A1167" s="26"/>
      <c r="B1167" s="2" t="s">
        <v>1557</v>
      </c>
      <c r="C1167" s="32">
        <v>45773.45144675926</v>
      </c>
      <c r="D1167" s="53">
        <f>YEAR(Table1[[#This Row],[Order Date]])</f>
        <v>2025</v>
      </c>
      <c r="E1167" s="2" t="s">
        <v>739</v>
      </c>
      <c r="F1167" s="2" t="s">
        <v>177</v>
      </c>
      <c r="G1167" s="2" t="s">
        <v>110</v>
      </c>
      <c r="H1167" s="23">
        <v>6000</v>
      </c>
      <c r="I1167" s="2">
        <v>2</v>
      </c>
      <c r="J1167" s="31">
        <v>5</v>
      </c>
      <c r="K1167" s="7">
        <f t="shared" si="72"/>
        <v>12000</v>
      </c>
      <c r="L1167" s="7">
        <f t="shared" si="73"/>
        <v>600</v>
      </c>
      <c r="M1167" s="7">
        <f t="shared" si="74"/>
        <v>11400</v>
      </c>
      <c r="N1167" s="23">
        <v>56000</v>
      </c>
      <c r="O1167" s="7">
        <f t="shared" si="75"/>
        <v>67400</v>
      </c>
      <c r="P1167" s="2" t="s">
        <v>35</v>
      </c>
      <c r="Q1167" t="str">
        <f>_xlfn.XLOOKUP(B1167,Status!$A$2:$A$1867,Status!$B$2:$B$1867)</f>
        <v>Completed</v>
      </c>
      <c r="R1167" s="2" t="s">
        <v>36</v>
      </c>
      <c r="S1167" s="8">
        <v>3</v>
      </c>
      <c r="T1167" s="2" t="s">
        <v>24</v>
      </c>
      <c r="U1167" s="31" t="str" cm="1">
        <f t="array" ref="U1167">_xlfn.IFS(L1167&lt;=5000,$Z$3,AND(L1167&gt;5000,L1167&lt;=15000),$Z$4,AND(L1167&gt;15000,L1167&lt;=30000),$Z$5,AND(L1167&gt;30000,L1167&lt;=50000),$Z$6,L1167&gt;50000,$Z$7)</f>
        <v>Sangat Rendah</v>
      </c>
      <c r="V1167" s="2"/>
    </row>
    <row r="1168" spans="1:22" ht="15.75" customHeight="1" x14ac:dyDescent="0.25">
      <c r="A1168" s="26"/>
      <c r="B1168" s="2" t="s">
        <v>1558</v>
      </c>
      <c r="C1168" s="32">
        <v>45773.462199074071</v>
      </c>
      <c r="D1168" s="53">
        <f>YEAR(Table1[[#This Row],[Order Date]])</f>
        <v>2025</v>
      </c>
      <c r="E1168" s="2" t="s">
        <v>1146</v>
      </c>
      <c r="F1168" s="2" t="s">
        <v>116</v>
      </c>
      <c r="G1168" s="2" t="s">
        <v>144</v>
      </c>
      <c r="H1168" s="23">
        <v>18000</v>
      </c>
      <c r="I1168" s="2">
        <v>3</v>
      </c>
      <c r="J1168" s="31">
        <v>0</v>
      </c>
      <c r="K1168" s="7">
        <f t="shared" si="72"/>
        <v>54000</v>
      </c>
      <c r="L1168" s="7">
        <f t="shared" si="73"/>
        <v>0</v>
      </c>
      <c r="M1168" s="7">
        <f t="shared" si="74"/>
        <v>54000</v>
      </c>
      <c r="N1168" s="23">
        <v>72000</v>
      </c>
      <c r="O1168" s="7">
        <f t="shared" si="75"/>
        <v>126000</v>
      </c>
      <c r="P1168" s="2" t="s">
        <v>35</v>
      </c>
      <c r="Q1168" t="str">
        <f>_xlfn.XLOOKUP(B1168,Status!$A$2:$A$1867,Status!$B$2:$B$1867)</f>
        <v>Completed</v>
      </c>
      <c r="R1168" s="2" t="s">
        <v>46</v>
      </c>
      <c r="S1168" s="8">
        <v>5</v>
      </c>
      <c r="T1168" s="2" t="s">
        <v>24</v>
      </c>
      <c r="U1168" s="31" t="str" cm="1">
        <f t="array" ref="U1168">_xlfn.IFS(L1168&lt;=5000,$Z$3,AND(L1168&gt;5000,L1168&lt;=15000),$Z$4,AND(L1168&gt;15000,L1168&lt;=30000),$Z$5,AND(L1168&gt;30000,L1168&lt;=50000),$Z$6,L1168&gt;50000,$Z$7)</f>
        <v>Sangat Rendah</v>
      </c>
      <c r="V1168" s="2"/>
    </row>
    <row r="1169" spans="1:22" ht="15.75" customHeight="1" x14ac:dyDescent="0.25">
      <c r="A1169" s="26"/>
      <c r="B1169" s="2" t="s">
        <v>1559</v>
      </c>
      <c r="C1169" s="32">
        <v>45773.655370370368</v>
      </c>
      <c r="D1169" s="53">
        <f>YEAR(Table1[[#This Row],[Order Date]])</f>
        <v>2025</v>
      </c>
      <c r="E1169" s="2" t="s">
        <v>383</v>
      </c>
      <c r="F1169" s="2" t="s">
        <v>122</v>
      </c>
      <c r="G1169" s="2" t="s">
        <v>58</v>
      </c>
      <c r="H1169" s="23">
        <v>16000</v>
      </c>
      <c r="I1169" s="2">
        <v>4</v>
      </c>
      <c r="J1169" s="31">
        <v>10</v>
      </c>
      <c r="K1169" s="7">
        <f t="shared" si="72"/>
        <v>64000</v>
      </c>
      <c r="L1169" s="7">
        <f t="shared" si="73"/>
        <v>6400</v>
      </c>
      <c r="M1169" s="7">
        <f t="shared" si="74"/>
        <v>57600</v>
      </c>
      <c r="N1169" s="23">
        <v>78000</v>
      </c>
      <c r="O1169" s="7">
        <f t="shared" si="75"/>
        <v>135600</v>
      </c>
      <c r="P1169" s="2" t="s">
        <v>63</v>
      </c>
      <c r="Q1169" t="str">
        <f>_xlfn.XLOOKUP(B1169,Status!$A$2:$A$1867,Status!$B$2:$B$1867)</f>
        <v>Completed</v>
      </c>
      <c r="R1169" s="2" t="s">
        <v>36</v>
      </c>
      <c r="S1169" s="8">
        <v>2</v>
      </c>
      <c r="T1169" s="2" t="s">
        <v>24</v>
      </c>
      <c r="U1169" s="31" t="str" cm="1">
        <f t="array" ref="U1169">_xlfn.IFS(L1169&lt;=5000,$Z$3,AND(L1169&gt;5000,L1169&lt;=15000),$Z$4,AND(L1169&gt;15000,L1169&lt;=30000),$Z$5,AND(L1169&gt;30000,L1169&lt;=50000),$Z$6,L1169&gt;50000,$Z$7)</f>
        <v>Rendah</v>
      </c>
      <c r="V1169" s="2"/>
    </row>
    <row r="1170" spans="1:22" ht="15.75" customHeight="1" x14ac:dyDescent="0.25">
      <c r="A1170" s="26"/>
      <c r="B1170" s="2" t="s">
        <v>1560</v>
      </c>
      <c r="C1170" s="32">
        <v>45773.874652777777</v>
      </c>
      <c r="D1170" s="53">
        <f>YEAR(Table1[[#This Row],[Order Date]])</f>
        <v>2025</v>
      </c>
      <c r="E1170" s="2" t="s">
        <v>1561</v>
      </c>
      <c r="F1170" s="2" t="s">
        <v>160</v>
      </c>
      <c r="G1170" s="2" t="s">
        <v>93</v>
      </c>
      <c r="H1170" s="23">
        <v>25000</v>
      </c>
      <c r="I1170" s="2">
        <v>4</v>
      </c>
      <c r="J1170" s="31">
        <v>20</v>
      </c>
      <c r="K1170" s="7">
        <f t="shared" si="72"/>
        <v>100000</v>
      </c>
      <c r="L1170" s="7">
        <f t="shared" si="73"/>
        <v>20000</v>
      </c>
      <c r="M1170" s="7">
        <f t="shared" si="74"/>
        <v>80000</v>
      </c>
      <c r="N1170" s="23">
        <v>68000</v>
      </c>
      <c r="O1170" s="7">
        <f t="shared" si="75"/>
        <v>148000</v>
      </c>
      <c r="P1170" s="2" t="s">
        <v>63</v>
      </c>
      <c r="Q1170" t="str">
        <f>_xlfn.XLOOKUP(B1170,Status!$A$2:$A$1867,Status!$B$2:$B$1867)</f>
        <v>Completed</v>
      </c>
      <c r="R1170" s="2" t="s">
        <v>30</v>
      </c>
      <c r="S1170" s="8">
        <v>4</v>
      </c>
      <c r="T1170" s="2" t="s">
        <v>24</v>
      </c>
      <c r="U1170" s="31" t="str" cm="1">
        <f t="array" ref="U1170">_xlfn.IFS(L1170&lt;=5000,$Z$3,AND(L1170&gt;5000,L1170&lt;=15000),$Z$4,AND(L1170&gt;15000,L1170&lt;=30000),$Z$5,AND(L1170&gt;30000,L1170&lt;=50000),$Z$6,L1170&gt;50000,$Z$7)</f>
        <v>Normal</v>
      </c>
      <c r="V1170" s="2"/>
    </row>
    <row r="1171" spans="1:22" ht="15.75" customHeight="1" x14ac:dyDescent="0.25">
      <c r="A1171" s="26"/>
      <c r="B1171" s="2" t="s">
        <v>1562</v>
      </c>
      <c r="C1171" s="32">
        <v>45774.049467592587</v>
      </c>
      <c r="D1171" s="53">
        <f>YEAR(Table1[[#This Row],[Order Date]])</f>
        <v>2025</v>
      </c>
      <c r="E1171" s="2" t="s">
        <v>231</v>
      </c>
      <c r="F1171" s="2" t="s">
        <v>66</v>
      </c>
      <c r="G1171" s="2" t="s">
        <v>71</v>
      </c>
      <c r="H1171" s="23">
        <v>40000</v>
      </c>
      <c r="I1171" s="2">
        <v>2</v>
      </c>
      <c r="J1171" s="31">
        <v>5</v>
      </c>
      <c r="K1171" s="7">
        <f t="shared" si="72"/>
        <v>80000</v>
      </c>
      <c r="L1171" s="7">
        <f t="shared" si="73"/>
        <v>4000</v>
      </c>
      <c r="M1171" s="7">
        <f t="shared" si="74"/>
        <v>76000</v>
      </c>
      <c r="N1171" s="23">
        <v>59000</v>
      </c>
      <c r="O1171" s="7">
        <f t="shared" si="75"/>
        <v>135000</v>
      </c>
      <c r="P1171" s="2" t="s">
        <v>35</v>
      </c>
      <c r="Q1171" t="str">
        <f>_xlfn.XLOOKUP(B1171,Status!$A$2:$A$1867,Status!$B$2:$B$1867)</f>
        <v>Completed</v>
      </c>
      <c r="R1171" s="2" t="s">
        <v>46</v>
      </c>
      <c r="S1171" s="8">
        <v>4</v>
      </c>
      <c r="T1171" s="2" t="s">
        <v>24</v>
      </c>
      <c r="U1171" s="31" t="str" cm="1">
        <f t="array" ref="U1171">_xlfn.IFS(L1171&lt;=5000,$Z$3,AND(L1171&gt;5000,L1171&lt;=15000),$Z$4,AND(L1171&gt;15000,L1171&lt;=30000),$Z$5,AND(L1171&gt;30000,L1171&lt;=50000),$Z$6,L1171&gt;50000,$Z$7)</f>
        <v>Sangat Rendah</v>
      </c>
      <c r="V1171" s="2"/>
    </row>
    <row r="1172" spans="1:22" ht="15.75" customHeight="1" x14ac:dyDescent="0.25">
      <c r="A1172" s="26"/>
      <c r="B1172" s="2" t="s">
        <v>1562</v>
      </c>
      <c r="C1172" s="32">
        <v>45774.049467592587</v>
      </c>
      <c r="D1172" s="53">
        <f>YEAR(Table1[[#This Row],[Order Date]])</f>
        <v>2025</v>
      </c>
      <c r="E1172" s="2" t="s">
        <v>231</v>
      </c>
      <c r="F1172" s="2" t="s">
        <v>66</v>
      </c>
      <c r="G1172" s="2" t="s">
        <v>190</v>
      </c>
      <c r="H1172" s="23">
        <v>35000</v>
      </c>
      <c r="I1172" s="2">
        <v>2</v>
      </c>
      <c r="J1172" s="31">
        <v>15</v>
      </c>
      <c r="K1172" s="7">
        <f t="shared" si="72"/>
        <v>70000</v>
      </c>
      <c r="L1172" s="7">
        <f t="shared" si="73"/>
        <v>10500</v>
      </c>
      <c r="M1172" s="7">
        <f t="shared" si="74"/>
        <v>59500</v>
      </c>
      <c r="N1172" s="23">
        <v>0</v>
      </c>
      <c r="O1172" s="7">
        <f t="shared" si="75"/>
        <v>59500</v>
      </c>
      <c r="P1172" s="2" t="s">
        <v>35</v>
      </c>
      <c r="Q1172" t="str">
        <f>_xlfn.XLOOKUP(B1172,Status!$A$2:$A$1867,Status!$B$2:$B$1867)</f>
        <v>Completed</v>
      </c>
      <c r="R1172" s="2" t="s">
        <v>46</v>
      </c>
      <c r="S1172" s="8">
        <v>4</v>
      </c>
      <c r="T1172" s="2" t="s">
        <v>24</v>
      </c>
      <c r="U1172" s="31" t="str" cm="1">
        <f t="array" ref="U1172">_xlfn.IFS(L1172&lt;=5000,$Z$3,AND(L1172&gt;5000,L1172&lt;=15000),$Z$4,AND(L1172&gt;15000,L1172&lt;=30000),$Z$5,AND(L1172&gt;30000,L1172&lt;=50000),$Z$6,L1172&gt;50000,$Z$7)</f>
        <v>Rendah</v>
      </c>
      <c r="V1172" s="2"/>
    </row>
    <row r="1173" spans="1:22" ht="15.75" customHeight="1" x14ac:dyDescent="0.25">
      <c r="A1173" s="26"/>
      <c r="B1173" s="2" t="s">
        <v>1563</v>
      </c>
      <c r="C1173" s="32">
        <v>45774.154432870368</v>
      </c>
      <c r="D1173" s="53">
        <f>YEAR(Table1[[#This Row],[Order Date]])</f>
        <v>2025</v>
      </c>
      <c r="E1173" s="2" t="s">
        <v>504</v>
      </c>
      <c r="F1173" s="2" t="s">
        <v>195</v>
      </c>
      <c r="G1173" s="2" t="s">
        <v>144</v>
      </c>
      <c r="H1173" s="23">
        <v>18000</v>
      </c>
      <c r="I1173" s="2">
        <v>2</v>
      </c>
      <c r="J1173" s="31">
        <v>0</v>
      </c>
      <c r="K1173" s="7">
        <f t="shared" si="72"/>
        <v>36000</v>
      </c>
      <c r="L1173" s="7">
        <f t="shared" si="73"/>
        <v>0</v>
      </c>
      <c r="M1173" s="7">
        <f t="shared" si="74"/>
        <v>36000</v>
      </c>
      <c r="N1173" s="23">
        <v>87000</v>
      </c>
      <c r="O1173" s="7">
        <f t="shared" si="75"/>
        <v>123000</v>
      </c>
      <c r="P1173" s="2" t="s">
        <v>22</v>
      </c>
      <c r="Q1173" t="str">
        <f>_xlfn.XLOOKUP(B1173,Status!$A$2:$A$1867,Status!$B$2:$B$1867)</f>
        <v>Completed</v>
      </c>
      <c r="R1173" s="2" t="s">
        <v>23</v>
      </c>
      <c r="S1173" s="8">
        <v>3</v>
      </c>
      <c r="T1173" s="2" t="s">
        <v>24</v>
      </c>
      <c r="U1173" s="31" t="str" cm="1">
        <f t="array" ref="U1173">_xlfn.IFS(L1173&lt;=5000,$Z$3,AND(L1173&gt;5000,L1173&lt;=15000),$Z$4,AND(L1173&gt;15000,L1173&lt;=30000),$Z$5,AND(L1173&gt;30000,L1173&lt;=50000),$Z$6,L1173&gt;50000,$Z$7)</f>
        <v>Sangat Rendah</v>
      </c>
      <c r="V1173" s="2"/>
    </row>
    <row r="1174" spans="1:22" ht="15.75" customHeight="1" x14ac:dyDescent="0.25">
      <c r="A1174" s="26"/>
      <c r="B1174" s="2" t="s">
        <v>1564</v>
      </c>
      <c r="C1174" s="32">
        <v>45774.19327546296</v>
      </c>
      <c r="D1174" s="53">
        <f>YEAR(Table1[[#This Row],[Order Date]])</f>
        <v>2025</v>
      </c>
      <c r="E1174" s="2" t="s">
        <v>990</v>
      </c>
      <c r="F1174" s="2" t="s">
        <v>173</v>
      </c>
      <c r="G1174" s="2" t="s">
        <v>81</v>
      </c>
      <c r="H1174" s="23">
        <v>17000</v>
      </c>
      <c r="I1174" s="2">
        <v>3</v>
      </c>
      <c r="J1174" s="31">
        <v>15</v>
      </c>
      <c r="K1174" s="7">
        <f t="shared" si="72"/>
        <v>51000</v>
      </c>
      <c r="L1174" s="7">
        <f t="shared" si="73"/>
        <v>7650</v>
      </c>
      <c r="M1174" s="7">
        <f t="shared" si="74"/>
        <v>43350</v>
      </c>
      <c r="N1174" s="23">
        <v>49000</v>
      </c>
      <c r="O1174" s="7">
        <f t="shared" si="75"/>
        <v>92350</v>
      </c>
      <c r="P1174" s="2" t="s">
        <v>22</v>
      </c>
      <c r="Q1174" t="str">
        <f>_xlfn.XLOOKUP(B1174,Status!$A$2:$A$1867,Status!$B$2:$B$1867)</f>
        <v>Completed</v>
      </c>
      <c r="R1174" s="2" t="s">
        <v>30</v>
      </c>
      <c r="S1174" s="8">
        <v>1</v>
      </c>
      <c r="T1174" s="2" t="s">
        <v>24</v>
      </c>
      <c r="U1174" s="31" t="str" cm="1">
        <f t="array" ref="U1174">_xlfn.IFS(L1174&lt;=5000,$Z$3,AND(L1174&gt;5000,L1174&lt;=15000),$Z$4,AND(L1174&gt;15000,L1174&lt;=30000),$Z$5,AND(L1174&gt;30000,L1174&lt;=50000),$Z$6,L1174&gt;50000,$Z$7)</f>
        <v>Rendah</v>
      </c>
      <c r="V1174" s="2"/>
    </row>
    <row r="1175" spans="1:22" ht="15.75" customHeight="1" x14ac:dyDescent="0.25">
      <c r="A1175" s="26"/>
      <c r="B1175" s="2" t="s">
        <v>1565</v>
      </c>
      <c r="C1175" s="32">
        <v>45774.265497685177</v>
      </c>
      <c r="D1175" s="53">
        <f>YEAR(Table1[[#This Row],[Order Date]])</f>
        <v>2025</v>
      </c>
      <c r="E1175" s="2" t="s">
        <v>273</v>
      </c>
      <c r="F1175" s="2" t="s">
        <v>195</v>
      </c>
      <c r="G1175" s="2" t="s">
        <v>85</v>
      </c>
      <c r="H1175" s="23">
        <v>35000</v>
      </c>
      <c r="I1175" s="2">
        <v>2</v>
      </c>
      <c r="J1175" s="31">
        <v>0</v>
      </c>
      <c r="K1175" s="7">
        <f t="shared" si="72"/>
        <v>70000</v>
      </c>
      <c r="L1175" s="7">
        <f t="shared" si="73"/>
        <v>0</v>
      </c>
      <c r="M1175" s="7">
        <f t="shared" si="74"/>
        <v>70000</v>
      </c>
      <c r="N1175" s="23">
        <v>87000</v>
      </c>
      <c r="O1175" s="7">
        <f t="shared" si="75"/>
        <v>157000</v>
      </c>
      <c r="P1175" s="2" t="s">
        <v>22</v>
      </c>
      <c r="Q1175" t="str">
        <f>_xlfn.XLOOKUP(B1175,Status!$A$2:$A$1867,Status!$B$2:$B$1867)</f>
        <v>Completed</v>
      </c>
      <c r="R1175" s="2" t="s">
        <v>82</v>
      </c>
      <c r="S1175" s="8">
        <v>5</v>
      </c>
      <c r="T1175" s="2" t="s">
        <v>24</v>
      </c>
      <c r="U1175" s="31" t="str" cm="1">
        <f t="array" ref="U1175">_xlfn.IFS(L1175&lt;=5000,$Z$3,AND(L1175&gt;5000,L1175&lt;=15000),$Z$4,AND(L1175&gt;15000,L1175&lt;=30000),$Z$5,AND(L1175&gt;30000,L1175&lt;=50000),$Z$6,L1175&gt;50000,$Z$7)</f>
        <v>Sangat Rendah</v>
      </c>
      <c r="V1175" s="2"/>
    </row>
    <row r="1176" spans="1:22" ht="15.75" customHeight="1" x14ac:dyDescent="0.25">
      <c r="A1176" s="26"/>
      <c r="B1176" s="2" t="s">
        <v>1566</v>
      </c>
      <c r="C1176" s="32">
        <v>45774.329456018517</v>
      </c>
      <c r="D1176" s="53">
        <f>YEAR(Table1[[#This Row],[Order Date]])</f>
        <v>2025</v>
      </c>
      <c r="E1176" s="2" t="s">
        <v>77</v>
      </c>
      <c r="F1176" s="2" t="s">
        <v>61</v>
      </c>
      <c r="G1176" s="2" t="s">
        <v>190</v>
      </c>
      <c r="H1176" s="23">
        <v>35000</v>
      </c>
      <c r="I1176" s="2">
        <v>1</v>
      </c>
      <c r="J1176" s="31">
        <v>5</v>
      </c>
      <c r="K1176" s="7">
        <f t="shared" si="72"/>
        <v>35000</v>
      </c>
      <c r="L1176" s="7">
        <f t="shared" si="73"/>
        <v>1750</v>
      </c>
      <c r="M1176" s="7">
        <f t="shared" si="74"/>
        <v>33250</v>
      </c>
      <c r="N1176" s="23">
        <v>26000</v>
      </c>
      <c r="O1176" s="7">
        <f t="shared" si="75"/>
        <v>59250</v>
      </c>
      <c r="P1176" s="2" t="s">
        <v>29</v>
      </c>
      <c r="Q1176" t="str">
        <f>_xlfn.XLOOKUP(B1176,Status!$A$2:$A$1867,Status!$B$2:$B$1867)</f>
        <v>Completed</v>
      </c>
      <c r="R1176" s="2" t="s">
        <v>46</v>
      </c>
      <c r="S1176" s="8">
        <v>1</v>
      </c>
      <c r="T1176" s="2" t="s">
        <v>24</v>
      </c>
      <c r="U1176" s="31" t="str" cm="1">
        <f t="array" ref="U1176">_xlfn.IFS(L1176&lt;=5000,$Z$3,AND(L1176&gt;5000,L1176&lt;=15000),$Z$4,AND(L1176&gt;15000,L1176&lt;=30000),$Z$5,AND(L1176&gt;30000,L1176&lt;=50000),$Z$6,L1176&gt;50000,$Z$7)</f>
        <v>Sangat Rendah</v>
      </c>
      <c r="V1176" s="2"/>
    </row>
    <row r="1177" spans="1:22" ht="15.75" customHeight="1" x14ac:dyDescent="0.25">
      <c r="A1177" s="26"/>
      <c r="B1177" s="2" t="s">
        <v>1566</v>
      </c>
      <c r="C1177" s="32">
        <v>45774.329456018517</v>
      </c>
      <c r="D1177" s="53">
        <f>YEAR(Table1[[#This Row],[Order Date]])</f>
        <v>2025</v>
      </c>
      <c r="E1177" s="2" t="s">
        <v>77</v>
      </c>
      <c r="F1177" s="2" t="s">
        <v>61</v>
      </c>
      <c r="G1177" s="2" t="s">
        <v>21</v>
      </c>
      <c r="H1177" s="23">
        <v>45000</v>
      </c>
      <c r="I1177" s="2">
        <v>4</v>
      </c>
      <c r="J1177" s="31">
        <v>5</v>
      </c>
      <c r="K1177" s="7">
        <f t="shared" si="72"/>
        <v>180000</v>
      </c>
      <c r="L1177" s="7">
        <f t="shared" si="73"/>
        <v>9000</v>
      </c>
      <c r="M1177" s="7">
        <f t="shared" si="74"/>
        <v>171000</v>
      </c>
      <c r="N1177" s="23">
        <v>0</v>
      </c>
      <c r="O1177" s="7">
        <f t="shared" si="75"/>
        <v>171000</v>
      </c>
      <c r="P1177" s="2" t="s">
        <v>29</v>
      </c>
      <c r="Q1177" t="str">
        <f>_xlfn.XLOOKUP(B1177,Status!$A$2:$A$1867,Status!$B$2:$B$1867)</f>
        <v>Completed</v>
      </c>
      <c r="R1177" s="2" t="s">
        <v>46</v>
      </c>
      <c r="S1177" s="8">
        <v>1</v>
      </c>
      <c r="T1177" s="2" t="s">
        <v>24</v>
      </c>
      <c r="U1177" s="31" t="str" cm="1">
        <f t="array" ref="U1177">_xlfn.IFS(L1177&lt;=5000,$Z$3,AND(L1177&gt;5000,L1177&lt;=15000),$Z$4,AND(L1177&gt;15000,L1177&lt;=30000),$Z$5,AND(L1177&gt;30000,L1177&lt;=50000),$Z$6,L1177&gt;50000,$Z$7)</f>
        <v>Rendah</v>
      </c>
      <c r="V1177" s="2"/>
    </row>
    <row r="1178" spans="1:22" ht="15.75" customHeight="1" x14ac:dyDescent="0.25">
      <c r="A1178" s="26"/>
      <c r="B1178" s="2" t="s">
        <v>1567</v>
      </c>
      <c r="C1178" s="32">
        <v>45774.371990740743</v>
      </c>
      <c r="D1178" s="53">
        <f>YEAR(Table1[[#This Row],[Order Date]])</f>
        <v>2025</v>
      </c>
      <c r="E1178" s="2" t="s">
        <v>459</v>
      </c>
      <c r="F1178" s="2" t="s">
        <v>61</v>
      </c>
      <c r="G1178" s="2" t="s">
        <v>138</v>
      </c>
      <c r="H1178" s="23">
        <v>17000</v>
      </c>
      <c r="I1178" s="2">
        <v>1</v>
      </c>
      <c r="J1178" s="31">
        <v>20</v>
      </c>
      <c r="K1178" s="7">
        <f t="shared" si="72"/>
        <v>17000</v>
      </c>
      <c r="L1178" s="7">
        <f t="shared" si="73"/>
        <v>3400</v>
      </c>
      <c r="M1178" s="7">
        <f t="shared" si="74"/>
        <v>13600</v>
      </c>
      <c r="N1178" s="23">
        <v>26000</v>
      </c>
      <c r="O1178" s="7">
        <f t="shared" si="75"/>
        <v>39600</v>
      </c>
      <c r="P1178" s="2" t="s">
        <v>63</v>
      </c>
      <c r="Q1178" t="str">
        <f>_xlfn.XLOOKUP(B1178,Status!$A$2:$A$1867,Status!$B$2:$B$1867)</f>
        <v>Completed</v>
      </c>
      <c r="R1178" s="2" t="s">
        <v>46</v>
      </c>
      <c r="S1178" s="8">
        <v>5</v>
      </c>
      <c r="T1178" s="2" t="s">
        <v>24</v>
      </c>
      <c r="U1178" s="31" t="str" cm="1">
        <f t="array" ref="U1178">_xlfn.IFS(L1178&lt;=5000,$Z$3,AND(L1178&gt;5000,L1178&lt;=15000),$Z$4,AND(L1178&gt;15000,L1178&lt;=30000),$Z$5,AND(L1178&gt;30000,L1178&lt;=50000),$Z$6,L1178&gt;50000,$Z$7)</f>
        <v>Sangat Rendah</v>
      </c>
      <c r="V1178" s="2"/>
    </row>
    <row r="1179" spans="1:22" ht="15.75" customHeight="1" x14ac:dyDescent="0.25">
      <c r="A1179" s="26"/>
      <c r="B1179" s="2" t="s">
        <v>1568</v>
      </c>
      <c r="C1179" s="32">
        <v>45774.540324074071</v>
      </c>
      <c r="D1179" s="53">
        <f>YEAR(Table1[[#This Row],[Order Date]])</f>
        <v>2025</v>
      </c>
      <c r="E1179" s="2" t="s">
        <v>333</v>
      </c>
      <c r="F1179" s="2" t="s">
        <v>107</v>
      </c>
      <c r="G1179" s="2" t="s">
        <v>138</v>
      </c>
      <c r="H1179" s="23">
        <v>17000</v>
      </c>
      <c r="I1179" s="2">
        <v>1</v>
      </c>
      <c r="J1179" s="31">
        <v>20</v>
      </c>
      <c r="K1179" s="7">
        <f t="shared" si="72"/>
        <v>17000</v>
      </c>
      <c r="L1179" s="7">
        <f t="shared" si="73"/>
        <v>3400</v>
      </c>
      <c r="M1179" s="7">
        <f t="shared" si="74"/>
        <v>13600</v>
      </c>
      <c r="N1179" s="23">
        <v>97000</v>
      </c>
      <c r="O1179" s="7">
        <f t="shared" si="75"/>
        <v>110600</v>
      </c>
      <c r="P1179" s="2" t="s">
        <v>63</v>
      </c>
      <c r="Q1179" t="str">
        <f>_xlfn.XLOOKUP(B1179,Status!$A$2:$A$1867,Status!$B$2:$B$1867)</f>
        <v>Completed</v>
      </c>
      <c r="R1179" s="2" t="s">
        <v>36</v>
      </c>
      <c r="S1179" s="8">
        <v>3</v>
      </c>
      <c r="T1179" s="2" t="s">
        <v>37</v>
      </c>
      <c r="U1179" s="31" t="str" cm="1">
        <f t="array" ref="U1179">_xlfn.IFS(L1179&lt;=5000,$Z$3,AND(L1179&gt;5000,L1179&lt;=15000),$Z$4,AND(L1179&gt;15000,L1179&lt;=30000),$Z$5,AND(L1179&gt;30000,L1179&lt;=50000),$Z$6,L1179&gt;50000,$Z$7)</f>
        <v>Sangat Rendah</v>
      </c>
      <c r="V1179" s="2"/>
    </row>
    <row r="1180" spans="1:22" ht="15.75" customHeight="1" x14ac:dyDescent="0.25">
      <c r="A1180" s="26"/>
      <c r="B1180" s="2" t="s">
        <v>1569</v>
      </c>
      <c r="C1180" s="32">
        <v>45774.959687499999</v>
      </c>
      <c r="D1180" s="53">
        <f>YEAR(Table1[[#This Row],[Order Date]])</f>
        <v>2025</v>
      </c>
      <c r="E1180" s="2" t="s">
        <v>214</v>
      </c>
      <c r="F1180" s="2" t="s">
        <v>131</v>
      </c>
      <c r="G1180" s="2" t="s">
        <v>190</v>
      </c>
      <c r="H1180" s="23">
        <v>35000</v>
      </c>
      <c r="I1180" s="2">
        <v>2</v>
      </c>
      <c r="J1180" s="31">
        <v>15</v>
      </c>
      <c r="K1180" s="7">
        <f t="shared" si="72"/>
        <v>70000</v>
      </c>
      <c r="L1180" s="7">
        <f t="shared" si="73"/>
        <v>10500</v>
      </c>
      <c r="M1180" s="7">
        <f t="shared" si="74"/>
        <v>59500</v>
      </c>
      <c r="N1180" s="23">
        <v>59000</v>
      </c>
      <c r="O1180" s="7">
        <f t="shared" si="75"/>
        <v>118500</v>
      </c>
      <c r="P1180" s="2" t="s">
        <v>35</v>
      </c>
      <c r="Q1180" t="str">
        <f>_xlfn.XLOOKUP(B1180,Status!$A$2:$A$1867,Status!$B$2:$B$1867)</f>
        <v>Cancelled</v>
      </c>
      <c r="R1180" s="2" t="s">
        <v>36</v>
      </c>
      <c r="S1180" s="8">
        <v>3</v>
      </c>
      <c r="T1180" s="2" t="s">
        <v>24</v>
      </c>
      <c r="U1180" s="31" t="str" cm="1">
        <f t="array" ref="U1180">_xlfn.IFS(L1180&lt;=5000,$Z$3,AND(L1180&gt;5000,L1180&lt;=15000),$Z$4,AND(L1180&gt;15000,L1180&lt;=30000),$Z$5,AND(L1180&gt;30000,L1180&lt;=50000),$Z$6,L1180&gt;50000,$Z$7)</f>
        <v>Rendah</v>
      </c>
      <c r="V1180" s="2"/>
    </row>
    <row r="1181" spans="1:22" ht="15.75" customHeight="1" x14ac:dyDescent="0.25">
      <c r="A1181" s="26"/>
      <c r="B1181" s="2" t="s">
        <v>1570</v>
      </c>
      <c r="C1181" s="32">
        <v>45775.081689814811</v>
      </c>
      <c r="D1181" s="53">
        <f>YEAR(Table1[[#This Row],[Order Date]])</f>
        <v>2025</v>
      </c>
      <c r="E1181" s="2" t="s">
        <v>1424</v>
      </c>
      <c r="F1181" s="2" t="s">
        <v>296</v>
      </c>
      <c r="G1181" s="2" t="s">
        <v>81</v>
      </c>
      <c r="H1181" s="23">
        <v>17000</v>
      </c>
      <c r="I1181" s="2">
        <v>1</v>
      </c>
      <c r="J1181" s="31">
        <v>20</v>
      </c>
      <c r="K1181" s="7">
        <f t="shared" si="72"/>
        <v>17000</v>
      </c>
      <c r="L1181" s="7">
        <f t="shared" si="73"/>
        <v>3400</v>
      </c>
      <c r="M1181" s="7">
        <f t="shared" si="74"/>
        <v>13600</v>
      </c>
      <c r="N1181" s="23">
        <v>79000</v>
      </c>
      <c r="O1181" s="7">
        <f t="shared" si="75"/>
        <v>92600</v>
      </c>
      <c r="P1181" s="2" t="s">
        <v>63</v>
      </c>
      <c r="Q1181" t="str">
        <f>_xlfn.XLOOKUP(B1181,Status!$A$2:$A$1867,Status!$B$2:$B$1867)</f>
        <v>Completed</v>
      </c>
      <c r="R1181" s="2" t="s">
        <v>82</v>
      </c>
      <c r="S1181" s="8">
        <v>4</v>
      </c>
      <c r="T1181" s="2" t="s">
        <v>24</v>
      </c>
      <c r="U1181" s="31" t="str" cm="1">
        <f t="array" ref="U1181">_xlfn.IFS(L1181&lt;=5000,$Z$3,AND(L1181&gt;5000,L1181&lt;=15000),$Z$4,AND(L1181&gt;15000,L1181&lt;=30000),$Z$5,AND(L1181&gt;30000,L1181&lt;=50000),$Z$6,L1181&gt;50000,$Z$7)</f>
        <v>Sangat Rendah</v>
      </c>
      <c r="V1181" s="2"/>
    </row>
    <row r="1182" spans="1:22" ht="15.75" customHeight="1" x14ac:dyDescent="0.25">
      <c r="A1182" s="26"/>
      <c r="B1182" s="2" t="s">
        <v>1571</v>
      </c>
      <c r="C1182" s="32">
        <v>45775.093043981477</v>
      </c>
      <c r="D1182" s="53">
        <f>YEAR(Table1[[#This Row],[Order Date]])</f>
        <v>2025</v>
      </c>
      <c r="E1182" s="2" t="s">
        <v>488</v>
      </c>
      <c r="F1182" s="2" t="s">
        <v>49</v>
      </c>
      <c r="G1182" s="2" t="s">
        <v>21</v>
      </c>
      <c r="H1182" s="23">
        <v>45000</v>
      </c>
      <c r="I1182" s="2">
        <v>1</v>
      </c>
      <c r="J1182" s="31">
        <v>15</v>
      </c>
      <c r="K1182" s="7">
        <f t="shared" si="72"/>
        <v>45000</v>
      </c>
      <c r="L1182" s="7">
        <f t="shared" si="73"/>
        <v>6750</v>
      </c>
      <c r="M1182" s="7">
        <f t="shared" si="74"/>
        <v>38250</v>
      </c>
      <c r="N1182" s="23">
        <v>43000</v>
      </c>
      <c r="O1182" s="7">
        <f t="shared" si="75"/>
        <v>81250</v>
      </c>
      <c r="P1182" s="2" t="s">
        <v>22</v>
      </c>
      <c r="Q1182" t="str">
        <f>_xlfn.XLOOKUP(B1182,Status!$A$2:$A$1867,Status!$B$2:$B$1867)</f>
        <v>Completed</v>
      </c>
      <c r="R1182" s="2" t="s">
        <v>46</v>
      </c>
      <c r="S1182" s="8">
        <v>2</v>
      </c>
      <c r="T1182" s="2" t="s">
        <v>24</v>
      </c>
      <c r="U1182" s="31" t="str" cm="1">
        <f t="array" ref="U1182">_xlfn.IFS(L1182&lt;=5000,$Z$3,AND(L1182&gt;5000,L1182&lt;=15000),$Z$4,AND(L1182&gt;15000,L1182&lt;=30000),$Z$5,AND(L1182&gt;30000,L1182&lt;=50000),$Z$6,L1182&gt;50000,$Z$7)</f>
        <v>Rendah</v>
      </c>
      <c r="V1182" s="2"/>
    </row>
    <row r="1183" spans="1:22" ht="15.75" customHeight="1" x14ac:dyDescent="0.25">
      <c r="A1183" s="26"/>
      <c r="B1183" s="2" t="s">
        <v>1572</v>
      </c>
      <c r="C1183" s="32">
        <v>45775.306168981479</v>
      </c>
      <c r="D1183" s="53">
        <f>YEAR(Table1[[#This Row],[Order Date]])</f>
        <v>2025</v>
      </c>
      <c r="E1183" s="2" t="s">
        <v>549</v>
      </c>
      <c r="F1183" s="2" t="s">
        <v>107</v>
      </c>
      <c r="G1183" s="2" t="s">
        <v>34</v>
      </c>
      <c r="H1183" s="23">
        <v>16000</v>
      </c>
      <c r="I1183" s="2">
        <v>5</v>
      </c>
      <c r="J1183" s="31">
        <v>10</v>
      </c>
      <c r="K1183" s="7">
        <f t="shared" si="72"/>
        <v>80000</v>
      </c>
      <c r="L1183" s="7">
        <f t="shared" si="73"/>
        <v>8000</v>
      </c>
      <c r="M1183" s="7">
        <f t="shared" si="74"/>
        <v>72000</v>
      </c>
      <c r="N1183" s="23">
        <v>97000</v>
      </c>
      <c r="O1183" s="7">
        <f t="shared" si="75"/>
        <v>169000</v>
      </c>
      <c r="P1183" s="2" t="s">
        <v>22</v>
      </c>
      <c r="Q1183" t="str">
        <f>_xlfn.XLOOKUP(B1183,Status!$A$2:$A$1867,Status!$B$2:$B$1867)</f>
        <v>Completed</v>
      </c>
      <c r="R1183" s="2" t="s">
        <v>23</v>
      </c>
      <c r="S1183" s="8">
        <v>4</v>
      </c>
      <c r="T1183" s="2" t="s">
        <v>24</v>
      </c>
      <c r="U1183" s="31" t="str" cm="1">
        <f t="array" ref="U1183">_xlfn.IFS(L1183&lt;=5000,$Z$3,AND(L1183&gt;5000,L1183&lt;=15000),$Z$4,AND(L1183&gt;15000,L1183&lt;=30000),$Z$5,AND(L1183&gt;30000,L1183&lt;=50000),$Z$6,L1183&gt;50000,$Z$7)</f>
        <v>Rendah</v>
      </c>
      <c r="V1183" s="2"/>
    </row>
    <row r="1184" spans="1:22" ht="15.75" customHeight="1" x14ac:dyDescent="0.25">
      <c r="A1184" s="26"/>
      <c r="B1184" s="2" t="s">
        <v>1573</v>
      </c>
      <c r="C1184" s="32">
        <v>45775.459733796299</v>
      </c>
      <c r="D1184" s="53">
        <f>YEAR(Table1[[#This Row],[Order Date]])</f>
        <v>2025</v>
      </c>
      <c r="E1184" s="2" t="s">
        <v>1574</v>
      </c>
      <c r="F1184" s="2" t="s">
        <v>33</v>
      </c>
      <c r="G1184" s="2" t="s">
        <v>34</v>
      </c>
      <c r="H1184" s="23">
        <v>16000</v>
      </c>
      <c r="I1184" s="2">
        <v>2</v>
      </c>
      <c r="J1184" s="31">
        <v>20</v>
      </c>
      <c r="K1184" s="7">
        <f t="shared" si="72"/>
        <v>32000</v>
      </c>
      <c r="L1184" s="7">
        <f t="shared" si="73"/>
        <v>6400</v>
      </c>
      <c r="M1184" s="7">
        <f t="shared" si="74"/>
        <v>25600</v>
      </c>
      <c r="N1184" s="23">
        <v>76000</v>
      </c>
      <c r="O1184" s="7">
        <f t="shared" si="75"/>
        <v>101600</v>
      </c>
      <c r="P1184" s="2" t="s">
        <v>35</v>
      </c>
      <c r="Q1184" t="str">
        <f>_xlfn.XLOOKUP(B1184,Status!$A$2:$A$1867,Status!$B$2:$B$1867)</f>
        <v>Completed</v>
      </c>
      <c r="R1184" s="2" t="s">
        <v>36</v>
      </c>
      <c r="S1184" s="8">
        <v>3</v>
      </c>
      <c r="T1184" s="2" t="s">
        <v>24</v>
      </c>
      <c r="U1184" s="31" t="str" cm="1">
        <f t="array" ref="U1184">_xlfn.IFS(L1184&lt;=5000,$Z$3,AND(L1184&gt;5000,L1184&lt;=15000),$Z$4,AND(L1184&gt;15000,L1184&lt;=30000),$Z$5,AND(L1184&gt;30000,L1184&lt;=50000),$Z$6,L1184&gt;50000,$Z$7)</f>
        <v>Rendah</v>
      </c>
      <c r="V1184" s="2"/>
    </row>
    <row r="1185" spans="1:22" ht="15.75" customHeight="1" x14ac:dyDescent="0.25">
      <c r="A1185" s="26"/>
      <c r="B1185" s="2" t="s">
        <v>1575</v>
      </c>
      <c r="C1185" s="32">
        <v>45775.59988425926</v>
      </c>
      <c r="D1185" s="53">
        <f>YEAR(Table1[[#This Row],[Order Date]])</f>
        <v>2025</v>
      </c>
      <c r="E1185" s="2" t="s">
        <v>77</v>
      </c>
      <c r="F1185" s="2" t="s">
        <v>61</v>
      </c>
      <c r="G1185" s="2" t="s">
        <v>138</v>
      </c>
      <c r="H1185" s="23">
        <v>17000</v>
      </c>
      <c r="I1185" s="2">
        <v>1</v>
      </c>
      <c r="J1185" s="31">
        <v>15</v>
      </c>
      <c r="K1185" s="7">
        <f t="shared" si="72"/>
        <v>17000</v>
      </c>
      <c r="L1185" s="7">
        <f t="shared" si="73"/>
        <v>2550</v>
      </c>
      <c r="M1185" s="7">
        <f t="shared" si="74"/>
        <v>14450</v>
      </c>
      <c r="N1185" s="23">
        <v>26000</v>
      </c>
      <c r="O1185" s="7">
        <f t="shared" si="75"/>
        <v>40450</v>
      </c>
      <c r="P1185" s="2" t="s">
        <v>35</v>
      </c>
      <c r="Q1185" t="str">
        <f>_xlfn.XLOOKUP(B1185,Status!$A$2:$A$1867,Status!$B$2:$B$1867)</f>
        <v>Completed</v>
      </c>
      <c r="R1185" s="2" t="s">
        <v>46</v>
      </c>
      <c r="S1185" s="8">
        <v>3</v>
      </c>
      <c r="T1185" s="2" t="s">
        <v>24</v>
      </c>
      <c r="U1185" s="31" t="str" cm="1">
        <f t="array" ref="U1185">_xlfn.IFS(L1185&lt;=5000,$Z$3,AND(L1185&gt;5000,L1185&lt;=15000),$Z$4,AND(L1185&gt;15000,L1185&lt;=30000),$Z$5,AND(L1185&gt;30000,L1185&lt;=50000),$Z$6,L1185&gt;50000,$Z$7)</f>
        <v>Sangat Rendah</v>
      </c>
      <c r="V1185" s="2"/>
    </row>
    <row r="1186" spans="1:22" ht="15.75" customHeight="1" x14ac:dyDescent="0.25">
      <c r="A1186" s="26"/>
      <c r="B1186" s="2" t="s">
        <v>1575</v>
      </c>
      <c r="C1186" s="32">
        <v>45775.59988425926</v>
      </c>
      <c r="D1186" s="53">
        <f>YEAR(Table1[[#This Row],[Order Date]])</f>
        <v>2025</v>
      </c>
      <c r="E1186" s="2" t="s">
        <v>77</v>
      </c>
      <c r="F1186" s="2" t="s">
        <v>61</v>
      </c>
      <c r="G1186" s="2" t="s">
        <v>88</v>
      </c>
      <c r="H1186" s="23">
        <v>14000</v>
      </c>
      <c r="I1186" s="2">
        <v>1</v>
      </c>
      <c r="J1186" s="31">
        <v>15</v>
      </c>
      <c r="K1186" s="7">
        <f t="shared" si="72"/>
        <v>14000</v>
      </c>
      <c r="L1186" s="7">
        <f t="shared" si="73"/>
        <v>2100</v>
      </c>
      <c r="M1186" s="7">
        <f t="shared" si="74"/>
        <v>11900</v>
      </c>
      <c r="N1186" s="23">
        <v>0</v>
      </c>
      <c r="O1186" s="7">
        <f t="shared" si="75"/>
        <v>11900</v>
      </c>
      <c r="P1186" s="2" t="s">
        <v>35</v>
      </c>
      <c r="Q1186" t="str">
        <f>_xlfn.XLOOKUP(B1186,Status!$A$2:$A$1867,Status!$B$2:$B$1867)</f>
        <v>Completed</v>
      </c>
      <c r="R1186" s="2" t="s">
        <v>46</v>
      </c>
      <c r="S1186" s="8">
        <v>3</v>
      </c>
      <c r="T1186" s="2" t="s">
        <v>24</v>
      </c>
      <c r="U1186" s="31" t="str" cm="1">
        <f t="array" ref="U1186">_xlfn.IFS(L1186&lt;=5000,$Z$3,AND(L1186&gt;5000,L1186&lt;=15000),$Z$4,AND(L1186&gt;15000,L1186&lt;=30000),$Z$5,AND(L1186&gt;30000,L1186&lt;=50000),$Z$6,L1186&gt;50000,$Z$7)</f>
        <v>Sangat Rendah</v>
      </c>
      <c r="V1186" s="2"/>
    </row>
    <row r="1187" spans="1:22" ht="15.75" customHeight="1" x14ac:dyDescent="0.25">
      <c r="A1187" s="26"/>
      <c r="B1187" s="2" t="s">
        <v>1576</v>
      </c>
      <c r="C1187" s="32">
        <v>45775.69017361111</v>
      </c>
      <c r="D1187" s="53">
        <f>YEAR(Table1[[#This Row],[Order Date]])</f>
        <v>2025</v>
      </c>
      <c r="E1187" s="2" t="s">
        <v>1228</v>
      </c>
      <c r="F1187" s="2" t="s">
        <v>33</v>
      </c>
      <c r="G1187" s="2" t="s">
        <v>38</v>
      </c>
      <c r="H1187" s="23">
        <v>28000</v>
      </c>
      <c r="I1187" s="2">
        <v>1</v>
      </c>
      <c r="J1187" s="31">
        <v>0</v>
      </c>
      <c r="K1187" s="7">
        <f t="shared" si="72"/>
        <v>28000</v>
      </c>
      <c r="L1187" s="7">
        <f t="shared" si="73"/>
        <v>0</v>
      </c>
      <c r="M1187" s="7">
        <f t="shared" si="74"/>
        <v>28000</v>
      </c>
      <c r="N1187" s="23">
        <v>76000</v>
      </c>
      <c r="O1187" s="7">
        <f t="shared" si="75"/>
        <v>104000</v>
      </c>
      <c r="P1187" s="2" t="s">
        <v>29</v>
      </c>
      <c r="Q1187" t="str">
        <f>_xlfn.XLOOKUP(B1187,Status!$A$2:$A$1867,Status!$B$2:$B$1867)</f>
        <v>Completed</v>
      </c>
      <c r="R1187" s="2" t="s">
        <v>23</v>
      </c>
      <c r="S1187" s="8">
        <v>2</v>
      </c>
      <c r="T1187" s="2" t="s">
        <v>24</v>
      </c>
      <c r="U1187" s="31" t="str" cm="1">
        <f t="array" ref="U1187">_xlfn.IFS(L1187&lt;=5000,$Z$3,AND(L1187&gt;5000,L1187&lt;=15000),$Z$4,AND(L1187&gt;15000,L1187&lt;=30000),$Z$5,AND(L1187&gt;30000,L1187&lt;=50000),$Z$6,L1187&gt;50000,$Z$7)</f>
        <v>Sangat Rendah</v>
      </c>
      <c r="V1187" s="2"/>
    </row>
    <row r="1188" spans="1:22" ht="15.75" customHeight="1" x14ac:dyDescent="0.25">
      <c r="A1188" s="26"/>
      <c r="B1188" s="2" t="s">
        <v>1577</v>
      </c>
      <c r="C1188" s="32">
        <v>45775.777465277781</v>
      </c>
      <c r="D1188" s="53">
        <f>YEAR(Table1[[#This Row],[Order Date]])</f>
        <v>2025</v>
      </c>
      <c r="E1188" s="2" t="s">
        <v>651</v>
      </c>
      <c r="F1188" s="2" t="s">
        <v>182</v>
      </c>
      <c r="G1188" s="2" t="s">
        <v>62</v>
      </c>
      <c r="H1188" s="23">
        <v>50000</v>
      </c>
      <c r="I1188" s="2">
        <v>2</v>
      </c>
      <c r="J1188" s="31">
        <v>0</v>
      </c>
      <c r="K1188" s="7">
        <f t="shared" si="72"/>
        <v>100000</v>
      </c>
      <c r="L1188" s="7">
        <f t="shared" si="73"/>
        <v>0</v>
      </c>
      <c r="M1188" s="7">
        <f t="shared" si="74"/>
        <v>100000</v>
      </c>
      <c r="N1188" s="23">
        <v>48000</v>
      </c>
      <c r="O1188" s="7">
        <f t="shared" si="75"/>
        <v>148000</v>
      </c>
      <c r="P1188" s="2" t="s">
        <v>35</v>
      </c>
      <c r="Q1188" t="str">
        <f>_xlfn.XLOOKUP(B1188,Status!$A$2:$A$1867,Status!$B$2:$B$1867)</f>
        <v>Completed</v>
      </c>
      <c r="R1188" s="2" t="s">
        <v>36</v>
      </c>
      <c r="S1188" s="8">
        <v>4</v>
      </c>
      <c r="T1188" s="2" t="s">
        <v>37</v>
      </c>
      <c r="U1188" s="31" t="str" cm="1">
        <f t="array" ref="U1188">_xlfn.IFS(L1188&lt;=5000,$Z$3,AND(L1188&gt;5000,L1188&lt;=15000),$Z$4,AND(L1188&gt;15000,L1188&lt;=30000),$Z$5,AND(L1188&gt;30000,L1188&lt;=50000),$Z$6,L1188&gt;50000,$Z$7)</f>
        <v>Sangat Rendah</v>
      </c>
      <c r="V1188" s="2"/>
    </row>
    <row r="1189" spans="1:22" ht="15.75" customHeight="1" x14ac:dyDescent="0.25">
      <c r="A1189" s="26"/>
      <c r="B1189" s="2" t="s">
        <v>1578</v>
      </c>
      <c r="C1189" s="32">
        <v>45776.06050925926</v>
      </c>
      <c r="D1189" s="53">
        <f>YEAR(Table1[[#This Row],[Order Date]])</f>
        <v>2025</v>
      </c>
      <c r="E1189" s="2" t="s">
        <v>323</v>
      </c>
      <c r="F1189" s="2" t="s">
        <v>103</v>
      </c>
      <c r="G1189" s="2" t="s">
        <v>81</v>
      </c>
      <c r="H1189" s="23">
        <v>17000</v>
      </c>
      <c r="I1189" s="2">
        <v>5</v>
      </c>
      <c r="J1189" s="31">
        <v>5</v>
      </c>
      <c r="K1189" s="7">
        <f t="shared" si="72"/>
        <v>85000</v>
      </c>
      <c r="L1189" s="7">
        <f t="shared" si="73"/>
        <v>4250</v>
      </c>
      <c r="M1189" s="7">
        <f t="shared" si="74"/>
        <v>80750</v>
      </c>
      <c r="N1189" s="23">
        <v>85000</v>
      </c>
      <c r="O1189" s="7">
        <f t="shared" si="75"/>
        <v>165750</v>
      </c>
      <c r="P1189" s="2" t="s">
        <v>63</v>
      </c>
      <c r="Q1189" t="str">
        <f>_xlfn.XLOOKUP(B1189,Status!$A$2:$A$1867,Status!$B$2:$B$1867)</f>
        <v>Completed</v>
      </c>
      <c r="R1189" s="2" t="s">
        <v>30</v>
      </c>
      <c r="S1189" s="8">
        <v>4</v>
      </c>
      <c r="T1189" s="2" t="s">
        <v>24</v>
      </c>
      <c r="U1189" s="31" t="str" cm="1">
        <f t="array" ref="U1189">_xlfn.IFS(L1189&lt;=5000,$Z$3,AND(L1189&gt;5000,L1189&lt;=15000),$Z$4,AND(L1189&gt;15000,L1189&lt;=30000),$Z$5,AND(L1189&gt;30000,L1189&lt;=50000),$Z$6,L1189&gt;50000,$Z$7)</f>
        <v>Sangat Rendah</v>
      </c>
      <c r="V1189" s="2"/>
    </row>
    <row r="1190" spans="1:22" ht="15.75" customHeight="1" x14ac:dyDescent="0.25">
      <c r="A1190" s="26"/>
      <c r="B1190" s="2" t="s">
        <v>1579</v>
      </c>
      <c r="C1190" s="32">
        <v>45776.3515162037</v>
      </c>
      <c r="D1190" s="53">
        <f>YEAR(Table1[[#This Row],[Order Date]])</f>
        <v>2025</v>
      </c>
      <c r="E1190" s="2" t="s">
        <v>904</v>
      </c>
      <c r="F1190" s="2" t="s">
        <v>296</v>
      </c>
      <c r="G1190" s="2" t="s">
        <v>21</v>
      </c>
      <c r="H1190" s="23">
        <v>45000</v>
      </c>
      <c r="I1190" s="2">
        <v>5</v>
      </c>
      <c r="J1190" s="31">
        <v>15</v>
      </c>
      <c r="K1190" s="7">
        <f t="shared" si="72"/>
        <v>225000</v>
      </c>
      <c r="L1190" s="7">
        <f t="shared" si="73"/>
        <v>33750</v>
      </c>
      <c r="M1190" s="7">
        <f t="shared" si="74"/>
        <v>191250</v>
      </c>
      <c r="N1190" s="23">
        <v>79000</v>
      </c>
      <c r="O1190" s="7">
        <f t="shared" si="75"/>
        <v>270250</v>
      </c>
      <c r="P1190" s="2" t="s">
        <v>22</v>
      </c>
      <c r="Q1190" t="str">
        <f>_xlfn.XLOOKUP(B1190,Status!$A$2:$A$1867,Status!$B$2:$B$1867)</f>
        <v>Completed</v>
      </c>
      <c r="R1190" s="2" t="s">
        <v>23</v>
      </c>
      <c r="S1190" s="8">
        <v>3</v>
      </c>
      <c r="T1190" s="2" t="s">
        <v>37</v>
      </c>
      <c r="U1190" s="31" t="str" cm="1">
        <f t="array" ref="U1190">_xlfn.IFS(L1190&lt;=5000,$Z$3,AND(L1190&gt;5000,L1190&lt;=15000),$Z$4,AND(L1190&gt;15000,L1190&lt;=30000),$Z$5,AND(L1190&gt;30000,L1190&lt;=50000),$Z$6,L1190&gt;50000,$Z$7)</f>
        <v>Tinggi</v>
      </c>
      <c r="V1190" s="2"/>
    </row>
    <row r="1191" spans="1:22" ht="15.75" customHeight="1" x14ac:dyDescent="0.25">
      <c r="A1191" s="26"/>
      <c r="B1191" s="2" t="s">
        <v>1580</v>
      </c>
      <c r="C1191" s="32">
        <v>45776.844780092593</v>
      </c>
      <c r="D1191" s="53">
        <f>YEAR(Table1[[#This Row],[Order Date]])</f>
        <v>2025</v>
      </c>
      <c r="E1191" s="2" t="s">
        <v>211</v>
      </c>
      <c r="F1191" s="2" t="s">
        <v>49</v>
      </c>
      <c r="G1191" s="2" t="s">
        <v>34</v>
      </c>
      <c r="H1191" s="23">
        <v>16000</v>
      </c>
      <c r="I1191" s="2">
        <v>5</v>
      </c>
      <c r="J1191" s="31">
        <v>20</v>
      </c>
      <c r="K1191" s="7">
        <f t="shared" si="72"/>
        <v>80000</v>
      </c>
      <c r="L1191" s="7">
        <f t="shared" si="73"/>
        <v>16000</v>
      </c>
      <c r="M1191" s="7">
        <f t="shared" si="74"/>
        <v>64000</v>
      </c>
      <c r="N1191" s="23">
        <v>43000</v>
      </c>
      <c r="O1191" s="7">
        <f t="shared" si="75"/>
        <v>107000</v>
      </c>
      <c r="P1191" s="2" t="s">
        <v>22</v>
      </c>
      <c r="Q1191" t="str">
        <f>_xlfn.XLOOKUP(B1191,Status!$A$2:$A$1867,Status!$B$2:$B$1867)</f>
        <v>Completed</v>
      </c>
      <c r="R1191" s="2" t="s">
        <v>82</v>
      </c>
      <c r="S1191" s="8">
        <v>2</v>
      </c>
      <c r="T1191" s="2" t="s">
        <v>24</v>
      </c>
      <c r="U1191" s="31" t="str" cm="1">
        <f t="array" ref="U1191">_xlfn.IFS(L1191&lt;=5000,$Z$3,AND(L1191&gt;5000,L1191&lt;=15000),$Z$4,AND(L1191&gt;15000,L1191&lt;=30000),$Z$5,AND(L1191&gt;30000,L1191&lt;=50000),$Z$6,L1191&gt;50000,$Z$7)</f>
        <v>Normal</v>
      </c>
      <c r="V1191" s="2"/>
    </row>
    <row r="1192" spans="1:22" ht="15.75" customHeight="1" x14ac:dyDescent="0.25">
      <c r="A1192" s="26"/>
      <c r="B1192" s="2" t="s">
        <v>1581</v>
      </c>
      <c r="C1192" s="32">
        <v>45776.924502314818</v>
      </c>
      <c r="D1192" s="53">
        <f>YEAR(Table1[[#This Row],[Order Date]])</f>
        <v>2025</v>
      </c>
      <c r="E1192" s="2" t="s">
        <v>1582</v>
      </c>
      <c r="F1192" s="2" t="s">
        <v>80</v>
      </c>
      <c r="G1192" s="2" t="s">
        <v>41</v>
      </c>
      <c r="H1192" s="23">
        <v>4000</v>
      </c>
      <c r="I1192" s="2">
        <v>2</v>
      </c>
      <c r="J1192" s="31">
        <v>20</v>
      </c>
      <c r="K1192" s="7">
        <f t="shared" si="72"/>
        <v>8000</v>
      </c>
      <c r="L1192" s="7">
        <f t="shared" si="73"/>
        <v>1600</v>
      </c>
      <c r="M1192" s="7">
        <f t="shared" si="74"/>
        <v>6400</v>
      </c>
      <c r="N1192" s="23">
        <v>74000</v>
      </c>
      <c r="O1192" s="7">
        <f t="shared" si="75"/>
        <v>80400</v>
      </c>
      <c r="P1192" s="2" t="s">
        <v>63</v>
      </c>
      <c r="Q1192" t="str">
        <f>_xlfn.XLOOKUP(B1192,Status!$A$2:$A$1867,Status!$B$2:$B$1867)</f>
        <v>Cancelled</v>
      </c>
      <c r="R1192" s="2" t="s">
        <v>36</v>
      </c>
      <c r="S1192" s="8">
        <v>5</v>
      </c>
      <c r="T1192" s="2" t="s">
        <v>24</v>
      </c>
      <c r="U1192" s="31" t="str" cm="1">
        <f t="array" ref="U1192">_xlfn.IFS(L1192&lt;=5000,$Z$3,AND(L1192&gt;5000,L1192&lt;=15000),$Z$4,AND(L1192&gt;15000,L1192&lt;=30000),$Z$5,AND(L1192&gt;30000,L1192&lt;=50000),$Z$6,L1192&gt;50000,$Z$7)</f>
        <v>Sangat Rendah</v>
      </c>
      <c r="V1192" s="2"/>
    </row>
    <row r="1193" spans="1:22" ht="15.75" customHeight="1" x14ac:dyDescent="0.25">
      <c r="A1193" s="26"/>
      <c r="B1193" s="2" t="s">
        <v>1583</v>
      </c>
      <c r="C1193" s="32">
        <v>45777.205011574071</v>
      </c>
      <c r="D1193" s="53">
        <f>YEAR(Table1[[#This Row],[Order Date]])</f>
        <v>2025</v>
      </c>
      <c r="E1193" s="2" t="s">
        <v>167</v>
      </c>
      <c r="F1193" s="2" t="s">
        <v>44</v>
      </c>
      <c r="G1193" s="2" t="s">
        <v>186</v>
      </c>
      <c r="H1193" s="23">
        <v>45000</v>
      </c>
      <c r="I1193" s="2">
        <v>3</v>
      </c>
      <c r="J1193" s="31">
        <v>15</v>
      </c>
      <c r="K1193" s="7">
        <f t="shared" si="72"/>
        <v>135000</v>
      </c>
      <c r="L1193" s="7">
        <f t="shared" si="73"/>
        <v>20250</v>
      </c>
      <c r="M1193" s="7">
        <f t="shared" si="74"/>
        <v>114750</v>
      </c>
      <c r="N1193" s="23">
        <v>93000</v>
      </c>
      <c r="O1193" s="7">
        <f t="shared" si="75"/>
        <v>207750</v>
      </c>
      <c r="P1193" s="2" t="s">
        <v>29</v>
      </c>
      <c r="Q1193" t="str">
        <f>_xlfn.XLOOKUP(B1193,Status!$A$2:$A$1867,Status!$B$2:$B$1867)</f>
        <v>Completed</v>
      </c>
      <c r="R1193" s="2" t="s">
        <v>23</v>
      </c>
      <c r="S1193" s="8">
        <v>5</v>
      </c>
      <c r="T1193" s="2" t="s">
        <v>24</v>
      </c>
      <c r="U1193" s="31" t="str" cm="1">
        <f t="array" ref="U1193">_xlfn.IFS(L1193&lt;=5000,$Z$3,AND(L1193&gt;5000,L1193&lt;=15000),$Z$4,AND(L1193&gt;15000,L1193&lt;=30000),$Z$5,AND(L1193&gt;30000,L1193&lt;=50000),$Z$6,L1193&gt;50000,$Z$7)</f>
        <v>Normal</v>
      </c>
      <c r="V1193" s="2"/>
    </row>
    <row r="1194" spans="1:22" ht="15.75" customHeight="1" x14ac:dyDescent="0.25">
      <c r="A1194" s="26"/>
      <c r="B1194" s="2" t="s">
        <v>1584</v>
      </c>
      <c r="C1194" s="32">
        <v>45778.036087962973</v>
      </c>
      <c r="D1194" s="53">
        <f>YEAR(Table1[[#This Row],[Order Date]])</f>
        <v>2025</v>
      </c>
      <c r="E1194" s="2" t="s">
        <v>214</v>
      </c>
      <c r="F1194" s="2" t="s">
        <v>131</v>
      </c>
      <c r="G1194" s="2" t="s">
        <v>71</v>
      </c>
      <c r="H1194" s="23">
        <v>40000</v>
      </c>
      <c r="I1194" s="2">
        <v>3</v>
      </c>
      <c r="J1194" s="31">
        <v>10</v>
      </c>
      <c r="K1194" s="7">
        <f t="shared" si="72"/>
        <v>120000</v>
      </c>
      <c r="L1194" s="7">
        <f t="shared" si="73"/>
        <v>12000</v>
      </c>
      <c r="M1194" s="7">
        <f t="shared" si="74"/>
        <v>108000</v>
      </c>
      <c r="N1194" s="23">
        <v>59000</v>
      </c>
      <c r="O1194" s="7">
        <f t="shared" si="75"/>
        <v>167000</v>
      </c>
      <c r="P1194" s="2" t="s">
        <v>35</v>
      </c>
      <c r="Q1194" t="str">
        <f>_xlfn.XLOOKUP(B1194,Status!$A$2:$A$1867,Status!$B$2:$B$1867)</f>
        <v>Completed</v>
      </c>
      <c r="R1194" s="2" t="s">
        <v>82</v>
      </c>
      <c r="S1194" s="8">
        <v>1</v>
      </c>
      <c r="T1194" s="2" t="s">
        <v>24</v>
      </c>
      <c r="U1194" s="31" t="str" cm="1">
        <f t="array" ref="U1194">_xlfn.IFS(L1194&lt;=5000,$Z$3,AND(L1194&gt;5000,L1194&lt;=15000),$Z$4,AND(L1194&gt;15000,L1194&lt;=30000),$Z$5,AND(L1194&gt;30000,L1194&lt;=50000),$Z$6,L1194&gt;50000,$Z$7)</f>
        <v>Rendah</v>
      </c>
      <c r="V1194" s="2"/>
    </row>
    <row r="1195" spans="1:22" ht="15.75" customHeight="1" x14ac:dyDescent="0.25">
      <c r="A1195" s="26"/>
      <c r="B1195" s="2" t="s">
        <v>1585</v>
      </c>
      <c r="C1195" s="32">
        <v>45778.390381944453</v>
      </c>
      <c r="D1195" s="53">
        <f>YEAR(Table1[[#This Row],[Order Date]])</f>
        <v>2025</v>
      </c>
      <c r="E1195" s="2" t="s">
        <v>695</v>
      </c>
      <c r="F1195" s="2" t="s">
        <v>119</v>
      </c>
      <c r="G1195" s="2" t="s">
        <v>38</v>
      </c>
      <c r="H1195" s="23">
        <v>28000</v>
      </c>
      <c r="I1195" s="2">
        <v>3</v>
      </c>
      <c r="J1195" s="31">
        <v>15</v>
      </c>
      <c r="K1195" s="7">
        <f t="shared" si="72"/>
        <v>84000</v>
      </c>
      <c r="L1195" s="7">
        <f t="shared" si="73"/>
        <v>12600</v>
      </c>
      <c r="M1195" s="7">
        <f t="shared" si="74"/>
        <v>71400</v>
      </c>
      <c r="N1195" s="23">
        <v>0</v>
      </c>
      <c r="O1195" s="7">
        <f t="shared" si="75"/>
        <v>71400</v>
      </c>
      <c r="P1195" s="2" t="s">
        <v>35</v>
      </c>
      <c r="Q1195" t="str">
        <f>_xlfn.XLOOKUP(B1195,Status!$A$2:$A$1867,Status!$B$2:$B$1867)</f>
        <v>Completed</v>
      </c>
      <c r="R1195" s="2" t="s">
        <v>82</v>
      </c>
      <c r="S1195" s="8">
        <v>4</v>
      </c>
      <c r="T1195" s="2" t="s">
        <v>24</v>
      </c>
      <c r="U1195" s="31" t="str" cm="1">
        <f t="array" ref="U1195">_xlfn.IFS(L1195&lt;=5000,$Z$3,AND(L1195&gt;5000,L1195&lt;=15000),$Z$4,AND(L1195&gt;15000,L1195&lt;=30000),$Z$5,AND(L1195&gt;30000,L1195&lt;=50000),$Z$6,L1195&gt;50000,$Z$7)</f>
        <v>Rendah</v>
      </c>
      <c r="V1195" s="2"/>
    </row>
    <row r="1196" spans="1:22" ht="15.75" customHeight="1" x14ac:dyDescent="0.25">
      <c r="A1196" s="26"/>
      <c r="B1196" s="2" t="s">
        <v>1585</v>
      </c>
      <c r="C1196" s="32">
        <v>45778.390381944453</v>
      </c>
      <c r="D1196" s="53">
        <f>YEAR(Table1[[#This Row],[Order Date]])</f>
        <v>2025</v>
      </c>
      <c r="E1196" s="2" t="s">
        <v>695</v>
      </c>
      <c r="F1196" s="2" t="s">
        <v>119</v>
      </c>
      <c r="G1196" s="2" t="s">
        <v>138</v>
      </c>
      <c r="H1196" s="23">
        <v>17000</v>
      </c>
      <c r="I1196" s="2">
        <v>4</v>
      </c>
      <c r="J1196" s="31">
        <v>20</v>
      </c>
      <c r="K1196" s="7">
        <f t="shared" si="72"/>
        <v>68000</v>
      </c>
      <c r="L1196" s="7">
        <f t="shared" si="73"/>
        <v>13600</v>
      </c>
      <c r="M1196" s="7">
        <f t="shared" si="74"/>
        <v>54400</v>
      </c>
      <c r="N1196" s="23">
        <v>0</v>
      </c>
      <c r="O1196" s="7">
        <f t="shared" si="75"/>
        <v>54400</v>
      </c>
      <c r="P1196" s="2" t="s">
        <v>35</v>
      </c>
      <c r="Q1196" t="str">
        <f>_xlfn.XLOOKUP(B1196,Status!$A$2:$A$1867,Status!$B$2:$B$1867)</f>
        <v>Completed</v>
      </c>
      <c r="R1196" s="2" t="s">
        <v>82</v>
      </c>
      <c r="S1196" s="8">
        <v>4</v>
      </c>
      <c r="T1196" s="2" t="s">
        <v>24</v>
      </c>
      <c r="U1196" s="31" t="str" cm="1">
        <f t="array" ref="U1196">_xlfn.IFS(L1196&lt;=5000,$Z$3,AND(L1196&gt;5000,L1196&lt;=15000),$Z$4,AND(L1196&gt;15000,L1196&lt;=30000),$Z$5,AND(L1196&gt;30000,L1196&lt;=50000),$Z$6,L1196&gt;50000,$Z$7)</f>
        <v>Rendah</v>
      </c>
      <c r="V1196" s="2"/>
    </row>
    <row r="1197" spans="1:22" ht="15.75" customHeight="1" x14ac:dyDescent="0.25">
      <c r="A1197" s="26"/>
      <c r="B1197" s="2" t="s">
        <v>1586</v>
      </c>
      <c r="C1197" s="32">
        <v>45778.748715277783</v>
      </c>
      <c r="D1197" s="53">
        <f>YEAR(Table1[[#This Row],[Order Date]])</f>
        <v>2025</v>
      </c>
      <c r="E1197" s="2" t="s">
        <v>1509</v>
      </c>
      <c r="F1197" s="2" t="s">
        <v>122</v>
      </c>
      <c r="G1197" s="2" t="s">
        <v>104</v>
      </c>
      <c r="H1197" s="23">
        <v>30000</v>
      </c>
      <c r="I1197" s="2">
        <v>1</v>
      </c>
      <c r="J1197" s="31">
        <v>0</v>
      </c>
      <c r="K1197" s="7">
        <f t="shared" si="72"/>
        <v>30000</v>
      </c>
      <c r="L1197" s="7">
        <f t="shared" si="73"/>
        <v>0</v>
      </c>
      <c r="M1197" s="7">
        <f t="shared" si="74"/>
        <v>30000</v>
      </c>
      <c r="N1197" s="23">
        <v>78000</v>
      </c>
      <c r="O1197" s="7">
        <f t="shared" si="75"/>
        <v>108000</v>
      </c>
      <c r="P1197" s="2" t="s">
        <v>63</v>
      </c>
      <c r="Q1197" t="str">
        <f>_xlfn.XLOOKUP(B1197,Status!$A$2:$A$1867,Status!$B$2:$B$1867)</f>
        <v>Completed</v>
      </c>
      <c r="R1197" s="2" t="s">
        <v>46</v>
      </c>
      <c r="S1197" s="8">
        <v>5</v>
      </c>
      <c r="T1197" s="2" t="s">
        <v>24</v>
      </c>
      <c r="U1197" s="31" t="str" cm="1">
        <f t="array" ref="U1197">_xlfn.IFS(L1197&lt;=5000,$Z$3,AND(L1197&gt;5000,L1197&lt;=15000),$Z$4,AND(L1197&gt;15000,L1197&lt;=30000),$Z$5,AND(L1197&gt;30000,L1197&lt;=50000),$Z$6,L1197&gt;50000,$Z$7)</f>
        <v>Sangat Rendah</v>
      </c>
      <c r="V1197" s="2"/>
    </row>
    <row r="1198" spans="1:22" ht="15.75" customHeight="1" x14ac:dyDescent="0.25">
      <c r="A1198" s="26"/>
      <c r="B1198" s="2" t="s">
        <v>1587</v>
      </c>
      <c r="C1198" s="32">
        <v>45778.814942129633</v>
      </c>
      <c r="D1198" s="53">
        <f>YEAR(Table1[[#This Row],[Order Date]])</f>
        <v>2025</v>
      </c>
      <c r="E1198" s="2" t="s">
        <v>1128</v>
      </c>
      <c r="F1198" s="2" t="s">
        <v>113</v>
      </c>
      <c r="G1198" s="2" t="s">
        <v>123</v>
      </c>
      <c r="H1198" s="23">
        <v>22000</v>
      </c>
      <c r="I1198" s="2">
        <v>1</v>
      </c>
      <c r="J1198" s="31">
        <v>10</v>
      </c>
      <c r="K1198" s="7">
        <f t="shared" si="72"/>
        <v>22000</v>
      </c>
      <c r="L1198" s="7">
        <f t="shared" si="73"/>
        <v>2200</v>
      </c>
      <c r="M1198" s="7">
        <f t="shared" si="74"/>
        <v>19800</v>
      </c>
      <c r="N1198" s="23">
        <v>18000</v>
      </c>
      <c r="O1198" s="7">
        <f t="shared" si="75"/>
        <v>37800</v>
      </c>
      <c r="P1198" s="2" t="s">
        <v>35</v>
      </c>
      <c r="Q1198" t="str">
        <f>_xlfn.XLOOKUP(B1198,Status!$A$2:$A$1867,Status!$B$2:$B$1867)</f>
        <v>Completed</v>
      </c>
      <c r="R1198" s="2" t="s">
        <v>30</v>
      </c>
      <c r="S1198" s="8">
        <v>2</v>
      </c>
      <c r="T1198" s="2" t="s">
        <v>24</v>
      </c>
      <c r="U1198" s="31" t="str" cm="1">
        <f t="array" ref="U1198">_xlfn.IFS(L1198&lt;=5000,$Z$3,AND(L1198&gt;5000,L1198&lt;=15000),$Z$4,AND(L1198&gt;15000,L1198&lt;=30000),$Z$5,AND(L1198&gt;30000,L1198&lt;=50000),$Z$6,L1198&gt;50000,$Z$7)</f>
        <v>Sangat Rendah</v>
      </c>
      <c r="V1198" s="2"/>
    </row>
    <row r="1199" spans="1:22" ht="15.75" customHeight="1" x14ac:dyDescent="0.25">
      <c r="A1199" s="26"/>
      <c r="B1199" s="2" t="s">
        <v>1587</v>
      </c>
      <c r="C1199" s="32">
        <v>45778.814942129633</v>
      </c>
      <c r="D1199" s="53">
        <f>YEAR(Table1[[#This Row],[Order Date]])</f>
        <v>2025</v>
      </c>
      <c r="E1199" s="2" t="s">
        <v>1128</v>
      </c>
      <c r="F1199" s="2" t="s">
        <v>113</v>
      </c>
      <c r="G1199" s="2" t="s">
        <v>41</v>
      </c>
      <c r="H1199" s="23">
        <v>4000</v>
      </c>
      <c r="I1199" s="2">
        <v>1</v>
      </c>
      <c r="J1199" s="31">
        <v>5</v>
      </c>
      <c r="K1199" s="7">
        <f t="shared" si="72"/>
        <v>4000</v>
      </c>
      <c r="L1199" s="7">
        <f t="shared" si="73"/>
        <v>200</v>
      </c>
      <c r="M1199" s="7">
        <f t="shared" si="74"/>
        <v>3800</v>
      </c>
      <c r="N1199" s="23">
        <v>0</v>
      </c>
      <c r="O1199" s="7">
        <f t="shared" si="75"/>
        <v>3800</v>
      </c>
      <c r="P1199" s="2" t="s">
        <v>35</v>
      </c>
      <c r="Q1199" t="str">
        <f>_xlfn.XLOOKUP(B1199,Status!$A$2:$A$1867,Status!$B$2:$B$1867)</f>
        <v>Completed</v>
      </c>
      <c r="R1199" s="2" t="s">
        <v>30</v>
      </c>
      <c r="S1199" s="8">
        <v>2</v>
      </c>
      <c r="T1199" s="2" t="s">
        <v>24</v>
      </c>
      <c r="U1199" s="31" t="str" cm="1">
        <f t="array" ref="U1199">_xlfn.IFS(L1199&lt;=5000,$Z$3,AND(L1199&gt;5000,L1199&lt;=15000),$Z$4,AND(L1199&gt;15000,L1199&lt;=30000),$Z$5,AND(L1199&gt;30000,L1199&lt;=50000),$Z$6,L1199&gt;50000,$Z$7)</f>
        <v>Sangat Rendah</v>
      </c>
      <c r="V1199" s="2"/>
    </row>
    <row r="1200" spans="1:22" ht="15.75" customHeight="1" x14ac:dyDescent="0.25">
      <c r="A1200" s="26"/>
      <c r="B1200" s="2" t="s">
        <v>1588</v>
      </c>
      <c r="C1200" s="32">
        <v>45779.01703703704</v>
      </c>
      <c r="D1200" s="53">
        <f>YEAR(Table1[[#This Row],[Order Date]])</f>
        <v>2025</v>
      </c>
      <c r="E1200" s="2" t="s">
        <v>218</v>
      </c>
      <c r="F1200" s="2" t="s">
        <v>170</v>
      </c>
      <c r="G1200" s="2" t="s">
        <v>50</v>
      </c>
      <c r="H1200" s="23">
        <v>14000</v>
      </c>
      <c r="I1200" s="2">
        <v>5</v>
      </c>
      <c r="J1200" s="31">
        <v>0</v>
      </c>
      <c r="K1200" s="7">
        <f t="shared" si="72"/>
        <v>70000</v>
      </c>
      <c r="L1200" s="7">
        <f t="shared" si="73"/>
        <v>0</v>
      </c>
      <c r="M1200" s="7">
        <f t="shared" si="74"/>
        <v>70000</v>
      </c>
      <c r="N1200" s="23">
        <v>46000</v>
      </c>
      <c r="O1200" s="7">
        <f t="shared" si="75"/>
        <v>116000</v>
      </c>
      <c r="P1200" s="2" t="s">
        <v>63</v>
      </c>
      <c r="Q1200" t="str">
        <f>_xlfn.XLOOKUP(B1200,Status!$A$2:$A$1867,Status!$B$2:$B$1867)</f>
        <v>Completed</v>
      </c>
      <c r="R1200" s="2" t="s">
        <v>36</v>
      </c>
      <c r="S1200" s="8">
        <v>1</v>
      </c>
      <c r="T1200" s="2" t="s">
        <v>24</v>
      </c>
      <c r="U1200" s="31" t="str" cm="1">
        <f t="array" ref="U1200">_xlfn.IFS(L1200&lt;=5000,$Z$3,AND(L1200&gt;5000,L1200&lt;=15000),$Z$4,AND(L1200&gt;15000,L1200&lt;=30000),$Z$5,AND(L1200&gt;30000,L1200&lt;=50000),$Z$6,L1200&gt;50000,$Z$7)</f>
        <v>Sangat Rendah</v>
      </c>
      <c r="V1200" s="2"/>
    </row>
    <row r="1201" spans="1:22" ht="15.75" customHeight="1" x14ac:dyDescent="0.25">
      <c r="A1201" s="26"/>
      <c r="B1201" s="2" t="s">
        <v>1589</v>
      </c>
      <c r="C1201" s="32">
        <v>45779.146724537037</v>
      </c>
      <c r="D1201" s="53">
        <f>YEAR(Table1[[#This Row],[Order Date]])</f>
        <v>2025</v>
      </c>
      <c r="E1201" s="2" t="s">
        <v>654</v>
      </c>
      <c r="F1201" s="2" t="s">
        <v>375</v>
      </c>
      <c r="G1201" s="2" t="s">
        <v>45</v>
      </c>
      <c r="H1201" s="23">
        <v>40000</v>
      </c>
      <c r="I1201" s="2">
        <v>5</v>
      </c>
      <c r="J1201" s="31">
        <v>0</v>
      </c>
      <c r="K1201" s="7">
        <f t="shared" si="72"/>
        <v>200000</v>
      </c>
      <c r="L1201" s="7">
        <f t="shared" si="73"/>
        <v>0</v>
      </c>
      <c r="M1201" s="7">
        <f t="shared" si="74"/>
        <v>200000</v>
      </c>
      <c r="N1201" s="23">
        <v>21000</v>
      </c>
      <c r="O1201" s="7">
        <f t="shared" si="75"/>
        <v>221000</v>
      </c>
      <c r="P1201" s="2" t="s">
        <v>22</v>
      </c>
      <c r="Q1201" t="str">
        <f>_xlfn.XLOOKUP(B1201,Status!$A$2:$A$1867,Status!$B$2:$B$1867)</f>
        <v>Completed</v>
      </c>
      <c r="R1201" s="2" t="s">
        <v>30</v>
      </c>
      <c r="S1201" s="8">
        <v>3</v>
      </c>
      <c r="T1201" s="2" t="s">
        <v>24</v>
      </c>
      <c r="U1201" s="31" t="str" cm="1">
        <f t="array" ref="U1201">_xlfn.IFS(L1201&lt;=5000,$Z$3,AND(L1201&gt;5000,L1201&lt;=15000),$Z$4,AND(L1201&gt;15000,L1201&lt;=30000),$Z$5,AND(L1201&gt;30000,L1201&lt;=50000),$Z$6,L1201&gt;50000,$Z$7)</f>
        <v>Sangat Rendah</v>
      </c>
      <c r="V1201" s="2"/>
    </row>
    <row r="1202" spans="1:22" ht="15.75" customHeight="1" x14ac:dyDescent="0.25">
      <c r="A1202" s="26"/>
      <c r="B1202" s="2" t="s">
        <v>1590</v>
      </c>
      <c r="C1202" s="32">
        <v>45779.363807870373</v>
      </c>
      <c r="D1202" s="53">
        <f>YEAR(Table1[[#This Row],[Order Date]])</f>
        <v>2025</v>
      </c>
      <c r="E1202" s="2" t="s">
        <v>582</v>
      </c>
      <c r="F1202" s="2" t="s">
        <v>435</v>
      </c>
      <c r="G1202" s="2" t="s">
        <v>123</v>
      </c>
      <c r="H1202" s="23">
        <v>22000</v>
      </c>
      <c r="I1202" s="2">
        <v>2</v>
      </c>
      <c r="J1202" s="31">
        <v>5</v>
      </c>
      <c r="K1202" s="7">
        <f t="shared" si="72"/>
        <v>44000</v>
      </c>
      <c r="L1202" s="7">
        <f t="shared" si="73"/>
        <v>2200</v>
      </c>
      <c r="M1202" s="7">
        <f t="shared" si="74"/>
        <v>41800</v>
      </c>
      <c r="N1202" s="23">
        <v>67000</v>
      </c>
      <c r="O1202" s="7">
        <f t="shared" si="75"/>
        <v>108800</v>
      </c>
      <c r="P1202" s="2" t="s">
        <v>22</v>
      </c>
      <c r="Q1202" t="str">
        <f>_xlfn.XLOOKUP(B1202,Status!$A$2:$A$1867,Status!$B$2:$B$1867)</f>
        <v>Completed</v>
      </c>
      <c r="R1202" s="2" t="s">
        <v>23</v>
      </c>
      <c r="S1202" s="8">
        <v>3</v>
      </c>
      <c r="T1202" s="2" t="s">
        <v>24</v>
      </c>
      <c r="U1202" s="31" t="str" cm="1">
        <f t="array" ref="U1202">_xlfn.IFS(L1202&lt;=5000,$Z$3,AND(L1202&gt;5000,L1202&lt;=15000),$Z$4,AND(L1202&gt;15000,L1202&lt;=30000),$Z$5,AND(L1202&gt;30000,L1202&lt;=50000),$Z$6,L1202&gt;50000,$Z$7)</f>
        <v>Sangat Rendah</v>
      </c>
      <c r="V1202" s="2"/>
    </row>
    <row r="1203" spans="1:22" ht="15.75" customHeight="1" x14ac:dyDescent="0.25">
      <c r="A1203" s="26"/>
      <c r="B1203" s="2" t="s">
        <v>1591</v>
      </c>
      <c r="C1203" s="32">
        <v>45779.48777777778</v>
      </c>
      <c r="D1203" s="53">
        <f>YEAR(Table1[[#This Row],[Order Date]])</f>
        <v>2025</v>
      </c>
      <c r="E1203" s="2" t="s">
        <v>269</v>
      </c>
      <c r="F1203" s="2" t="s">
        <v>173</v>
      </c>
      <c r="G1203" s="2" t="s">
        <v>62</v>
      </c>
      <c r="H1203" s="23">
        <v>50000</v>
      </c>
      <c r="I1203" s="2">
        <v>4</v>
      </c>
      <c r="J1203" s="31">
        <v>0</v>
      </c>
      <c r="K1203" s="7">
        <f t="shared" si="72"/>
        <v>200000</v>
      </c>
      <c r="L1203" s="7">
        <f t="shared" si="73"/>
        <v>0</v>
      </c>
      <c r="M1203" s="7">
        <f t="shared" si="74"/>
        <v>200000</v>
      </c>
      <c r="N1203" s="23">
        <v>49000</v>
      </c>
      <c r="O1203" s="7">
        <f t="shared" si="75"/>
        <v>249000</v>
      </c>
      <c r="P1203" s="2" t="s">
        <v>22</v>
      </c>
      <c r="Q1203" t="str">
        <f>_xlfn.XLOOKUP(B1203,Status!$A$2:$A$1867,Status!$B$2:$B$1867)</f>
        <v>Completed</v>
      </c>
      <c r="R1203" s="2" t="s">
        <v>82</v>
      </c>
      <c r="S1203" s="8">
        <v>4</v>
      </c>
      <c r="T1203" s="2" t="s">
        <v>37</v>
      </c>
      <c r="U1203" s="31" t="str" cm="1">
        <f t="array" ref="U1203">_xlfn.IFS(L1203&lt;=5000,$Z$3,AND(L1203&gt;5000,L1203&lt;=15000),$Z$4,AND(L1203&gt;15000,L1203&lt;=30000),$Z$5,AND(L1203&gt;30000,L1203&lt;=50000),$Z$6,L1203&gt;50000,$Z$7)</f>
        <v>Sangat Rendah</v>
      </c>
      <c r="V1203" s="2"/>
    </row>
    <row r="1204" spans="1:22" ht="15.75" customHeight="1" x14ac:dyDescent="0.25">
      <c r="A1204" s="26"/>
      <c r="B1204" s="2" t="s">
        <v>1592</v>
      </c>
      <c r="C1204" s="32">
        <v>45779.547106481477</v>
      </c>
      <c r="D1204" s="53">
        <f>YEAR(Table1[[#This Row],[Order Date]])</f>
        <v>2025</v>
      </c>
      <c r="E1204" s="2" t="s">
        <v>924</v>
      </c>
      <c r="F1204" s="2" t="s">
        <v>20</v>
      </c>
      <c r="G1204" s="2" t="s">
        <v>34</v>
      </c>
      <c r="H1204" s="23">
        <v>16000</v>
      </c>
      <c r="I1204" s="2">
        <v>1</v>
      </c>
      <c r="J1204" s="31">
        <v>0</v>
      </c>
      <c r="K1204" s="7">
        <f t="shared" si="72"/>
        <v>16000</v>
      </c>
      <c r="L1204" s="7">
        <f t="shared" si="73"/>
        <v>0</v>
      </c>
      <c r="M1204" s="7">
        <f t="shared" si="74"/>
        <v>16000</v>
      </c>
      <c r="N1204" s="23">
        <v>15000</v>
      </c>
      <c r="O1204" s="7">
        <f t="shared" si="75"/>
        <v>31000</v>
      </c>
      <c r="P1204" s="2" t="s">
        <v>22</v>
      </c>
      <c r="Q1204" t="str">
        <f>_xlfn.XLOOKUP(B1204,Status!$A$2:$A$1867,Status!$B$2:$B$1867)</f>
        <v>Completed</v>
      </c>
      <c r="R1204" s="2" t="s">
        <v>46</v>
      </c>
      <c r="S1204" s="8">
        <v>4</v>
      </c>
      <c r="T1204" s="2" t="s">
        <v>37</v>
      </c>
      <c r="U1204" s="31" t="str" cm="1">
        <f t="array" ref="U1204">_xlfn.IFS(L1204&lt;=5000,$Z$3,AND(L1204&gt;5000,L1204&lt;=15000),$Z$4,AND(L1204&gt;15000,L1204&lt;=30000),$Z$5,AND(L1204&gt;30000,L1204&lt;=50000),$Z$6,L1204&gt;50000,$Z$7)</f>
        <v>Sangat Rendah</v>
      </c>
      <c r="V1204" s="2"/>
    </row>
    <row r="1205" spans="1:22" ht="15.75" customHeight="1" x14ac:dyDescent="0.25">
      <c r="A1205" s="26"/>
      <c r="B1205" s="2" t="s">
        <v>1592</v>
      </c>
      <c r="C1205" s="32">
        <v>45779.547106481477</v>
      </c>
      <c r="D1205" s="53">
        <f>YEAR(Table1[[#This Row],[Order Date]])</f>
        <v>2025</v>
      </c>
      <c r="E1205" s="2" t="s">
        <v>924</v>
      </c>
      <c r="F1205" s="2" t="s">
        <v>20</v>
      </c>
      <c r="G1205" s="2" t="s">
        <v>71</v>
      </c>
      <c r="H1205" s="23">
        <v>40000</v>
      </c>
      <c r="I1205" s="2">
        <v>5</v>
      </c>
      <c r="J1205" s="31">
        <v>20</v>
      </c>
      <c r="K1205" s="7">
        <f t="shared" si="72"/>
        <v>200000</v>
      </c>
      <c r="L1205" s="7">
        <f t="shared" si="73"/>
        <v>40000</v>
      </c>
      <c r="M1205" s="7">
        <f t="shared" si="74"/>
        <v>160000</v>
      </c>
      <c r="N1205" s="23">
        <v>0</v>
      </c>
      <c r="O1205" s="7">
        <f t="shared" si="75"/>
        <v>160000</v>
      </c>
      <c r="P1205" s="2" t="s">
        <v>22</v>
      </c>
      <c r="Q1205" t="str">
        <f>_xlfn.XLOOKUP(B1205,Status!$A$2:$A$1867,Status!$B$2:$B$1867)</f>
        <v>Completed</v>
      </c>
      <c r="R1205" s="2" t="s">
        <v>46</v>
      </c>
      <c r="S1205" s="8">
        <v>4</v>
      </c>
      <c r="T1205" s="2" t="s">
        <v>37</v>
      </c>
      <c r="U1205" s="31" t="str" cm="1">
        <f t="array" ref="U1205">_xlfn.IFS(L1205&lt;=5000,$Z$3,AND(L1205&gt;5000,L1205&lt;=15000),$Z$4,AND(L1205&gt;15000,L1205&lt;=30000),$Z$5,AND(L1205&gt;30000,L1205&lt;=50000),$Z$6,L1205&gt;50000,$Z$7)</f>
        <v>Tinggi</v>
      </c>
      <c r="V1205" s="2"/>
    </row>
    <row r="1206" spans="1:22" ht="15.75" customHeight="1" x14ac:dyDescent="0.25">
      <c r="A1206" s="26"/>
      <c r="B1206" s="2" t="s">
        <v>1593</v>
      </c>
      <c r="C1206" s="32">
        <v>45780.730775462973</v>
      </c>
      <c r="D1206" s="53">
        <f>YEAR(Table1[[#This Row],[Order Date]])</f>
        <v>2025</v>
      </c>
      <c r="E1206" s="2" t="s">
        <v>1348</v>
      </c>
      <c r="F1206" s="2" t="s">
        <v>296</v>
      </c>
      <c r="G1206" s="2" t="s">
        <v>138</v>
      </c>
      <c r="H1206" s="23">
        <v>17000</v>
      </c>
      <c r="I1206" s="2">
        <v>2</v>
      </c>
      <c r="J1206" s="31">
        <v>0</v>
      </c>
      <c r="K1206" s="7">
        <f t="shared" si="72"/>
        <v>34000</v>
      </c>
      <c r="L1206" s="7">
        <f t="shared" si="73"/>
        <v>0</v>
      </c>
      <c r="M1206" s="7">
        <f t="shared" si="74"/>
        <v>34000</v>
      </c>
      <c r="N1206" s="23">
        <v>79000</v>
      </c>
      <c r="O1206" s="7">
        <f t="shared" si="75"/>
        <v>113000</v>
      </c>
      <c r="P1206" s="2" t="s">
        <v>22</v>
      </c>
      <c r="Q1206" t="str">
        <f>_xlfn.XLOOKUP(B1206,Status!$A$2:$A$1867,Status!$B$2:$B$1867)</f>
        <v>Completed</v>
      </c>
      <c r="R1206" s="2" t="s">
        <v>30</v>
      </c>
      <c r="S1206" s="8">
        <v>4</v>
      </c>
      <c r="T1206" s="2" t="s">
        <v>24</v>
      </c>
      <c r="U1206" s="31" t="str" cm="1">
        <f t="array" ref="U1206">_xlfn.IFS(L1206&lt;=5000,$Z$3,AND(L1206&gt;5000,L1206&lt;=15000),$Z$4,AND(L1206&gt;15000,L1206&lt;=30000),$Z$5,AND(L1206&gt;30000,L1206&lt;=50000),$Z$6,L1206&gt;50000,$Z$7)</f>
        <v>Sangat Rendah</v>
      </c>
      <c r="V1206" s="2"/>
    </row>
    <row r="1207" spans="1:22" ht="15.75" customHeight="1" x14ac:dyDescent="0.25">
      <c r="A1207" s="26"/>
      <c r="B1207" s="2" t="s">
        <v>1594</v>
      </c>
      <c r="C1207" s="32">
        <v>45781.263715277782</v>
      </c>
      <c r="D1207" s="53">
        <f>YEAR(Table1[[#This Row],[Order Date]])</f>
        <v>2025</v>
      </c>
      <c r="E1207" s="2" t="s">
        <v>1025</v>
      </c>
      <c r="F1207" s="2" t="s">
        <v>119</v>
      </c>
      <c r="G1207" s="2" t="s">
        <v>28</v>
      </c>
      <c r="H1207" s="23">
        <v>5000</v>
      </c>
      <c r="I1207" s="2">
        <v>2</v>
      </c>
      <c r="J1207" s="31">
        <v>10</v>
      </c>
      <c r="K1207" s="7">
        <f t="shared" si="72"/>
        <v>10000</v>
      </c>
      <c r="L1207" s="7">
        <f t="shared" si="73"/>
        <v>1000</v>
      </c>
      <c r="M1207" s="7">
        <f t="shared" si="74"/>
        <v>9000</v>
      </c>
      <c r="N1207" s="23">
        <v>0</v>
      </c>
      <c r="O1207" s="7">
        <f t="shared" si="75"/>
        <v>9000</v>
      </c>
      <c r="P1207" s="2" t="s">
        <v>63</v>
      </c>
      <c r="Q1207" t="str">
        <f>_xlfn.XLOOKUP(B1207,Status!$A$2:$A$1867,Status!$B$2:$B$1867)</f>
        <v>Completed</v>
      </c>
      <c r="R1207" s="2" t="s">
        <v>30</v>
      </c>
      <c r="S1207" s="8">
        <v>5</v>
      </c>
      <c r="T1207" s="2" t="s">
        <v>24</v>
      </c>
      <c r="U1207" s="31" t="str" cm="1">
        <f t="array" ref="U1207">_xlfn.IFS(L1207&lt;=5000,$Z$3,AND(L1207&gt;5000,L1207&lt;=15000),$Z$4,AND(L1207&gt;15000,L1207&lt;=30000),$Z$5,AND(L1207&gt;30000,L1207&lt;=50000),$Z$6,L1207&gt;50000,$Z$7)</f>
        <v>Sangat Rendah</v>
      </c>
      <c r="V1207" s="2"/>
    </row>
    <row r="1208" spans="1:22" ht="15.75" customHeight="1" x14ac:dyDescent="0.25">
      <c r="A1208" s="26"/>
      <c r="B1208" s="2" t="s">
        <v>1595</v>
      </c>
      <c r="C1208" s="32">
        <v>45781.320289351846</v>
      </c>
      <c r="D1208" s="53">
        <f>YEAR(Table1[[#This Row],[Order Date]])</f>
        <v>2025</v>
      </c>
      <c r="E1208" s="2" t="s">
        <v>729</v>
      </c>
      <c r="F1208" s="2" t="s">
        <v>74</v>
      </c>
      <c r="G1208" s="2" t="s">
        <v>136</v>
      </c>
      <c r="H1208" s="23">
        <v>12000</v>
      </c>
      <c r="I1208" s="2">
        <v>2</v>
      </c>
      <c r="J1208" s="31">
        <v>20</v>
      </c>
      <c r="K1208" s="7">
        <f t="shared" si="72"/>
        <v>24000</v>
      </c>
      <c r="L1208" s="7">
        <f t="shared" si="73"/>
        <v>4800</v>
      </c>
      <c r="M1208" s="7">
        <f t="shared" si="74"/>
        <v>19200</v>
      </c>
      <c r="N1208" s="23">
        <v>87000</v>
      </c>
      <c r="O1208" s="7">
        <f t="shared" si="75"/>
        <v>106200</v>
      </c>
      <c r="P1208" s="2" t="s">
        <v>63</v>
      </c>
      <c r="Q1208" t="str">
        <f>_xlfn.XLOOKUP(B1208,Status!$A$2:$A$1867,Status!$B$2:$B$1867)</f>
        <v>Returned</v>
      </c>
      <c r="R1208" s="2" t="s">
        <v>23</v>
      </c>
      <c r="S1208" s="8">
        <v>3</v>
      </c>
      <c r="T1208" s="2" t="s">
        <v>24</v>
      </c>
      <c r="U1208" s="31" t="str" cm="1">
        <f t="array" ref="U1208">_xlfn.IFS(L1208&lt;=5000,$Z$3,AND(L1208&gt;5000,L1208&lt;=15000),$Z$4,AND(L1208&gt;15000,L1208&lt;=30000),$Z$5,AND(L1208&gt;30000,L1208&lt;=50000),$Z$6,L1208&gt;50000,$Z$7)</f>
        <v>Sangat Rendah</v>
      </c>
      <c r="V1208" s="2"/>
    </row>
    <row r="1209" spans="1:22" ht="15.75" customHeight="1" x14ac:dyDescent="0.25">
      <c r="A1209" s="26"/>
      <c r="B1209" s="2" t="s">
        <v>1596</v>
      </c>
      <c r="C1209" s="32">
        <v>45781.498402777783</v>
      </c>
      <c r="D1209" s="53">
        <f>YEAR(Table1[[#This Row],[Order Date]])</f>
        <v>2025</v>
      </c>
      <c r="E1209" s="2" t="s">
        <v>176</v>
      </c>
      <c r="F1209" s="2" t="s">
        <v>177</v>
      </c>
      <c r="G1209" s="2" t="s">
        <v>21</v>
      </c>
      <c r="H1209" s="23">
        <v>45000</v>
      </c>
      <c r="I1209" s="2">
        <v>5</v>
      </c>
      <c r="J1209" s="31">
        <v>5</v>
      </c>
      <c r="K1209" s="7">
        <f t="shared" si="72"/>
        <v>225000</v>
      </c>
      <c r="L1209" s="7">
        <f t="shared" si="73"/>
        <v>11250</v>
      </c>
      <c r="M1209" s="7">
        <f t="shared" si="74"/>
        <v>213750</v>
      </c>
      <c r="N1209" s="23">
        <v>56000</v>
      </c>
      <c r="O1209" s="7">
        <f t="shared" si="75"/>
        <v>269750</v>
      </c>
      <c r="P1209" s="2" t="s">
        <v>63</v>
      </c>
      <c r="Q1209" t="str">
        <f>_xlfn.XLOOKUP(B1209,Status!$A$2:$A$1867,Status!$B$2:$B$1867)</f>
        <v>Completed</v>
      </c>
      <c r="R1209" s="2" t="s">
        <v>30</v>
      </c>
      <c r="S1209" s="8">
        <v>4</v>
      </c>
      <c r="T1209" s="2" t="s">
        <v>24</v>
      </c>
      <c r="U1209" s="31" t="str" cm="1">
        <f t="array" ref="U1209">_xlfn.IFS(L1209&lt;=5000,$Z$3,AND(L1209&gt;5000,L1209&lt;=15000),$Z$4,AND(L1209&gt;15000,L1209&lt;=30000),$Z$5,AND(L1209&gt;30000,L1209&lt;=50000),$Z$6,L1209&gt;50000,$Z$7)</f>
        <v>Rendah</v>
      </c>
      <c r="V1209" s="2"/>
    </row>
    <row r="1210" spans="1:22" ht="15.75" customHeight="1" x14ac:dyDescent="0.25">
      <c r="A1210" s="26"/>
      <c r="B1210" s="2" t="s">
        <v>1597</v>
      </c>
      <c r="C1210" s="32">
        <v>45781.657546296286</v>
      </c>
      <c r="D1210" s="53">
        <f>YEAR(Table1[[#This Row],[Order Date]])</f>
        <v>2025</v>
      </c>
      <c r="E1210" s="2" t="s">
        <v>763</v>
      </c>
      <c r="F1210" s="2" t="s">
        <v>74</v>
      </c>
      <c r="G1210" s="2" t="s">
        <v>104</v>
      </c>
      <c r="H1210" s="23">
        <v>30000</v>
      </c>
      <c r="I1210" s="2">
        <v>3</v>
      </c>
      <c r="J1210" s="31">
        <v>20</v>
      </c>
      <c r="K1210" s="7">
        <f t="shared" si="72"/>
        <v>90000</v>
      </c>
      <c r="L1210" s="7">
        <f t="shared" si="73"/>
        <v>18000</v>
      </c>
      <c r="M1210" s="7">
        <f t="shared" si="74"/>
        <v>72000</v>
      </c>
      <c r="N1210" s="23">
        <v>87000</v>
      </c>
      <c r="O1210" s="7">
        <f t="shared" si="75"/>
        <v>159000</v>
      </c>
      <c r="P1210" s="2" t="s">
        <v>35</v>
      </c>
      <c r="Q1210" t="str">
        <f>_xlfn.XLOOKUP(B1210,Status!$A$2:$A$1867,Status!$B$2:$B$1867)</f>
        <v>Completed</v>
      </c>
      <c r="R1210" s="2" t="s">
        <v>30</v>
      </c>
      <c r="S1210" s="8">
        <v>2</v>
      </c>
      <c r="T1210" s="2" t="s">
        <v>24</v>
      </c>
      <c r="U1210" s="31" t="str" cm="1">
        <f t="array" ref="U1210">_xlfn.IFS(L1210&lt;=5000,$Z$3,AND(L1210&gt;5000,L1210&lt;=15000),$Z$4,AND(L1210&gt;15000,L1210&lt;=30000),$Z$5,AND(L1210&gt;30000,L1210&lt;=50000),$Z$6,L1210&gt;50000,$Z$7)</f>
        <v>Normal</v>
      </c>
      <c r="V1210" s="2"/>
    </row>
    <row r="1211" spans="1:22" ht="15.75" customHeight="1" x14ac:dyDescent="0.25">
      <c r="A1211" s="26"/>
      <c r="B1211" s="2" t="s">
        <v>1598</v>
      </c>
      <c r="C1211" s="32">
        <v>45781.945763888893</v>
      </c>
      <c r="D1211" s="53">
        <f>YEAR(Table1[[#This Row],[Order Date]])</f>
        <v>2025</v>
      </c>
      <c r="E1211" s="2" t="s">
        <v>269</v>
      </c>
      <c r="F1211" s="2" t="s">
        <v>173</v>
      </c>
      <c r="G1211" s="2" t="s">
        <v>250</v>
      </c>
      <c r="H1211" s="23">
        <v>18000</v>
      </c>
      <c r="I1211" s="2">
        <v>5</v>
      </c>
      <c r="J1211" s="31">
        <v>20</v>
      </c>
      <c r="K1211" s="7">
        <f t="shared" si="72"/>
        <v>90000</v>
      </c>
      <c r="L1211" s="7">
        <f t="shared" si="73"/>
        <v>18000</v>
      </c>
      <c r="M1211" s="7">
        <f t="shared" si="74"/>
        <v>72000</v>
      </c>
      <c r="N1211" s="23">
        <v>49000</v>
      </c>
      <c r="O1211" s="7">
        <f t="shared" si="75"/>
        <v>121000</v>
      </c>
      <c r="P1211" s="2" t="s">
        <v>35</v>
      </c>
      <c r="Q1211" t="str">
        <f>_xlfn.XLOOKUP(B1211,Status!$A$2:$A$1867,Status!$B$2:$B$1867)</f>
        <v>Completed</v>
      </c>
      <c r="R1211" s="2" t="s">
        <v>23</v>
      </c>
      <c r="S1211" s="8">
        <v>4</v>
      </c>
      <c r="T1211" s="2" t="s">
        <v>37</v>
      </c>
      <c r="U1211" s="31" t="str" cm="1">
        <f t="array" ref="U1211">_xlfn.IFS(L1211&lt;=5000,$Z$3,AND(L1211&gt;5000,L1211&lt;=15000),$Z$4,AND(L1211&gt;15000,L1211&lt;=30000),$Z$5,AND(L1211&gt;30000,L1211&lt;=50000),$Z$6,L1211&gt;50000,$Z$7)</f>
        <v>Normal</v>
      </c>
      <c r="V1211" s="2"/>
    </row>
    <row r="1212" spans="1:22" ht="15.75" customHeight="1" x14ac:dyDescent="0.25">
      <c r="A1212" s="26"/>
      <c r="B1212" s="2" t="s">
        <v>1599</v>
      </c>
      <c r="C1212" s="32">
        <v>45782.263657407413</v>
      </c>
      <c r="D1212" s="53">
        <f>YEAR(Table1[[#This Row],[Order Date]])</f>
        <v>2025</v>
      </c>
      <c r="E1212" s="2" t="s">
        <v>900</v>
      </c>
      <c r="F1212" s="2" t="s">
        <v>27</v>
      </c>
      <c r="G1212" s="2" t="s">
        <v>28</v>
      </c>
      <c r="H1212" s="23">
        <v>5000</v>
      </c>
      <c r="I1212" s="2">
        <v>3</v>
      </c>
      <c r="J1212" s="31">
        <v>15</v>
      </c>
      <c r="K1212" s="7">
        <f t="shared" si="72"/>
        <v>15000</v>
      </c>
      <c r="L1212" s="7">
        <f t="shared" si="73"/>
        <v>2250</v>
      </c>
      <c r="M1212" s="7">
        <f t="shared" si="74"/>
        <v>12750</v>
      </c>
      <c r="N1212" s="23">
        <v>17000</v>
      </c>
      <c r="O1212" s="7">
        <f t="shared" si="75"/>
        <v>29750</v>
      </c>
      <c r="P1212" s="2" t="s">
        <v>35</v>
      </c>
      <c r="Q1212" t="str">
        <f>_xlfn.XLOOKUP(B1212,Status!$A$2:$A$1867,Status!$B$2:$B$1867)</f>
        <v>Completed</v>
      </c>
      <c r="R1212" s="2" t="s">
        <v>23</v>
      </c>
      <c r="S1212" s="8">
        <v>3</v>
      </c>
      <c r="T1212" s="2" t="s">
        <v>24</v>
      </c>
      <c r="U1212" s="31" t="str" cm="1">
        <f t="array" ref="U1212">_xlfn.IFS(L1212&lt;=5000,$Z$3,AND(L1212&gt;5000,L1212&lt;=15000),$Z$4,AND(L1212&gt;15000,L1212&lt;=30000),$Z$5,AND(L1212&gt;30000,L1212&lt;=50000),$Z$6,L1212&gt;50000,$Z$7)</f>
        <v>Sangat Rendah</v>
      </c>
      <c r="V1212" s="2"/>
    </row>
    <row r="1213" spans="1:22" ht="15.75" customHeight="1" x14ac:dyDescent="0.25">
      <c r="A1213" s="26"/>
      <c r="B1213" s="2" t="s">
        <v>1600</v>
      </c>
      <c r="C1213" s="32">
        <v>45782.472997685189</v>
      </c>
      <c r="D1213" s="53">
        <f>YEAR(Table1[[#This Row],[Order Date]])</f>
        <v>2025</v>
      </c>
      <c r="E1213" s="2" t="s">
        <v>570</v>
      </c>
      <c r="F1213" s="2" t="s">
        <v>80</v>
      </c>
      <c r="G1213" s="2" t="s">
        <v>88</v>
      </c>
      <c r="H1213" s="23">
        <v>14000</v>
      </c>
      <c r="I1213" s="2">
        <v>4</v>
      </c>
      <c r="J1213" s="31">
        <v>5</v>
      </c>
      <c r="K1213" s="7">
        <f t="shared" si="72"/>
        <v>56000</v>
      </c>
      <c r="L1213" s="7">
        <f t="shared" si="73"/>
        <v>2800</v>
      </c>
      <c r="M1213" s="7">
        <f t="shared" si="74"/>
        <v>53200</v>
      </c>
      <c r="N1213" s="23">
        <v>74000</v>
      </c>
      <c r="O1213" s="7">
        <f t="shared" si="75"/>
        <v>127200</v>
      </c>
      <c r="P1213" s="2" t="s">
        <v>22</v>
      </c>
      <c r="Q1213" t="str">
        <f>_xlfn.XLOOKUP(B1213,Status!$A$2:$A$1867,Status!$B$2:$B$1867)</f>
        <v>Completed</v>
      </c>
      <c r="R1213" s="2" t="s">
        <v>46</v>
      </c>
      <c r="S1213" s="8">
        <v>3</v>
      </c>
      <c r="T1213" s="2" t="s">
        <v>24</v>
      </c>
      <c r="U1213" s="31" t="str" cm="1">
        <f t="array" ref="U1213">_xlfn.IFS(L1213&lt;=5000,$Z$3,AND(L1213&gt;5000,L1213&lt;=15000),$Z$4,AND(L1213&gt;15000,L1213&lt;=30000),$Z$5,AND(L1213&gt;30000,L1213&lt;=50000),$Z$6,L1213&gt;50000,$Z$7)</f>
        <v>Sangat Rendah</v>
      </c>
      <c r="V1213" s="2"/>
    </row>
    <row r="1214" spans="1:22" ht="15.75" customHeight="1" x14ac:dyDescent="0.25">
      <c r="A1214" s="26"/>
      <c r="B1214" s="2" t="s">
        <v>1601</v>
      </c>
      <c r="C1214" s="32">
        <v>45782.481724537043</v>
      </c>
      <c r="D1214" s="53">
        <f>YEAR(Table1[[#This Row],[Order Date]])</f>
        <v>2025</v>
      </c>
      <c r="E1214" s="2" t="s">
        <v>140</v>
      </c>
      <c r="F1214" s="2" t="s">
        <v>92</v>
      </c>
      <c r="G1214" s="2" t="s">
        <v>54</v>
      </c>
      <c r="H1214" s="23">
        <v>16000</v>
      </c>
      <c r="I1214" s="2">
        <v>2</v>
      </c>
      <c r="J1214" s="31">
        <v>5</v>
      </c>
      <c r="K1214" s="7">
        <f t="shared" si="72"/>
        <v>32000</v>
      </c>
      <c r="L1214" s="7">
        <f t="shared" si="73"/>
        <v>1600</v>
      </c>
      <c r="M1214" s="7">
        <f t="shared" si="74"/>
        <v>30400</v>
      </c>
      <c r="N1214" s="23">
        <v>30000</v>
      </c>
      <c r="O1214" s="7">
        <f t="shared" si="75"/>
        <v>60400</v>
      </c>
      <c r="P1214" s="2" t="s">
        <v>35</v>
      </c>
      <c r="Q1214" t="str">
        <f>_xlfn.XLOOKUP(B1214,Status!$A$2:$A$1867,Status!$B$2:$B$1867)</f>
        <v>Completed</v>
      </c>
      <c r="R1214" s="2" t="s">
        <v>23</v>
      </c>
      <c r="S1214" s="8">
        <v>1</v>
      </c>
      <c r="T1214" s="2" t="s">
        <v>24</v>
      </c>
      <c r="U1214" s="31" t="str" cm="1">
        <f t="array" ref="U1214">_xlfn.IFS(L1214&lt;=5000,$Z$3,AND(L1214&gt;5000,L1214&lt;=15000),$Z$4,AND(L1214&gt;15000,L1214&lt;=30000),$Z$5,AND(L1214&gt;30000,L1214&lt;=50000),$Z$6,L1214&gt;50000,$Z$7)</f>
        <v>Sangat Rendah</v>
      </c>
      <c r="V1214" s="2"/>
    </row>
    <row r="1215" spans="1:22" ht="15.75" customHeight="1" x14ac:dyDescent="0.25">
      <c r="A1215" s="26"/>
      <c r="B1215" s="2" t="s">
        <v>1602</v>
      </c>
      <c r="C1215" s="32">
        <v>45782.513668981483</v>
      </c>
      <c r="D1215" s="53">
        <f>YEAR(Table1[[#This Row],[Order Date]])</f>
        <v>2025</v>
      </c>
      <c r="E1215" s="2" t="s">
        <v>429</v>
      </c>
      <c r="F1215" s="2" t="s">
        <v>177</v>
      </c>
      <c r="G1215" s="2" t="s">
        <v>104</v>
      </c>
      <c r="H1215" s="23">
        <v>30000</v>
      </c>
      <c r="I1215" s="2">
        <v>1</v>
      </c>
      <c r="J1215" s="31">
        <v>15</v>
      </c>
      <c r="K1215" s="7">
        <f t="shared" si="72"/>
        <v>30000</v>
      </c>
      <c r="L1215" s="7">
        <f t="shared" si="73"/>
        <v>4500</v>
      </c>
      <c r="M1215" s="7">
        <f t="shared" si="74"/>
        <v>25500</v>
      </c>
      <c r="N1215" s="23">
        <v>56000</v>
      </c>
      <c r="O1215" s="7">
        <f t="shared" si="75"/>
        <v>81500</v>
      </c>
      <c r="P1215" s="2" t="s">
        <v>29</v>
      </c>
      <c r="Q1215" t="str">
        <f>_xlfn.XLOOKUP(B1215,Status!$A$2:$A$1867,Status!$B$2:$B$1867)</f>
        <v>Completed</v>
      </c>
      <c r="R1215" s="2" t="s">
        <v>30</v>
      </c>
      <c r="S1215" s="8">
        <v>4</v>
      </c>
      <c r="T1215" s="2" t="s">
        <v>37</v>
      </c>
      <c r="U1215" s="31" t="str" cm="1">
        <f t="array" ref="U1215">_xlfn.IFS(L1215&lt;=5000,$Z$3,AND(L1215&gt;5000,L1215&lt;=15000),$Z$4,AND(L1215&gt;15000,L1215&lt;=30000),$Z$5,AND(L1215&gt;30000,L1215&lt;=50000),$Z$6,L1215&gt;50000,$Z$7)</f>
        <v>Sangat Rendah</v>
      </c>
      <c r="V1215" s="2"/>
    </row>
    <row r="1216" spans="1:22" ht="15.75" customHeight="1" x14ac:dyDescent="0.25">
      <c r="A1216" s="26"/>
      <c r="B1216" s="2" t="s">
        <v>1603</v>
      </c>
      <c r="C1216" s="32">
        <v>45782.594050925924</v>
      </c>
      <c r="D1216" s="53">
        <f>YEAR(Table1[[#This Row],[Order Date]])</f>
        <v>2025</v>
      </c>
      <c r="E1216" s="2" t="s">
        <v>681</v>
      </c>
      <c r="F1216" s="2" t="s">
        <v>262</v>
      </c>
      <c r="G1216" s="2" t="s">
        <v>110</v>
      </c>
      <c r="H1216" s="23">
        <v>6000</v>
      </c>
      <c r="I1216" s="2">
        <v>5</v>
      </c>
      <c r="J1216" s="31">
        <v>20</v>
      </c>
      <c r="K1216" s="7">
        <f t="shared" si="72"/>
        <v>30000</v>
      </c>
      <c r="L1216" s="7">
        <f t="shared" si="73"/>
        <v>6000</v>
      </c>
      <c r="M1216" s="7">
        <f t="shared" si="74"/>
        <v>24000</v>
      </c>
      <c r="N1216" s="23">
        <v>18000</v>
      </c>
      <c r="O1216" s="7">
        <f t="shared" si="75"/>
        <v>42000</v>
      </c>
      <c r="P1216" s="2" t="s">
        <v>29</v>
      </c>
      <c r="Q1216" t="str">
        <f>_xlfn.XLOOKUP(B1216,Status!$A$2:$A$1867,Status!$B$2:$B$1867)</f>
        <v>Completed</v>
      </c>
      <c r="R1216" s="2" t="s">
        <v>46</v>
      </c>
      <c r="S1216" s="8">
        <v>3</v>
      </c>
      <c r="T1216" s="2" t="s">
        <v>24</v>
      </c>
      <c r="U1216" s="31" t="str" cm="1">
        <f t="array" ref="U1216">_xlfn.IFS(L1216&lt;=5000,$Z$3,AND(L1216&gt;5000,L1216&lt;=15000),$Z$4,AND(L1216&gt;15000,L1216&lt;=30000),$Z$5,AND(L1216&gt;30000,L1216&lt;=50000),$Z$6,L1216&gt;50000,$Z$7)</f>
        <v>Rendah</v>
      </c>
      <c r="V1216" s="2"/>
    </row>
    <row r="1217" spans="1:22" ht="15.75" customHeight="1" x14ac:dyDescent="0.25">
      <c r="A1217" s="26"/>
      <c r="B1217" s="2" t="s">
        <v>1604</v>
      </c>
      <c r="C1217" s="32">
        <v>45782.730474537027</v>
      </c>
      <c r="D1217" s="53">
        <f>YEAR(Table1[[#This Row],[Order Date]])</f>
        <v>2025</v>
      </c>
      <c r="E1217" s="2" t="s">
        <v>1022</v>
      </c>
      <c r="F1217" s="2" t="s">
        <v>177</v>
      </c>
      <c r="G1217" s="2" t="s">
        <v>38</v>
      </c>
      <c r="H1217" s="23">
        <v>28000</v>
      </c>
      <c r="I1217" s="2">
        <v>5</v>
      </c>
      <c r="J1217" s="31">
        <v>5</v>
      </c>
      <c r="K1217" s="7">
        <f t="shared" si="72"/>
        <v>140000</v>
      </c>
      <c r="L1217" s="7">
        <f t="shared" si="73"/>
        <v>7000</v>
      </c>
      <c r="M1217" s="7">
        <f t="shared" si="74"/>
        <v>133000</v>
      </c>
      <c r="N1217" s="23">
        <v>56000</v>
      </c>
      <c r="O1217" s="7">
        <f t="shared" si="75"/>
        <v>189000</v>
      </c>
      <c r="P1217" s="2" t="s">
        <v>22</v>
      </c>
      <c r="Q1217" t="str">
        <f>_xlfn.XLOOKUP(B1217,Status!$A$2:$A$1867,Status!$B$2:$B$1867)</f>
        <v>Completed</v>
      </c>
      <c r="R1217" s="2" t="s">
        <v>36</v>
      </c>
      <c r="S1217" s="8">
        <v>2</v>
      </c>
      <c r="T1217" s="2" t="s">
        <v>24</v>
      </c>
      <c r="U1217" s="31" t="str" cm="1">
        <f t="array" ref="U1217">_xlfn.IFS(L1217&lt;=5000,$Z$3,AND(L1217&gt;5000,L1217&lt;=15000),$Z$4,AND(L1217&gt;15000,L1217&lt;=30000),$Z$5,AND(L1217&gt;30000,L1217&lt;=50000),$Z$6,L1217&gt;50000,$Z$7)</f>
        <v>Rendah</v>
      </c>
      <c r="V1217" s="2"/>
    </row>
    <row r="1218" spans="1:22" ht="15.75" customHeight="1" x14ac:dyDescent="0.25">
      <c r="A1218" s="26"/>
      <c r="B1218" s="2" t="s">
        <v>1605</v>
      </c>
      <c r="C1218" s="32">
        <v>45783.00677083333</v>
      </c>
      <c r="D1218" s="53">
        <f>YEAR(Table1[[#This Row],[Order Date]])</f>
        <v>2025</v>
      </c>
      <c r="E1218" s="2" t="s">
        <v>844</v>
      </c>
      <c r="F1218" s="2" t="s">
        <v>119</v>
      </c>
      <c r="G1218" s="2" t="s">
        <v>41</v>
      </c>
      <c r="H1218" s="23">
        <v>4000</v>
      </c>
      <c r="I1218" s="2">
        <v>4</v>
      </c>
      <c r="J1218" s="31">
        <v>20</v>
      </c>
      <c r="K1218" s="7">
        <f t="shared" si="72"/>
        <v>16000</v>
      </c>
      <c r="L1218" s="7">
        <f t="shared" si="73"/>
        <v>3200</v>
      </c>
      <c r="M1218" s="7">
        <f t="shared" si="74"/>
        <v>12800</v>
      </c>
      <c r="N1218" s="23">
        <v>0</v>
      </c>
      <c r="O1218" s="7">
        <f t="shared" si="75"/>
        <v>12800</v>
      </c>
      <c r="P1218" s="2" t="s">
        <v>63</v>
      </c>
      <c r="Q1218" t="str">
        <f>_xlfn.XLOOKUP(B1218,Status!$A$2:$A$1867,Status!$B$2:$B$1867)</f>
        <v>Completed</v>
      </c>
      <c r="R1218" s="2" t="s">
        <v>36</v>
      </c>
      <c r="S1218" s="8">
        <v>3</v>
      </c>
      <c r="T1218" s="2" t="s">
        <v>24</v>
      </c>
      <c r="U1218" s="31" t="str" cm="1">
        <f t="array" ref="U1218">_xlfn.IFS(L1218&lt;=5000,$Z$3,AND(L1218&gt;5000,L1218&lt;=15000),$Z$4,AND(L1218&gt;15000,L1218&lt;=30000),$Z$5,AND(L1218&gt;30000,L1218&lt;=50000),$Z$6,L1218&gt;50000,$Z$7)</f>
        <v>Sangat Rendah</v>
      </c>
      <c r="V1218" s="2"/>
    </row>
    <row r="1219" spans="1:22" ht="15.75" customHeight="1" x14ac:dyDescent="0.25">
      <c r="A1219" s="26"/>
      <c r="B1219" s="2" t="s">
        <v>1606</v>
      </c>
      <c r="C1219" s="32">
        <v>45783.035254629627</v>
      </c>
      <c r="D1219" s="53">
        <f>YEAR(Table1[[#This Row],[Order Date]])</f>
        <v>2025</v>
      </c>
      <c r="E1219" s="2" t="s">
        <v>91</v>
      </c>
      <c r="F1219" s="2" t="s">
        <v>92</v>
      </c>
      <c r="G1219" s="2" t="s">
        <v>104</v>
      </c>
      <c r="H1219" s="23">
        <v>30000</v>
      </c>
      <c r="I1219" s="2">
        <v>2</v>
      </c>
      <c r="J1219" s="31">
        <v>0</v>
      </c>
      <c r="K1219" s="7">
        <f t="shared" si="72"/>
        <v>60000</v>
      </c>
      <c r="L1219" s="7">
        <f t="shared" si="73"/>
        <v>0</v>
      </c>
      <c r="M1219" s="7">
        <f t="shared" si="74"/>
        <v>60000</v>
      </c>
      <c r="N1219" s="23">
        <v>30000</v>
      </c>
      <c r="O1219" s="7">
        <f t="shared" si="75"/>
        <v>90000</v>
      </c>
      <c r="P1219" s="2" t="s">
        <v>29</v>
      </c>
      <c r="Q1219" t="str">
        <f>_xlfn.XLOOKUP(B1219,Status!$A$2:$A$1867,Status!$B$2:$B$1867)</f>
        <v>Completed</v>
      </c>
      <c r="R1219" s="2" t="s">
        <v>23</v>
      </c>
      <c r="S1219" s="8">
        <v>2</v>
      </c>
      <c r="T1219" s="2" t="s">
        <v>24</v>
      </c>
      <c r="U1219" s="31" t="str" cm="1">
        <f t="array" ref="U1219">_xlfn.IFS(L1219&lt;=5000,$Z$3,AND(L1219&gt;5000,L1219&lt;=15000),$Z$4,AND(L1219&gt;15000,L1219&lt;=30000),$Z$5,AND(L1219&gt;30000,L1219&lt;=50000),$Z$6,L1219&gt;50000,$Z$7)</f>
        <v>Sangat Rendah</v>
      </c>
      <c r="V1219" s="2"/>
    </row>
    <row r="1220" spans="1:22" ht="15.75" customHeight="1" x14ac:dyDescent="0.25">
      <c r="A1220" s="26"/>
      <c r="B1220" s="2" t="s">
        <v>1606</v>
      </c>
      <c r="C1220" s="32">
        <v>45783.035254629627</v>
      </c>
      <c r="D1220" s="53">
        <f>YEAR(Table1[[#This Row],[Order Date]])</f>
        <v>2025</v>
      </c>
      <c r="E1220" s="2" t="s">
        <v>91</v>
      </c>
      <c r="F1220" s="2" t="s">
        <v>92</v>
      </c>
      <c r="G1220" s="2" t="s">
        <v>174</v>
      </c>
      <c r="H1220" s="23">
        <v>10000</v>
      </c>
      <c r="I1220" s="2">
        <v>3</v>
      </c>
      <c r="J1220" s="31">
        <v>15</v>
      </c>
      <c r="K1220" s="7">
        <f t="shared" ref="K1220:K1283" si="76">H1220*I1220</f>
        <v>30000</v>
      </c>
      <c r="L1220" s="7">
        <f t="shared" ref="L1220:L1283" si="77">K1220*(J1220/100)</f>
        <v>4500</v>
      </c>
      <c r="M1220" s="7">
        <f t="shared" ref="M1220:M1283" si="78">K1220-L1220</f>
        <v>25500</v>
      </c>
      <c r="N1220" s="23">
        <v>0</v>
      </c>
      <c r="O1220" s="7">
        <f t="shared" ref="O1220:O1283" si="79">SUM(M1220:N1220)</f>
        <v>25500</v>
      </c>
      <c r="P1220" s="2" t="s">
        <v>29</v>
      </c>
      <c r="Q1220" t="str">
        <f>_xlfn.XLOOKUP(B1220,Status!$A$2:$A$1867,Status!$B$2:$B$1867)</f>
        <v>Completed</v>
      </c>
      <c r="R1220" s="2" t="s">
        <v>23</v>
      </c>
      <c r="S1220" s="8">
        <v>2</v>
      </c>
      <c r="T1220" s="2" t="s">
        <v>24</v>
      </c>
      <c r="U1220" s="31" t="str" cm="1">
        <f t="array" ref="U1220">_xlfn.IFS(L1220&lt;=5000,$Z$3,AND(L1220&gt;5000,L1220&lt;=15000),$Z$4,AND(L1220&gt;15000,L1220&lt;=30000),$Z$5,AND(L1220&gt;30000,L1220&lt;=50000),$Z$6,L1220&gt;50000,$Z$7)</f>
        <v>Sangat Rendah</v>
      </c>
      <c r="V1220" s="2"/>
    </row>
    <row r="1221" spans="1:22" ht="15.75" customHeight="1" x14ac:dyDescent="0.25">
      <c r="A1221" s="26"/>
      <c r="B1221" s="2" t="s">
        <v>1607</v>
      </c>
      <c r="C1221" s="32">
        <v>45783.286585648151</v>
      </c>
      <c r="D1221" s="53">
        <f>YEAR(Table1[[#This Row],[Order Date]])</f>
        <v>2025</v>
      </c>
      <c r="E1221" s="2" t="s">
        <v>523</v>
      </c>
      <c r="F1221" s="2" t="s">
        <v>113</v>
      </c>
      <c r="G1221" s="2" t="s">
        <v>71</v>
      </c>
      <c r="H1221" s="23">
        <v>40000</v>
      </c>
      <c r="I1221" s="2">
        <v>5</v>
      </c>
      <c r="J1221" s="31">
        <v>20</v>
      </c>
      <c r="K1221" s="7">
        <f t="shared" si="76"/>
        <v>200000</v>
      </c>
      <c r="L1221" s="7">
        <f t="shared" si="77"/>
        <v>40000</v>
      </c>
      <c r="M1221" s="7">
        <f t="shared" si="78"/>
        <v>160000</v>
      </c>
      <c r="N1221" s="23">
        <v>18000</v>
      </c>
      <c r="O1221" s="7">
        <f t="shared" si="79"/>
        <v>178000</v>
      </c>
      <c r="P1221" s="2" t="s">
        <v>35</v>
      </c>
      <c r="Q1221" t="str">
        <f>_xlfn.XLOOKUP(B1221,Status!$A$2:$A$1867,Status!$B$2:$B$1867)</f>
        <v>Completed</v>
      </c>
      <c r="R1221" s="2" t="s">
        <v>46</v>
      </c>
      <c r="S1221" s="8">
        <v>4</v>
      </c>
      <c r="T1221" s="2" t="s">
        <v>24</v>
      </c>
      <c r="U1221" s="31" t="str" cm="1">
        <f t="array" ref="U1221">_xlfn.IFS(L1221&lt;=5000,$Z$3,AND(L1221&gt;5000,L1221&lt;=15000),$Z$4,AND(L1221&gt;15000,L1221&lt;=30000),$Z$5,AND(L1221&gt;30000,L1221&lt;=50000),$Z$6,L1221&gt;50000,$Z$7)</f>
        <v>Tinggi</v>
      </c>
      <c r="V1221" s="2"/>
    </row>
    <row r="1222" spans="1:22" ht="15.75" customHeight="1" x14ac:dyDescent="0.25">
      <c r="A1222" s="26"/>
      <c r="B1222" s="2" t="s">
        <v>1608</v>
      </c>
      <c r="C1222" s="32">
        <v>45783.322337962964</v>
      </c>
      <c r="D1222" s="53">
        <f>YEAR(Table1[[#This Row],[Order Date]])</f>
        <v>2025</v>
      </c>
      <c r="E1222" s="2" t="s">
        <v>772</v>
      </c>
      <c r="F1222" s="2" t="s">
        <v>113</v>
      </c>
      <c r="G1222" s="2" t="s">
        <v>110</v>
      </c>
      <c r="H1222" s="23">
        <v>6000</v>
      </c>
      <c r="I1222" s="2">
        <v>5</v>
      </c>
      <c r="J1222" s="31">
        <v>0</v>
      </c>
      <c r="K1222" s="7">
        <f t="shared" si="76"/>
        <v>30000</v>
      </c>
      <c r="L1222" s="7">
        <f t="shared" si="77"/>
        <v>0</v>
      </c>
      <c r="M1222" s="7">
        <f t="shared" si="78"/>
        <v>30000</v>
      </c>
      <c r="N1222" s="23">
        <v>18000</v>
      </c>
      <c r="O1222" s="7">
        <f t="shared" si="79"/>
        <v>48000</v>
      </c>
      <c r="P1222" s="2" t="s">
        <v>35</v>
      </c>
      <c r="Q1222" t="str">
        <f>_xlfn.XLOOKUP(B1222,Status!$A$2:$A$1867,Status!$B$2:$B$1867)</f>
        <v>Completed</v>
      </c>
      <c r="R1222" s="2" t="s">
        <v>30</v>
      </c>
      <c r="S1222" s="8">
        <v>1</v>
      </c>
      <c r="T1222" s="2" t="s">
        <v>24</v>
      </c>
      <c r="U1222" s="31" t="str" cm="1">
        <f t="array" ref="U1222">_xlfn.IFS(L1222&lt;=5000,$Z$3,AND(L1222&gt;5000,L1222&lt;=15000),$Z$4,AND(L1222&gt;15000,L1222&lt;=30000),$Z$5,AND(L1222&gt;30000,L1222&lt;=50000),$Z$6,L1222&gt;50000,$Z$7)</f>
        <v>Sangat Rendah</v>
      </c>
      <c r="V1222" s="2"/>
    </row>
    <row r="1223" spans="1:22" ht="15.75" customHeight="1" x14ac:dyDescent="0.25">
      <c r="A1223" s="26"/>
      <c r="B1223" s="2" t="s">
        <v>1609</v>
      </c>
      <c r="C1223" s="32">
        <v>45783.414594907408</v>
      </c>
      <c r="D1223" s="53">
        <f>YEAR(Table1[[#This Row],[Order Date]])</f>
        <v>2025</v>
      </c>
      <c r="E1223" s="2" t="s">
        <v>148</v>
      </c>
      <c r="F1223" s="2" t="s">
        <v>74</v>
      </c>
      <c r="G1223" s="2" t="s">
        <v>67</v>
      </c>
      <c r="H1223" s="23">
        <v>15000</v>
      </c>
      <c r="I1223" s="2">
        <v>3</v>
      </c>
      <c r="J1223" s="31">
        <v>5</v>
      </c>
      <c r="K1223" s="7">
        <f t="shared" si="76"/>
        <v>45000</v>
      </c>
      <c r="L1223" s="7">
        <f t="shared" si="77"/>
        <v>2250</v>
      </c>
      <c r="M1223" s="7">
        <f t="shared" si="78"/>
        <v>42750</v>
      </c>
      <c r="N1223" s="23">
        <v>87000</v>
      </c>
      <c r="O1223" s="7">
        <f t="shared" si="79"/>
        <v>129750</v>
      </c>
      <c r="P1223" s="2" t="s">
        <v>35</v>
      </c>
      <c r="Q1223" t="str">
        <f>_xlfn.XLOOKUP(B1223,Status!$A$2:$A$1867,Status!$B$2:$B$1867)</f>
        <v>Completed</v>
      </c>
      <c r="R1223" s="2" t="s">
        <v>30</v>
      </c>
      <c r="S1223" s="8">
        <v>2</v>
      </c>
      <c r="T1223" s="2" t="s">
        <v>24</v>
      </c>
      <c r="U1223" s="31" t="str" cm="1">
        <f t="array" ref="U1223">_xlfn.IFS(L1223&lt;=5000,$Z$3,AND(L1223&gt;5000,L1223&lt;=15000),$Z$4,AND(L1223&gt;15000,L1223&lt;=30000),$Z$5,AND(L1223&gt;30000,L1223&lt;=50000),$Z$6,L1223&gt;50000,$Z$7)</f>
        <v>Sangat Rendah</v>
      </c>
      <c r="V1223" s="2"/>
    </row>
    <row r="1224" spans="1:22" ht="15.75" customHeight="1" x14ac:dyDescent="0.25">
      <c r="A1224" s="26"/>
      <c r="B1224" s="2" t="s">
        <v>1610</v>
      </c>
      <c r="C1224" s="32">
        <v>45783.724490740737</v>
      </c>
      <c r="D1224" s="53">
        <f>YEAR(Table1[[#This Row],[Order Date]])</f>
        <v>2025</v>
      </c>
      <c r="E1224" s="2" t="s">
        <v>155</v>
      </c>
      <c r="F1224" s="2" t="s">
        <v>92</v>
      </c>
      <c r="G1224" s="2" t="s">
        <v>85</v>
      </c>
      <c r="H1224" s="23">
        <v>35000</v>
      </c>
      <c r="I1224" s="2">
        <v>5</v>
      </c>
      <c r="J1224" s="31">
        <v>10</v>
      </c>
      <c r="K1224" s="7">
        <f t="shared" si="76"/>
        <v>175000</v>
      </c>
      <c r="L1224" s="7">
        <f t="shared" si="77"/>
        <v>17500</v>
      </c>
      <c r="M1224" s="7">
        <f t="shared" si="78"/>
        <v>157500</v>
      </c>
      <c r="N1224" s="23">
        <v>30000</v>
      </c>
      <c r="O1224" s="7">
        <f t="shared" si="79"/>
        <v>187500</v>
      </c>
      <c r="P1224" s="2" t="s">
        <v>29</v>
      </c>
      <c r="Q1224" t="str">
        <f>_xlfn.XLOOKUP(B1224,Status!$A$2:$A$1867,Status!$B$2:$B$1867)</f>
        <v>Completed</v>
      </c>
      <c r="R1224" s="2" t="s">
        <v>36</v>
      </c>
      <c r="S1224" s="8">
        <v>5</v>
      </c>
      <c r="T1224" s="2" t="s">
        <v>24</v>
      </c>
      <c r="U1224" s="31" t="str" cm="1">
        <f t="array" ref="U1224">_xlfn.IFS(L1224&lt;=5000,$Z$3,AND(L1224&gt;5000,L1224&lt;=15000),$Z$4,AND(L1224&gt;15000,L1224&lt;=30000),$Z$5,AND(L1224&gt;30000,L1224&lt;=50000),$Z$6,L1224&gt;50000,$Z$7)</f>
        <v>Normal</v>
      </c>
      <c r="V1224" s="2"/>
    </row>
    <row r="1225" spans="1:22" ht="15.75" customHeight="1" x14ac:dyDescent="0.25">
      <c r="A1225" s="26"/>
      <c r="B1225" s="2" t="s">
        <v>1611</v>
      </c>
      <c r="C1225" s="32">
        <v>45783.753206018519</v>
      </c>
      <c r="D1225" s="53">
        <f>YEAR(Table1[[#This Row],[Order Date]])</f>
        <v>2025</v>
      </c>
      <c r="E1225" s="2" t="s">
        <v>52</v>
      </c>
      <c r="F1225" s="2" t="s">
        <v>53</v>
      </c>
      <c r="G1225" s="2" t="s">
        <v>67</v>
      </c>
      <c r="H1225" s="23">
        <v>15000</v>
      </c>
      <c r="I1225" s="2">
        <v>3</v>
      </c>
      <c r="J1225" s="31">
        <v>0</v>
      </c>
      <c r="K1225" s="7">
        <f t="shared" si="76"/>
        <v>45000</v>
      </c>
      <c r="L1225" s="7">
        <f t="shared" si="77"/>
        <v>0</v>
      </c>
      <c r="M1225" s="7">
        <f t="shared" si="78"/>
        <v>45000</v>
      </c>
      <c r="N1225" s="23">
        <v>18000</v>
      </c>
      <c r="O1225" s="7">
        <f t="shared" si="79"/>
        <v>63000</v>
      </c>
      <c r="P1225" s="2" t="s">
        <v>35</v>
      </c>
      <c r="Q1225" t="str">
        <f>_xlfn.XLOOKUP(B1225,Status!$A$2:$A$1867,Status!$B$2:$B$1867)</f>
        <v>Completed</v>
      </c>
      <c r="R1225" s="2" t="s">
        <v>46</v>
      </c>
      <c r="S1225" s="8">
        <v>1</v>
      </c>
      <c r="T1225" s="2" t="s">
        <v>24</v>
      </c>
      <c r="U1225" s="31" t="str" cm="1">
        <f t="array" ref="U1225">_xlfn.IFS(L1225&lt;=5000,$Z$3,AND(L1225&gt;5000,L1225&lt;=15000),$Z$4,AND(L1225&gt;15000,L1225&lt;=30000),$Z$5,AND(L1225&gt;30000,L1225&lt;=50000),$Z$6,L1225&gt;50000,$Z$7)</f>
        <v>Sangat Rendah</v>
      </c>
      <c r="V1225" s="2"/>
    </row>
    <row r="1226" spans="1:22" ht="15.75" customHeight="1" x14ac:dyDescent="0.25">
      <c r="A1226" s="26"/>
      <c r="B1226" s="2" t="s">
        <v>1612</v>
      </c>
      <c r="C1226" s="32">
        <v>45783.977777777778</v>
      </c>
      <c r="D1226" s="53">
        <f>YEAR(Table1[[#This Row],[Order Date]])</f>
        <v>2025</v>
      </c>
      <c r="E1226" s="2" t="s">
        <v>102</v>
      </c>
      <c r="F1226" s="2" t="s">
        <v>103</v>
      </c>
      <c r="G1226" s="2" t="s">
        <v>174</v>
      </c>
      <c r="H1226" s="23">
        <v>10000</v>
      </c>
      <c r="I1226" s="2">
        <v>2</v>
      </c>
      <c r="J1226" s="31">
        <v>15</v>
      </c>
      <c r="K1226" s="7">
        <f t="shared" si="76"/>
        <v>20000</v>
      </c>
      <c r="L1226" s="7">
        <f t="shared" si="77"/>
        <v>3000</v>
      </c>
      <c r="M1226" s="7">
        <f t="shared" si="78"/>
        <v>17000</v>
      </c>
      <c r="N1226" s="23">
        <v>85000</v>
      </c>
      <c r="O1226" s="7">
        <f t="shared" si="79"/>
        <v>102000</v>
      </c>
      <c r="P1226" s="2" t="s">
        <v>63</v>
      </c>
      <c r="Q1226" t="str">
        <f>_xlfn.XLOOKUP(B1226,Status!$A$2:$A$1867,Status!$B$2:$B$1867)</f>
        <v>Returned</v>
      </c>
      <c r="R1226" s="2" t="s">
        <v>46</v>
      </c>
      <c r="S1226" s="8">
        <v>3</v>
      </c>
      <c r="T1226" s="2" t="s">
        <v>24</v>
      </c>
      <c r="U1226" s="31" t="str" cm="1">
        <f t="array" ref="U1226">_xlfn.IFS(L1226&lt;=5000,$Z$3,AND(L1226&gt;5000,L1226&lt;=15000),$Z$4,AND(L1226&gt;15000,L1226&lt;=30000),$Z$5,AND(L1226&gt;30000,L1226&lt;=50000),$Z$6,L1226&gt;50000,$Z$7)</f>
        <v>Sangat Rendah</v>
      </c>
      <c r="V1226" s="2"/>
    </row>
    <row r="1227" spans="1:22" ht="15.75" customHeight="1" x14ac:dyDescent="0.25">
      <c r="A1227" s="26"/>
      <c r="B1227" s="2" t="s">
        <v>1613</v>
      </c>
      <c r="C1227" s="32">
        <v>45784.302152777767</v>
      </c>
      <c r="D1227" s="53">
        <f>YEAR(Table1[[#This Row],[Order Date]])</f>
        <v>2025</v>
      </c>
      <c r="E1227" s="2" t="s">
        <v>464</v>
      </c>
      <c r="F1227" s="2" t="s">
        <v>296</v>
      </c>
      <c r="G1227" s="2" t="s">
        <v>38</v>
      </c>
      <c r="H1227" s="23">
        <v>28000</v>
      </c>
      <c r="I1227" s="2">
        <v>5</v>
      </c>
      <c r="J1227" s="31">
        <v>0</v>
      </c>
      <c r="K1227" s="7">
        <f t="shared" si="76"/>
        <v>140000</v>
      </c>
      <c r="L1227" s="7">
        <f t="shared" si="77"/>
        <v>0</v>
      </c>
      <c r="M1227" s="7">
        <f t="shared" si="78"/>
        <v>140000</v>
      </c>
      <c r="N1227" s="23">
        <v>79000</v>
      </c>
      <c r="O1227" s="7">
        <f t="shared" si="79"/>
        <v>219000</v>
      </c>
      <c r="P1227" s="2" t="s">
        <v>22</v>
      </c>
      <c r="Q1227" t="str">
        <f>_xlfn.XLOOKUP(B1227,Status!$A$2:$A$1867,Status!$B$2:$B$1867)</f>
        <v>Completed</v>
      </c>
      <c r="R1227" s="2" t="s">
        <v>46</v>
      </c>
      <c r="S1227" s="8">
        <v>3</v>
      </c>
      <c r="T1227" s="2" t="s">
        <v>37</v>
      </c>
      <c r="U1227" s="31" t="str" cm="1">
        <f t="array" ref="U1227">_xlfn.IFS(L1227&lt;=5000,$Z$3,AND(L1227&gt;5000,L1227&lt;=15000),$Z$4,AND(L1227&gt;15000,L1227&lt;=30000),$Z$5,AND(L1227&gt;30000,L1227&lt;=50000),$Z$6,L1227&gt;50000,$Z$7)</f>
        <v>Sangat Rendah</v>
      </c>
      <c r="V1227" s="2"/>
    </row>
    <row r="1228" spans="1:22" ht="15.75" customHeight="1" x14ac:dyDescent="0.25">
      <c r="A1228" s="26"/>
      <c r="B1228" s="2" t="s">
        <v>1613</v>
      </c>
      <c r="C1228" s="32">
        <v>45784.302152777767</v>
      </c>
      <c r="D1228" s="53">
        <f>YEAR(Table1[[#This Row],[Order Date]])</f>
        <v>2025</v>
      </c>
      <c r="E1228" s="2" t="s">
        <v>464</v>
      </c>
      <c r="F1228" s="2" t="s">
        <v>296</v>
      </c>
      <c r="G1228" s="2" t="s">
        <v>93</v>
      </c>
      <c r="H1228" s="23">
        <v>25000</v>
      </c>
      <c r="I1228" s="2">
        <v>4</v>
      </c>
      <c r="J1228" s="31">
        <v>0</v>
      </c>
      <c r="K1228" s="7">
        <f t="shared" si="76"/>
        <v>100000</v>
      </c>
      <c r="L1228" s="7">
        <f t="shared" si="77"/>
        <v>0</v>
      </c>
      <c r="M1228" s="7">
        <f t="shared" si="78"/>
        <v>100000</v>
      </c>
      <c r="N1228" s="23">
        <v>0</v>
      </c>
      <c r="O1228" s="7">
        <f t="shared" si="79"/>
        <v>100000</v>
      </c>
      <c r="P1228" s="2" t="s">
        <v>22</v>
      </c>
      <c r="Q1228" t="str">
        <f>_xlfn.XLOOKUP(B1228,Status!$A$2:$A$1867,Status!$B$2:$B$1867)</f>
        <v>Completed</v>
      </c>
      <c r="R1228" s="2" t="s">
        <v>46</v>
      </c>
      <c r="S1228" s="8">
        <v>3</v>
      </c>
      <c r="T1228" s="2" t="s">
        <v>37</v>
      </c>
      <c r="U1228" s="31" t="str" cm="1">
        <f t="array" ref="U1228">_xlfn.IFS(L1228&lt;=5000,$Z$3,AND(L1228&gt;5000,L1228&lt;=15000),$Z$4,AND(L1228&gt;15000,L1228&lt;=30000),$Z$5,AND(L1228&gt;30000,L1228&lt;=50000),$Z$6,L1228&gt;50000,$Z$7)</f>
        <v>Sangat Rendah</v>
      </c>
      <c r="V1228" s="2"/>
    </row>
    <row r="1229" spans="1:22" ht="15.75" customHeight="1" x14ac:dyDescent="0.25">
      <c r="A1229" s="26"/>
      <c r="B1229" s="2" t="s">
        <v>1614</v>
      </c>
      <c r="C1229" s="32">
        <v>45784.679629629631</v>
      </c>
      <c r="D1229" s="53">
        <f>YEAR(Table1[[#This Row],[Order Date]])</f>
        <v>2025</v>
      </c>
      <c r="E1229" s="2" t="s">
        <v>883</v>
      </c>
      <c r="F1229" s="2" t="s">
        <v>44</v>
      </c>
      <c r="G1229" s="2" t="s">
        <v>75</v>
      </c>
      <c r="H1229" s="23">
        <v>55000</v>
      </c>
      <c r="I1229" s="2">
        <v>3</v>
      </c>
      <c r="J1229" s="31">
        <v>10</v>
      </c>
      <c r="K1229" s="7">
        <f t="shared" si="76"/>
        <v>165000</v>
      </c>
      <c r="L1229" s="7">
        <f t="shared" si="77"/>
        <v>16500</v>
      </c>
      <c r="M1229" s="7">
        <f t="shared" si="78"/>
        <v>148500</v>
      </c>
      <c r="N1229" s="23">
        <v>93000</v>
      </c>
      <c r="O1229" s="7">
        <f t="shared" si="79"/>
        <v>241500</v>
      </c>
      <c r="P1229" s="2" t="s">
        <v>63</v>
      </c>
      <c r="Q1229" t="str">
        <f>_xlfn.XLOOKUP(B1229,Status!$A$2:$A$1867,Status!$B$2:$B$1867)</f>
        <v>Completed</v>
      </c>
      <c r="R1229" s="2" t="s">
        <v>82</v>
      </c>
      <c r="S1229" s="8">
        <v>2</v>
      </c>
      <c r="T1229" s="2" t="s">
        <v>37</v>
      </c>
      <c r="U1229" s="31" t="str" cm="1">
        <f t="array" ref="U1229">_xlfn.IFS(L1229&lt;=5000,$Z$3,AND(L1229&gt;5000,L1229&lt;=15000),$Z$4,AND(L1229&gt;15000,L1229&lt;=30000),$Z$5,AND(L1229&gt;30000,L1229&lt;=50000),$Z$6,L1229&gt;50000,$Z$7)</f>
        <v>Normal</v>
      </c>
      <c r="V1229" s="2"/>
    </row>
    <row r="1230" spans="1:22" ht="15.75" customHeight="1" x14ac:dyDescent="0.25">
      <c r="A1230" s="26"/>
      <c r="B1230" s="2" t="s">
        <v>1615</v>
      </c>
      <c r="C1230" s="32">
        <v>45784.88071759259</v>
      </c>
      <c r="D1230" s="53">
        <f>YEAR(Table1[[#This Row],[Order Date]])</f>
        <v>2025</v>
      </c>
      <c r="E1230" s="2" t="s">
        <v>381</v>
      </c>
      <c r="F1230" s="2" t="s">
        <v>103</v>
      </c>
      <c r="G1230" s="2" t="s">
        <v>88</v>
      </c>
      <c r="H1230" s="23">
        <v>14000</v>
      </c>
      <c r="I1230" s="2">
        <v>3</v>
      </c>
      <c r="J1230" s="31">
        <v>5</v>
      </c>
      <c r="K1230" s="7">
        <f t="shared" si="76"/>
        <v>42000</v>
      </c>
      <c r="L1230" s="7">
        <f t="shared" si="77"/>
        <v>2100</v>
      </c>
      <c r="M1230" s="7">
        <f t="shared" si="78"/>
        <v>39900</v>
      </c>
      <c r="N1230" s="23">
        <v>85000</v>
      </c>
      <c r="O1230" s="7">
        <f t="shared" si="79"/>
        <v>124900</v>
      </c>
      <c r="P1230" s="2" t="s">
        <v>35</v>
      </c>
      <c r="Q1230" t="str">
        <f>_xlfn.XLOOKUP(B1230,Status!$A$2:$A$1867,Status!$B$2:$B$1867)</f>
        <v>Completed</v>
      </c>
      <c r="R1230" s="2" t="s">
        <v>46</v>
      </c>
      <c r="S1230" s="8">
        <v>3</v>
      </c>
      <c r="T1230" s="2" t="s">
        <v>24</v>
      </c>
      <c r="U1230" s="31" t="str" cm="1">
        <f t="array" ref="U1230">_xlfn.IFS(L1230&lt;=5000,$Z$3,AND(L1230&gt;5000,L1230&lt;=15000),$Z$4,AND(L1230&gt;15000,L1230&lt;=30000),$Z$5,AND(L1230&gt;30000,L1230&lt;=50000),$Z$6,L1230&gt;50000,$Z$7)</f>
        <v>Sangat Rendah</v>
      </c>
      <c r="V1230" s="2"/>
    </row>
    <row r="1231" spans="1:22" ht="15.75" customHeight="1" x14ac:dyDescent="0.25">
      <c r="A1231" s="26"/>
      <c r="B1231" s="2" t="s">
        <v>1616</v>
      </c>
      <c r="C1231" s="32">
        <v>45785.124386574083</v>
      </c>
      <c r="D1231" s="53">
        <f>YEAR(Table1[[#This Row],[Order Date]])</f>
        <v>2025</v>
      </c>
      <c r="E1231" s="2" t="s">
        <v>812</v>
      </c>
      <c r="F1231" s="2" t="s">
        <v>33</v>
      </c>
      <c r="G1231" s="2" t="s">
        <v>144</v>
      </c>
      <c r="H1231" s="23">
        <v>18000</v>
      </c>
      <c r="I1231" s="2">
        <v>1</v>
      </c>
      <c r="J1231" s="31">
        <v>20</v>
      </c>
      <c r="K1231" s="7">
        <f t="shared" si="76"/>
        <v>18000</v>
      </c>
      <c r="L1231" s="7">
        <f t="shared" si="77"/>
        <v>3600</v>
      </c>
      <c r="M1231" s="7">
        <f t="shared" si="78"/>
        <v>14400</v>
      </c>
      <c r="N1231" s="23">
        <v>76000</v>
      </c>
      <c r="O1231" s="7">
        <f t="shared" si="79"/>
        <v>90400</v>
      </c>
      <c r="P1231" s="2" t="s">
        <v>35</v>
      </c>
      <c r="Q1231" t="str">
        <f>_xlfn.XLOOKUP(B1231,Status!$A$2:$A$1867,Status!$B$2:$B$1867)</f>
        <v>Completed</v>
      </c>
      <c r="R1231" s="2" t="s">
        <v>36</v>
      </c>
      <c r="S1231" s="8">
        <v>4</v>
      </c>
      <c r="T1231" s="2" t="s">
        <v>24</v>
      </c>
      <c r="U1231" s="31" t="str" cm="1">
        <f t="array" ref="U1231">_xlfn.IFS(L1231&lt;=5000,$Z$3,AND(L1231&gt;5000,L1231&lt;=15000),$Z$4,AND(L1231&gt;15000,L1231&lt;=30000),$Z$5,AND(L1231&gt;30000,L1231&lt;=50000),$Z$6,L1231&gt;50000,$Z$7)</f>
        <v>Sangat Rendah</v>
      </c>
      <c r="V1231" s="2"/>
    </row>
    <row r="1232" spans="1:22" ht="15.75" customHeight="1" x14ac:dyDescent="0.25">
      <c r="A1232" s="26"/>
      <c r="B1232" s="2" t="s">
        <v>1617</v>
      </c>
      <c r="C1232" s="32">
        <v>45785.138206018521</v>
      </c>
      <c r="D1232" s="53">
        <f>YEAR(Table1[[#This Row],[Order Date]])</f>
        <v>2025</v>
      </c>
      <c r="E1232" s="2" t="s">
        <v>724</v>
      </c>
      <c r="F1232" s="2" t="s">
        <v>53</v>
      </c>
      <c r="G1232" s="2" t="s">
        <v>88</v>
      </c>
      <c r="H1232" s="23">
        <v>14000</v>
      </c>
      <c r="I1232" s="2">
        <v>5</v>
      </c>
      <c r="J1232" s="31">
        <v>0</v>
      </c>
      <c r="K1232" s="7">
        <f t="shared" si="76"/>
        <v>70000</v>
      </c>
      <c r="L1232" s="7">
        <f t="shared" si="77"/>
        <v>0</v>
      </c>
      <c r="M1232" s="7">
        <f t="shared" si="78"/>
        <v>70000</v>
      </c>
      <c r="N1232" s="23">
        <v>18000</v>
      </c>
      <c r="O1232" s="7">
        <f t="shared" si="79"/>
        <v>88000</v>
      </c>
      <c r="P1232" s="2" t="s">
        <v>22</v>
      </c>
      <c r="Q1232" t="str">
        <f>_xlfn.XLOOKUP(B1232,Status!$A$2:$A$1867,Status!$B$2:$B$1867)</f>
        <v>Returned</v>
      </c>
      <c r="R1232" s="2" t="s">
        <v>30</v>
      </c>
      <c r="S1232" s="8">
        <v>4</v>
      </c>
      <c r="T1232" s="2" t="s">
        <v>24</v>
      </c>
      <c r="U1232" s="31" t="str" cm="1">
        <f t="array" ref="U1232">_xlfn.IFS(L1232&lt;=5000,$Z$3,AND(L1232&gt;5000,L1232&lt;=15000),$Z$4,AND(L1232&gt;15000,L1232&lt;=30000),$Z$5,AND(L1232&gt;30000,L1232&lt;=50000),$Z$6,L1232&gt;50000,$Z$7)</f>
        <v>Sangat Rendah</v>
      </c>
      <c r="V1232" s="2"/>
    </row>
    <row r="1233" spans="1:22" ht="15.75" customHeight="1" x14ac:dyDescent="0.25">
      <c r="A1233" s="26"/>
      <c r="B1233" s="2" t="s">
        <v>1618</v>
      </c>
      <c r="C1233" s="32">
        <v>45785.758344907408</v>
      </c>
      <c r="D1233" s="53">
        <f>YEAR(Table1[[#This Row],[Order Date]])</f>
        <v>2025</v>
      </c>
      <c r="E1233" s="2" t="s">
        <v>459</v>
      </c>
      <c r="F1233" s="2" t="s">
        <v>61</v>
      </c>
      <c r="G1233" s="2" t="s">
        <v>136</v>
      </c>
      <c r="H1233" s="23">
        <v>12000</v>
      </c>
      <c r="I1233" s="2">
        <v>1</v>
      </c>
      <c r="J1233" s="31">
        <v>15</v>
      </c>
      <c r="K1233" s="7">
        <f t="shared" si="76"/>
        <v>12000</v>
      </c>
      <c r="L1233" s="7">
        <f t="shared" si="77"/>
        <v>1800</v>
      </c>
      <c r="M1233" s="7">
        <f t="shared" si="78"/>
        <v>10200</v>
      </c>
      <c r="N1233" s="23">
        <v>26000</v>
      </c>
      <c r="O1233" s="7">
        <f t="shared" si="79"/>
        <v>36200</v>
      </c>
      <c r="P1233" s="2" t="s">
        <v>29</v>
      </c>
      <c r="Q1233" t="str">
        <f>_xlfn.XLOOKUP(B1233,Status!$A$2:$A$1867,Status!$B$2:$B$1867)</f>
        <v>Completed</v>
      </c>
      <c r="R1233" s="2" t="s">
        <v>36</v>
      </c>
      <c r="S1233" s="8">
        <v>1</v>
      </c>
      <c r="T1233" s="2" t="s">
        <v>24</v>
      </c>
      <c r="U1233" s="31" t="str" cm="1">
        <f t="array" ref="U1233">_xlfn.IFS(L1233&lt;=5000,$Z$3,AND(L1233&gt;5000,L1233&lt;=15000),$Z$4,AND(L1233&gt;15000,L1233&lt;=30000),$Z$5,AND(L1233&gt;30000,L1233&lt;=50000),$Z$6,L1233&gt;50000,$Z$7)</f>
        <v>Sangat Rendah</v>
      </c>
      <c r="V1233" s="2"/>
    </row>
    <row r="1234" spans="1:22" ht="15.75" customHeight="1" x14ac:dyDescent="0.25">
      <c r="A1234" s="26"/>
      <c r="B1234" s="2" t="s">
        <v>1619</v>
      </c>
      <c r="C1234" s="32">
        <v>45785.785474537042</v>
      </c>
      <c r="D1234" s="53">
        <f>YEAR(Table1[[#This Row],[Order Date]])</f>
        <v>2025</v>
      </c>
      <c r="E1234" s="2" t="s">
        <v>1620</v>
      </c>
      <c r="F1234" s="2" t="s">
        <v>92</v>
      </c>
      <c r="G1234" s="2" t="s">
        <v>186</v>
      </c>
      <c r="H1234" s="23">
        <v>45000</v>
      </c>
      <c r="I1234" s="2">
        <v>4</v>
      </c>
      <c r="J1234" s="31">
        <v>10</v>
      </c>
      <c r="K1234" s="7">
        <f t="shared" si="76"/>
        <v>180000</v>
      </c>
      <c r="L1234" s="7">
        <f t="shared" si="77"/>
        <v>18000</v>
      </c>
      <c r="M1234" s="7">
        <f t="shared" si="78"/>
        <v>162000</v>
      </c>
      <c r="N1234" s="23">
        <v>30000</v>
      </c>
      <c r="O1234" s="7">
        <f t="shared" si="79"/>
        <v>192000</v>
      </c>
      <c r="P1234" s="2" t="s">
        <v>22</v>
      </c>
      <c r="Q1234" t="str">
        <f>_xlfn.XLOOKUP(B1234,Status!$A$2:$A$1867,Status!$B$2:$B$1867)</f>
        <v>Completed</v>
      </c>
      <c r="R1234" s="2" t="s">
        <v>23</v>
      </c>
      <c r="S1234" s="8">
        <v>1</v>
      </c>
      <c r="T1234" s="2" t="s">
        <v>24</v>
      </c>
      <c r="U1234" s="31" t="str" cm="1">
        <f t="array" ref="U1234">_xlfn.IFS(L1234&lt;=5000,$Z$3,AND(L1234&gt;5000,L1234&lt;=15000),$Z$4,AND(L1234&gt;15000,L1234&lt;=30000),$Z$5,AND(L1234&gt;30000,L1234&lt;=50000),$Z$6,L1234&gt;50000,$Z$7)</f>
        <v>Normal</v>
      </c>
      <c r="V1234" s="2"/>
    </row>
    <row r="1235" spans="1:22" ht="15.75" customHeight="1" x14ac:dyDescent="0.25">
      <c r="A1235" s="26"/>
      <c r="B1235" s="2" t="s">
        <v>1621</v>
      </c>
      <c r="C1235" s="32">
        <v>45785.834872685176</v>
      </c>
      <c r="D1235" s="53">
        <f>YEAR(Table1[[#This Row],[Order Date]])</f>
        <v>2025</v>
      </c>
      <c r="E1235" s="2" t="s">
        <v>542</v>
      </c>
      <c r="F1235" s="2" t="s">
        <v>122</v>
      </c>
      <c r="G1235" s="2" t="s">
        <v>50</v>
      </c>
      <c r="H1235" s="23">
        <v>14000</v>
      </c>
      <c r="I1235" s="2">
        <v>2</v>
      </c>
      <c r="J1235" s="31">
        <v>15</v>
      </c>
      <c r="K1235" s="7">
        <f t="shared" si="76"/>
        <v>28000</v>
      </c>
      <c r="L1235" s="7">
        <f t="shared" si="77"/>
        <v>4200</v>
      </c>
      <c r="M1235" s="7">
        <f t="shared" si="78"/>
        <v>23800</v>
      </c>
      <c r="N1235" s="23">
        <v>78000</v>
      </c>
      <c r="O1235" s="7">
        <f t="shared" si="79"/>
        <v>101800</v>
      </c>
      <c r="P1235" s="2" t="s">
        <v>35</v>
      </c>
      <c r="Q1235" t="str">
        <f>_xlfn.XLOOKUP(B1235,Status!$A$2:$A$1867,Status!$B$2:$B$1867)</f>
        <v>Completed</v>
      </c>
      <c r="R1235" s="2" t="s">
        <v>36</v>
      </c>
      <c r="S1235" s="8">
        <v>4</v>
      </c>
      <c r="T1235" s="2" t="s">
        <v>24</v>
      </c>
      <c r="U1235" s="31" t="str" cm="1">
        <f t="array" ref="U1235">_xlfn.IFS(L1235&lt;=5000,$Z$3,AND(L1235&gt;5000,L1235&lt;=15000),$Z$4,AND(L1235&gt;15000,L1235&lt;=30000),$Z$5,AND(L1235&gt;30000,L1235&lt;=50000),$Z$6,L1235&gt;50000,$Z$7)</f>
        <v>Sangat Rendah</v>
      </c>
      <c r="V1235" s="2"/>
    </row>
    <row r="1236" spans="1:22" ht="15.75" customHeight="1" x14ac:dyDescent="0.25">
      <c r="A1236" s="26"/>
      <c r="B1236" s="2" t="s">
        <v>1621</v>
      </c>
      <c r="C1236" s="32">
        <v>45785.834872685176</v>
      </c>
      <c r="D1236" s="53">
        <f>YEAR(Table1[[#This Row],[Order Date]])</f>
        <v>2025</v>
      </c>
      <c r="E1236" s="2" t="s">
        <v>542</v>
      </c>
      <c r="F1236" s="2" t="s">
        <v>122</v>
      </c>
      <c r="G1236" s="2" t="s">
        <v>110</v>
      </c>
      <c r="H1236" s="23">
        <v>6000</v>
      </c>
      <c r="I1236" s="2">
        <v>3</v>
      </c>
      <c r="J1236" s="31">
        <v>10</v>
      </c>
      <c r="K1236" s="7">
        <f t="shared" si="76"/>
        <v>18000</v>
      </c>
      <c r="L1236" s="7">
        <f t="shared" si="77"/>
        <v>1800</v>
      </c>
      <c r="M1236" s="7">
        <f t="shared" si="78"/>
        <v>16200</v>
      </c>
      <c r="N1236" s="23">
        <v>0</v>
      </c>
      <c r="O1236" s="7">
        <f t="shared" si="79"/>
        <v>16200</v>
      </c>
      <c r="P1236" s="2" t="s">
        <v>35</v>
      </c>
      <c r="Q1236" t="str">
        <f>_xlfn.XLOOKUP(B1236,Status!$A$2:$A$1867,Status!$B$2:$B$1867)</f>
        <v>Completed</v>
      </c>
      <c r="R1236" s="2" t="s">
        <v>36</v>
      </c>
      <c r="S1236" s="8">
        <v>4</v>
      </c>
      <c r="T1236" s="2" t="s">
        <v>24</v>
      </c>
      <c r="U1236" s="31" t="str" cm="1">
        <f t="array" ref="U1236">_xlfn.IFS(L1236&lt;=5000,$Z$3,AND(L1236&gt;5000,L1236&lt;=15000),$Z$4,AND(L1236&gt;15000,L1236&lt;=30000),$Z$5,AND(L1236&gt;30000,L1236&lt;=50000),$Z$6,L1236&gt;50000,$Z$7)</f>
        <v>Sangat Rendah</v>
      </c>
      <c r="V1236" s="2"/>
    </row>
    <row r="1237" spans="1:22" ht="15.75" customHeight="1" x14ac:dyDescent="0.25">
      <c r="A1237" s="26"/>
      <c r="B1237" s="2" t="s">
        <v>1622</v>
      </c>
      <c r="C1237" s="32">
        <v>45785.866412037038</v>
      </c>
      <c r="D1237" s="53">
        <f>YEAR(Table1[[#This Row],[Order Date]])</f>
        <v>2025</v>
      </c>
      <c r="E1237" s="2" t="s">
        <v>649</v>
      </c>
      <c r="F1237" s="2" t="s">
        <v>177</v>
      </c>
      <c r="G1237" s="2" t="s">
        <v>85</v>
      </c>
      <c r="H1237" s="23">
        <v>35000</v>
      </c>
      <c r="I1237" s="2">
        <v>1</v>
      </c>
      <c r="J1237" s="31">
        <v>5</v>
      </c>
      <c r="K1237" s="7">
        <f t="shared" si="76"/>
        <v>35000</v>
      </c>
      <c r="L1237" s="7">
        <f t="shared" si="77"/>
        <v>1750</v>
      </c>
      <c r="M1237" s="7">
        <f t="shared" si="78"/>
        <v>33250</v>
      </c>
      <c r="N1237" s="23">
        <v>56000</v>
      </c>
      <c r="O1237" s="7">
        <f t="shared" si="79"/>
        <v>89250</v>
      </c>
      <c r="P1237" s="2" t="s">
        <v>22</v>
      </c>
      <c r="Q1237" t="str">
        <f>_xlfn.XLOOKUP(B1237,Status!$A$2:$A$1867,Status!$B$2:$B$1867)</f>
        <v>Completed</v>
      </c>
      <c r="R1237" s="2" t="s">
        <v>30</v>
      </c>
      <c r="S1237" s="8">
        <v>2</v>
      </c>
      <c r="T1237" s="2" t="s">
        <v>24</v>
      </c>
      <c r="U1237" s="31" t="str" cm="1">
        <f t="array" ref="U1237">_xlfn.IFS(L1237&lt;=5000,$Z$3,AND(L1237&gt;5000,L1237&lt;=15000),$Z$4,AND(L1237&gt;15000,L1237&lt;=30000),$Z$5,AND(L1237&gt;30000,L1237&lt;=50000),$Z$6,L1237&gt;50000,$Z$7)</f>
        <v>Sangat Rendah</v>
      </c>
      <c r="V1237" s="2"/>
    </row>
    <row r="1238" spans="1:22" ht="15.75" customHeight="1" x14ac:dyDescent="0.25">
      <c r="A1238" s="26"/>
      <c r="B1238" s="2" t="s">
        <v>1623</v>
      </c>
      <c r="C1238" s="32">
        <v>45785.898449074077</v>
      </c>
      <c r="D1238" s="53">
        <f>YEAR(Table1[[#This Row],[Order Date]])</f>
        <v>2025</v>
      </c>
      <c r="E1238" s="2" t="s">
        <v>1624</v>
      </c>
      <c r="F1238" s="2" t="s">
        <v>33</v>
      </c>
      <c r="G1238" s="2" t="s">
        <v>186</v>
      </c>
      <c r="H1238" s="23">
        <v>45000</v>
      </c>
      <c r="I1238" s="2">
        <v>3</v>
      </c>
      <c r="J1238" s="31">
        <v>10</v>
      </c>
      <c r="K1238" s="7">
        <f t="shared" si="76"/>
        <v>135000</v>
      </c>
      <c r="L1238" s="7">
        <f t="shared" si="77"/>
        <v>13500</v>
      </c>
      <c r="M1238" s="7">
        <f t="shared" si="78"/>
        <v>121500</v>
      </c>
      <c r="N1238" s="23">
        <v>76000</v>
      </c>
      <c r="O1238" s="7">
        <f t="shared" si="79"/>
        <v>197500</v>
      </c>
      <c r="P1238" s="2" t="s">
        <v>35</v>
      </c>
      <c r="Q1238" t="str">
        <f>_xlfn.XLOOKUP(B1238,Status!$A$2:$A$1867,Status!$B$2:$B$1867)</f>
        <v>Completed</v>
      </c>
      <c r="R1238" s="2" t="s">
        <v>30</v>
      </c>
      <c r="S1238" s="8">
        <v>2</v>
      </c>
      <c r="T1238" s="2" t="s">
        <v>24</v>
      </c>
      <c r="U1238" s="31" t="str" cm="1">
        <f t="array" ref="U1238">_xlfn.IFS(L1238&lt;=5000,$Z$3,AND(L1238&gt;5000,L1238&lt;=15000),$Z$4,AND(L1238&gt;15000,L1238&lt;=30000),$Z$5,AND(L1238&gt;30000,L1238&lt;=50000),$Z$6,L1238&gt;50000,$Z$7)</f>
        <v>Rendah</v>
      </c>
      <c r="V1238" s="2"/>
    </row>
    <row r="1239" spans="1:22" ht="15.75" customHeight="1" x14ac:dyDescent="0.25">
      <c r="A1239" s="26"/>
      <c r="B1239" s="2" t="s">
        <v>1625</v>
      </c>
      <c r="C1239" s="32">
        <v>45786.137766203698</v>
      </c>
      <c r="D1239" s="53">
        <f>YEAR(Table1[[#This Row],[Order Date]])</f>
        <v>2025</v>
      </c>
      <c r="E1239" s="2" t="s">
        <v>368</v>
      </c>
      <c r="F1239" s="2" t="s">
        <v>113</v>
      </c>
      <c r="G1239" s="2" t="s">
        <v>186</v>
      </c>
      <c r="H1239" s="23">
        <v>45000</v>
      </c>
      <c r="I1239" s="2">
        <v>3</v>
      </c>
      <c r="J1239" s="31">
        <v>10</v>
      </c>
      <c r="K1239" s="7">
        <f t="shared" si="76"/>
        <v>135000</v>
      </c>
      <c r="L1239" s="7">
        <f t="shared" si="77"/>
        <v>13500</v>
      </c>
      <c r="M1239" s="7">
        <f t="shared" si="78"/>
        <v>121500</v>
      </c>
      <c r="N1239" s="23">
        <v>18000</v>
      </c>
      <c r="O1239" s="7">
        <f t="shared" si="79"/>
        <v>139500</v>
      </c>
      <c r="P1239" s="2" t="s">
        <v>63</v>
      </c>
      <c r="Q1239" t="str">
        <f>_xlfn.XLOOKUP(B1239,Status!$A$2:$A$1867,Status!$B$2:$B$1867)</f>
        <v>Completed</v>
      </c>
      <c r="R1239" s="2" t="s">
        <v>36</v>
      </c>
      <c r="S1239" s="8">
        <v>1</v>
      </c>
      <c r="T1239" s="2" t="s">
        <v>37</v>
      </c>
      <c r="U1239" s="31" t="str" cm="1">
        <f t="array" ref="U1239">_xlfn.IFS(L1239&lt;=5000,$Z$3,AND(L1239&gt;5000,L1239&lt;=15000),$Z$4,AND(L1239&gt;15000,L1239&lt;=30000),$Z$5,AND(L1239&gt;30000,L1239&lt;=50000),$Z$6,L1239&gt;50000,$Z$7)</f>
        <v>Rendah</v>
      </c>
      <c r="V1239" s="2"/>
    </row>
    <row r="1240" spans="1:22" ht="15.75" customHeight="1" x14ac:dyDescent="0.25">
      <c r="A1240" s="26"/>
      <c r="B1240" s="2" t="s">
        <v>1626</v>
      </c>
      <c r="C1240" s="32">
        <v>45786.397569444453</v>
      </c>
      <c r="D1240" s="53">
        <f>YEAR(Table1[[#This Row],[Order Date]])</f>
        <v>2025</v>
      </c>
      <c r="E1240" s="2" t="s">
        <v>246</v>
      </c>
      <c r="F1240" s="2" t="s">
        <v>238</v>
      </c>
      <c r="G1240" s="2" t="s">
        <v>67</v>
      </c>
      <c r="H1240" s="23">
        <v>15000</v>
      </c>
      <c r="I1240" s="2">
        <v>2</v>
      </c>
      <c r="J1240" s="31">
        <v>15</v>
      </c>
      <c r="K1240" s="7">
        <f t="shared" si="76"/>
        <v>30000</v>
      </c>
      <c r="L1240" s="7">
        <f t="shared" si="77"/>
        <v>4500</v>
      </c>
      <c r="M1240" s="7">
        <f t="shared" si="78"/>
        <v>25500</v>
      </c>
      <c r="N1240" s="23">
        <v>28000</v>
      </c>
      <c r="O1240" s="7">
        <f t="shared" si="79"/>
        <v>53500</v>
      </c>
      <c r="P1240" s="2" t="s">
        <v>22</v>
      </c>
      <c r="Q1240" t="str">
        <f>_xlfn.XLOOKUP(B1240,Status!$A$2:$A$1867,Status!$B$2:$B$1867)</f>
        <v>Returned</v>
      </c>
      <c r="R1240" s="2" t="s">
        <v>82</v>
      </c>
      <c r="S1240" s="8">
        <v>5</v>
      </c>
      <c r="T1240" s="2" t="s">
        <v>24</v>
      </c>
      <c r="U1240" s="31" t="str" cm="1">
        <f t="array" ref="U1240">_xlfn.IFS(L1240&lt;=5000,$Z$3,AND(L1240&gt;5000,L1240&lt;=15000),$Z$4,AND(L1240&gt;15000,L1240&lt;=30000),$Z$5,AND(L1240&gt;30000,L1240&lt;=50000),$Z$6,L1240&gt;50000,$Z$7)</f>
        <v>Sangat Rendah</v>
      </c>
      <c r="V1240" s="2"/>
    </row>
    <row r="1241" spans="1:22" ht="15.75" customHeight="1" x14ac:dyDescent="0.25">
      <c r="A1241" s="26"/>
      <c r="B1241" s="2" t="s">
        <v>1627</v>
      </c>
      <c r="C1241" s="32">
        <v>45786.459502314807</v>
      </c>
      <c r="D1241" s="53">
        <f>YEAR(Table1[[#This Row],[Order Date]])</f>
        <v>2025</v>
      </c>
      <c r="E1241" s="2" t="s">
        <v>269</v>
      </c>
      <c r="F1241" s="2" t="s">
        <v>173</v>
      </c>
      <c r="G1241" s="2" t="s">
        <v>85</v>
      </c>
      <c r="H1241" s="23">
        <v>35000</v>
      </c>
      <c r="I1241" s="2">
        <v>2</v>
      </c>
      <c r="J1241" s="31">
        <v>10</v>
      </c>
      <c r="K1241" s="7">
        <f t="shared" si="76"/>
        <v>70000</v>
      </c>
      <c r="L1241" s="7">
        <f t="shared" si="77"/>
        <v>7000</v>
      </c>
      <c r="M1241" s="7">
        <f t="shared" si="78"/>
        <v>63000</v>
      </c>
      <c r="N1241" s="23">
        <v>49000</v>
      </c>
      <c r="O1241" s="7">
        <f t="shared" si="79"/>
        <v>112000</v>
      </c>
      <c r="P1241" s="2" t="s">
        <v>29</v>
      </c>
      <c r="Q1241" t="str">
        <f>_xlfn.XLOOKUP(B1241,Status!$A$2:$A$1867,Status!$B$2:$B$1867)</f>
        <v>Completed</v>
      </c>
      <c r="R1241" s="2" t="s">
        <v>82</v>
      </c>
      <c r="S1241" s="8">
        <v>2</v>
      </c>
      <c r="T1241" s="2" t="s">
        <v>37</v>
      </c>
      <c r="U1241" s="31" t="str" cm="1">
        <f t="array" ref="U1241">_xlfn.IFS(L1241&lt;=5000,$Z$3,AND(L1241&gt;5000,L1241&lt;=15000),$Z$4,AND(L1241&gt;15000,L1241&lt;=30000),$Z$5,AND(L1241&gt;30000,L1241&lt;=50000),$Z$6,L1241&gt;50000,$Z$7)</f>
        <v>Rendah</v>
      </c>
      <c r="V1241" s="2"/>
    </row>
    <row r="1242" spans="1:22" ht="15.75" customHeight="1" x14ac:dyDescent="0.25">
      <c r="A1242" s="26"/>
      <c r="B1242" s="2" t="s">
        <v>1628</v>
      </c>
      <c r="C1242" s="32">
        <v>45786.465185185189</v>
      </c>
      <c r="D1242" s="53">
        <f>YEAR(Table1[[#This Row],[Order Date]])</f>
        <v>2025</v>
      </c>
      <c r="E1242" s="2" t="s">
        <v>812</v>
      </c>
      <c r="F1242" s="2" t="s">
        <v>33</v>
      </c>
      <c r="G1242" s="2" t="s">
        <v>85</v>
      </c>
      <c r="H1242" s="23">
        <v>35000</v>
      </c>
      <c r="I1242" s="2">
        <v>5</v>
      </c>
      <c r="J1242" s="31">
        <v>20</v>
      </c>
      <c r="K1242" s="7">
        <f t="shared" si="76"/>
        <v>175000</v>
      </c>
      <c r="L1242" s="7">
        <f t="shared" si="77"/>
        <v>35000</v>
      </c>
      <c r="M1242" s="7">
        <f t="shared" si="78"/>
        <v>140000</v>
      </c>
      <c r="N1242" s="23">
        <v>76000</v>
      </c>
      <c r="O1242" s="7">
        <f t="shared" si="79"/>
        <v>216000</v>
      </c>
      <c r="P1242" s="2" t="s">
        <v>35</v>
      </c>
      <c r="Q1242" t="str">
        <f>_xlfn.XLOOKUP(B1242,Status!$A$2:$A$1867,Status!$B$2:$B$1867)</f>
        <v>Completed</v>
      </c>
      <c r="R1242" s="2" t="s">
        <v>30</v>
      </c>
      <c r="S1242" s="8">
        <v>4</v>
      </c>
      <c r="T1242" s="2" t="s">
        <v>24</v>
      </c>
      <c r="U1242" s="31" t="str" cm="1">
        <f t="array" ref="U1242">_xlfn.IFS(L1242&lt;=5000,$Z$3,AND(L1242&gt;5000,L1242&lt;=15000),$Z$4,AND(L1242&gt;15000,L1242&lt;=30000),$Z$5,AND(L1242&gt;30000,L1242&lt;=50000),$Z$6,L1242&gt;50000,$Z$7)</f>
        <v>Tinggi</v>
      </c>
      <c r="V1242" s="2"/>
    </row>
    <row r="1243" spans="1:22" ht="15.75" customHeight="1" x14ac:dyDescent="0.25">
      <c r="A1243" s="26"/>
      <c r="B1243" s="2" t="s">
        <v>1629</v>
      </c>
      <c r="C1243" s="32">
        <v>45786.621874999997</v>
      </c>
      <c r="D1243" s="53">
        <f>YEAR(Table1[[#This Row],[Order Date]])</f>
        <v>2025</v>
      </c>
      <c r="E1243" s="2" t="s">
        <v>449</v>
      </c>
      <c r="F1243" s="2" t="s">
        <v>151</v>
      </c>
      <c r="G1243" s="2" t="s">
        <v>45</v>
      </c>
      <c r="H1243" s="23">
        <v>40000</v>
      </c>
      <c r="I1243" s="2">
        <v>4</v>
      </c>
      <c r="J1243" s="31">
        <v>20</v>
      </c>
      <c r="K1243" s="7">
        <f t="shared" si="76"/>
        <v>160000</v>
      </c>
      <c r="L1243" s="7">
        <f t="shared" si="77"/>
        <v>32000</v>
      </c>
      <c r="M1243" s="7">
        <f t="shared" si="78"/>
        <v>128000</v>
      </c>
      <c r="N1243" s="23">
        <v>55000</v>
      </c>
      <c r="O1243" s="7">
        <f t="shared" si="79"/>
        <v>183000</v>
      </c>
      <c r="P1243" s="2" t="s">
        <v>63</v>
      </c>
      <c r="Q1243" t="str">
        <f>_xlfn.XLOOKUP(B1243,Status!$A$2:$A$1867,Status!$B$2:$B$1867)</f>
        <v>Completed</v>
      </c>
      <c r="R1243" s="2" t="s">
        <v>23</v>
      </c>
      <c r="S1243" s="8">
        <v>4</v>
      </c>
      <c r="T1243" s="2" t="s">
        <v>24</v>
      </c>
      <c r="U1243" s="31" t="str" cm="1">
        <f t="array" ref="U1243">_xlfn.IFS(L1243&lt;=5000,$Z$3,AND(L1243&gt;5000,L1243&lt;=15000),$Z$4,AND(L1243&gt;15000,L1243&lt;=30000),$Z$5,AND(L1243&gt;30000,L1243&lt;=50000),$Z$6,L1243&gt;50000,$Z$7)</f>
        <v>Tinggi</v>
      </c>
      <c r="V1243" s="2"/>
    </row>
    <row r="1244" spans="1:22" ht="15.75" customHeight="1" x14ac:dyDescent="0.25">
      <c r="A1244" s="26"/>
      <c r="B1244" s="2" t="s">
        <v>1630</v>
      </c>
      <c r="C1244" s="32">
        <v>45786.793541666673</v>
      </c>
      <c r="D1244" s="53">
        <f>YEAR(Table1[[#This Row],[Order Date]])</f>
        <v>2025</v>
      </c>
      <c r="E1244" s="2" t="s">
        <v>784</v>
      </c>
      <c r="F1244" s="2" t="s">
        <v>116</v>
      </c>
      <c r="G1244" s="2" t="s">
        <v>144</v>
      </c>
      <c r="H1244" s="23">
        <v>18000</v>
      </c>
      <c r="I1244" s="2">
        <v>1</v>
      </c>
      <c r="J1244" s="31">
        <v>15</v>
      </c>
      <c r="K1244" s="7">
        <f t="shared" si="76"/>
        <v>18000</v>
      </c>
      <c r="L1244" s="7">
        <f t="shared" si="77"/>
        <v>2700</v>
      </c>
      <c r="M1244" s="7">
        <f t="shared" si="78"/>
        <v>15300</v>
      </c>
      <c r="N1244" s="23">
        <v>72000</v>
      </c>
      <c r="O1244" s="7">
        <f t="shared" si="79"/>
        <v>87300</v>
      </c>
      <c r="P1244" s="2" t="s">
        <v>22</v>
      </c>
      <c r="Q1244" t="str">
        <f>_xlfn.XLOOKUP(B1244,Status!$A$2:$A$1867,Status!$B$2:$B$1867)</f>
        <v>Completed</v>
      </c>
      <c r="R1244" s="2" t="s">
        <v>30</v>
      </c>
      <c r="S1244" s="8">
        <v>4</v>
      </c>
      <c r="T1244" s="2" t="s">
        <v>24</v>
      </c>
      <c r="U1244" s="31" t="str" cm="1">
        <f t="array" ref="U1244">_xlfn.IFS(L1244&lt;=5000,$Z$3,AND(L1244&gt;5000,L1244&lt;=15000),$Z$4,AND(L1244&gt;15000,L1244&lt;=30000),$Z$5,AND(L1244&gt;30000,L1244&lt;=50000),$Z$6,L1244&gt;50000,$Z$7)</f>
        <v>Sangat Rendah</v>
      </c>
      <c r="V1244" s="2"/>
    </row>
    <row r="1245" spans="1:22" ht="15.75" customHeight="1" x14ac:dyDescent="0.25">
      <c r="A1245" s="26"/>
      <c r="B1245" s="2" t="s">
        <v>1631</v>
      </c>
      <c r="C1245" s="32">
        <v>45786.961157407408</v>
      </c>
      <c r="D1245" s="53">
        <f>YEAR(Table1[[#This Row],[Order Date]])</f>
        <v>2025</v>
      </c>
      <c r="E1245" s="2" t="s">
        <v>402</v>
      </c>
      <c r="F1245" s="2" t="s">
        <v>163</v>
      </c>
      <c r="G1245" s="2" t="s">
        <v>62</v>
      </c>
      <c r="H1245" s="23">
        <v>50000</v>
      </c>
      <c r="I1245" s="2">
        <v>2</v>
      </c>
      <c r="J1245" s="31">
        <v>5</v>
      </c>
      <c r="K1245" s="7">
        <f t="shared" si="76"/>
        <v>100000</v>
      </c>
      <c r="L1245" s="7">
        <f t="shared" si="77"/>
        <v>5000</v>
      </c>
      <c r="M1245" s="7">
        <f t="shared" si="78"/>
        <v>95000</v>
      </c>
      <c r="N1245" s="23">
        <v>50000</v>
      </c>
      <c r="O1245" s="7">
        <f t="shared" si="79"/>
        <v>145000</v>
      </c>
      <c r="P1245" s="2" t="s">
        <v>63</v>
      </c>
      <c r="Q1245" t="str">
        <f>_xlfn.XLOOKUP(B1245,Status!$A$2:$A$1867,Status!$B$2:$B$1867)</f>
        <v>Completed</v>
      </c>
      <c r="R1245" s="2" t="s">
        <v>30</v>
      </c>
      <c r="S1245" s="8">
        <v>5</v>
      </c>
      <c r="T1245" s="2" t="s">
        <v>24</v>
      </c>
      <c r="U1245" s="31" t="str" cm="1">
        <f t="array" ref="U1245">_xlfn.IFS(L1245&lt;=5000,$Z$3,AND(L1245&gt;5000,L1245&lt;=15000),$Z$4,AND(L1245&gt;15000,L1245&lt;=30000),$Z$5,AND(L1245&gt;30000,L1245&lt;=50000),$Z$6,L1245&gt;50000,$Z$7)</f>
        <v>Sangat Rendah</v>
      </c>
      <c r="V1245" s="2"/>
    </row>
    <row r="1246" spans="1:22" ht="15.75" customHeight="1" x14ac:dyDescent="0.25">
      <c r="A1246" s="26"/>
      <c r="B1246" s="2" t="s">
        <v>1632</v>
      </c>
      <c r="C1246" s="32">
        <v>45787.08699074074</v>
      </c>
      <c r="D1246" s="53">
        <f>YEAR(Table1[[#This Row],[Order Date]])</f>
        <v>2025</v>
      </c>
      <c r="E1246" s="2" t="s">
        <v>502</v>
      </c>
      <c r="F1246" s="2" t="s">
        <v>107</v>
      </c>
      <c r="G1246" s="2" t="s">
        <v>50</v>
      </c>
      <c r="H1246" s="23">
        <v>14000</v>
      </c>
      <c r="I1246" s="2">
        <v>1</v>
      </c>
      <c r="J1246" s="31">
        <v>20</v>
      </c>
      <c r="K1246" s="7">
        <f t="shared" si="76"/>
        <v>14000</v>
      </c>
      <c r="L1246" s="7">
        <f t="shared" si="77"/>
        <v>2800</v>
      </c>
      <c r="M1246" s="7">
        <f t="shared" si="78"/>
        <v>11200</v>
      </c>
      <c r="N1246" s="23">
        <v>97000</v>
      </c>
      <c r="O1246" s="7">
        <f t="shared" si="79"/>
        <v>108200</v>
      </c>
      <c r="P1246" s="2" t="s">
        <v>63</v>
      </c>
      <c r="Q1246" t="str">
        <f>_xlfn.XLOOKUP(B1246,Status!$A$2:$A$1867,Status!$B$2:$B$1867)</f>
        <v>Completed</v>
      </c>
      <c r="R1246" s="2" t="s">
        <v>36</v>
      </c>
      <c r="S1246" s="8">
        <v>4</v>
      </c>
      <c r="T1246" s="2" t="s">
        <v>24</v>
      </c>
      <c r="U1246" s="31" t="str" cm="1">
        <f t="array" ref="U1246">_xlfn.IFS(L1246&lt;=5000,$Z$3,AND(L1246&gt;5000,L1246&lt;=15000),$Z$4,AND(L1246&gt;15000,L1246&lt;=30000),$Z$5,AND(L1246&gt;30000,L1246&lt;=50000),$Z$6,L1246&gt;50000,$Z$7)</f>
        <v>Sangat Rendah</v>
      </c>
      <c r="V1246" s="2"/>
    </row>
    <row r="1247" spans="1:22" ht="15.75" customHeight="1" x14ac:dyDescent="0.25">
      <c r="A1247" s="26"/>
      <c r="B1247" s="2" t="s">
        <v>1632</v>
      </c>
      <c r="C1247" s="32">
        <v>45787.08699074074</v>
      </c>
      <c r="D1247" s="53">
        <f>YEAR(Table1[[#This Row],[Order Date]])</f>
        <v>2025</v>
      </c>
      <c r="E1247" s="2" t="s">
        <v>502</v>
      </c>
      <c r="F1247" s="2" t="s">
        <v>107</v>
      </c>
      <c r="G1247" s="2" t="s">
        <v>81</v>
      </c>
      <c r="H1247" s="23">
        <v>17000</v>
      </c>
      <c r="I1247" s="2">
        <v>4</v>
      </c>
      <c r="J1247" s="31">
        <v>5</v>
      </c>
      <c r="K1247" s="7">
        <f t="shared" si="76"/>
        <v>68000</v>
      </c>
      <c r="L1247" s="7">
        <f t="shared" si="77"/>
        <v>3400</v>
      </c>
      <c r="M1247" s="7">
        <f t="shared" si="78"/>
        <v>64600</v>
      </c>
      <c r="N1247" s="23">
        <v>0</v>
      </c>
      <c r="O1247" s="7">
        <f t="shared" si="79"/>
        <v>64600</v>
      </c>
      <c r="P1247" s="2" t="s">
        <v>63</v>
      </c>
      <c r="Q1247" t="str">
        <f>_xlfn.XLOOKUP(B1247,Status!$A$2:$A$1867,Status!$B$2:$B$1867)</f>
        <v>Completed</v>
      </c>
      <c r="R1247" s="2" t="s">
        <v>36</v>
      </c>
      <c r="S1247" s="8">
        <v>4</v>
      </c>
      <c r="T1247" s="2" t="s">
        <v>24</v>
      </c>
      <c r="U1247" s="31" t="str" cm="1">
        <f t="array" ref="U1247">_xlfn.IFS(L1247&lt;=5000,$Z$3,AND(L1247&gt;5000,L1247&lt;=15000),$Z$4,AND(L1247&gt;15000,L1247&lt;=30000),$Z$5,AND(L1247&gt;30000,L1247&lt;=50000),$Z$6,L1247&gt;50000,$Z$7)</f>
        <v>Sangat Rendah</v>
      </c>
      <c r="V1247" s="2"/>
    </row>
    <row r="1248" spans="1:22" ht="15.75" customHeight="1" x14ac:dyDescent="0.25">
      <c r="A1248" s="26"/>
      <c r="B1248" s="2" t="s">
        <v>1633</v>
      </c>
      <c r="C1248" s="32">
        <v>45787.290150462963</v>
      </c>
      <c r="D1248" s="53">
        <f>YEAR(Table1[[#This Row],[Order Date]])</f>
        <v>2025</v>
      </c>
      <c r="E1248" s="2" t="s">
        <v>283</v>
      </c>
      <c r="F1248" s="2" t="s">
        <v>92</v>
      </c>
      <c r="G1248" s="2" t="s">
        <v>81</v>
      </c>
      <c r="H1248" s="23">
        <v>17000</v>
      </c>
      <c r="I1248" s="2">
        <v>5</v>
      </c>
      <c r="J1248" s="31">
        <v>5</v>
      </c>
      <c r="K1248" s="7">
        <f t="shared" si="76"/>
        <v>85000</v>
      </c>
      <c r="L1248" s="7">
        <f t="shared" si="77"/>
        <v>4250</v>
      </c>
      <c r="M1248" s="7">
        <f t="shared" si="78"/>
        <v>80750</v>
      </c>
      <c r="N1248" s="23">
        <v>30000</v>
      </c>
      <c r="O1248" s="7">
        <f t="shared" si="79"/>
        <v>110750</v>
      </c>
      <c r="P1248" s="2" t="s">
        <v>29</v>
      </c>
      <c r="Q1248" t="str">
        <f>_xlfn.XLOOKUP(B1248,Status!$A$2:$A$1867,Status!$B$2:$B$1867)</f>
        <v>Returned</v>
      </c>
      <c r="R1248" s="2" t="s">
        <v>36</v>
      </c>
      <c r="S1248" s="8">
        <v>4</v>
      </c>
      <c r="T1248" s="2" t="s">
        <v>24</v>
      </c>
      <c r="U1248" s="31" t="str" cm="1">
        <f t="array" ref="U1248">_xlfn.IFS(L1248&lt;=5000,$Z$3,AND(L1248&gt;5000,L1248&lt;=15000),$Z$4,AND(L1248&gt;15000,L1248&lt;=30000),$Z$5,AND(L1248&gt;30000,L1248&lt;=50000),$Z$6,L1248&gt;50000,$Z$7)</f>
        <v>Sangat Rendah</v>
      </c>
      <c r="V1248" s="2"/>
    </row>
    <row r="1249" spans="1:22" ht="15.75" customHeight="1" x14ac:dyDescent="0.25">
      <c r="A1249" s="26"/>
      <c r="B1249" s="2" t="s">
        <v>1634</v>
      </c>
      <c r="C1249" s="32">
        <v>45787.356238425928</v>
      </c>
      <c r="D1249" s="53">
        <f>YEAR(Table1[[#This Row],[Order Date]])</f>
        <v>2025</v>
      </c>
      <c r="E1249" s="2" t="s">
        <v>95</v>
      </c>
      <c r="F1249" s="2" t="s">
        <v>96</v>
      </c>
      <c r="G1249" s="2" t="s">
        <v>88</v>
      </c>
      <c r="H1249" s="23">
        <v>14000</v>
      </c>
      <c r="I1249" s="2">
        <v>3</v>
      </c>
      <c r="J1249" s="31">
        <v>20</v>
      </c>
      <c r="K1249" s="7">
        <f t="shared" si="76"/>
        <v>42000</v>
      </c>
      <c r="L1249" s="7">
        <f t="shared" si="77"/>
        <v>8400</v>
      </c>
      <c r="M1249" s="7">
        <f t="shared" si="78"/>
        <v>33600</v>
      </c>
      <c r="N1249" s="23">
        <v>49000</v>
      </c>
      <c r="O1249" s="7">
        <f t="shared" si="79"/>
        <v>82600</v>
      </c>
      <c r="P1249" s="2" t="s">
        <v>63</v>
      </c>
      <c r="Q1249" t="str">
        <f>_xlfn.XLOOKUP(B1249,Status!$A$2:$A$1867,Status!$B$2:$B$1867)</f>
        <v>Returned</v>
      </c>
      <c r="R1249" s="2" t="s">
        <v>36</v>
      </c>
      <c r="S1249" s="8">
        <v>3</v>
      </c>
      <c r="T1249" s="2" t="s">
        <v>24</v>
      </c>
      <c r="U1249" s="31" t="str" cm="1">
        <f t="array" ref="U1249">_xlfn.IFS(L1249&lt;=5000,$Z$3,AND(L1249&gt;5000,L1249&lt;=15000),$Z$4,AND(L1249&gt;15000,L1249&lt;=30000),$Z$5,AND(L1249&gt;30000,L1249&lt;=50000),$Z$6,L1249&gt;50000,$Z$7)</f>
        <v>Rendah</v>
      </c>
      <c r="V1249" s="2"/>
    </row>
    <row r="1250" spans="1:22" ht="15.75" customHeight="1" x14ac:dyDescent="0.25">
      <c r="A1250" s="26"/>
      <c r="B1250" s="2" t="s">
        <v>1635</v>
      </c>
      <c r="C1250" s="32">
        <v>45787.442708333343</v>
      </c>
      <c r="D1250" s="53">
        <f>YEAR(Table1[[#This Row],[Order Date]])</f>
        <v>2025</v>
      </c>
      <c r="E1250" s="2" t="s">
        <v>726</v>
      </c>
      <c r="F1250" s="2" t="s">
        <v>53</v>
      </c>
      <c r="G1250" s="2" t="s">
        <v>88</v>
      </c>
      <c r="H1250" s="23">
        <v>14000</v>
      </c>
      <c r="I1250" s="2">
        <v>5</v>
      </c>
      <c r="J1250" s="31">
        <v>15</v>
      </c>
      <c r="K1250" s="7">
        <f t="shared" si="76"/>
        <v>70000</v>
      </c>
      <c r="L1250" s="7">
        <f t="shared" si="77"/>
        <v>10500</v>
      </c>
      <c r="M1250" s="7">
        <f t="shared" si="78"/>
        <v>59500</v>
      </c>
      <c r="N1250" s="23">
        <v>18000</v>
      </c>
      <c r="O1250" s="7">
        <f t="shared" si="79"/>
        <v>77500</v>
      </c>
      <c r="P1250" s="2" t="s">
        <v>29</v>
      </c>
      <c r="Q1250" t="str">
        <f>_xlfn.XLOOKUP(B1250,Status!$A$2:$A$1867,Status!$B$2:$B$1867)</f>
        <v>Returned</v>
      </c>
      <c r="R1250" s="2" t="s">
        <v>30</v>
      </c>
      <c r="S1250" s="8">
        <v>3</v>
      </c>
      <c r="T1250" s="2" t="s">
        <v>37</v>
      </c>
      <c r="U1250" s="31" t="str" cm="1">
        <f t="array" ref="U1250">_xlfn.IFS(L1250&lt;=5000,$Z$3,AND(L1250&gt;5000,L1250&lt;=15000),$Z$4,AND(L1250&gt;15000,L1250&lt;=30000),$Z$5,AND(L1250&gt;30000,L1250&lt;=50000),$Z$6,L1250&gt;50000,$Z$7)</f>
        <v>Rendah</v>
      </c>
      <c r="V1250" s="2"/>
    </row>
    <row r="1251" spans="1:22" ht="15.75" customHeight="1" x14ac:dyDescent="0.25">
      <c r="A1251" s="26"/>
      <c r="B1251" s="2" t="s">
        <v>1636</v>
      </c>
      <c r="C1251" s="32">
        <v>45787.513912037037</v>
      </c>
      <c r="D1251" s="53">
        <f>YEAR(Table1[[#This Row],[Order Date]])</f>
        <v>2025</v>
      </c>
      <c r="E1251" s="2" t="s">
        <v>1139</v>
      </c>
      <c r="F1251" s="2" t="s">
        <v>53</v>
      </c>
      <c r="G1251" s="2" t="s">
        <v>62</v>
      </c>
      <c r="H1251" s="23">
        <v>50000</v>
      </c>
      <c r="I1251" s="2">
        <v>1</v>
      </c>
      <c r="J1251" s="31">
        <v>20</v>
      </c>
      <c r="K1251" s="7">
        <f t="shared" si="76"/>
        <v>50000</v>
      </c>
      <c r="L1251" s="7">
        <f t="shared" si="77"/>
        <v>10000</v>
      </c>
      <c r="M1251" s="7">
        <f t="shared" si="78"/>
        <v>40000</v>
      </c>
      <c r="N1251" s="23">
        <v>18000</v>
      </c>
      <c r="O1251" s="7">
        <f t="shared" si="79"/>
        <v>58000</v>
      </c>
      <c r="P1251" s="2" t="s">
        <v>29</v>
      </c>
      <c r="Q1251" t="str">
        <f>_xlfn.XLOOKUP(B1251,Status!$A$2:$A$1867,Status!$B$2:$B$1867)</f>
        <v>Completed</v>
      </c>
      <c r="R1251" s="2" t="s">
        <v>30</v>
      </c>
      <c r="S1251" s="8">
        <v>3</v>
      </c>
      <c r="T1251" s="2" t="s">
        <v>37</v>
      </c>
      <c r="U1251" s="31" t="str" cm="1">
        <f t="array" ref="U1251">_xlfn.IFS(L1251&lt;=5000,$Z$3,AND(L1251&gt;5000,L1251&lt;=15000),$Z$4,AND(L1251&gt;15000,L1251&lt;=30000),$Z$5,AND(L1251&gt;30000,L1251&lt;=50000),$Z$6,L1251&gt;50000,$Z$7)</f>
        <v>Rendah</v>
      </c>
      <c r="V1251" s="2"/>
    </row>
    <row r="1252" spans="1:22" ht="15.75" customHeight="1" x14ac:dyDescent="0.25">
      <c r="A1252" s="26"/>
      <c r="B1252" s="2" t="s">
        <v>1637</v>
      </c>
      <c r="C1252" s="32">
        <v>45787.592395833337</v>
      </c>
      <c r="D1252" s="53">
        <f>YEAR(Table1[[#This Row],[Order Date]])</f>
        <v>2025</v>
      </c>
      <c r="E1252" s="2" t="s">
        <v>1396</v>
      </c>
      <c r="F1252" s="2" t="s">
        <v>435</v>
      </c>
      <c r="G1252" s="2" t="s">
        <v>41</v>
      </c>
      <c r="H1252" s="23">
        <v>4000</v>
      </c>
      <c r="I1252" s="2">
        <v>4</v>
      </c>
      <c r="J1252" s="31">
        <v>5</v>
      </c>
      <c r="K1252" s="7">
        <f t="shared" si="76"/>
        <v>16000</v>
      </c>
      <c r="L1252" s="7">
        <f t="shared" si="77"/>
        <v>800</v>
      </c>
      <c r="M1252" s="7">
        <f t="shared" si="78"/>
        <v>15200</v>
      </c>
      <c r="N1252" s="23">
        <v>67000</v>
      </c>
      <c r="O1252" s="7">
        <f t="shared" si="79"/>
        <v>82200</v>
      </c>
      <c r="P1252" s="2" t="s">
        <v>29</v>
      </c>
      <c r="Q1252" t="str">
        <f>_xlfn.XLOOKUP(B1252,Status!$A$2:$A$1867,Status!$B$2:$B$1867)</f>
        <v>Completed</v>
      </c>
      <c r="R1252" s="2" t="s">
        <v>82</v>
      </c>
      <c r="S1252" s="8">
        <v>3</v>
      </c>
      <c r="T1252" s="2" t="s">
        <v>24</v>
      </c>
      <c r="U1252" s="31" t="str" cm="1">
        <f t="array" ref="U1252">_xlfn.IFS(L1252&lt;=5000,$Z$3,AND(L1252&gt;5000,L1252&lt;=15000),$Z$4,AND(L1252&gt;15000,L1252&lt;=30000),$Z$5,AND(L1252&gt;30000,L1252&lt;=50000),$Z$6,L1252&gt;50000,$Z$7)</f>
        <v>Sangat Rendah</v>
      </c>
      <c r="V1252" s="2"/>
    </row>
    <row r="1253" spans="1:22" ht="15.75" customHeight="1" x14ac:dyDescent="0.25">
      <c r="A1253" s="26"/>
      <c r="B1253" s="2" t="s">
        <v>1638</v>
      </c>
      <c r="C1253" s="32">
        <v>45787.920972222222</v>
      </c>
      <c r="D1253" s="53">
        <f>YEAR(Table1[[#This Row],[Order Date]])</f>
        <v>2025</v>
      </c>
      <c r="E1253" s="2" t="s">
        <v>52</v>
      </c>
      <c r="F1253" s="2" t="s">
        <v>53</v>
      </c>
      <c r="G1253" s="2" t="s">
        <v>34</v>
      </c>
      <c r="H1253" s="23">
        <v>16000</v>
      </c>
      <c r="I1253" s="2">
        <v>4</v>
      </c>
      <c r="J1253" s="31">
        <v>0</v>
      </c>
      <c r="K1253" s="7">
        <f t="shared" si="76"/>
        <v>64000</v>
      </c>
      <c r="L1253" s="7">
        <f t="shared" si="77"/>
        <v>0</v>
      </c>
      <c r="M1253" s="7">
        <f t="shared" si="78"/>
        <v>64000</v>
      </c>
      <c r="N1253" s="23">
        <v>18000</v>
      </c>
      <c r="O1253" s="7">
        <f t="shared" si="79"/>
        <v>82000</v>
      </c>
      <c r="P1253" s="2" t="s">
        <v>29</v>
      </c>
      <c r="Q1253" t="str">
        <f>_xlfn.XLOOKUP(B1253,Status!$A$2:$A$1867,Status!$B$2:$B$1867)</f>
        <v>Completed</v>
      </c>
      <c r="R1253" s="2" t="s">
        <v>23</v>
      </c>
      <c r="S1253" s="8">
        <v>3</v>
      </c>
      <c r="T1253" s="2" t="s">
        <v>24</v>
      </c>
      <c r="U1253" s="31" t="str" cm="1">
        <f t="array" ref="U1253">_xlfn.IFS(L1253&lt;=5000,$Z$3,AND(L1253&gt;5000,L1253&lt;=15000),$Z$4,AND(L1253&gt;15000,L1253&lt;=30000),$Z$5,AND(L1253&gt;30000,L1253&lt;=50000),$Z$6,L1253&gt;50000,$Z$7)</f>
        <v>Sangat Rendah</v>
      </c>
      <c r="V1253" s="2"/>
    </row>
    <row r="1254" spans="1:22" ht="15.75" customHeight="1" x14ac:dyDescent="0.25">
      <c r="A1254" s="26"/>
      <c r="B1254" s="2" t="s">
        <v>1639</v>
      </c>
      <c r="C1254" s="32">
        <v>45787.959178240737</v>
      </c>
      <c r="D1254" s="53">
        <f>YEAR(Table1[[#This Row],[Order Date]])</f>
        <v>2025</v>
      </c>
      <c r="E1254" s="2" t="s">
        <v>1321</v>
      </c>
      <c r="F1254" s="2" t="s">
        <v>113</v>
      </c>
      <c r="G1254" s="2" t="s">
        <v>85</v>
      </c>
      <c r="H1254" s="23">
        <v>35000</v>
      </c>
      <c r="I1254" s="2">
        <v>2</v>
      </c>
      <c r="J1254" s="31">
        <v>20</v>
      </c>
      <c r="K1254" s="7">
        <f t="shared" si="76"/>
        <v>70000</v>
      </c>
      <c r="L1254" s="7">
        <f t="shared" si="77"/>
        <v>14000</v>
      </c>
      <c r="M1254" s="7">
        <f t="shared" si="78"/>
        <v>56000</v>
      </c>
      <c r="N1254" s="23">
        <v>18000</v>
      </c>
      <c r="O1254" s="7">
        <f t="shared" si="79"/>
        <v>74000</v>
      </c>
      <c r="P1254" s="2" t="s">
        <v>63</v>
      </c>
      <c r="Q1254" t="str">
        <f>_xlfn.XLOOKUP(B1254,Status!$A$2:$A$1867,Status!$B$2:$B$1867)</f>
        <v>Completed</v>
      </c>
      <c r="R1254" s="2" t="s">
        <v>46</v>
      </c>
      <c r="S1254" s="8">
        <v>1</v>
      </c>
      <c r="T1254" s="2" t="s">
        <v>24</v>
      </c>
      <c r="U1254" s="31" t="str" cm="1">
        <f t="array" ref="U1254">_xlfn.IFS(L1254&lt;=5000,$Z$3,AND(L1254&gt;5000,L1254&lt;=15000),$Z$4,AND(L1254&gt;15000,L1254&lt;=30000),$Z$5,AND(L1254&gt;30000,L1254&lt;=50000),$Z$6,L1254&gt;50000,$Z$7)</f>
        <v>Rendah</v>
      </c>
      <c r="V1254" s="2"/>
    </row>
    <row r="1255" spans="1:22" ht="15.75" customHeight="1" x14ac:dyDescent="0.25">
      <c r="A1255" s="26"/>
      <c r="B1255" s="2" t="s">
        <v>1640</v>
      </c>
      <c r="C1255" s="32">
        <v>45788.053587962961</v>
      </c>
      <c r="D1255" s="53">
        <f>YEAR(Table1[[#This Row],[Order Date]])</f>
        <v>2025</v>
      </c>
      <c r="E1255" s="2" t="s">
        <v>1321</v>
      </c>
      <c r="F1255" s="2" t="s">
        <v>113</v>
      </c>
      <c r="G1255" s="2" t="s">
        <v>67</v>
      </c>
      <c r="H1255" s="23">
        <v>15000</v>
      </c>
      <c r="I1255" s="2">
        <v>5</v>
      </c>
      <c r="J1255" s="31">
        <v>20</v>
      </c>
      <c r="K1255" s="7">
        <f t="shared" si="76"/>
        <v>75000</v>
      </c>
      <c r="L1255" s="7">
        <f t="shared" si="77"/>
        <v>15000</v>
      </c>
      <c r="M1255" s="7">
        <f t="shared" si="78"/>
        <v>60000</v>
      </c>
      <c r="N1255" s="23">
        <v>18000</v>
      </c>
      <c r="O1255" s="7">
        <f t="shared" si="79"/>
        <v>78000</v>
      </c>
      <c r="P1255" s="2" t="s">
        <v>22</v>
      </c>
      <c r="Q1255" t="str">
        <f>_xlfn.XLOOKUP(B1255,Status!$A$2:$A$1867,Status!$B$2:$B$1867)</f>
        <v>Completed</v>
      </c>
      <c r="R1255" s="2" t="s">
        <v>46</v>
      </c>
      <c r="S1255" s="8">
        <v>1</v>
      </c>
      <c r="T1255" s="2" t="s">
        <v>24</v>
      </c>
      <c r="U1255" s="31" t="str" cm="1">
        <f t="array" ref="U1255">_xlfn.IFS(L1255&lt;=5000,$Z$3,AND(L1255&gt;5000,L1255&lt;=15000),$Z$4,AND(L1255&gt;15000,L1255&lt;=30000),$Z$5,AND(L1255&gt;30000,L1255&lt;=50000),$Z$6,L1255&gt;50000,$Z$7)</f>
        <v>Rendah</v>
      </c>
      <c r="V1255" s="2"/>
    </row>
    <row r="1256" spans="1:22" ht="15.75" customHeight="1" x14ac:dyDescent="0.25">
      <c r="A1256" s="26"/>
      <c r="B1256" s="2" t="s">
        <v>1641</v>
      </c>
      <c r="C1256" s="32">
        <v>45788.124224537038</v>
      </c>
      <c r="D1256" s="53">
        <f>YEAR(Table1[[#This Row],[Order Date]])</f>
        <v>2025</v>
      </c>
      <c r="E1256" s="2" t="s">
        <v>1336</v>
      </c>
      <c r="F1256" s="2" t="s">
        <v>96</v>
      </c>
      <c r="G1256" s="2" t="s">
        <v>93</v>
      </c>
      <c r="H1256" s="23">
        <v>25000</v>
      </c>
      <c r="I1256" s="2">
        <v>4</v>
      </c>
      <c r="J1256" s="31">
        <v>20</v>
      </c>
      <c r="K1256" s="7">
        <f t="shared" si="76"/>
        <v>100000</v>
      </c>
      <c r="L1256" s="7">
        <f t="shared" si="77"/>
        <v>20000</v>
      </c>
      <c r="M1256" s="7">
        <f t="shared" si="78"/>
        <v>80000</v>
      </c>
      <c r="N1256" s="23">
        <v>49000</v>
      </c>
      <c r="O1256" s="7">
        <f t="shared" si="79"/>
        <v>129000</v>
      </c>
      <c r="P1256" s="2" t="s">
        <v>35</v>
      </c>
      <c r="Q1256" t="str">
        <f>_xlfn.XLOOKUP(B1256,Status!$A$2:$A$1867,Status!$B$2:$B$1867)</f>
        <v>Completed</v>
      </c>
      <c r="R1256" s="2" t="s">
        <v>36</v>
      </c>
      <c r="S1256" s="8">
        <v>1</v>
      </c>
      <c r="T1256" s="2" t="s">
        <v>37</v>
      </c>
      <c r="U1256" s="31" t="str" cm="1">
        <f t="array" ref="U1256">_xlfn.IFS(L1256&lt;=5000,$Z$3,AND(L1256&gt;5000,L1256&lt;=15000),$Z$4,AND(L1256&gt;15000,L1256&lt;=30000),$Z$5,AND(L1256&gt;30000,L1256&lt;=50000),$Z$6,L1256&gt;50000,$Z$7)</f>
        <v>Normal</v>
      </c>
      <c r="V1256" s="2"/>
    </row>
    <row r="1257" spans="1:22" ht="15.75" customHeight="1" x14ac:dyDescent="0.25">
      <c r="A1257" s="26"/>
      <c r="B1257" s="2" t="s">
        <v>1642</v>
      </c>
      <c r="C1257" s="32">
        <v>45788.335069444453</v>
      </c>
      <c r="D1257" s="53">
        <f>YEAR(Table1[[#This Row],[Order Date]])</f>
        <v>2025</v>
      </c>
      <c r="E1257" s="2" t="s">
        <v>261</v>
      </c>
      <c r="F1257" s="2" t="s">
        <v>262</v>
      </c>
      <c r="G1257" s="2" t="s">
        <v>81</v>
      </c>
      <c r="H1257" s="23">
        <v>17000</v>
      </c>
      <c r="I1257" s="2">
        <v>3</v>
      </c>
      <c r="J1257" s="31">
        <v>15</v>
      </c>
      <c r="K1257" s="7">
        <f t="shared" si="76"/>
        <v>51000</v>
      </c>
      <c r="L1257" s="7">
        <f t="shared" si="77"/>
        <v>7650</v>
      </c>
      <c r="M1257" s="7">
        <f t="shared" si="78"/>
        <v>43350</v>
      </c>
      <c r="N1257" s="23">
        <v>18000</v>
      </c>
      <c r="O1257" s="7">
        <f t="shared" si="79"/>
        <v>61350</v>
      </c>
      <c r="P1257" s="2" t="s">
        <v>35</v>
      </c>
      <c r="Q1257" t="str">
        <f>_xlfn.XLOOKUP(B1257,Status!$A$2:$A$1867,Status!$B$2:$B$1867)</f>
        <v>Returned</v>
      </c>
      <c r="R1257" s="2" t="s">
        <v>23</v>
      </c>
      <c r="S1257" s="8">
        <v>5</v>
      </c>
      <c r="T1257" s="2" t="s">
        <v>24</v>
      </c>
      <c r="U1257" s="31" t="str" cm="1">
        <f t="array" ref="U1257">_xlfn.IFS(L1257&lt;=5000,$Z$3,AND(L1257&gt;5000,L1257&lt;=15000),$Z$4,AND(L1257&gt;15000,L1257&lt;=30000),$Z$5,AND(L1257&gt;30000,L1257&lt;=50000),$Z$6,L1257&gt;50000,$Z$7)</f>
        <v>Rendah</v>
      </c>
      <c r="V1257" s="2"/>
    </row>
    <row r="1258" spans="1:22" ht="15.75" customHeight="1" x14ac:dyDescent="0.25">
      <c r="A1258" s="26"/>
      <c r="B1258" s="2" t="s">
        <v>1642</v>
      </c>
      <c r="C1258" s="32">
        <v>45788.335069444453</v>
      </c>
      <c r="D1258" s="53">
        <f>YEAR(Table1[[#This Row],[Order Date]])</f>
        <v>2025</v>
      </c>
      <c r="E1258" s="2" t="s">
        <v>261</v>
      </c>
      <c r="F1258" s="2" t="s">
        <v>262</v>
      </c>
      <c r="G1258" s="2" t="s">
        <v>186</v>
      </c>
      <c r="H1258" s="23">
        <v>45000</v>
      </c>
      <c r="I1258" s="2">
        <v>3</v>
      </c>
      <c r="J1258" s="31">
        <v>10</v>
      </c>
      <c r="K1258" s="7">
        <f t="shared" si="76"/>
        <v>135000</v>
      </c>
      <c r="L1258" s="7">
        <f t="shared" si="77"/>
        <v>13500</v>
      </c>
      <c r="M1258" s="7">
        <f t="shared" si="78"/>
        <v>121500</v>
      </c>
      <c r="N1258" s="23">
        <v>0</v>
      </c>
      <c r="O1258" s="7">
        <f t="shared" si="79"/>
        <v>121500</v>
      </c>
      <c r="P1258" s="2" t="s">
        <v>35</v>
      </c>
      <c r="Q1258" t="str">
        <f>_xlfn.XLOOKUP(B1258,Status!$A$2:$A$1867,Status!$B$2:$B$1867)</f>
        <v>Returned</v>
      </c>
      <c r="R1258" s="2" t="s">
        <v>23</v>
      </c>
      <c r="S1258" s="8">
        <v>5</v>
      </c>
      <c r="T1258" s="2" t="s">
        <v>24</v>
      </c>
      <c r="U1258" s="31" t="str" cm="1">
        <f t="array" ref="U1258">_xlfn.IFS(L1258&lt;=5000,$Z$3,AND(L1258&gt;5000,L1258&lt;=15000),$Z$4,AND(L1258&gt;15000,L1258&lt;=30000),$Z$5,AND(L1258&gt;30000,L1258&lt;=50000),$Z$6,L1258&gt;50000,$Z$7)</f>
        <v>Rendah</v>
      </c>
      <c r="V1258" s="2"/>
    </row>
    <row r="1259" spans="1:22" ht="15.75" customHeight="1" x14ac:dyDescent="0.25">
      <c r="A1259" s="26"/>
      <c r="B1259" s="2" t="s">
        <v>1643</v>
      </c>
      <c r="C1259" s="32">
        <v>45788.349826388891</v>
      </c>
      <c r="D1259" s="53">
        <f>YEAR(Table1[[#This Row],[Order Date]])</f>
        <v>2025</v>
      </c>
      <c r="E1259" s="2" t="s">
        <v>326</v>
      </c>
      <c r="F1259" s="2" t="s">
        <v>262</v>
      </c>
      <c r="G1259" s="2" t="s">
        <v>62</v>
      </c>
      <c r="H1259" s="23">
        <v>50000</v>
      </c>
      <c r="I1259" s="2">
        <v>4</v>
      </c>
      <c r="J1259" s="31">
        <v>10</v>
      </c>
      <c r="K1259" s="7">
        <f t="shared" si="76"/>
        <v>200000</v>
      </c>
      <c r="L1259" s="7">
        <f t="shared" si="77"/>
        <v>20000</v>
      </c>
      <c r="M1259" s="7">
        <f t="shared" si="78"/>
        <v>180000</v>
      </c>
      <c r="N1259" s="23">
        <v>18000</v>
      </c>
      <c r="O1259" s="7">
        <f t="shared" si="79"/>
        <v>198000</v>
      </c>
      <c r="P1259" s="2" t="s">
        <v>22</v>
      </c>
      <c r="Q1259" t="str">
        <f>_xlfn.XLOOKUP(B1259,Status!$A$2:$A$1867,Status!$B$2:$B$1867)</f>
        <v>Completed</v>
      </c>
      <c r="R1259" s="2" t="s">
        <v>46</v>
      </c>
      <c r="S1259" s="8">
        <v>1</v>
      </c>
      <c r="T1259" s="2" t="s">
        <v>37</v>
      </c>
      <c r="U1259" s="31" t="str" cm="1">
        <f t="array" ref="U1259">_xlfn.IFS(L1259&lt;=5000,$Z$3,AND(L1259&gt;5000,L1259&lt;=15000),$Z$4,AND(L1259&gt;15000,L1259&lt;=30000),$Z$5,AND(L1259&gt;30000,L1259&lt;=50000),$Z$6,L1259&gt;50000,$Z$7)</f>
        <v>Normal</v>
      </c>
      <c r="V1259" s="2"/>
    </row>
    <row r="1260" spans="1:22" ht="15.75" customHeight="1" x14ac:dyDescent="0.25">
      <c r="A1260" s="26"/>
      <c r="B1260" s="2" t="s">
        <v>1644</v>
      </c>
      <c r="C1260" s="32">
        <v>45788.352199074077</v>
      </c>
      <c r="D1260" s="53">
        <f>YEAR(Table1[[#This Row],[Order Date]])</f>
        <v>2025</v>
      </c>
      <c r="E1260" s="2" t="s">
        <v>235</v>
      </c>
      <c r="F1260" s="2" t="s">
        <v>189</v>
      </c>
      <c r="G1260" s="2" t="s">
        <v>81</v>
      </c>
      <c r="H1260" s="23">
        <v>17000</v>
      </c>
      <c r="I1260" s="2">
        <v>4</v>
      </c>
      <c r="J1260" s="31">
        <v>15</v>
      </c>
      <c r="K1260" s="7">
        <f t="shared" si="76"/>
        <v>68000</v>
      </c>
      <c r="L1260" s="7">
        <f t="shared" si="77"/>
        <v>10200</v>
      </c>
      <c r="M1260" s="7">
        <f t="shared" si="78"/>
        <v>57800</v>
      </c>
      <c r="N1260" s="23">
        <v>57000</v>
      </c>
      <c r="O1260" s="7">
        <f t="shared" si="79"/>
        <v>114800</v>
      </c>
      <c r="P1260" s="2" t="s">
        <v>22</v>
      </c>
      <c r="Q1260" t="str">
        <f>_xlfn.XLOOKUP(B1260,Status!$A$2:$A$1867,Status!$B$2:$B$1867)</f>
        <v>Completed</v>
      </c>
      <c r="R1260" s="2" t="s">
        <v>30</v>
      </c>
      <c r="S1260" s="8">
        <v>4</v>
      </c>
      <c r="T1260" s="2" t="s">
        <v>37</v>
      </c>
      <c r="U1260" s="31" t="str" cm="1">
        <f t="array" ref="U1260">_xlfn.IFS(L1260&lt;=5000,$Z$3,AND(L1260&gt;5000,L1260&lt;=15000),$Z$4,AND(L1260&gt;15000,L1260&lt;=30000),$Z$5,AND(L1260&gt;30000,L1260&lt;=50000),$Z$6,L1260&gt;50000,$Z$7)</f>
        <v>Rendah</v>
      </c>
      <c r="V1260" s="2"/>
    </row>
    <row r="1261" spans="1:22" ht="15.75" customHeight="1" x14ac:dyDescent="0.25">
      <c r="A1261" s="26"/>
      <c r="B1261" s="2" t="s">
        <v>1645</v>
      </c>
      <c r="C1261" s="32">
        <v>45789.496990740743</v>
      </c>
      <c r="D1261" s="53">
        <f>YEAR(Table1[[#This Row],[Order Date]])</f>
        <v>2025</v>
      </c>
      <c r="E1261" s="2" t="s">
        <v>1022</v>
      </c>
      <c r="F1261" s="2" t="s">
        <v>177</v>
      </c>
      <c r="G1261" s="2" t="s">
        <v>58</v>
      </c>
      <c r="H1261" s="23">
        <v>16000</v>
      </c>
      <c r="I1261" s="2">
        <v>2</v>
      </c>
      <c r="J1261" s="31">
        <v>20</v>
      </c>
      <c r="K1261" s="7">
        <f t="shared" si="76"/>
        <v>32000</v>
      </c>
      <c r="L1261" s="7">
        <f t="shared" si="77"/>
        <v>6400</v>
      </c>
      <c r="M1261" s="7">
        <f t="shared" si="78"/>
        <v>25600</v>
      </c>
      <c r="N1261" s="23">
        <v>56000</v>
      </c>
      <c r="O1261" s="7">
        <f t="shared" si="79"/>
        <v>81600</v>
      </c>
      <c r="P1261" s="2" t="s">
        <v>22</v>
      </c>
      <c r="Q1261" t="str">
        <f>_xlfn.XLOOKUP(B1261,Status!$A$2:$A$1867,Status!$B$2:$B$1867)</f>
        <v>Completed</v>
      </c>
      <c r="R1261" s="2" t="s">
        <v>36</v>
      </c>
      <c r="S1261" s="8">
        <v>4</v>
      </c>
      <c r="T1261" s="2" t="s">
        <v>24</v>
      </c>
      <c r="U1261" s="31" t="str" cm="1">
        <f t="array" ref="U1261">_xlfn.IFS(L1261&lt;=5000,$Z$3,AND(L1261&gt;5000,L1261&lt;=15000),$Z$4,AND(L1261&gt;15000,L1261&lt;=30000),$Z$5,AND(L1261&gt;30000,L1261&lt;=50000),$Z$6,L1261&gt;50000,$Z$7)</f>
        <v>Rendah</v>
      </c>
      <c r="V1261" s="2"/>
    </row>
    <row r="1262" spans="1:22" ht="15.75" customHeight="1" x14ac:dyDescent="0.25">
      <c r="A1262" s="26"/>
      <c r="B1262" s="2" t="s">
        <v>1646</v>
      </c>
      <c r="C1262" s="32">
        <v>45789.524062500001</v>
      </c>
      <c r="D1262" s="53">
        <f>YEAR(Table1[[#This Row],[Order Date]])</f>
        <v>2025</v>
      </c>
      <c r="E1262" s="2" t="s">
        <v>87</v>
      </c>
      <c r="F1262" s="2" t="s">
        <v>80</v>
      </c>
      <c r="G1262" s="2" t="s">
        <v>62</v>
      </c>
      <c r="H1262" s="23">
        <v>50000</v>
      </c>
      <c r="I1262" s="2">
        <v>2</v>
      </c>
      <c r="J1262" s="31">
        <v>15</v>
      </c>
      <c r="K1262" s="7">
        <f t="shared" si="76"/>
        <v>100000</v>
      </c>
      <c r="L1262" s="7">
        <f t="shared" si="77"/>
        <v>15000</v>
      </c>
      <c r="M1262" s="7">
        <f t="shared" si="78"/>
        <v>85000</v>
      </c>
      <c r="N1262" s="23">
        <v>74000</v>
      </c>
      <c r="O1262" s="7">
        <f t="shared" si="79"/>
        <v>159000</v>
      </c>
      <c r="P1262" s="2" t="s">
        <v>63</v>
      </c>
      <c r="Q1262" t="str">
        <f>_xlfn.XLOOKUP(B1262,Status!$A$2:$A$1867,Status!$B$2:$B$1867)</f>
        <v>Returned</v>
      </c>
      <c r="R1262" s="2" t="s">
        <v>23</v>
      </c>
      <c r="S1262" s="8">
        <v>2</v>
      </c>
      <c r="T1262" s="2" t="s">
        <v>24</v>
      </c>
      <c r="U1262" s="31" t="str" cm="1">
        <f t="array" ref="U1262">_xlfn.IFS(L1262&lt;=5000,$Z$3,AND(L1262&gt;5000,L1262&lt;=15000),$Z$4,AND(L1262&gt;15000,L1262&lt;=30000),$Z$5,AND(L1262&gt;30000,L1262&lt;=50000),$Z$6,L1262&gt;50000,$Z$7)</f>
        <v>Rendah</v>
      </c>
      <c r="V1262" s="2"/>
    </row>
    <row r="1263" spans="1:22" ht="15.75" customHeight="1" x14ac:dyDescent="0.25">
      <c r="A1263" s="26"/>
      <c r="B1263" s="2" t="s">
        <v>1647</v>
      </c>
      <c r="C1263" s="32">
        <v>45789.529050925928</v>
      </c>
      <c r="D1263" s="53">
        <f>YEAR(Table1[[#This Row],[Order Date]])</f>
        <v>2025</v>
      </c>
      <c r="E1263" s="2" t="s">
        <v>150</v>
      </c>
      <c r="F1263" s="2" t="s">
        <v>151</v>
      </c>
      <c r="G1263" s="2" t="s">
        <v>28</v>
      </c>
      <c r="H1263" s="23">
        <v>5000</v>
      </c>
      <c r="I1263" s="2">
        <v>2</v>
      </c>
      <c r="J1263" s="31">
        <v>20</v>
      </c>
      <c r="K1263" s="7">
        <f t="shared" si="76"/>
        <v>10000</v>
      </c>
      <c r="L1263" s="7">
        <f t="shared" si="77"/>
        <v>2000</v>
      </c>
      <c r="M1263" s="7">
        <f t="shared" si="78"/>
        <v>8000</v>
      </c>
      <c r="N1263" s="23">
        <v>55000</v>
      </c>
      <c r="O1263" s="7">
        <f t="shared" si="79"/>
        <v>63000</v>
      </c>
      <c r="P1263" s="2" t="s">
        <v>22</v>
      </c>
      <c r="Q1263" t="str">
        <f>_xlfn.XLOOKUP(B1263,Status!$A$2:$A$1867,Status!$B$2:$B$1867)</f>
        <v>Returned</v>
      </c>
      <c r="R1263" s="2" t="s">
        <v>82</v>
      </c>
      <c r="S1263" s="8">
        <v>5</v>
      </c>
      <c r="T1263" s="2" t="s">
        <v>37</v>
      </c>
      <c r="U1263" s="31" t="str" cm="1">
        <f t="array" ref="U1263">_xlfn.IFS(L1263&lt;=5000,$Z$3,AND(L1263&gt;5000,L1263&lt;=15000),$Z$4,AND(L1263&gt;15000,L1263&lt;=30000),$Z$5,AND(L1263&gt;30000,L1263&lt;=50000),$Z$6,L1263&gt;50000,$Z$7)</f>
        <v>Sangat Rendah</v>
      </c>
      <c r="V1263" s="2"/>
    </row>
    <row r="1264" spans="1:22" ht="15.75" customHeight="1" x14ac:dyDescent="0.25">
      <c r="A1264" s="26"/>
      <c r="B1264" s="2" t="s">
        <v>1648</v>
      </c>
      <c r="C1264" s="32">
        <v>45789.548402777778</v>
      </c>
      <c r="D1264" s="53">
        <f>YEAR(Table1[[#This Row],[Order Date]])</f>
        <v>2025</v>
      </c>
      <c r="E1264" s="2" t="s">
        <v>271</v>
      </c>
      <c r="F1264" s="2" t="s">
        <v>49</v>
      </c>
      <c r="G1264" s="2" t="s">
        <v>38</v>
      </c>
      <c r="H1264" s="23">
        <v>28000</v>
      </c>
      <c r="I1264" s="2">
        <v>4</v>
      </c>
      <c r="J1264" s="31">
        <v>0</v>
      </c>
      <c r="K1264" s="7">
        <f t="shared" si="76"/>
        <v>112000</v>
      </c>
      <c r="L1264" s="7">
        <f t="shared" si="77"/>
        <v>0</v>
      </c>
      <c r="M1264" s="7">
        <f t="shared" si="78"/>
        <v>112000</v>
      </c>
      <c r="N1264" s="23">
        <v>43000</v>
      </c>
      <c r="O1264" s="7">
        <f t="shared" si="79"/>
        <v>155000</v>
      </c>
      <c r="P1264" s="2" t="s">
        <v>29</v>
      </c>
      <c r="Q1264" t="str">
        <f>_xlfn.XLOOKUP(B1264,Status!$A$2:$A$1867,Status!$B$2:$B$1867)</f>
        <v>Returned</v>
      </c>
      <c r="R1264" s="2" t="s">
        <v>46</v>
      </c>
      <c r="S1264" s="8">
        <v>4</v>
      </c>
      <c r="T1264" s="2" t="s">
        <v>24</v>
      </c>
      <c r="U1264" s="31" t="str" cm="1">
        <f t="array" ref="U1264">_xlfn.IFS(L1264&lt;=5000,$Z$3,AND(L1264&gt;5000,L1264&lt;=15000),$Z$4,AND(L1264&gt;15000,L1264&lt;=30000),$Z$5,AND(L1264&gt;30000,L1264&lt;=50000),$Z$6,L1264&gt;50000,$Z$7)</f>
        <v>Sangat Rendah</v>
      </c>
      <c r="V1264" s="2"/>
    </row>
    <row r="1265" spans="1:22" ht="15.75" customHeight="1" x14ac:dyDescent="0.25">
      <c r="A1265" s="26"/>
      <c r="B1265" s="2" t="s">
        <v>1649</v>
      </c>
      <c r="C1265" s="32">
        <v>45789.681458333333</v>
      </c>
      <c r="D1265" s="53">
        <f>YEAR(Table1[[#This Row],[Order Date]])</f>
        <v>2025</v>
      </c>
      <c r="E1265" s="2" t="s">
        <v>410</v>
      </c>
      <c r="F1265" s="2" t="s">
        <v>151</v>
      </c>
      <c r="G1265" s="2" t="s">
        <v>54</v>
      </c>
      <c r="H1265" s="23">
        <v>16000</v>
      </c>
      <c r="I1265" s="2">
        <v>5</v>
      </c>
      <c r="J1265" s="31">
        <v>5</v>
      </c>
      <c r="K1265" s="7">
        <f t="shared" si="76"/>
        <v>80000</v>
      </c>
      <c r="L1265" s="7">
        <f t="shared" si="77"/>
        <v>4000</v>
      </c>
      <c r="M1265" s="7">
        <f t="shared" si="78"/>
        <v>76000</v>
      </c>
      <c r="N1265" s="23">
        <v>55000</v>
      </c>
      <c r="O1265" s="7">
        <f t="shared" si="79"/>
        <v>131000</v>
      </c>
      <c r="P1265" s="2" t="s">
        <v>29</v>
      </c>
      <c r="Q1265" t="str">
        <f>_xlfn.XLOOKUP(B1265,Status!$A$2:$A$1867,Status!$B$2:$B$1867)</f>
        <v>Returned</v>
      </c>
      <c r="R1265" s="2" t="s">
        <v>46</v>
      </c>
      <c r="S1265" s="8">
        <v>3</v>
      </c>
      <c r="T1265" s="2" t="s">
        <v>24</v>
      </c>
      <c r="U1265" s="31" t="str" cm="1">
        <f t="array" ref="U1265">_xlfn.IFS(L1265&lt;=5000,$Z$3,AND(L1265&gt;5000,L1265&lt;=15000),$Z$4,AND(L1265&gt;15000,L1265&lt;=30000),$Z$5,AND(L1265&gt;30000,L1265&lt;=50000),$Z$6,L1265&gt;50000,$Z$7)</f>
        <v>Sangat Rendah</v>
      </c>
      <c r="V1265" s="2"/>
    </row>
    <row r="1266" spans="1:22" ht="15.75" customHeight="1" x14ac:dyDescent="0.25">
      <c r="A1266" s="26"/>
      <c r="B1266" s="2" t="s">
        <v>1650</v>
      </c>
      <c r="C1266" s="32">
        <v>45789.765416666669</v>
      </c>
      <c r="D1266" s="53">
        <f>YEAR(Table1[[#This Row],[Order Date]])</f>
        <v>2025</v>
      </c>
      <c r="E1266" s="2" t="s">
        <v>273</v>
      </c>
      <c r="F1266" s="2" t="s">
        <v>195</v>
      </c>
      <c r="G1266" s="2" t="s">
        <v>190</v>
      </c>
      <c r="H1266" s="23">
        <v>35000</v>
      </c>
      <c r="I1266" s="2">
        <v>3</v>
      </c>
      <c r="J1266" s="31">
        <v>15</v>
      </c>
      <c r="K1266" s="7">
        <f t="shared" si="76"/>
        <v>105000</v>
      </c>
      <c r="L1266" s="7">
        <f t="shared" si="77"/>
        <v>15750</v>
      </c>
      <c r="M1266" s="7">
        <f t="shared" si="78"/>
        <v>89250</v>
      </c>
      <c r="N1266" s="23">
        <v>87000</v>
      </c>
      <c r="O1266" s="7">
        <f t="shared" si="79"/>
        <v>176250</v>
      </c>
      <c r="P1266" s="2" t="s">
        <v>63</v>
      </c>
      <c r="Q1266" t="str">
        <f>_xlfn.XLOOKUP(B1266,Status!$A$2:$A$1867,Status!$B$2:$B$1867)</f>
        <v>Returned</v>
      </c>
      <c r="R1266" s="2" t="s">
        <v>30</v>
      </c>
      <c r="S1266" s="8">
        <v>2</v>
      </c>
      <c r="T1266" s="2" t="s">
        <v>24</v>
      </c>
      <c r="U1266" s="31" t="str" cm="1">
        <f t="array" ref="U1266">_xlfn.IFS(L1266&lt;=5000,$Z$3,AND(L1266&gt;5000,L1266&lt;=15000),$Z$4,AND(L1266&gt;15000,L1266&lt;=30000),$Z$5,AND(L1266&gt;30000,L1266&lt;=50000),$Z$6,L1266&gt;50000,$Z$7)</f>
        <v>Normal</v>
      </c>
      <c r="V1266" s="2"/>
    </row>
    <row r="1267" spans="1:22" ht="15.75" customHeight="1" x14ac:dyDescent="0.25">
      <c r="A1267" s="26"/>
      <c r="B1267" s="2" t="s">
        <v>1651</v>
      </c>
      <c r="C1267" s="32">
        <v>45789.803368055553</v>
      </c>
      <c r="D1267" s="53">
        <f>YEAR(Table1[[#This Row],[Order Date]])</f>
        <v>2025</v>
      </c>
      <c r="E1267" s="2" t="s">
        <v>243</v>
      </c>
      <c r="F1267" s="2" t="s">
        <v>244</v>
      </c>
      <c r="G1267" s="2" t="s">
        <v>58</v>
      </c>
      <c r="H1267" s="23">
        <v>16000</v>
      </c>
      <c r="I1267" s="2">
        <v>5</v>
      </c>
      <c r="J1267" s="31">
        <v>20</v>
      </c>
      <c r="K1267" s="7">
        <f t="shared" si="76"/>
        <v>80000</v>
      </c>
      <c r="L1267" s="7">
        <f t="shared" si="77"/>
        <v>16000</v>
      </c>
      <c r="M1267" s="7">
        <f t="shared" si="78"/>
        <v>64000</v>
      </c>
      <c r="N1267" s="23">
        <v>80000</v>
      </c>
      <c r="O1267" s="7">
        <f t="shared" si="79"/>
        <v>144000</v>
      </c>
      <c r="P1267" s="2" t="s">
        <v>63</v>
      </c>
      <c r="Q1267" t="str">
        <f>_xlfn.XLOOKUP(B1267,Status!$A$2:$A$1867,Status!$B$2:$B$1867)</f>
        <v>Completed</v>
      </c>
      <c r="R1267" s="2" t="s">
        <v>36</v>
      </c>
      <c r="S1267" s="8">
        <v>3</v>
      </c>
      <c r="T1267" s="2" t="s">
        <v>37</v>
      </c>
      <c r="U1267" s="31" t="str" cm="1">
        <f t="array" ref="U1267">_xlfn.IFS(L1267&lt;=5000,$Z$3,AND(L1267&gt;5000,L1267&lt;=15000),$Z$4,AND(L1267&gt;15000,L1267&lt;=30000),$Z$5,AND(L1267&gt;30000,L1267&lt;=50000),$Z$6,L1267&gt;50000,$Z$7)</f>
        <v>Normal</v>
      </c>
      <c r="V1267" s="2"/>
    </row>
    <row r="1268" spans="1:22" ht="15.75" customHeight="1" x14ac:dyDescent="0.25">
      <c r="A1268" s="26"/>
      <c r="B1268" s="2" t="s">
        <v>1652</v>
      </c>
      <c r="C1268" s="32">
        <v>45790.20107638889</v>
      </c>
      <c r="D1268" s="53">
        <f>YEAR(Table1[[#This Row],[Order Date]])</f>
        <v>2025</v>
      </c>
      <c r="E1268" s="2" t="s">
        <v>321</v>
      </c>
      <c r="F1268" s="2" t="s">
        <v>80</v>
      </c>
      <c r="G1268" s="2" t="s">
        <v>21</v>
      </c>
      <c r="H1268" s="23">
        <v>45000</v>
      </c>
      <c r="I1268" s="2">
        <v>3</v>
      </c>
      <c r="J1268" s="31">
        <v>0</v>
      </c>
      <c r="K1268" s="7">
        <f t="shared" si="76"/>
        <v>135000</v>
      </c>
      <c r="L1268" s="7">
        <f t="shared" si="77"/>
        <v>0</v>
      </c>
      <c r="M1268" s="7">
        <f t="shared" si="78"/>
        <v>135000</v>
      </c>
      <c r="N1268" s="23">
        <v>74000</v>
      </c>
      <c r="O1268" s="7">
        <f t="shared" si="79"/>
        <v>209000</v>
      </c>
      <c r="P1268" s="2" t="s">
        <v>22</v>
      </c>
      <c r="Q1268" t="str">
        <f>_xlfn.XLOOKUP(B1268,Status!$A$2:$A$1867,Status!$B$2:$B$1867)</f>
        <v>Completed</v>
      </c>
      <c r="R1268" s="2" t="s">
        <v>82</v>
      </c>
      <c r="S1268" s="8">
        <v>4</v>
      </c>
      <c r="T1268" s="2" t="s">
        <v>24</v>
      </c>
      <c r="U1268" s="31" t="str" cm="1">
        <f t="array" ref="U1268">_xlfn.IFS(L1268&lt;=5000,$Z$3,AND(L1268&gt;5000,L1268&lt;=15000),$Z$4,AND(L1268&gt;15000,L1268&lt;=30000),$Z$5,AND(L1268&gt;30000,L1268&lt;=50000),$Z$6,L1268&gt;50000,$Z$7)</f>
        <v>Sangat Rendah</v>
      </c>
      <c r="V1268" s="2"/>
    </row>
    <row r="1269" spans="1:22" ht="15.75" customHeight="1" x14ac:dyDescent="0.25">
      <c r="A1269" s="26"/>
      <c r="B1269" s="2" t="s">
        <v>1653</v>
      </c>
      <c r="C1269" s="32">
        <v>45790.235763888893</v>
      </c>
      <c r="D1269" s="53">
        <f>YEAR(Table1[[#This Row],[Order Date]])</f>
        <v>2025</v>
      </c>
      <c r="E1269" s="2" t="s">
        <v>1654</v>
      </c>
      <c r="F1269" s="2" t="s">
        <v>74</v>
      </c>
      <c r="G1269" s="2" t="s">
        <v>21</v>
      </c>
      <c r="H1269" s="23">
        <v>45000</v>
      </c>
      <c r="I1269" s="2">
        <v>3</v>
      </c>
      <c r="J1269" s="31">
        <v>10</v>
      </c>
      <c r="K1269" s="7">
        <f t="shared" si="76"/>
        <v>135000</v>
      </c>
      <c r="L1269" s="7">
        <f t="shared" si="77"/>
        <v>13500</v>
      </c>
      <c r="M1269" s="7">
        <f t="shared" si="78"/>
        <v>121500</v>
      </c>
      <c r="N1269" s="23">
        <v>87000</v>
      </c>
      <c r="O1269" s="7">
        <f t="shared" si="79"/>
        <v>208500</v>
      </c>
      <c r="P1269" s="2" t="s">
        <v>35</v>
      </c>
      <c r="Q1269" t="str">
        <f>_xlfn.XLOOKUP(B1269,Status!$A$2:$A$1867,Status!$B$2:$B$1867)</f>
        <v>Returned</v>
      </c>
      <c r="R1269" s="2" t="s">
        <v>82</v>
      </c>
      <c r="S1269" s="8">
        <v>5</v>
      </c>
      <c r="T1269" s="2" t="s">
        <v>37</v>
      </c>
      <c r="U1269" s="31" t="str" cm="1">
        <f t="array" ref="U1269">_xlfn.IFS(L1269&lt;=5000,$Z$3,AND(L1269&gt;5000,L1269&lt;=15000),$Z$4,AND(L1269&gt;15000,L1269&lt;=30000),$Z$5,AND(L1269&gt;30000,L1269&lt;=50000),$Z$6,L1269&gt;50000,$Z$7)</f>
        <v>Rendah</v>
      </c>
      <c r="V1269" s="2"/>
    </row>
    <row r="1270" spans="1:22" ht="15.75" customHeight="1" x14ac:dyDescent="0.25">
      <c r="A1270" s="26"/>
      <c r="B1270" s="2" t="s">
        <v>1655</v>
      </c>
      <c r="C1270" s="32">
        <v>45790.341597222221</v>
      </c>
      <c r="D1270" s="53">
        <f>YEAR(Table1[[#This Row],[Order Date]])</f>
        <v>2025</v>
      </c>
      <c r="E1270" s="2" t="s">
        <v>429</v>
      </c>
      <c r="F1270" s="2" t="s">
        <v>177</v>
      </c>
      <c r="G1270" s="2" t="s">
        <v>174</v>
      </c>
      <c r="H1270" s="23">
        <v>10000</v>
      </c>
      <c r="I1270" s="2">
        <v>3</v>
      </c>
      <c r="J1270" s="31">
        <v>0</v>
      </c>
      <c r="K1270" s="7">
        <f t="shared" si="76"/>
        <v>30000</v>
      </c>
      <c r="L1270" s="7">
        <f t="shared" si="77"/>
        <v>0</v>
      </c>
      <c r="M1270" s="7">
        <f t="shared" si="78"/>
        <v>30000</v>
      </c>
      <c r="N1270" s="23">
        <v>56000</v>
      </c>
      <c r="O1270" s="7">
        <f t="shared" si="79"/>
        <v>86000</v>
      </c>
      <c r="P1270" s="2" t="s">
        <v>63</v>
      </c>
      <c r="Q1270" t="str">
        <f>_xlfn.XLOOKUP(B1270,Status!$A$2:$A$1867,Status!$B$2:$B$1867)</f>
        <v>Completed</v>
      </c>
      <c r="R1270" s="2" t="s">
        <v>23</v>
      </c>
      <c r="S1270" s="8">
        <v>5</v>
      </c>
      <c r="T1270" s="2" t="s">
        <v>37</v>
      </c>
      <c r="U1270" s="31" t="str" cm="1">
        <f t="array" ref="U1270">_xlfn.IFS(L1270&lt;=5000,$Z$3,AND(L1270&gt;5000,L1270&lt;=15000),$Z$4,AND(L1270&gt;15000,L1270&lt;=30000),$Z$5,AND(L1270&gt;30000,L1270&lt;=50000),$Z$6,L1270&gt;50000,$Z$7)</f>
        <v>Sangat Rendah</v>
      </c>
      <c r="V1270" s="2"/>
    </row>
    <row r="1271" spans="1:22" ht="15.75" customHeight="1" x14ac:dyDescent="0.25">
      <c r="A1271" s="26"/>
      <c r="B1271" s="2" t="s">
        <v>1656</v>
      </c>
      <c r="C1271" s="32">
        <v>45790.422546296293</v>
      </c>
      <c r="D1271" s="53">
        <f>YEAR(Table1[[#This Row],[Order Date]])</f>
        <v>2025</v>
      </c>
      <c r="E1271" s="2" t="s">
        <v>383</v>
      </c>
      <c r="F1271" s="2" t="s">
        <v>122</v>
      </c>
      <c r="G1271" s="2" t="s">
        <v>85</v>
      </c>
      <c r="H1271" s="23">
        <v>35000</v>
      </c>
      <c r="I1271" s="2">
        <v>4</v>
      </c>
      <c r="J1271" s="31">
        <v>10</v>
      </c>
      <c r="K1271" s="7">
        <f t="shared" si="76"/>
        <v>140000</v>
      </c>
      <c r="L1271" s="7">
        <f t="shared" si="77"/>
        <v>14000</v>
      </c>
      <c r="M1271" s="7">
        <f t="shared" si="78"/>
        <v>126000</v>
      </c>
      <c r="N1271" s="23">
        <v>78000</v>
      </c>
      <c r="O1271" s="7">
        <f t="shared" si="79"/>
        <v>204000</v>
      </c>
      <c r="P1271" s="2" t="s">
        <v>22</v>
      </c>
      <c r="Q1271" t="str">
        <f>_xlfn.XLOOKUP(B1271,Status!$A$2:$A$1867,Status!$B$2:$B$1867)</f>
        <v>Cancelled</v>
      </c>
      <c r="R1271" s="2" t="s">
        <v>36</v>
      </c>
      <c r="S1271" s="8">
        <v>5</v>
      </c>
      <c r="T1271" s="2" t="s">
        <v>24</v>
      </c>
      <c r="U1271" s="31" t="str" cm="1">
        <f t="array" ref="U1271">_xlfn.IFS(L1271&lt;=5000,$Z$3,AND(L1271&gt;5000,L1271&lt;=15000),$Z$4,AND(L1271&gt;15000,L1271&lt;=30000),$Z$5,AND(L1271&gt;30000,L1271&lt;=50000),$Z$6,L1271&gt;50000,$Z$7)</f>
        <v>Rendah</v>
      </c>
      <c r="V1271" s="2"/>
    </row>
    <row r="1272" spans="1:22" ht="15.75" customHeight="1" x14ac:dyDescent="0.25">
      <c r="A1272" s="26"/>
      <c r="B1272" s="2" t="s">
        <v>1657</v>
      </c>
      <c r="C1272" s="32">
        <v>45790.43476851852</v>
      </c>
      <c r="D1272" s="53">
        <f>YEAR(Table1[[#This Row],[Order Date]])</f>
        <v>2025</v>
      </c>
      <c r="E1272" s="2" t="s">
        <v>128</v>
      </c>
      <c r="F1272" s="2" t="s">
        <v>103</v>
      </c>
      <c r="G1272" s="2" t="s">
        <v>110</v>
      </c>
      <c r="H1272" s="23">
        <v>6000</v>
      </c>
      <c r="I1272" s="2">
        <v>4</v>
      </c>
      <c r="J1272" s="31">
        <v>10</v>
      </c>
      <c r="K1272" s="7">
        <f t="shared" si="76"/>
        <v>24000</v>
      </c>
      <c r="L1272" s="7">
        <f t="shared" si="77"/>
        <v>2400</v>
      </c>
      <c r="M1272" s="7">
        <f t="shared" si="78"/>
        <v>21600</v>
      </c>
      <c r="N1272" s="23">
        <v>85000</v>
      </c>
      <c r="O1272" s="7">
        <f t="shared" si="79"/>
        <v>106600</v>
      </c>
      <c r="P1272" s="2" t="s">
        <v>35</v>
      </c>
      <c r="Q1272" t="str">
        <f>_xlfn.XLOOKUP(B1272,Status!$A$2:$A$1867,Status!$B$2:$B$1867)</f>
        <v>Completed</v>
      </c>
      <c r="R1272" s="2" t="s">
        <v>82</v>
      </c>
      <c r="S1272" s="8">
        <v>2</v>
      </c>
      <c r="T1272" s="2" t="s">
        <v>37</v>
      </c>
      <c r="U1272" s="31" t="str" cm="1">
        <f t="array" ref="U1272">_xlfn.IFS(L1272&lt;=5000,$Z$3,AND(L1272&gt;5000,L1272&lt;=15000),$Z$4,AND(L1272&gt;15000,L1272&lt;=30000),$Z$5,AND(L1272&gt;30000,L1272&lt;=50000),$Z$6,L1272&gt;50000,$Z$7)</f>
        <v>Sangat Rendah</v>
      </c>
      <c r="V1272" s="2"/>
    </row>
    <row r="1273" spans="1:22" ht="15.75" customHeight="1" x14ac:dyDescent="0.25">
      <c r="A1273" s="26"/>
      <c r="B1273" s="2" t="s">
        <v>1658</v>
      </c>
      <c r="C1273" s="32">
        <v>45790.56994212963</v>
      </c>
      <c r="D1273" s="53">
        <f>YEAR(Table1[[#This Row],[Order Date]])</f>
        <v>2025</v>
      </c>
      <c r="E1273" s="2" t="s">
        <v>1025</v>
      </c>
      <c r="F1273" s="2" t="s">
        <v>119</v>
      </c>
      <c r="G1273" s="2" t="s">
        <v>138</v>
      </c>
      <c r="H1273" s="23">
        <v>17000</v>
      </c>
      <c r="I1273" s="2">
        <v>1</v>
      </c>
      <c r="J1273" s="31">
        <v>10</v>
      </c>
      <c r="K1273" s="7">
        <f t="shared" si="76"/>
        <v>17000</v>
      </c>
      <c r="L1273" s="7">
        <f t="shared" si="77"/>
        <v>1700</v>
      </c>
      <c r="M1273" s="7">
        <f t="shared" si="78"/>
        <v>15300</v>
      </c>
      <c r="N1273" s="23">
        <v>0</v>
      </c>
      <c r="O1273" s="7">
        <f t="shared" si="79"/>
        <v>15300</v>
      </c>
      <c r="P1273" s="2" t="s">
        <v>63</v>
      </c>
      <c r="Q1273" t="str">
        <f>_xlfn.XLOOKUP(B1273,Status!$A$2:$A$1867,Status!$B$2:$B$1867)</f>
        <v>Returned</v>
      </c>
      <c r="R1273" s="2" t="s">
        <v>23</v>
      </c>
      <c r="S1273" s="8">
        <v>2</v>
      </c>
      <c r="T1273" s="2" t="s">
        <v>24</v>
      </c>
      <c r="U1273" s="31" t="str" cm="1">
        <f t="array" ref="U1273">_xlfn.IFS(L1273&lt;=5000,$Z$3,AND(L1273&gt;5000,L1273&lt;=15000),$Z$4,AND(L1273&gt;15000,L1273&lt;=30000),$Z$5,AND(L1273&gt;30000,L1273&lt;=50000),$Z$6,L1273&gt;50000,$Z$7)</f>
        <v>Sangat Rendah</v>
      </c>
      <c r="V1273" s="2"/>
    </row>
    <row r="1274" spans="1:22" ht="15.75" customHeight="1" x14ac:dyDescent="0.25">
      <c r="A1274" s="26"/>
      <c r="B1274" s="2" t="s">
        <v>1658</v>
      </c>
      <c r="C1274" s="32">
        <v>45790.56994212963</v>
      </c>
      <c r="D1274" s="53">
        <f>YEAR(Table1[[#This Row],[Order Date]])</f>
        <v>2025</v>
      </c>
      <c r="E1274" s="2" t="s">
        <v>1025</v>
      </c>
      <c r="F1274" s="2" t="s">
        <v>119</v>
      </c>
      <c r="G1274" s="2" t="s">
        <v>144</v>
      </c>
      <c r="H1274" s="23">
        <v>18000</v>
      </c>
      <c r="I1274" s="2">
        <v>2</v>
      </c>
      <c r="J1274" s="31">
        <v>5</v>
      </c>
      <c r="K1274" s="7">
        <f t="shared" si="76"/>
        <v>36000</v>
      </c>
      <c r="L1274" s="7">
        <f t="shared" si="77"/>
        <v>1800</v>
      </c>
      <c r="M1274" s="7">
        <f t="shared" si="78"/>
        <v>34200</v>
      </c>
      <c r="N1274" s="23">
        <v>0</v>
      </c>
      <c r="O1274" s="7">
        <f t="shared" si="79"/>
        <v>34200</v>
      </c>
      <c r="P1274" s="2" t="s">
        <v>63</v>
      </c>
      <c r="Q1274" t="str">
        <f>_xlfn.XLOOKUP(B1274,Status!$A$2:$A$1867,Status!$B$2:$B$1867)</f>
        <v>Returned</v>
      </c>
      <c r="R1274" s="2" t="s">
        <v>23</v>
      </c>
      <c r="S1274" s="8">
        <v>2</v>
      </c>
      <c r="T1274" s="2" t="s">
        <v>24</v>
      </c>
      <c r="U1274" s="31" t="str" cm="1">
        <f t="array" ref="U1274">_xlfn.IFS(L1274&lt;=5000,$Z$3,AND(L1274&gt;5000,L1274&lt;=15000),$Z$4,AND(L1274&gt;15000,L1274&lt;=30000),$Z$5,AND(L1274&gt;30000,L1274&lt;=50000),$Z$6,L1274&gt;50000,$Z$7)</f>
        <v>Sangat Rendah</v>
      </c>
      <c r="V1274" s="2"/>
    </row>
    <row r="1275" spans="1:22" ht="15.75" customHeight="1" x14ac:dyDescent="0.25">
      <c r="A1275" s="26"/>
      <c r="B1275" s="2" t="s">
        <v>1659</v>
      </c>
      <c r="C1275" s="32">
        <v>45790.58525462963</v>
      </c>
      <c r="D1275" s="53">
        <f>YEAR(Table1[[#This Row],[Order Date]])</f>
        <v>2025</v>
      </c>
      <c r="E1275" s="2" t="s">
        <v>473</v>
      </c>
      <c r="F1275" s="2" t="s">
        <v>122</v>
      </c>
      <c r="G1275" s="2" t="s">
        <v>136</v>
      </c>
      <c r="H1275" s="23">
        <v>12000</v>
      </c>
      <c r="I1275" s="2">
        <v>5</v>
      </c>
      <c r="J1275" s="31">
        <v>5</v>
      </c>
      <c r="K1275" s="7">
        <f t="shared" si="76"/>
        <v>60000</v>
      </c>
      <c r="L1275" s="7">
        <f t="shared" si="77"/>
        <v>3000</v>
      </c>
      <c r="M1275" s="7">
        <f t="shared" si="78"/>
        <v>57000</v>
      </c>
      <c r="N1275" s="23">
        <v>78000</v>
      </c>
      <c r="O1275" s="7">
        <f t="shared" si="79"/>
        <v>135000</v>
      </c>
      <c r="P1275" s="2" t="s">
        <v>63</v>
      </c>
      <c r="Q1275" t="str">
        <f>_xlfn.XLOOKUP(B1275,Status!$A$2:$A$1867,Status!$B$2:$B$1867)</f>
        <v>Completed</v>
      </c>
      <c r="R1275" s="2" t="s">
        <v>82</v>
      </c>
      <c r="S1275" s="8">
        <v>1</v>
      </c>
      <c r="T1275" s="2" t="s">
        <v>24</v>
      </c>
      <c r="U1275" s="31" t="str" cm="1">
        <f t="array" ref="U1275">_xlfn.IFS(L1275&lt;=5000,$Z$3,AND(L1275&gt;5000,L1275&lt;=15000),$Z$4,AND(L1275&gt;15000,L1275&lt;=30000),$Z$5,AND(L1275&gt;30000,L1275&lt;=50000),$Z$6,L1275&gt;50000,$Z$7)</f>
        <v>Sangat Rendah</v>
      </c>
      <c r="V1275" s="2"/>
    </row>
    <row r="1276" spans="1:22" ht="15.75" customHeight="1" x14ac:dyDescent="0.25">
      <c r="A1276" s="26"/>
      <c r="B1276" s="2" t="s">
        <v>1660</v>
      </c>
      <c r="C1276" s="32">
        <v>45790.722812499997</v>
      </c>
      <c r="D1276" s="53">
        <f>YEAR(Table1[[#This Row],[Order Date]])</f>
        <v>2025</v>
      </c>
      <c r="E1276" s="2" t="s">
        <v>1293</v>
      </c>
      <c r="F1276" s="2" t="s">
        <v>44</v>
      </c>
      <c r="G1276" s="2" t="s">
        <v>58</v>
      </c>
      <c r="H1276" s="23">
        <v>16000</v>
      </c>
      <c r="I1276" s="2">
        <v>2</v>
      </c>
      <c r="J1276" s="31">
        <v>20</v>
      </c>
      <c r="K1276" s="7">
        <f t="shared" si="76"/>
        <v>32000</v>
      </c>
      <c r="L1276" s="7">
        <f t="shared" si="77"/>
        <v>6400</v>
      </c>
      <c r="M1276" s="7">
        <f t="shared" si="78"/>
        <v>25600</v>
      </c>
      <c r="N1276" s="23">
        <v>93000</v>
      </c>
      <c r="O1276" s="7">
        <f t="shared" si="79"/>
        <v>118600</v>
      </c>
      <c r="P1276" s="2" t="s">
        <v>29</v>
      </c>
      <c r="Q1276" t="str">
        <f>_xlfn.XLOOKUP(B1276,Status!$A$2:$A$1867,Status!$B$2:$B$1867)</f>
        <v>Completed</v>
      </c>
      <c r="R1276" s="2" t="s">
        <v>82</v>
      </c>
      <c r="S1276" s="8">
        <v>5</v>
      </c>
      <c r="T1276" s="2" t="s">
        <v>24</v>
      </c>
      <c r="U1276" s="31" t="str" cm="1">
        <f t="array" ref="U1276">_xlfn.IFS(L1276&lt;=5000,$Z$3,AND(L1276&gt;5000,L1276&lt;=15000),$Z$4,AND(L1276&gt;15000,L1276&lt;=30000),$Z$5,AND(L1276&gt;30000,L1276&lt;=50000),$Z$6,L1276&gt;50000,$Z$7)</f>
        <v>Rendah</v>
      </c>
      <c r="V1276" s="2"/>
    </row>
    <row r="1277" spans="1:22" ht="15.75" customHeight="1" x14ac:dyDescent="0.25">
      <c r="A1277" s="26"/>
      <c r="B1277" s="2" t="s">
        <v>1661</v>
      </c>
      <c r="C1277" s="32">
        <v>45790.800150462957</v>
      </c>
      <c r="D1277" s="53">
        <f>YEAR(Table1[[#This Row],[Order Date]])</f>
        <v>2025</v>
      </c>
      <c r="E1277" s="2" t="s">
        <v>307</v>
      </c>
      <c r="F1277" s="2" t="s">
        <v>70</v>
      </c>
      <c r="G1277" s="2" t="s">
        <v>123</v>
      </c>
      <c r="H1277" s="23">
        <v>22000</v>
      </c>
      <c r="I1277" s="2">
        <v>3</v>
      </c>
      <c r="J1277" s="31">
        <v>0</v>
      </c>
      <c r="K1277" s="7">
        <f t="shared" si="76"/>
        <v>66000</v>
      </c>
      <c r="L1277" s="7">
        <f t="shared" si="77"/>
        <v>0</v>
      </c>
      <c r="M1277" s="7">
        <f t="shared" si="78"/>
        <v>66000</v>
      </c>
      <c r="N1277" s="23">
        <v>89000</v>
      </c>
      <c r="O1277" s="7">
        <f t="shared" si="79"/>
        <v>155000</v>
      </c>
      <c r="P1277" s="2" t="s">
        <v>29</v>
      </c>
      <c r="Q1277" t="str">
        <f>_xlfn.XLOOKUP(B1277,Status!$A$2:$A$1867,Status!$B$2:$B$1867)</f>
        <v>Returned</v>
      </c>
      <c r="R1277" s="2" t="s">
        <v>23</v>
      </c>
      <c r="S1277" s="8">
        <v>4</v>
      </c>
      <c r="T1277" s="2" t="s">
        <v>24</v>
      </c>
      <c r="U1277" s="31" t="str" cm="1">
        <f t="array" ref="U1277">_xlfn.IFS(L1277&lt;=5000,$Z$3,AND(L1277&gt;5000,L1277&lt;=15000),$Z$4,AND(L1277&gt;15000,L1277&lt;=30000),$Z$5,AND(L1277&gt;30000,L1277&lt;=50000),$Z$6,L1277&gt;50000,$Z$7)</f>
        <v>Sangat Rendah</v>
      </c>
      <c r="V1277" s="2"/>
    </row>
    <row r="1278" spans="1:22" ht="15.75" customHeight="1" x14ac:dyDescent="0.25">
      <c r="A1278" s="26"/>
      <c r="B1278" s="2" t="s">
        <v>1662</v>
      </c>
      <c r="C1278" s="32">
        <v>45791.034675925926</v>
      </c>
      <c r="D1278" s="53">
        <f>YEAR(Table1[[#This Row],[Order Date]])</f>
        <v>2025</v>
      </c>
      <c r="E1278" s="2" t="s">
        <v>654</v>
      </c>
      <c r="F1278" s="2" t="s">
        <v>375</v>
      </c>
      <c r="G1278" s="2" t="s">
        <v>250</v>
      </c>
      <c r="H1278" s="23">
        <v>18000</v>
      </c>
      <c r="I1278" s="2">
        <v>3</v>
      </c>
      <c r="J1278" s="31">
        <v>10</v>
      </c>
      <c r="K1278" s="7">
        <f t="shared" si="76"/>
        <v>54000</v>
      </c>
      <c r="L1278" s="7">
        <f t="shared" si="77"/>
        <v>5400</v>
      </c>
      <c r="M1278" s="7">
        <f t="shared" si="78"/>
        <v>48600</v>
      </c>
      <c r="N1278" s="23">
        <v>21000</v>
      </c>
      <c r="O1278" s="7">
        <f t="shared" si="79"/>
        <v>69600</v>
      </c>
      <c r="P1278" s="2" t="s">
        <v>63</v>
      </c>
      <c r="Q1278" t="str">
        <f>_xlfn.XLOOKUP(B1278,Status!$A$2:$A$1867,Status!$B$2:$B$1867)</f>
        <v>Returned</v>
      </c>
      <c r="R1278" s="2" t="s">
        <v>46</v>
      </c>
      <c r="S1278" s="8">
        <v>5</v>
      </c>
      <c r="T1278" s="2" t="s">
        <v>24</v>
      </c>
      <c r="U1278" s="31" t="str" cm="1">
        <f t="array" ref="U1278">_xlfn.IFS(L1278&lt;=5000,$Z$3,AND(L1278&gt;5000,L1278&lt;=15000),$Z$4,AND(L1278&gt;15000,L1278&lt;=30000),$Z$5,AND(L1278&gt;30000,L1278&lt;=50000),$Z$6,L1278&gt;50000,$Z$7)</f>
        <v>Rendah</v>
      </c>
      <c r="V1278" s="2"/>
    </row>
    <row r="1279" spans="1:22" ht="15.75" customHeight="1" x14ac:dyDescent="0.25">
      <c r="A1279" s="26"/>
      <c r="B1279" s="2" t="s">
        <v>1663</v>
      </c>
      <c r="C1279" s="32">
        <v>45791.093263888892</v>
      </c>
      <c r="D1279" s="53">
        <f>YEAR(Table1[[#This Row],[Order Date]])</f>
        <v>2025</v>
      </c>
      <c r="E1279" s="2" t="s">
        <v>479</v>
      </c>
      <c r="F1279" s="2" t="s">
        <v>107</v>
      </c>
      <c r="G1279" s="2" t="s">
        <v>62</v>
      </c>
      <c r="H1279" s="23">
        <v>50000</v>
      </c>
      <c r="I1279" s="2">
        <v>3</v>
      </c>
      <c r="J1279" s="31">
        <v>10</v>
      </c>
      <c r="K1279" s="7">
        <f t="shared" si="76"/>
        <v>150000</v>
      </c>
      <c r="L1279" s="7">
        <f t="shared" si="77"/>
        <v>15000</v>
      </c>
      <c r="M1279" s="7">
        <f t="shared" si="78"/>
        <v>135000</v>
      </c>
      <c r="N1279" s="23">
        <v>97000</v>
      </c>
      <c r="O1279" s="7">
        <f t="shared" si="79"/>
        <v>232000</v>
      </c>
      <c r="P1279" s="2" t="s">
        <v>22</v>
      </c>
      <c r="Q1279" t="str">
        <f>_xlfn.XLOOKUP(B1279,Status!$A$2:$A$1867,Status!$B$2:$B$1867)</f>
        <v>Completed</v>
      </c>
      <c r="R1279" s="2" t="s">
        <v>36</v>
      </c>
      <c r="S1279" s="8">
        <v>2</v>
      </c>
      <c r="T1279" s="2" t="s">
        <v>37</v>
      </c>
      <c r="U1279" s="31" t="str" cm="1">
        <f t="array" ref="U1279">_xlfn.IFS(L1279&lt;=5000,$Z$3,AND(L1279&gt;5000,L1279&lt;=15000),$Z$4,AND(L1279&gt;15000,L1279&lt;=30000),$Z$5,AND(L1279&gt;30000,L1279&lt;=50000),$Z$6,L1279&gt;50000,$Z$7)</f>
        <v>Rendah</v>
      </c>
      <c r="V1279" s="2"/>
    </row>
    <row r="1280" spans="1:22" ht="15.75" customHeight="1" x14ac:dyDescent="0.25">
      <c r="A1280" s="26"/>
      <c r="B1280" s="2" t="s">
        <v>1664</v>
      </c>
      <c r="C1280" s="32">
        <v>45791.246180555558</v>
      </c>
      <c r="D1280" s="53">
        <f>YEAR(Table1[[#This Row],[Order Date]])</f>
        <v>2025</v>
      </c>
      <c r="E1280" s="2" t="s">
        <v>295</v>
      </c>
      <c r="F1280" s="2" t="s">
        <v>296</v>
      </c>
      <c r="G1280" s="2" t="s">
        <v>34</v>
      </c>
      <c r="H1280" s="23">
        <v>16000</v>
      </c>
      <c r="I1280" s="2">
        <v>1</v>
      </c>
      <c r="J1280" s="31">
        <v>0</v>
      </c>
      <c r="K1280" s="7">
        <f t="shared" si="76"/>
        <v>16000</v>
      </c>
      <c r="L1280" s="7">
        <f t="shared" si="77"/>
        <v>0</v>
      </c>
      <c r="M1280" s="7">
        <f t="shared" si="78"/>
        <v>16000</v>
      </c>
      <c r="N1280" s="23">
        <v>79000</v>
      </c>
      <c r="O1280" s="7">
        <f t="shared" si="79"/>
        <v>95000</v>
      </c>
      <c r="P1280" s="2" t="s">
        <v>63</v>
      </c>
      <c r="Q1280" t="str">
        <f>_xlfn.XLOOKUP(B1280,Status!$A$2:$A$1867,Status!$B$2:$B$1867)</f>
        <v>Completed</v>
      </c>
      <c r="R1280" s="2" t="s">
        <v>36</v>
      </c>
      <c r="S1280" s="8">
        <v>4</v>
      </c>
      <c r="T1280" s="2" t="s">
        <v>24</v>
      </c>
      <c r="U1280" s="31" t="str" cm="1">
        <f t="array" ref="U1280">_xlfn.IFS(L1280&lt;=5000,$Z$3,AND(L1280&gt;5000,L1280&lt;=15000),$Z$4,AND(L1280&gt;15000,L1280&lt;=30000),$Z$5,AND(L1280&gt;30000,L1280&lt;=50000),$Z$6,L1280&gt;50000,$Z$7)</f>
        <v>Sangat Rendah</v>
      </c>
      <c r="V1280" s="2"/>
    </row>
    <row r="1281" spans="1:22" ht="15.75" customHeight="1" x14ac:dyDescent="0.25">
      <c r="A1281" s="26"/>
      <c r="B1281" s="2" t="s">
        <v>1664</v>
      </c>
      <c r="C1281" s="32">
        <v>45791.246180555558</v>
      </c>
      <c r="D1281" s="53">
        <f>YEAR(Table1[[#This Row],[Order Date]])</f>
        <v>2025</v>
      </c>
      <c r="E1281" s="2" t="s">
        <v>295</v>
      </c>
      <c r="F1281" s="2" t="s">
        <v>296</v>
      </c>
      <c r="G1281" s="2" t="s">
        <v>174</v>
      </c>
      <c r="H1281" s="23">
        <v>10000</v>
      </c>
      <c r="I1281" s="2">
        <v>1</v>
      </c>
      <c r="J1281" s="31">
        <v>5</v>
      </c>
      <c r="K1281" s="7">
        <f t="shared" si="76"/>
        <v>10000</v>
      </c>
      <c r="L1281" s="7">
        <f t="shared" si="77"/>
        <v>500</v>
      </c>
      <c r="M1281" s="7">
        <f t="shared" si="78"/>
        <v>9500</v>
      </c>
      <c r="N1281" s="23">
        <v>0</v>
      </c>
      <c r="O1281" s="7">
        <f t="shared" si="79"/>
        <v>9500</v>
      </c>
      <c r="P1281" s="2" t="s">
        <v>63</v>
      </c>
      <c r="Q1281" t="str">
        <f>_xlfn.XLOOKUP(B1281,Status!$A$2:$A$1867,Status!$B$2:$B$1867)</f>
        <v>Completed</v>
      </c>
      <c r="R1281" s="2" t="s">
        <v>36</v>
      </c>
      <c r="S1281" s="8">
        <v>4</v>
      </c>
      <c r="T1281" s="2" t="s">
        <v>24</v>
      </c>
      <c r="U1281" s="31" t="str" cm="1">
        <f t="array" ref="U1281">_xlfn.IFS(L1281&lt;=5000,$Z$3,AND(L1281&gt;5000,L1281&lt;=15000),$Z$4,AND(L1281&gt;15000,L1281&lt;=30000),$Z$5,AND(L1281&gt;30000,L1281&lt;=50000),$Z$6,L1281&gt;50000,$Z$7)</f>
        <v>Sangat Rendah</v>
      </c>
      <c r="V1281" s="2"/>
    </row>
    <row r="1282" spans="1:22" ht="15.75" customHeight="1" x14ac:dyDescent="0.25">
      <c r="A1282" s="26"/>
      <c r="B1282" s="2" t="s">
        <v>1665</v>
      </c>
      <c r="C1282" s="32">
        <v>45791.257627314822</v>
      </c>
      <c r="D1282" s="53">
        <f>YEAR(Table1[[#This Row],[Order Date]])</f>
        <v>2025</v>
      </c>
      <c r="E1282" s="2" t="s">
        <v>1666</v>
      </c>
      <c r="F1282" s="2" t="s">
        <v>296</v>
      </c>
      <c r="G1282" s="2" t="s">
        <v>54</v>
      </c>
      <c r="H1282" s="23">
        <v>16000</v>
      </c>
      <c r="I1282" s="2">
        <v>5</v>
      </c>
      <c r="J1282" s="31">
        <v>20</v>
      </c>
      <c r="K1282" s="7">
        <f t="shared" si="76"/>
        <v>80000</v>
      </c>
      <c r="L1282" s="7">
        <f t="shared" si="77"/>
        <v>16000</v>
      </c>
      <c r="M1282" s="7">
        <f t="shared" si="78"/>
        <v>64000</v>
      </c>
      <c r="N1282" s="23">
        <v>79000</v>
      </c>
      <c r="O1282" s="7">
        <f t="shared" si="79"/>
        <v>143000</v>
      </c>
      <c r="P1282" s="2" t="s">
        <v>63</v>
      </c>
      <c r="Q1282" t="str">
        <f>_xlfn.XLOOKUP(B1282,Status!$A$2:$A$1867,Status!$B$2:$B$1867)</f>
        <v>Completed</v>
      </c>
      <c r="R1282" s="2" t="s">
        <v>82</v>
      </c>
      <c r="S1282" s="8">
        <v>2</v>
      </c>
      <c r="T1282" s="2" t="s">
        <v>37</v>
      </c>
      <c r="U1282" s="31" t="str" cm="1">
        <f t="array" ref="U1282">_xlfn.IFS(L1282&lt;=5000,$Z$3,AND(L1282&gt;5000,L1282&lt;=15000),$Z$4,AND(L1282&gt;15000,L1282&lt;=30000),$Z$5,AND(L1282&gt;30000,L1282&lt;=50000),$Z$6,L1282&gt;50000,$Z$7)</f>
        <v>Normal</v>
      </c>
      <c r="V1282" s="2"/>
    </row>
    <row r="1283" spans="1:22" ht="15.75" customHeight="1" x14ac:dyDescent="0.25">
      <c r="A1283" s="26"/>
      <c r="B1283" s="2" t="s">
        <v>1667</v>
      </c>
      <c r="C1283" s="32">
        <v>45791.301724537043</v>
      </c>
      <c r="D1283" s="53">
        <f>YEAR(Table1[[#This Row],[Order Date]])</f>
        <v>2025</v>
      </c>
      <c r="E1283" s="2" t="s">
        <v>1366</v>
      </c>
      <c r="F1283" s="2" t="s">
        <v>126</v>
      </c>
      <c r="G1283" s="2" t="s">
        <v>58</v>
      </c>
      <c r="H1283" s="23">
        <v>16000</v>
      </c>
      <c r="I1283" s="2">
        <v>1</v>
      </c>
      <c r="J1283" s="31">
        <v>15</v>
      </c>
      <c r="K1283" s="7">
        <f t="shared" si="76"/>
        <v>16000</v>
      </c>
      <c r="L1283" s="7">
        <f t="shared" si="77"/>
        <v>2400</v>
      </c>
      <c r="M1283" s="7">
        <f t="shared" si="78"/>
        <v>13600</v>
      </c>
      <c r="N1283" s="23">
        <v>84000</v>
      </c>
      <c r="O1283" s="7">
        <f t="shared" si="79"/>
        <v>97600</v>
      </c>
      <c r="P1283" s="2" t="s">
        <v>29</v>
      </c>
      <c r="Q1283" t="str">
        <f>_xlfn.XLOOKUP(B1283,Status!$A$2:$A$1867,Status!$B$2:$B$1867)</f>
        <v>Completed</v>
      </c>
      <c r="R1283" s="2" t="s">
        <v>30</v>
      </c>
      <c r="S1283" s="8">
        <v>4</v>
      </c>
      <c r="T1283" s="2" t="s">
        <v>24</v>
      </c>
      <c r="U1283" s="31" t="str" cm="1">
        <f t="array" ref="U1283">_xlfn.IFS(L1283&lt;=5000,$Z$3,AND(L1283&gt;5000,L1283&lt;=15000),$Z$4,AND(L1283&gt;15000,L1283&lt;=30000),$Z$5,AND(L1283&gt;30000,L1283&lt;=50000),$Z$6,L1283&gt;50000,$Z$7)</f>
        <v>Sangat Rendah</v>
      </c>
      <c r="V1283" s="2"/>
    </row>
    <row r="1284" spans="1:22" ht="15.75" customHeight="1" x14ac:dyDescent="0.25">
      <c r="A1284" s="26"/>
      <c r="B1284" s="2" t="s">
        <v>1668</v>
      </c>
      <c r="C1284" s="32">
        <v>45791.439097222217</v>
      </c>
      <c r="D1284" s="53">
        <f>YEAR(Table1[[#This Row],[Order Date]])</f>
        <v>2025</v>
      </c>
      <c r="E1284" s="2" t="s">
        <v>446</v>
      </c>
      <c r="F1284" s="2" t="s">
        <v>296</v>
      </c>
      <c r="G1284" s="2" t="s">
        <v>110</v>
      </c>
      <c r="H1284" s="23">
        <v>6000</v>
      </c>
      <c r="I1284" s="2">
        <v>2</v>
      </c>
      <c r="J1284" s="31">
        <v>20</v>
      </c>
      <c r="K1284" s="7">
        <f t="shared" ref="K1284:K1347" si="80">H1284*I1284</f>
        <v>12000</v>
      </c>
      <c r="L1284" s="7">
        <f t="shared" ref="L1284:L1347" si="81">K1284*(J1284/100)</f>
        <v>2400</v>
      </c>
      <c r="M1284" s="7">
        <f t="shared" ref="M1284:M1347" si="82">K1284-L1284</f>
        <v>9600</v>
      </c>
      <c r="N1284" s="23">
        <v>79000</v>
      </c>
      <c r="O1284" s="7">
        <f t="shared" ref="O1284:O1347" si="83">SUM(M1284:N1284)</f>
        <v>88600</v>
      </c>
      <c r="P1284" s="2" t="s">
        <v>29</v>
      </c>
      <c r="Q1284" t="str">
        <f>_xlfn.XLOOKUP(B1284,Status!$A$2:$A$1867,Status!$B$2:$B$1867)</f>
        <v>Completed</v>
      </c>
      <c r="R1284" s="2" t="s">
        <v>30</v>
      </c>
      <c r="S1284" s="8">
        <v>3</v>
      </c>
      <c r="T1284" s="2" t="s">
        <v>37</v>
      </c>
      <c r="U1284" s="31" t="str" cm="1">
        <f t="array" ref="U1284">_xlfn.IFS(L1284&lt;=5000,$Z$3,AND(L1284&gt;5000,L1284&lt;=15000),$Z$4,AND(L1284&gt;15000,L1284&lt;=30000),$Z$5,AND(L1284&gt;30000,L1284&lt;=50000),$Z$6,L1284&gt;50000,$Z$7)</f>
        <v>Sangat Rendah</v>
      </c>
      <c r="V1284" s="2"/>
    </row>
    <row r="1285" spans="1:22" ht="15.75" customHeight="1" x14ac:dyDescent="0.25">
      <c r="A1285" s="26"/>
      <c r="B1285" s="2" t="s">
        <v>1669</v>
      </c>
      <c r="C1285" s="32">
        <v>45791.512048611112</v>
      </c>
      <c r="D1285" s="53">
        <f>YEAR(Table1[[#This Row],[Order Date]])</f>
        <v>2025</v>
      </c>
      <c r="E1285" s="2" t="s">
        <v>525</v>
      </c>
      <c r="F1285" s="2" t="s">
        <v>96</v>
      </c>
      <c r="G1285" s="2" t="s">
        <v>54</v>
      </c>
      <c r="H1285" s="23">
        <v>16000</v>
      </c>
      <c r="I1285" s="2">
        <v>5</v>
      </c>
      <c r="J1285" s="31">
        <v>0</v>
      </c>
      <c r="K1285" s="7">
        <f t="shared" si="80"/>
        <v>80000</v>
      </c>
      <c r="L1285" s="7">
        <f t="shared" si="81"/>
        <v>0</v>
      </c>
      <c r="M1285" s="7">
        <f t="shared" si="82"/>
        <v>80000</v>
      </c>
      <c r="N1285" s="23">
        <v>49000</v>
      </c>
      <c r="O1285" s="7">
        <f t="shared" si="83"/>
        <v>129000</v>
      </c>
      <c r="P1285" s="2" t="s">
        <v>22</v>
      </c>
      <c r="Q1285" t="str">
        <f>_xlfn.XLOOKUP(B1285,Status!$A$2:$A$1867,Status!$B$2:$B$1867)</f>
        <v>Completed</v>
      </c>
      <c r="R1285" s="2" t="s">
        <v>23</v>
      </c>
      <c r="S1285" s="8">
        <v>4</v>
      </c>
      <c r="T1285" s="2" t="s">
        <v>24</v>
      </c>
      <c r="U1285" s="31" t="str" cm="1">
        <f t="array" ref="U1285">_xlfn.IFS(L1285&lt;=5000,$Z$3,AND(L1285&gt;5000,L1285&lt;=15000),$Z$4,AND(L1285&gt;15000,L1285&lt;=30000),$Z$5,AND(L1285&gt;30000,L1285&lt;=50000),$Z$6,L1285&gt;50000,$Z$7)</f>
        <v>Sangat Rendah</v>
      </c>
      <c r="V1285" s="2"/>
    </row>
    <row r="1286" spans="1:22" ht="15.75" customHeight="1" x14ac:dyDescent="0.25">
      <c r="A1286" s="26"/>
      <c r="B1286" s="2" t="s">
        <v>1670</v>
      </c>
      <c r="C1286" s="32">
        <v>45791.52002314815</v>
      </c>
      <c r="D1286" s="53">
        <f>YEAR(Table1[[#This Row],[Order Date]])</f>
        <v>2025</v>
      </c>
      <c r="E1286" s="2" t="s">
        <v>387</v>
      </c>
      <c r="F1286" s="2" t="s">
        <v>49</v>
      </c>
      <c r="G1286" s="2" t="s">
        <v>136</v>
      </c>
      <c r="H1286" s="23">
        <v>12000</v>
      </c>
      <c r="I1286" s="2">
        <v>5</v>
      </c>
      <c r="J1286" s="31">
        <v>5</v>
      </c>
      <c r="K1286" s="7">
        <f t="shared" si="80"/>
        <v>60000</v>
      </c>
      <c r="L1286" s="7">
        <f t="shared" si="81"/>
        <v>3000</v>
      </c>
      <c r="M1286" s="7">
        <f t="shared" si="82"/>
        <v>57000</v>
      </c>
      <c r="N1286" s="23">
        <v>43000</v>
      </c>
      <c r="O1286" s="7">
        <f t="shared" si="83"/>
        <v>100000</v>
      </c>
      <c r="P1286" s="2" t="s">
        <v>35</v>
      </c>
      <c r="Q1286" t="str">
        <f>_xlfn.XLOOKUP(B1286,Status!$A$2:$A$1867,Status!$B$2:$B$1867)</f>
        <v>Cancelled</v>
      </c>
      <c r="R1286" s="2" t="s">
        <v>30</v>
      </c>
      <c r="S1286" s="8">
        <v>5</v>
      </c>
      <c r="T1286" s="2" t="s">
        <v>37</v>
      </c>
      <c r="U1286" s="31" t="str" cm="1">
        <f t="array" ref="U1286">_xlfn.IFS(L1286&lt;=5000,$Z$3,AND(L1286&gt;5000,L1286&lt;=15000),$Z$4,AND(L1286&gt;15000,L1286&lt;=30000),$Z$5,AND(L1286&gt;30000,L1286&lt;=50000),$Z$6,L1286&gt;50000,$Z$7)</f>
        <v>Sangat Rendah</v>
      </c>
      <c r="V1286" s="2"/>
    </row>
    <row r="1287" spans="1:22" ht="15.75" customHeight="1" x14ac:dyDescent="0.25">
      <c r="A1287" s="26"/>
      <c r="B1287" s="2" t="s">
        <v>1671</v>
      </c>
      <c r="C1287" s="32">
        <v>45791.562789351847</v>
      </c>
      <c r="D1287" s="53">
        <f>YEAR(Table1[[#This Row],[Order Date]])</f>
        <v>2025</v>
      </c>
      <c r="E1287" s="2" t="s">
        <v>1323</v>
      </c>
      <c r="F1287" s="2" t="s">
        <v>74</v>
      </c>
      <c r="G1287" s="2" t="s">
        <v>144</v>
      </c>
      <c r="H1287" s="23">
        <v>18000</v>
      </c>
      <c r="I1287" s="2">
        <v>5</v>
      </c>
      <c r="J1287" s="31">
        <v>5</v>
      </c>
      <c r="K1287" s="7">
        <f t="shared" si="80"/>
        <v>90000</v>
      </c>
      <c r="L1287" s="7">
        <f t="shared" si="81"/>
        <v>4500</v>
      </c>
      <c r="M1287" s="7">
        <f t="shared" si="82"/>
        <v>85500</v>
      </c>
      <c r="N1287" s="23">
        <v>87000</v>
      </c>
      <c r="O1287" s="7">
        <f t="shared" si="83"/>
        <v>172500</v>
      </c>
      <c r="P1287" s="2" t="s">
        <v>22</v>
      </c>
      <c r="Q1287" t="str">
        <f>_xlfn.XLOOKUP(B1287,Status!$A$2:$A$1867,Status!$B$2:$B$1867)</f>
        <v>Completed</v>
      </c>
      <c r="R1287" s="2" t="s">
        <v>82</v>
      </c>
      <c r="S1287" s="8">
        <v>3</v>
      </c>
      <c r="T1287" s="2" t="s">
        <v>24</v>
      </c>
      <c r="U1287" s="31" t="str" cm="1">
        <f t="array" ref="U1287">_xlfn.IFS(L1287&lt;=5000,$Z$3,AND(L1287&gt;5000,L1287&lt;=15000),$Z$4,AND(L1287&gt;15000,L1287&lt;=30000),$Z$5,AND(L1287&gt;30000,L1287&lt;=50000),$Z$6,L1287&gt;50000,$Z$7)</f>
        <v>Sangat Rendah</v>
      </c>
      <c r="V1287" s="2"/>
    </row>
    <row r="1288" spans="1:22" ht="15.75" customHeight="1" x14ac:dyDescent="0.25">
      <c r="A1288" s="26"/>
      <c r="B1288" s="2" t="s">
        <v>1672</v>
      </c>
      <c r="C1288" s="32">
        <v>45791.686967592592</v>
      </c>
      <c r="D1288" s="53">
        <f>YEAR(Table1[[#This Row],[Order Date]])</f>
        <v>2025</v>
      </c>
      <c r="E1288" s="2" t="s">
        <v>576</v>
      </c>
      <c r="F1288" s="2" t="s">
        <v>57</v>
      </c>
      <c r="G1288" s="2" t="s">
        <v>50</v>
      </c>
      <c r="H1288" s="23">
        <v>14000</v>
      </c>
      <c r="I1288" s="2">
        <v>2</v>
      </c>
      <c r="J1288" s="31">
        <v>15</v>
      </c>
      <c r="K1288" s="7">
        <f t="shared" si="80"/>
        <v>28000</v>
      </c>
      <c r="L1288" s="7">
        <f t="shared" si="81"/>
        <v>4200</v>
      </c>
      <c r="M1288" s="7">
        <f t="shared" si="82"/>
        <v>23800</v>
      </c>
      <c r="N1288" s="23">
        <v>80000</v>
      </c>
      <c r="O1288" s="7">
        <f t="shared" si="83"/>
        <v>103800</v>
      </c>
      <c r="P1288" s="2" t="s">
        <v>63</v>
      </c>
      <c r="Q1288" t="str">
        <f>_xlfn.XLOOKUP(B1288,Status!$A$2:$A$1867,Status!$B$2:$B$1867)</f>
        <v>Completed</v>
      </c>
      <c r="R1288" s="2" t="s">
        <v>23</v>
      </c>
      <c r="S1288" s="8">
        <v>5</v>
      </c>
      <c r="T1288" s="2" t="s">
        <v>37</v>
      </c>
      <c r="U1288" s="31" t="str" cm="1">
        <f t="array" ref="U1288">_xlfn.IFS(L1288&lt;=5000,$Z$3,AND(L1288&gt;5000,L1288&lt;=15000),$Z$4,AND(L1288&gt;15000,L1288&lt;=30000),$Z$5,AND(L1288&gt;30000,L1288&lt;=50000),$Z$6,L1288&gt;50000,$Z$7)</f>
        <v>Sangat Rendah</v>
      </c>
      <c r="V1288" s="2"/>
    </row>
    <row r="1289" spans="1:22" ht="15.75" customHeight="1" x14ac:dyDescent="0.25">
      <c r="A1289" s="26"/>
      <c r="B1289" s="2" t="s">
        <v>1673</v>
      </c>
      <c r="C1289" s="32">
        <v>45791.735127314823</v>
      </c>
      <c r="D1289" s="53">
        <f>YEAR(Table1[[#This Row],[Order Date]])</f>
        <v>2025</v>
      </c>
      <c r="E1289" s="2" t="s">
        <v>128</v>
      </c>
      <c r="F1289" s="2" t="s">
        <v>103</v>
      </c>
      <c r="G1289" s="2" t="s">
        <v>81</v>
      </c>
      <c r="H1289" s="23">
        <v>17000</v>
      </c>
      <c r="I1289" s="2">
        <v>5</v>
      </c>
      <c r="J1289" s="31">
        <v>10</v>
      </c>
      <c r="K1289" s="7">
        <f t="shared" si="80"/>
        <v>85000</v>
      </c>
      <c r="L1289" s="7">
        <f t="shared" si="81"/>
        <v>8500</v>
      </c>
      <c r="M1289" s="7">
        <f t="shared" si="82"/>
        <v>76500</v>
      </c>
      <c r="N1289" s="23">
        <v>85000</v>
      </c>
      <c r="O1289" s="7">
        <f t="shared" si="83"/>
        <v>161500</v>
      </c>
      <c r="P1289" s="2" t="s">
        <v>35</v>
      </c>
      <c r="Q1289" t="str">
        <f>_xlfn.XLOOKUP(B1289,Status!$A$2:$A$1867,Status!$B$2:$B$1867)</f>
        <v>Completed</v>
      </c>
      <c r="R1289" s="2" t="s">
        <v>82</v>
      </c>
      <c r="S1289" s="8">
        <v>3</v>
      </c>
      <c r="T1289" s="2" t="s">
        <v>37</v>
      </c>
      <c r="U1289" s="31" t="str" cm="1">
        <f t="array" ref="U1289">_xlfn.IFS(L1289&lt;=5000,$Z$3,AND(L1289&gt;5000,L1289&lt;=15000),$Z$4,AND(L1289&gt;15000,L1289&lt;=30000),$Z$5,AND(L1289&gt;30000,L1289&lt;=50000),$Z$6,L1289&gt;50000,$Z$7)</f>
        <v>Rendah</v>
      </c>
      <c r="V1289" s="2"/>
    </row>
    <row r="1290" spans="1:22" ht="15.75" customHeight="1" x14ac:dyDescent="0.25">
      <c r="A1290" s="26"/>
      <c r="B1290" s="2" t="s">
        <v>1674</v>
      </c>
      <c r="C1290" s="32">
        <v>45792.079675925917</v>
      </c>
      <c r="D1290" s="53">
        <f>YEAR(Table1[[#This Row],[Order Date]])</f>
        <v>2025</v>
      </c>
      <c r="E1290" s="2" t="s">
        <v>192</v>
      </c>
      <c r="F1290" s="2" t="s">
        <v>107</v>
      </c>
      <c r="G1290" s="2" t="s">
        <v>190</v>
      </c>
      <c r="H1290" s="23">
        <v>35000</v>
      </c>
      <c r="I1290" s="2">
        <v>4</v>
      </c>
      <c r="J1290" s="31">
        <v>20</v>
      </c>
      <c r="K1290" s="7">
        <f t="shared" si="80"/>
        <v>140000</v>
      </c>
      <c r="L1290" s="7">
        <f t="shared" si="81"/>
        <v>28000</v>
      </c>
      <c r="M1290" s="7">
        <f t="shared" si="82"/>
        <v>112000</v>
      </c>
      <c r="N1290" s="23">
        <v>97000</v>
      </c>
      <c r="O1290" s="7">
        <f t="shared" si="83"/>
        <v>209000</v>
      </c>
      <c r="P1290" s="2" t="s">
        <v>63</v>
      </c>
      <c r="Q1290" t="str">
        <f>_xlfn.XLOOKUP(B1290,Status!$A$2:$A$1867,Status!$B$2:$B$1867)</f>
        <v>Completed</v>
      </c>
      <c r="R1290" s="2" t="s">
        <v>23</v>
      </c>
      <c r="S1290" s="8">
        <v>3</v>
      </c>
      <c r="T1290" s="2" t="s">
        <v>24</v>
      </c>
      <c r="U1290" s="31" t="str" cm="1">
        <f t="array" ref="U1290">_xlfn.IFS(L1290&lt;=5000,$Z$3,AND(L1290&gt;5000,L1290&lt;=15000),$Z$4,AND(L1290&gt;15000,L1290&lt;=30000),$Z$5,AND(L1290&gt;30000,L1290&lt;=50000),$Z$6,L1290&gt;50000,$Z$7)</f>
        <v>Normal</v>
      </c>
      <c r="V1290" s="2"/>
    </row>
    <row r="1291" spans="1:22" ht="15.75" customHeight="1" x14ac:dyDescent="0.25">
      <c r="A1291" s="26"/>
      <c r="B1291" s="2" t="s">
        <v>1675</v>
      </c>
      <c r="C1291" s="32">
        <v>45792.082291666673</v>
      </c>
      <c r="D1291" s="53">
        <f>YEAR(Table1[[#This Row],[Order Date]])</f>
        <v>2025</v>
      </c>
      <c r="E1291" s="2" t="s">
        <v>589</v>
      </c>
      <c r="F1291" s="2" t="s">
        <v>262</v>
      </c>
      <c r="G1291" s="2" t="s">
        <v>123</v>
      </c>
      <c r="H1291" s="23">
        <v>22000</v>
      </c>
      <c r="I1291" s="2">
        <v>3</v>
      </c>
      <c r="J1291" s="31">
        <v>10</v>
      </c>
      <c r="K1291" s="7">
        <f t="shared" si="80"/>
        <v>66000</v>
      </c>
      <c r="L1291" s="7">
        <f t="shared" si="81"/>
        <v>6600</v>
      </c>
      <c r="M1291" s="7">
        <f t="shared" si="82"/>
        <v>59400</v>
      </c>
      <c r="N1291" s="23">
        <v>18000</v>
      </c>
      <c r="O1291" s="7">
        <f t="shared" si="83"/>
        <v>77400</v>
      </c>
      <c r="P1291" s="2" t="s">
        <v>22</v>
      </c>
      <c r="Q1291" t="str">
        <f>_xlfn.XLOOKUP(B1291,Status!$A$2:$A$1867,Status!$B$2:$B$1867)</f>
        <v>Completed</v>
      </c>
      <c r="R1291" s="2" t="s">
        <v>36</v>
      </c>
      <c r="S1291" s="8">
        <v>3</v>
      </c>
      <c r="T1291" s="2" t="s">
        <v>37</v>
      </c>
      <c r="U1291" s="31" t="str" cm="1">
        <f t="array" ref="U1291">_xlfn.IFS(L1291&lt;=5000,$Z$3,AND(L1291&gt;5000,L1291&lt;=15000),$Z$4,AND(L1291&gt;15000,L1291&lt;=30000),$Z$5,AND(L1291&gt;30000,L1291&lt;=50000),$Z$6,L1291&gt;50000,$Z$7)</f>
        <v>Rendah</v>
      </c>
      <c r="V1291" s="2"/>
    </row>
    <row r="1292" spans="1:22" ht="15.75" customHeight="1" x14ac:dyDescent="0.25">
      <c r="A1292" s="26"/>
      <c r="B1292" s="2" t="s">
        <v>1676</v>
      </c>
      <c r="C1292" s="32">
        <v>45792.312106481477</v>
      </c>
      <c r="D1292" s="53">
        <f>YEAR(Table1[[#This Row],[Order Date]])</f>
        <v>2025</v>
      </c>
      <c r="E1292" s="2" t="s">
        <v>851</v>
      </c>
      <c r="F1292" s="2" t="s">
        <v>66</v>
      </c>
      <c r="G1292" s="2" t="s">
        <v>28</v>
      </c>
      <c r="H1292" s="23">
        <v>5000</v>
      </c>
      <c r="I1292" s="2">
        <v>5</v>
      </c>
      <c r="J1292" s="31">
        <v>5</v>
      </c>
      <c r="K1292" s="7">
        <f t="shared" si="80"/>
        <v>25000</v>
      </c>
      <c r="L1292" s="7">
        <f t="shared" si="81"/>
        <v>1250</v>
      </c>
      <c r="M1292" s="7">
        <f t="shared" si="82"/>
        <v>23750</v>
      </c>
      <c r="N1292" s="23">
        <v>59000</v>
      </c>
      <c r="O1292" s="7">
        <f t="shared" si="83"/>
        <v>82750</v>
      </c>
      <c r="P1292" s="2" t="s">
        <v>29</v>
      </c>
      <c r="Q1292" t="str">
        <f>_xlfn.XLOOKUP(B1292,Status!$A$2:$A$1867,Status!$B$2:$B$1867)</f>
        <v>Completed</v>
      </c>
      <c r="R1292" s="2" t="s">
        <v>82</v>
      </c>
      <c r="S1292" s="8">
        <v>4</v>
      </c>
      <c r="T1292" s="2" t="s">
        <v>37</v>
      </c>
      <c r="U1292" s="31" t="str" cm="1">
        <f t="array" ref="U1292">_xlfn.IFS(L1292&lt;=5000,$Z$3,AND(L1292&gt;5000,L1292&lt;=15000),$Z$4,AND(L1292&gt;15000,L1292&lt;=30000),$Z$5,AND(L1292&gt;30000,L1292&lt;=50000),$Z$6,L1292&gt;50000,$Z$7)</f>
        <v>Sangat Rendah</v>
      </c>
      <c r="V1292" s="2"/>
    </row>
    <row r="1293" spans="1:22" ht="15.75" customHeight="1" x14ac:dyDescent="0.25">
      <c r="A1293" s="26"/>
      <c r="B1293" s="2" t="s">
        <v>1677</v>
      </c>
      <c r="C1293" s="32">
        <v>45792.342673611107</v>
      </c>
      <c r="D1293" s="53">
        <f>YEAR(Table1[[#This Row],[Order Date]])</f>
        <v>2025</v>
      </c>
      <c r="E1293" s="2" t="s">
        <v>19</v>
      </c>
      <c r="F1293" s="2" t="s">
        <v>20</v>
      </c>
      <c r="G1293" s="2" t="s">
        <v>58</v>
      </c>
      <c r="H1293" s="23">
        <v>16000</v>
      </c>
      <c r="I1293" s="2">
        <v>3</v>
      </c>
      <c r="J1293" s="31">
        <v>15</v>
      </c>
      <c r="K1293" s="7">
        <f t="shared" si="80"/>
        <v>48000</v>
      </c>
      <c r="L1293" s="7">
        <f t="shared" si="81"/>
        <v>7200</v>
      </c>
      <c r="M1293" s="7">
        <f t="shared" si="82"/>
        <v>40800</v>
      </c>
      <c r="N1293" s="23">
        <v>15000</v>
      </c>
      <c r="O1293" s="7">
        <f t="shared" si="83"/>
        <v>55800</v>
      </c>
      <c r="P1293" s="2" t="s">
        <v>35</v>
      </c>
      <c r="Q1293" t="str">
        <f>_xlfn.XLOOKUP(B1293,Status!$A$2:$A$1867,Status!$B$2:$B$1867)</f>
        <v>Completed</v>
      </c>
      <c r="R1293" s="2" t="s">
        <v>82</v>
      </c>
      <c r="S1293" s="8">
        <v>2</v>
      </c>
      <c r="T1293" s="2" t="s">
        <v>24</v>
      </c>
      <c r="U1293" s="31" t="str" cm="1">
        <f t="array" ref="U1293">_xlfn.IFS(L1293&lt;=5000,$Z$3,AND(L1293&gt;5000,L1293&lt;=15000),$Z$4,AND(L1293&gt;15000,L1293&lt;=30000),$Z$5,AND(L1293&gt;30000,L1293&lt;=50000),$Z$6,L1293&gt;50000,$Z$7)</f>
        <v>Rendah</v>
      </c>
      <c r="V1293" s="2"/>
    </row>
    <row r="1294" spans="1:22" ht="15.75" customHeight="1" x14ac:dyDescent="0.25">
      <c r="A1294" s="26"/>
      <c r="B1294" s="2" t="s">
        <v>1677</v>
      </c>
      <c r="C1294" s="32">
        <v>45792.342673611107</v>
      </c>
      <c r="D1294" s="53">
        <f>YEAR(Table1[[#This Row],[Order Date]])</f>
        <v>2025</v>
      </c>
      <c r="E1294" s="2" t="s">
        <v>19</v>
      </c>
      <c r="F1294" s="2" t="s">
        <v>20</v>
      </c>
      <c r="G1294" s="2" t="s">
        <v>75</v>
      </c>
      <c r="H1294" s="23">
        <v>55000</v>
      </c>
      <c r="I1294" s="2">
        <v>3</v>
      </c>
      <c r="J1294" s="31">
        <v>10</v>
      </c>
      <c r="K1294" s="7">
        <f t="shared" si="80"/>
        <v>165000</v>
      </c>
      <c r="L1294" s="7">
        <f t="shared" si="81"/>
        <v>16500</v>
      </c>
      <c r="M1294" s="7">
        <f t="shared" si="82"/>
        <v>148500</v>
      </c>
      <c r="N1294" s="23">
        <v>0</v>
      </c>
      <c r="O1294" s="7">
        <f t="shared" si="83"/>
        <v>148500</v>
      </c>
      <c r="P1294" s="2" t="s">
        <v>35</v>
      </c>
      <c r="Q1294" t="str">
        <f>_xlfn.XLOOKUP(B1294,Status!$A$2:$A$1867,Status!$B$2:$B$1867)</f>
        <v>Completed</v>
      </c>
      <c r="R1294" s="2" t="s">
        <v>82</v>
      </c>
      <c r="S1294" s="8">
        <v>2</v>
      </c>
      <c r="T1294" s="2" t="s">
        <v>24</v>
      </c>
      <c r="U1294" s="31" t="str" cm="1">
        <f t="array" ref="U1294">_xlfn.IFS(L1294&lt;=5000,$Z$3,AND(L1294&gt;5000,L1294&lt;=15000),$Z$4,AND(L1294&gt;15000,L1294&lt;=30000),$Z$5,AND(L1294&gt;30000,L1294&lt;=50000),$Z$6,L1294&gt;50000,$Z$7)</f>
        <v>Normal</v>
      </c>
      <c r="V1294" s="2"/>
    </row>
    <row r="1295" spans="1:22" ht="15.75" customHeight="1" x14ac:dyDescent="0.25">
      <c r="A1295" s="26"/>
      <c r="B1295" s="2" t="s">
        <v>1678</v>
      </c>
      <c r="C1295" s="32">
        <v>45792.569108796299</v>
      </c>
      <c r="D1295" s="53">
        <f>YEAR(Table1[[#This Row],[Order Date]])</f>
        <v>2025</v>
      </c>
      <c r="E1295" s="2" t="s">
        <v>804</v>
      </c>
      <c r="F1295" s="2" t="s">
        <v>49</v>
      </c>
      <c r="G1295" s="2" t="s">
        <v>85</v>
      </c>
      <c r="H1295" s="23">
        <v>35000</v>
      </c>
      <c r="I1295" s="2">
        <v>4</v>
      </c>
      <c r="J1295" s="31">
        <v>0</v>
      </c>
      <c r="K1295" s="7">
        <f t="shared" si="80"/>
        <v>140000</v>
      </c>
      <c r="L1295" s="7">
        <f t="shared" si="81"/>
        <v>0</v>
      </c>
      <c r="M1295" s="7">
        <f t="shared" si="82"/>
        <v>140000</v>
      </c>
      <c r="N1295" s="23">
        <v>43000</v>
      </c>
      <c r="O1295" s="7">
        <f t="shared" si="83"/>
        <v>183000</v>
      </c>
      <c r="P1295" s="2" t="s">
        <v>63</v>
      </c>
      <c r="Q1295" t="str">
        <f>_xlfn.XLOOKUP(B1295,Status!$A$2:$A$1867,Status!$B$2:$B$1867)</f>
        <v>Completed</v>
      </c>
      <c r="R1295" s="2" t="s">
        <v>30</v>
      </c>
      <c r="S1295" s="8">
        <v>3</v>
      </c>
      <c r="T1295" s="2" t="s">
        <v>24</v>
      </c>
      <c r="U1295" s="31" t="str" cm="1">
        <f t="array" ref="U1295">_xlfn.IFS(L1295&lt;=5000,$Z$3,AND(L1295&gt;5000,L1295&lt;=15000),$Z$4,AND(L1295&gt;15000,L1295&lt;=30000),$Z$5,AND(L1295&gt;30000,L1295&lt;=50000),$Z$6,L1295&gt;50000,$Z$7)</f>
        <v>Sangat Rendah</v>
      </c>
      <c r="V1295" s="2"/>
    </row>
    <row r="1296" spans="1:22" ht="15.75" customHeight="1" x14ac:dyDescent="0.25">
      <c r="A1296" s="26"/>
      <c r="B1296" s="2" t="s">
        <v>1679</v>
      </c>
      <c r="C1296" s="32">
        <v>45792.624212962961</v>
      </c>
      <c r="D1296" s="53">
        <f>YEAR(Table1[[#This Row],[Order Date]])</f>
        <v>2025</v>
      </c>
      <c r="E1296" s="2" t="s">
        <v>254</v>
      </c>
      <c r="F1296" s="2" t="s">
        <v>61</v>
      </c>
      <c r="G1296" s="2" t="s">
        <v>174</v>
      </c>
      <c r="H1296" s="23">
        <v>10000</v>
      </c>
      <c r="I1296" s="2">
        <v>1</v>
      </c>
      <c r="J1296" s="31">
        <v>5</v>
      </c>
      <c r="K1296" s="7">
        <f t="shared" si="80"/>
        <v>10000</v>
      </c>
      <c r="L1296" s="7">
        <f t="shared" si="81"/>
        <v>500</v>
      </c>
      <c r="M1296" s="7">
        <f t="shared" si="82"/>
        <v>9500</v>
      </c>
      <c r="N1296" s="23">
        <v>26000</v>
      </c>
      <c r="O1296" s="7">
        <f t="shared" si="83"/>
        <v>35500</v>
      </c>
      <c r="P1296" s="2" t="s">
        <v>29</v>
      </c>
      <c r="Q1296" t="str">
        <f>_xlfn.XLOOKUP(B1296,Status!$A$2:$A$1867,Status!$B$2:$B$1867)</f>
        <v>Completed</v>
      </c>
      <c r="R1296" s="2" t="s">
        <v>82</v>
      </c>
      <c r="S1296" s="8">
        <v>4</v>
      </c>
      <c r="T1296" s="2" t="s">
        <v>24</v>
      </c>
      <c r="U1296" s="31" t="str" cm="1">
        <f t="array" ref="U1296">_xlfn.IFS(L1296&lt;=5000,$Z$3,AND(L1296&gt;5000,L1296&lt;=15000),$Z$4,AND(L1296&gt;15000,L1296&lt;=30000),$Z$5,AND(L1296&gt;30000,L1296&lt;=50000),$Z$6,L1296&gt;50000,$Z$7)</f>
        <v>Sangat Rendah</v>
      </c>
      <c r="V1296" s="2"/>
    </row>
    <row r="1297" spans="1:22" ht="15.75" customHeight="1" x14ac:dyDescent="0.25">
      <c r="A1297" s="26"/>
      <c r="B1297" s="2" t="s">
        <v>1680</v>
      </c>
      <c r="C1297" s="32">
        <v>45792.682291666657</v>
      </c>
      <c r="D1297" s="53">
        <f>YEAR(Table1[[#This Row],[Order Date]])</f>
        <v>2025</v>
      </c>
      <c r="E1297" s="2" t="s">
        <v>181</v>
      </c>
      <c r="F1297" s="2" t="s">
        <v>182</v>
      </c>
      <c r="G1297" s="2" t="s">
        <v>21</v>
      </c>
      <c r="H1297" s="23">
        <v>45000</v>
      </c>
      <c r="I1297" s="2">
        <v>4</v>
      </c>
      <c r="J1297" s="31">
        <v>10</v>
      </c>
      <c r="K1297" s="7">
        <f t="shared" si="80"/>
        <v>180000</v>
      </c>
      <c r="L1297" s="7">
        <f t="shared" si="81"/>
        <v>18000</v>
      </c>
      <c r="M1297" s="7">
        <f t="shared" si="82"/>
        <v>162000</v>
      </c>
      <c r="N1297" s="23">
        <v>48000</v>
      </c>
      <c r="O1297" s="7">
        <f t="shared" si="83"/>
        <v>210000</v>
      </c>
      <c r="P1297" s="2" t="s">
        <v>35</v>
      </c>
      <c r="Q1297" t="str">
        <f>_xlfn.XLOOKUP(B1297,Status!$A$2:$A$1867,Status!$B$2:$B$1867)</f>
        <v>Completed</v>
      </c>
      <c r="R1297" s="2" t="s">
        <v>46</v>
      </c>
      <c r="S1297" s="8">
        <v>3</v>
      </c>
      <c r="T1297" s="2" t="s">
        <v>24</v>
      </c>
      <c r="U1297" s="31" t="str" cm="1">
        <f t="array" ref="U1297">_xlfn.IFS(L1297&lt;=5000,$Z$3,AND(L1297&gt;5000,L1297&lt;=15000),$Z$4,AND(L1297&gt;15000,L1297&lt;=30000),$Z$5,AND(L1297&gt;30000,L1297&lt;=50000),$Z$6,L1297&gt;50000,$Z$7)</f>
        <v>Normal</v>
      </c>
      <c r="V1297" s="2"/>
    </row>
    <row r="1298" spans="1:22" ht="15.75" customHeight="1" x14ac:dyDescent="0.25">
      <c r="A1298" s="26"/>
      <c r="B1298" s="2" t="s">
        <v>1680</v>
      </c>
      <c r="C1298" s="32">
        <v>45792.682291666657</v>
      </c>
      <c r="D1298" s="53">
        <f>YEAR(Table1[[#This Row],[Order Date]])</f>
        <v>2025</v>
      </c>
      <c r="E1298" s="2" t="s">
        <v>181</v>
      </c>
      <c r="F1298" s="2" t="s">
        <v>182</v>
      </c>
      <c r="G1298" s="2" t="s">
        <v>104</v>
      </c>
      <c r="H1298" s="23">
        <v>30000</v>
      </c>
      <c r="I1298" s="2">
        <v>1</v>
      </c>
      <c r="J1298" s="31">
        <v>10</v>
      </c>
      <c r="K1298" s="7">
        <f t="shared" si="80"/>
        <v>30000</v>
      </c>
      <c r="L1298" s="7">
        <f t="shared" si="81"/>
        <v>3000</v>
      </c>
      <c r="M1298" s="7">
        <f t="shared" si="82"/>
        <v>27000</v>
      </c>
      <c r="N1298" s="23">
        <v>0</v>
      </c>
      <c r="O1298" s="7">
        <f t="shared" si="83"/>
        <v>27000</v>
      </c>
      <c r="P1298" s="2" t="s">
        <v>35</v>
      </c>
      <c r="Q1298" t="str">
        <f>_xlfn.XLOOKUP(B1298,Status!$A$2:$A$1867,Status!$B$2:$B$1867)</f>
        <v>Completed</v>
      </c>
      <c r="R1298" s="2" t="s">
        <v>46</v>
      </c>
      <c r="S1298" s="8">
        <v>3</v>
      </c>
      <c r="T1298" s="2" t="s">
        <v>24</v>
      </c>
      <c r="U1298" s="31" t="str" cm="1">
        <f t="array" ref="U1298">_xlfn.IFS(L1298&lt;=5000,$Z$3,AND(L1298&gt;5000,L1298&lt;=15000),$Z$4,AND(L1298&gt;15000,L1298&lt;=30000),$Z$5,AND(L1298&gt;30000,L1298&lt;=50000),$Z$6,L1298&gt;50000,$Z$7)</f>
        <v>Sangat Rendah</v>
      </c>
      <c r="V1298" s="2"/>
    </row>
    <row r="1299" spans="1:22" ht="15.75" customHeight="1" x14ac:dyDescent="0.25">
      <c r="A1299" s="26"/>
      <c r="B1299" s="2" t="s">
        <v>1681</v>
      </c>
      <c r="C1299" s="32">
        <v>45792.786874999998</v>
      </c>
      <c r="D1299" s="53">
        <f>YEAR(Table1[[#This Row],[Order Date]])</f>
        <v>2025</v>
      </c>
      <c r="E1299" s="2" t="s">
        <v>434</v>
      </c>
      <c r="F1299" s="2" t="s">
        <v>435</v>
      </c>
      <c r="G1299" s="2" t="s">
        <v>34</v>
      </c>
      <c r="H1299" s="23">
        <v>16000</v>
      </c>
      <c r="I1299" s="2">
        <v>1</v>
      </c>
      <c r="J1299" s="31">
        <v>10</v>
      </c>
      <c r="K1299" s="7">
        <f t="shared" si="80"/>
        <v>16000</v>
      </c>
      <c r="L1299" s="7">
        <f t="shared" si="81"/>
        <v>1600</v>
      </c>
      <c r="M1299" s="7">
        <f t="shared" si="82"/>
        <v>14400</v>
      </c>
      <c r="N1299" s="23">
        <v>67000</v>
      </c>
      <c r="O1299" s="7">
        <f t="shared" si="83"/>
        <v>81400</v>
      </c>
      <c r="P1299" s="2" t="s">
        <v>29</v>
      </c>
      <c r="Q1299" t="str">
        <f>_xlfn.XLOOKUP(B1299,Status!$A$2:$A$1867,Status!$B$2:$B$1867)</f>
        <v>Completed</v>
      </c>
      <c r="R1299" s="2" t="s">
        <v>23</v>
      </c>
      <c r="S1299" s="8">
        <v>2</v>
      </c>
      <c r="T1299" s="2" t="s">
        <v>24</v>
      </c>
      <c r="U1299" s="31" t="str" cm="1">
        <f t="array" ref="U1299">_xlfn.IFS(L1299&lt;=5000,$Z$3,AND(L1299&gt;5000,L1299&lt;=15000),$Z$4,AND(L1299&gt;15000,L1299&lt;=30000),$Z$5,AND(L1299&gt;30000,L1299&lt;=50000),$Z$6,L1299&gt;50000,$Z$7)</f>
        <v>Sangat Rendah</v>
      </c>
      <c r="V1299" s="2"/>
    </row>
    <row r="1300" spans="1:22" ht="15.75" customHeight="1" x14ac:dyDescent="0.25">
      <c r="A1300" s="26"/>
      <c r="B1300" s="2" t="s">
        <v>1682</v>
      </c>
      <c r="C1300" s="32">
        <v>45793.144826388889</v>
      </c>
      <c r="D1300" s="53">
        <f>YEAR(Table1[[#This Row],[Order Date]])</f>
        <v>2025</v>
      </c>
      <c r="E1300" s="2" t="s">
        <v>412</v>
      </c>
      <c r="F1300" s="2" t="s">
        <v>70</v>
      </c>
      <c r="G1300" s="2" t="s">
        <v>34</v>
      </c>
      <c r="H1300" s="23">
        <v>16000</v>
      </c>
      <c r="I1300" s="2">
        <v>1</v>
      </c>
      <c r="J1300" s="31">
        <v>0</v>
      </c>
      <c r="K1300" s="7">
        <f t="shared" si="80"/>
        <v>16000</v>
      </c>
      <c r="L1300" s="7">
        <f t="shared" si="81"/>
        <v>0</v>
      </c>
      <c r="M1300" s="7">
        <f t="shared" si="82"/>
        <v>16000</v>
      </c>
      <c r="N1300" s="23">
        <v>89000</v>
      </c>
      <c r="O1300" s="7">
        <f t="shared" si="83"/>
        <v>105000</v>
      </c>
      <c r="P1300" s="2" t="s">
        <v>22</v>
      </c>
      <c r="Q1300" t="str">
        <f>_xlfn.XLOOKUP(B1300,Status!$A$2:$A$1867,Status!$B$2:$B$1867)</f>
        <v>Completed</v>
      </c>
      <c r="R1300" s="2" t="s">
        <v>36</v>
      </c>
      <c r="S1300" s="8">
        <v>5</v>
      </c>
      <c r="T1300" s="2" t="s">
        <v>24</v>
      </c>
      <c r="U1300" s="31" t="str" cm="1">
        <f t="array" ref="U1300">_xlfn.IFS(L1300&lt;=5000,$Z$3,AND(L1300&gt;5000,L1300&lt;=15000),$Z$4,AND(L1300&gt;15000,L1300&lt;=30000),$Z$5,AND(L1300&gt;30000,L1300&lt;=50000),$Z$6,L1300&gt;50000,$Z$7)</f>
        <v>Sangat Rendah</v>
      </c>
      <c r="V1300" s="2"/>
    </row>
    <row r="1301" spans="1:22" ht="15.75" customHeight="1" x14ac:dyDescent="0.25">
      <c r="A1301" s="26"/>
      <c r="B1301" s="2" t="s">
        <v>1683</v>
      </c>
      <c r="C1301" s="32">
        <v>45793.158506944441</v>
      </c>
      <c r="D1301" s="53">
        <f>YEAR(Table1[[#This Row],[Order Date]])</f>
        <v>2025</v>
      </c>
      <c r="E1301" s="2" t="s">
        <v>91</v>
      </c>
      <c r="F1301" s="2" t="s">
        <v>92</v>
      </c>
      <c r="G1301" s="2" t="s">
        <v>67</v>
      </c>
      <c r="H1301" s="23">
        <v>15000</v>
      </c>
      <c r="I1301" s="2">
        <v>3</v>
      </c>
      <c r="J1301" s="31">
        <v>5</v>
      </c>
      <c r="K1301" s="7">
        <f t="shared" si="80"/>
        <v>45000</v>
      </c>
      <c r="L1301" s="7">
        <f t="shared" si="81"/>
        <v>2250</v>
      </c>
      <c r="M1301" s="7">
        <f t="shared" si="82"/>
        <v>42750</v>
      </c>
      <c r="N1301" s="23">
        <v>30000</v>
      </c>
      <c r="O1301" s="7">
        <f t="shared" si="83"/>
        <v>72750</v>
      </c>
      <c r="P1301" s="2" t="s">
        <v>22</v>
      </c>
      <c r="Q1301" t="str">
        <f>_xlfn.XLOOKUP(B1301,Status!$A$2:$A$1867,Status!$B$2:$B$1867)</f>
        <v>Completed</v>
      </c>
      <c r="R1301" s="2" t="s">
        <v>82</v>
      </c>
      <c r="S1301" s="8">
        <v>2</v>
      </c>
      <c r="T1301" s="2" t="s">
        <v>24</v>
      </c>
      <c r="U1301" s="31" t="str" cm="1">
        <f t="array" ref="U1301">_xlfn.IFS(L1301&lt;=5000,$Z$3,AND(L1301&gt;5000,L1301&lt;=15000),$Z$4,AND(L1301&gt;15000,L1301&lt;=30000),$Z$5,AND(L1301&gt;30000,L1301&lt;=50000),$Z$6,L1301&gt;50000,$Z$7)</f>
        <v>Sangat Rendah</v>
      </c>
      <c r="V1301" s="2"/>
    </row>
    <row r="1302" spans="1:22" ht="15.75" customHeight="1" x14ac:dyDescent="0.25">
      <c r="A1302" s="26"/>
      <c r="B1302" s="2" t="s">
        <v>1684</v>
      </c>
      <c r="C1302" s="32">
        <v>45793.745891203696</v>
      </c>
      <c r="D1302" s="53">
        <f>YEAR(Table1[[#This Row],[Order Date]])</f>
        <v>2025</v>
      </c>
      <c r="E1302" s="2" t="s">
        <v>214</v>
      </c>
      <c r="F1302" s="2" t="s">
        <v>131</v>
      </c>
      <c r="G1302" s="2" t="s">
        <v>144</v>
      </c>
      <c r="H1302" s="23">
        <v>18000</v>
      </c>
      <c r="I1302" s="2">
        <v>4</v>
      </c>
      <c r="J1302" s="31">
        <v>15</v>
      </c>
      <c r="K1302" s="7">
        <f t="shared" si="80"/>
        <v>72000</v>
      </c>
      <c r="L1302" s="7">
        <f t="shared" si="81"/>
        <v>10800</v>
      </c>
      <c r="M1302" s="7">
        <f t="shared" si="82"/>
        <v>61200</v>
      </c>
      <c r="N1302" s="23">
        <v>59000</v>
      </c>
      <c r="O1302" s="7">
        <f t="shared" si="83"/>
        <v>120200</v>
      </c>
      <c r="P1302" s="2" t="s">
        <v>63</v>
      </c>
      <c r="Q1302" t="str">
        <f>_xlfn.XLOOKUP(B1302,Status!$A$2:$A$1867,Status!$B$2:$B$1867)</f>
        <v>Returned</v>
      </c>
      <c r="R1302" s="2" t="s">
        <v>30</v>
      </c>
      <c r="S1302" s="8">
        <v>4</v>
      </c>
      <c r="T1302" s="2" t="s">
        <v>24</v>
      </c>
      <c r="U1302" s="31" t="str" cm="1">
        <f t="array" ref="U1302">_xlfn.IFS(L1302&lt;=5000,$Z$3,AND(L1302&gt;5000,L1302&lt;=15000),$Z$4,AND(L1302&gt;15000,L1302&lt;=30000),$Z$5,AND(L1302&gt;30000,L1302&lt;=50000),$Z$6,L1302&gt;50000,$Z$7)</f>
        <v>Rendah</v>
      </c>
      <c r="V1302" s="2"/>
    </row>
    <row r="1303" spans="1:22" ht="15.75" customHeight="1" x14ac:dyDescent="0.25">
      <c r="A1303" s="26"/>
      <c r="B1303" s="2" t="s">
        <v>1685</v>
      </c>
      <c r="C1303" s="32">
        <v>45793.898761574077</v>
      </c>
      <c r="D1303" s="53">
        <f>YEAR(Table1[[#This Row],[Order Date]])</f>
        <v>2025</v>
      </c>
      <c r="E1303" s="2" t="s">
        <v>246</v>
      </c>
      <c r="F1303" s="2" t="s">
        <v>238</v>
      </c>
      <c r="G1303" s="2" t="s">
        <v>190</v>
      </c>
      <c r="H1303" s="23">
        <v>35000</v>
      </c>
      <c r="I1303" s="2">
        <v>1</v>
      </c>
      <c r="J1303" s="31">
        <v>15</v>
      </c>
      <c r="K1303" s="7">
        <f t="shared" si="80"/>
        <v>35000</v>
      </c>
      <c r="L1303" s="7">
        <f t="shared" si="81"/>
        <v>5250</v>
      </c>
      <c r="M1303" s="7">
        <f t="shared" si="82"/>
        <v>29750</v>
      </c>
      <c r="N1303" s="23">
        <v>28000</v>
      </c>
      <c r="O1303" s="7">
        <f t="shared" si="83"/>
        <v>57750</v>
      </c>
      <c r="P1303" s="2" t="s">
        <v>22</v>
      </c>
      <c r="Q1303" t="str">
        <f>_xlfn.XLOOKUP(B1303,Status!$A$2:$A$1867,Status!$B$2:$B$1867)</f>
        <v>Completed</v>
      </c>
      <c r="R1303" s="2" t="s">
        <v>23</v>
      </c>
      <c r="S1303" s="8">
        <v>4</v>
      </c>
      <c r="T1303" s="2" t="s">
        <v>24</v>
      </c>
      <c r="U1303" s="31" t="str" cm="1">
        <f t="array" ref="U1303">_xlfn.IFS(L1303&lt;=5000,$Z$3,AND(L1303&gt;5000,L1303&lt;=15000),$Z$4,AND(L1303&gt;15000,L1303&lt;=30000),$Z$5,AND(L1303&gt;30000,L1303&lt;=50000),$Z$6,L1303&gt;50000,$Z$7)</f>
        <v>Rendah</v>
      </c>
      <c r="V1303" s="2"/>
    </row>
    <row r="1304" spans="1:22" ht="15.75" customHeight="1" x14ac:dyDescent="0.25">
      <c r="A1304" s="26"/>
      <c r="B1304" s="2" t="s">
        <v>1686</v>
      </c>
      <c r="C1304" s="32">
        <v>45793.992638888893</v>
      </c>
      <c r="D1304" s="53">
        <f>YEAR(Table1[[#This Row],[Order Date]])</f>
        <v>2025</v>
      </c>
      <c r="E1304" s="2" t="s">
        <v>316</v>
      </c>
      <c r="F1304" s="2" t="s">
        <v>244</v>
      </c>
      <c r="G1304" s="2" t="s">
        <v>75</v>
      </c>
      <c r="H1304" s="23">
        <v>55000</v>
      </c>
      <c r="I1304" s="2">
        <v>4</v>
      </c>
      <c r="J1304" s="31">
        <v>15</v>
      </c>
      <c r="K1304" s="7">
        <f t="shared" si="80"/>
        <v>220000</v>
      </c>
      <c r="L1304" s="7">
        <f t="shared" si="81"/>
        <v>33000</v>
      </c>
      <c r="M1304" s="7">
        <f t="shared" si="82"/>
        <v>187000</v>
      </c>
      <c r="N1304" s="23">
        <v>80000</v>
      </c>
      <c r="O1304" s="7">
        <f t="shared" si="83"/>
        <v>267000</v>
      </c>
      <c r="P1304" s="2" t="s">
        <v>35</v>
      </c>
      <c r="Q1304" t="str">
        <f>_xlfn.XLOOKUP(B1304,Status!$A$2:$A$1867,Status!$B$2:$B$1867)</f>
        <v>Completed</v>
      </c>
      <c r="R1304" s="2" t="s">
        <v>82</v>
      </c>
      <c r="S1304" s="8">
        <v>2</v>
      </c>
      <c r="T1304" s="2" t="s">
        <v>24</v>
      </c>
      <c r="U1304" s="31" t="str" cm="1">
        <f t="array" ref="U1304">_xlfn.IFS(L1304&lt;=5000,$Z$3,AND(L1304&gt;5000,L1304&lt;=15000),$Z$4,AND(L1304&gt;15000,L1304&lt;=30000),$Z$5,AND(L1304&gt;30000,L1304&lt;=50000),$Z$6,L1304&gt;50000,$Z$7)</f>
        <v>Tinggi</v>
      </c>
      <c r="V1304" s="2"/>
    </row>
    <row r="1305" spans="1:22" ht="15.75" customHeight="1" x14ac:dyDescent="0.25">
      <c r="A1305" s="26"/>
      <c r="B1305" s="2" t="s">
        <v>1687</v>
      </c>
      <c r="C1305" s="32">
        <v>45794.427870370368</v>
      </c>
      <c r="D1305" s="53">
        <f>YEAR(Table1[[#This Row],[Order Date]])</f>
        <v>2025</v>
      </c>
      <c r="E1305" s="2" t="s">
        <v>100</v>
      </c>
      <c r="F1305" s="2" t="s">
        <v>66</v>
      </c>
      <c r="G1305" s="2" t="s">
        <v>144</v>
      </c>
      <c r="H1305" s="23">
        <v>18000</v>
      </c>
      <c r="I1305" s="2">
        <v>1</v>
      </c>
      <c r="J1305" s="31">
        <v>10</v>
      </c>
      <c r="K1305" s="7">
        <f t="shared" si="80"/>
        <v>18000</v>
      </c>
      <c r="L1305" s="7">
        <f t="shared" si="81"/>
        <v>1800</v>
      </c>
      <c r="M1305" s="7">
        <f t="shared" si="82"/>
        <v>16200</v>
      </c>
      <c r="N1305" s="23">
        <v>59000</v>
      </c>
      <c r="O1305" s="7">
        <f t="shared" si="83"/>
        <v>75200</v>
      </c>
      <c r="P1305" s="2" t="s">
        <v>63</v>
      </c>
      <c r="Q1305" t="str">
        <f>_xlfn.XLOOKUP(B1305,Status!$A$2:$A$1867,Status!$B$2:$B$1867)</f>
        <v>Completed</v>
      </c>
      <c r="R1305" s="2" t="s">
        <v>46</v>
      </c>
      <c r="S1305" s="8">
        <v>2</v>
      </c>
      <c r="T1305" s="2" t="s">
        <v>24</v>
      </c>
      <c r="U1305" s="31" t="str" cm="1">
        <f t="array" ref="U1305">_xlfn.IFS(L1305&lt;=5000,$Z$3,AND(L1305&gt;5000,L1305&lt;=15000),$Z$4,AND(L1305&gt;15000,L1305&lt;=30000),$Z$5,AND(L1305&gt;30000,L1305&lt;=50000),$Z$6,L1305&gt;50000,$Z$7)</f>
        <v>Sangat Rendah</v>
      </c>
      <c r="V1305" s="2"/>
    </row>
    <row r="1306" spans="1:22" ht="15.75" customHeight="1" x14ac:dyDescent="0.25">
      <c r="A1306" s="26"/>
      <c r="B1306" s="2" t="s">
        <v>1688</v>
      </c>
      <c r="C1306" s="32">
        <v>45794.592037037037</v>
      </c>
      <c r="D1306" s="53">
        <f>YEAR(Table1[[#This Row],[Order Date]])</f>
        <v>2025</v>
      </c>
      <c r="E1306" s="2" t="s">
        <v>796</v>
      </c>
      <c r="F1306" s="2" t="s">
        <v>119</v>
      </c>
      <c r="G1306" s="2" t="s">
        <v>85</v>
      </c>
      <c r="H1306" s="23">
        <v>35000</v>
      </c>
      <c r="I1306" s="2">
        <v>4</v>
      </c>
      <c r="J1306" s="31">
        <v>20</v>
      </c>
      <c r="K1306" s="7">
        <f t="shared" si="80"/>
        <v>140000</v>
      </c>
      <c r="L1306" s="7">
        <f t="shared" si="81"/>
        <v>28000</v>
      </c>
      <c r="M1306" s="7">
        <f t="shared" si="82"/>
        <v>112000</v>
      </c>
      <c r="N1306" s="23">
        <v>0</v>
      </c>
      <c r="O1306" s="7">
        <f t="shared" si="83"/>
        <v>112000</v>
      </c>
      <c r="P1306" s="2" t="s">
        <v>22</v>
      </c>
      <c r="Q1306" t="str">
        <f>_xlfn.XLOOKUP(B1306,Status!$A$2:$A$1867,Status!$B$2:$B$1867)</f>
        <v>Returned</v>
      </c>
      <c r="R1306" s="2" t="s">
        <v>30</v>
      </c>
      <c r="S1306" s="8">
        <v>1</v>
      </c>
      <c r="T1306" s="2" t="s">
        <v>24</v>
      </c>
      <c r="U1306" s="31" t="str" cm="1">
        <f t="array" ref="U1306">_xlfn.IFS(L1306&lt;=5000,$Z$3,AND(L1306&gt;5000,L1306&lt;=15000),$Z$4,AND(L1306&gt;15000,L1306&lt;=30000),$Z$5,AND(L1306&gt;30000,L1306&lt;=50000),$Z$6,L1306&gt;50000,$Z$7)</f>
        <v>Normal</v>
      </c>
      <c r="V1306" s="2"/>
    </row>
    <row r="1307" spans="1:22" ht="15.75" customHeight="1" x14ac:dyDescent="0.25">
      <c r="A1307" s="26"/>
      <c r="B1307" s="2" t="s">
        <v>1689</v>
      </c>
      <c r="C1307" s="32">
        <v>45794.908113425918</v>
      </c>
      <c r="D1307" s="53">
        <f>YEAR(Table1[[#This Row],[Order Date]])</f>
        <v>2025</v>
      </c>
      <c r="E1307" s="2" t="s">
        <v>510</v>
      </c>
      <c r="F1307" s="2" t="s">
        <v>96</v>
      </c>
      <c r="G1307" s="2" t="s">
        <v>186</v>
      </c>
      <c r="H1307" s="23">
        <v>45000</v>
      </c>
      <c r="I1307" s="2">
        <v>4</v>
      </c>
      <c r="J1307" s="31">
        <v>15</v>
      </c>
      <c r="K1307" s="7">
        <f t="shared" si="80"/>
        <v>180000</v>
      </c>
      <c r="L1307" s="7">
        <f t="shared" si="81"/>
        <v>27000</v>
      </c>
      <c r="M1307" s="7">
        <f t="shared" si="82"/>
        <v>153000</v>
      </c>
      <c r="N1307" s="23">
        <v>49000</v>
      </c>
      <c r="O1307" s="7">
        <f t="shared" si="83"/>
        <v>202000</v>
      </c>
      <c r="P1307" s="2" t="s">
        <v>29</v>
      </c>
      <c r="Q1307" t="str">
        <f>_xlfn.XLOOKUP(B1307,Status!$A$2:$A$1867,Status!$B$2:$B$1867)</f>
        <v>Cancelled</v>
      </c>
      <c r="R1307" s="2" t="s">
        <v>30</v>
      </c>
      <c r="S1307" s="8">
        <v>3</v>
      </c>
      <c r="T1307" s="2" t="s">
        <v>24</v>
      </c>
      <c r="U1307" s="31" t="str" cm="1">
        <f t="array" ref="U1307">_xlfn.IFS(L1307&lt;=5000,$Z$3,AND(L1307&gt;5000,L1307&lt;=15000),$Z$4,AND(L1307&gt;15000,L1307&lt;=30000),$Z$5,AND(L1307&gt;30000,L1307&lt;=50000),$Z$6,L1307&gt;50000,$Z$7)</f>
        <v>Normal</v>
      </c>
      <c r="V1307" s="2"/>
    </row>
    <row r="1308" spans="1:22" ht="15.75" customHeight="1" x14ac:dyDescent="0.25">
      <c r="A1308" s="26"/>
      <c r="B1308" s="2" t="s">
        <v>1690</v>
      </c>
      <c r="C1308" s="32">
        <v>45795.023715277777</v>
      </c>
      <c r="D1308" s="53">
        <f>YEAR(Table1[[#This Row],[Order Date]])</f>
        <v>2025</v>
      </c>
      <c r="E1308" s="2" t="s">
        <v>1666</v>
      </c>
      <c r="F1308" s="2" t="s">
        <v>296</v>
      </c>
      <c r="G1308" s="2" t="s">
        <v>62</v>
      </c>
      <c r="H1308" s="23">
        <v>50000</v>
      </c>
      <c r="I1308" s="2">
        <v>1</v>
      </c>
      <c r="J1308" s="31">
        <v>20</v>
      </c>
      <c r="K1308" s="7">
        <f t="shared" si="80"/>
        <v>50000</v>
      </c>
      <c r="L1308" s="7">
        <f t="shared" si="81"/>
        <v>10000</v>
      </c>
      <c r="M1308" s="7">
        <f t="shared" si="82"/>
        <v>40000</v>
      </c>
      <c r="N1308" s="23">
        <v>79000</v>
      </c>
      <c r="O1308" s="7">
        <f t="shared" si="83"/>
        <v>119000</v>
      </c>
      <c r="P1308" s="2" t="s">
        <v>35</v>
      </c>
      <c r="Q1308" t="str">
        <f>_xlfn.XLOOKUP(B1308,Status!$A$2:$A$1867,Status!$B$2:$B$1867)</f>
        <v>Returned</v>
      </c>
      <c r="R1308" s="2" t="s">
        <v>46</v>
      </c>
      <c r="S1308" s="8">
        <v>4</v>
      </c>
      <c r="T1308" s="2" t="s">
        <v>37</v>
      </c>
      <c r="U1308" s="31" t="str" cm="1">
        <f t="array" ref="U1308">_xlfn.IFS(L1308&lt;=5000,$Z$3,AND(L1308&gt;5000,L1308&lt;=15000),$Z$4,AND(L1308&gt;15000,L1308&lt;=30000),$Z$5,AND(L1308&gt;30000,L1308&lt;=50000),$Z$6,L1308&gt;50000,$Z$7)</f>
        <v>Rendah</v>
      </c>
      <c r="V1308" s="2"/>
    </row>
    <row r="1309" spans="1:22" ht="15.75" customHeight="1" x14ac:dyDescent="0.25">
      <c r="A1309" s="26"/>
      <c r="B1309" s="2" t="s">
        <v>1691</v>
      </c>
      <c r="C1309" s="32">
        <v>45795.204236111109</v>
      </c>
      <c r="D1309" s="53">
        <f>YEAR(Table1[[#This Row],[Order Date]])</f>
        <v>2025</v>
      </c>
      <c r="E1309" s="2" t="s">
        <v>1083</v>
      </c>
      <c r="F1309" s="2" t="s">
        <v>170</v>
      </c>
      <c r="G1309" s="2" t="s">
        <v>34</v>
      </c>
      <c r="H1309" s="23">
        <v>16000</v>
      </c>
      <c r="I1309" s="2">
        <v>2</v>
      </c>
      <c r="J1309" s="31">
        <v>15</v>
      </c>
      <c r="K1309" s="7">
        <f t="shared" si="80"/>
        <v>32000</v>
      </c>
      <c r="L1309" s="7">
        <f t="shared" si="81"/>
        <v>4800</v>
      </c>
      <c r="M1309" s="7">
        <f t="shared" si="82"/>
        <v>27200</v>
      </c>
      <c r="N1309" s="23">
        <v>46000</v>
      </c>
      <c r="O1309" s="7">
        <f t="shared" si="83"/>
        <v>73200</v>
      </c>
      <c r="P1309" s="2" t="s">
        <v>63</v>
      </c>
      <c r="Q1309" t="str">
        <f>_xlfn.XLOOKUP(B1309,Status!$A$2:$A$1867,Status!$B$2:$B$1867)</f>
        <v>Completed</v>
      </c>
      <c r="R1309" s="2" t="s">
        <v>46</v>
      </c>
      <c r="S1309" s="8">
        <v>3</v>
      </c>
      <c r="T1309" s="2" t="s">
        <v>24</v>
      </c>
      <c r="U1309" s="31" t="str" cm="1">
        <f t="array" ref="U1309">_xlfn.IFS(L1309&lt;=5000,$Z$3,AND(L1309&gt;5000,L1309&lt;=15000),$Z$4,AND(L1309&gt;15000,L1309&lt;=30000),$Z$5,AND(L1309&gt;30000,L1309&lt;=50000),$Z$6,L1309&gt;50000,$Z$7)</f>
        <v>Sangat Rendah</v>
      </c>
      <c r="V1309" s="2"/>
    </row>
    <row r="1310" spans="1:22" ht="15.75" customHeight="1" x14ac:dyDescent="0.25">
      <c r="A1310" s="26"/>
      <c r="B1310" s="2" t="s">
        <v>1692</v>
      </c>
      <c r="C1310" s="32">
        <v>45795.617013888892</v>
      </c>
      <c r="D1310" s="53">
        <f>YEAR(Table1[[#This Row],[Order Date]])</f>
        <v>2025</v>
      </c>
      <c r="E1310" s="2" t="s">
        <v>102</v>
      </c>
      <c r="F1310" s="2" t="s">
        <v>103</v>
      </c>
      <c r="G1310" s="2" t="s">
        <v>81</v>
      </c>
      <c r="H1310" s="23">
        <v>17000</v>
      </c>
      <c r="I1310" s="2">
        <v>2</v>
      </c>
      <c r="J1310" s="31">
        <v>5</v>
      </c>
      <c r="K1310" s="7">
        <f t="shared" si="80"/>
        <v>34000</v>
      </c>
      <c r="L1310" s="7">
        <f t="shared" si="81"/>
        <v>1700</v>
      </c>
      <c r="M1310" s="7">
        <f t="shared" si="82"/>
        <v>32300</v>
      </c>
      <c r="N1310" s="23">
        <v>85000</v>
      </c>
      <c r="O1310" s="7">
        <f t="shared" si="83"/>
        <v>117300</v>
      </c>
      <c r="P1310" s="2" t="s">
        <v>29</v>
      </c>
      <c r="Q1310" t="str">
        <f>_xlfn.XLOOKUP(B1310,Status!$A$2:$A$1867,Status!$B$2:$B$1867)</f>
        <v>Completed</v>
      </c>
      <c r="R1310" s="2" t="s">
        <v>30</v>
      </c>
      <c r="S1310" s="8">
        <v>3</v>
      </c>
      <c r="T1310" s="2" t="s">
        <v>24</v>
      </c>
      <c r="U1310" s="31" t="str" cm="1">
        <f t="array" ref="U1310">_xlfn.IFS(L1310&lt;=5000,$Z$3,AND(L1310&gt;5000,L1310&lt;=15000),$Z$4,AND(L1310&gt;15000,L1310&lt;=30000),$Z$5,AND(L1310&gt;30000,L1310&lt;=50000),$Z$6,L1310&gt;50000,$Z$7)</f>
        <v>Sangat Rendah</v>
      </c>
      <c r="V1310" s="2"/>
    </row>
    <row r="1311" spans="1:22" ht="15.75" customHeight="1" x14ac:dyDescent="0.25">
      <c r="A1311" s="26"/>
      <c r="B1311" s="2" t="s">
        <v>1693</v>
      </c>
      <c r="C1311" s="32">
        <v>45795.916666666657</v>
      </c>
      <c r="D1311" s="53">
        <f>YEAR(Table1[[#This Row],[Order Date]])</f>
        <v>2025</v>
      </c>
      <c r="E1311" s="2" t="s">
        <v>776</v>
      </c>
      <c r="F1311" s="2" t="s">
        <v>103</v>
      </c>
      <c r="G1311" s="2" t="s">
        <v>250</v>
      </c>
      <c r="H1311" s="23">
        <v>18000</v>
      </c>
      <c r="I1311" s="2">
        <v>3</v>
      </c>
      <c r="J1311" s="31">
        <v>5</v>
      </c>
      <c r="K1311" s="7">
        <f t="shared" si="80"/>
        <v>54000</v>
      </c>
      <c r="L1311" s="7">
        <f t="shared" si="81"/>
        <v>2700</v>
      </c>
      <c r="M1311" s="7">
        <f t="shared" si="82"/>
        <v>51300</v>
      </c>
      <c r="N1311" s="23">
        <v>85000</v>
      </c>
      <c r="O1311" s="7">
        <f t="shared" si="83"/>
        <v>136300</v>
      </c>
      <c r="P1311" s="2" t="s">
        <v>29</v>
      </c>
      <c r="Q1311" t="str">
        <f>_xlfn.XLOOKUP(B1311,Status!$A$2:$A$1867,Status!$B$2:$B$1867)</f>
        <v>Completed</v>
      </c>
      <c r="R1311" s="2" t="s">
        <v>30</v>
      </c>
      <c r="S1311" s="8">
        <v>5</v>
      </c>
      <c r="T1311" s="2" t="s">
        <v>24</v>
      </c>
      <c r="U1311" s="31" t="str" cm="1">
        <f t="array" ref="U1311">_xlfn.IFS(L1311&lt;=5000,$Z$3,AND(L1311&gt;5000,L1311&lt;=15000),$Z$4,AND(L1311&gt;15000,L1311&lt;=30000),$Z$5,AND(L1311&gt;30000,L1311&lt;=50000),$Z$6,L1311&gt;50000,$Z$7)</f>
        <v>Sangat Rendah</v>
      </c>
      <c r="V1311" s="2"/>
    </row>
    <row r="1312" spans="1:22" ht="15.75" customHeight="1" x14ac:dyDescent="0.25">
      <c r="A1312" s="26"/>
      <c r="B1312" s="2" t="s">
        <v>1694</v>
      </c>
      <c r="C1312" s="32">
        <v>45795.935960648138</v>
      </c>
      <c r="D1312" s="53">
        <f>YEAR(Table1[[#This Row],[Order Date]])</f>
        <v>2025</v>
      </c>
      <c r="E1312" s="2" t="s">
        <v>644</v>
      </c>
      <c r="F1312" s="2" t="s">
        <v>244</v>
      </c>
      <c r="G1312" s="2" t="s">
        <v>81</v>
      </c>
      <c r="H1312" s="23">
        <v>17000</v>
      </c>
      <c r="I1312" s="2">
        <v>4</v>
      </c>
      <c r="J1312" s="31">
        <v>15</v>
      </c>
      <c r="K1312" s="7">
        <f t="shared" si="80"/>
        <v>68000</v>
      </c>
      <c r="L1312" s="7">
        <f t="shared" si="81"/>
        <v>10200</v>
      </c>
      <c r="M1312" s="7">
        <f t="shared" si="82"/>
        <v>57800</v>
      </c>
      <c r="N1312" s="23">
        <v>80000</v>
      </c>
      <c r="O1312" s="7">
        <f t="shared" si="83"/>
        <v>137800</v>
      </c>
      <c r="P1312" s="2" t="s">
        <v>29</v>
      </c>
      <c r="Q1312" t="str">
        <f>_xlfn.XLOOKUP(B1312,Status!$A$2:$A$1867,Status!$B$2:$B$1867)</f>
        <v>Completed</v>
      </c>
      <c r="R1312" s="2" t="s">
        <v>23</v>
      </c>
      <c r="S1312" s="8">
        <v>4</v>
      </c>
      <c r="T1312" s="2" t="s">
        <v>24</v>
      </c>
      <c r="U1312" s="31" t="str" cm="1">
        <f t="array" ref="U1312">_xlfn.IFS(L1312&lt;=5000,$Z$3,AND(L1312&gt;5000,L1312&lt;=15000),$Z$4,AND(L1312&gt;15000,L1312&lt;=30000),$Z$5,AND(L1312&gt;30000,L1312&lt;=50000),$Z$6,L1312&gt;50000,$Z$7)</f>
        <v>Rendah</v>
      </c>
      <c r="V1312" s="2"/>
    </row>
    <row r="1313" spans="1:22" ht="15.75" customHeight="1" x14ac:dyDescent="0.25">
      <c r="A1313" s="26"/>
      <c r="B1313" s="2" t="s">
        <v>1695</v>
      </c>
      <c r="C1313" s="32">
        <v>45795.995428240742</v>
      </c>
      <c r="D1313" s="53">
        <f>YEAR(Table1[[#This Row],[Order Date]])</f>
        <v>2025</v>
      </c>
      <c r="E1313" s="2" t="s">
        <v>1022</v>
      </c>
      <c r="F1313" s="2" t="s">
        <v>177</v>
      </c>
      <c r="G1313" s="2" t="s">
        <v>75</v>
      </c>
      <c r="H1313" s="23">
        <v>55000</v>
      </c>
      <c r="I1313" s="2">
        <v>3</v>
      </c>
      <c r="J1313" s="31">
        <v>5</v>
      </c>
      <c r="K1313" s="7">
        <f t="shared" si="80"/>
        <v>165000</v>
      </c>
      <c r="L1313" s="7">
        <f t="shared" si="81"/>
        <v>8250</v>
      </c>
      <c r="M1313" s="7">
        <f t="shared" si="82"/>
        <v>156750</v>
      </c>
      <c r="N1313" s="23">
        <v>56000</v>
      </c>
      <c r="O1313" s="7">
        <f t="shared" si="83"/>
        <v>212750</v>
      </c>
      <c r="P1313" s="2" t="s">
        <v>22</v>
      </c>
      <c r="Q1313" t="str">
        <f>_xlfn.XLOOKUP(B1313,Status!$A$2:$A$1867,Status!$B$2:$B$1867)</f>
        <v>Completed</v>
      </c>
      <c r="R1313" s="2" t="s">
        <v>46</v>
      </c>
      <c r="S1313" s="8">
        <v>2</v>
      </c>
      <c r="T1313" s="2" t="s">
        <v>24</v>
      </c>
      <c r="U1313" s="31" t="str" cm="1">
        <f t="array" ref="U1313">_xlfn.IFS(L1313&lt;=5000,$Z$3,AND(L1313&gt;5000,L1313&lt;=15000),$Z$4,AND(L1313&gt;15000,L1313&lt;=30000),$Z$5,AND(L1313&gt;30000,L1313&lt;=50000),$Z$6,L1313&gt;50000,$Z$7)</f>
        <v>Rendah</v>
      </c>
      <c r="V1313" s="2"/>
    </row>
    <row r="1314" spans="1:22" ht="15.75" customHeight="1" x14ac:dyDescent="0.25">
      <c r="A1314" s="26"/>
      <c r="B1314" s="2" t="s">
        <v>1696</v>
      </c>
      <c r="C1314" s="32">
        <v>45796.087268518517</v>
      </c>
      <c r="D1314" s="53">
        <f>YEAR(Table1[[#This Row],[Order Date]])</f>
        <v>2025</v>
      </c>
      <c r="E1314" s="2" t="s">
        <v>40</v>
      </c>
      <c r="F1314" s="2" t="s">
        <v>27</v>
      </c>
      <c r="G1314" s="2" t="s">
        <v>50</v>
      </c>
      <c r="H1314" s="23">
        <v>14000</v>
      </c>
      <c r="I1314" s="2">
        <v>2</v>
      </c>
      <c r="J1314" s="31">
        <v>20</v>
      </c>
      <c r="K1314" s="7">
        <f t="shared" si="80"/>
        <v>28000</v>
      </c>
      <c r="L1314" s="7">
        <f t="shared" si="81"/>
        <v>5600</v>
      </c>
      <c r="M1314" s="7">
        <f t="shared" si="82"/>
        <v>22400</v>
      </c>
      <c r="N1314" s="23">
        <v>17000</v>
      </c>
      <c r="O1314" s="7">
        <f t="shared" si="83"/>
        <v>39400</v>
      </c>
      <c r="P1314" s="2" t="s">
        <v>22</v>
      </c>
      <c r="Q1314" t="str">
        <f>_xlfn.XLOOKUP(B1314,Status!$A$2:$A$1867,Status!$B$2:$B$1867)</f>
        <v>Completed</v>
      </c>
      <c r="R1314" s="2" t="s">
        <v>82</v>
      </c>
      <c r="S1314" s="8">
        <v>3</v>
      </c>
      <c r="T1314" s="2" t="s">
        <v>24</v>
      </c>
      <c r="U1314" s="31" t="str" cm="1">
        <f t="array" ref="U1314">_xlfn.IFS(L1314&lt;=5000,$Z$3,AND(L1314&gt;5000,L1314&lt;=15000),$Z$4,AND(L1314&gt;15000,L1314&lt;=30000),$Z$5,AND(L1314&gt;30000,L1314&lt;=50000),$Z$6,L1314&gt;50000,$Z$7)</f>
        <v>Rendah</v>
      </c>
      <c r="V1314" s="2"/>
    </row>
    <row r="1315" spans="1:22" ht="15.75" customHeight="1" x14ac:dyDescent="0.25">
      <c r="A1315" s="26"/>
      <c r="B1315" s="2" t="s">
        <v>1697</v>
      </c>
      <c r="C1315" s="32">
        <v>45796.263101851851</v>
      </c>
      <c r="D1315" s="53">
        <f>YEAR(Table1[[#This Row],[Order Date]])</f>
        <v>2025</v>
      </c>
      <c r="E1315" s="2" t="s">
        <v>983</v>
      </c>
      <c r="F1315" s="2" t="s">
        <v>262</v>
      </c>
      <c r="G1315" s="2" t="s">
        <v>45</v>
      </c>
      <c r="H1315" s="23">
        <v>40000</v>
      </c>
      <c r="I1315" s="2">
        <v>2</v>
      </c>
      <c r="J1315" s="31">
        <v>5</v>
      </c>
      <c r="K1315" s="7">
        <f t="shared" si="80"/>
        <v>80000</v>
      </c>
      <c r="L1315" s="7">
        <f t="shared" si="81"/>
        <v>4000</v>
      </c>
      <c r="M1315" s="7">
        <f t="shared" si="82"/>
        <v>76000</v>
      </c>
      <c r="N1315" s="23">
        <v>18000</v>
      </c>
      <c r="O1315" s="7">
        <f t="shared" si="83"/>
        <v>94000</v>
      </c>
      <c r="P1315" s="2" t="s">
        <v>63</v>
      </c>
      <c r="Q1315" t="str">
        <f>_xlfn.XLOOKUP(B1315,Status!$A$2:$A$1867,Status!$B$2:$B$1867)</f>
        <v>Returned</v>
      </c>
      <c r="R1315" s="2" t="s">
        <v>82</v>
      </c>
      <c r="S1315" s="8">
        <v>5</v>
      </c>
      <c r="T1315" s="2" t="s">
        <v>37</v>
      </c>
      <c r="U1315" s="31" t="str" cm="1">
        <f t="array" ref="U1315">_xlfn.IFS(L1315&lt;=5000,$Z$3,AND(L1315&gt;5000,L1315&lt;=15000),$Z$4,AND(L1315&gt;15000,L1315&lt;=30000),$Z$5,AND(L1315&gt;30000,L1315&lt;=50000),$Z$6,L1315&gt;50000,$Z$7)</f>
        <v>Sangat Rendah</v>
      </c>
      <c r="V1315" s="2"/>
    </row>
    <row r="1316" spans="1:22" ht="15.75" customHeight="1" x14ac:dyDescent="0.25">
      <c r="A1316" s="26"/>
      <c r="B1316" s="2" t="s">
        <v>1698</v>
      </c>
      <c r="C1316" s="32">
        <v>45796.744629629633</v>
      </c>
      <c r="D1316" s="53">
        <f>YEAR(Table1[[#This Row],[Order Date]])</f>
        <v>2025</v>
      </c>
      <c r="E1316" s="2" t="s">
        <v>344</v>
      </c>
      <c r="F1316" s="2" t="s">
        <v>195</v>
      </c>
      <c r="G1316" s="2" t="s">
        <v>45</v>
      </c>
      <c r="H1316" s="23">
        <v>40000</v>
      </c>
      <c r="I1316" s="2">
        <v>1</v>
      </c>
      <c r="J1316" s="31">
        <v>0</v>
      </c>
      <c r="K1316" s="7">
        <f t="shared" si="80"/>
        <v>40000</v>
      </c>
      <c r="L1316" s="7">
        <f t="shared" si="81"/>
        <v>0</v>
      </c>
      <c r="M1316" s="7">
        <f t="shared" si="82"/>
        <v>40000</v>
      </c>
      <c r="N1316" s="23">
        <v>87000</v>
      </c>
      <c r="O1316" s="7">
        <f t="shared" si="83"/>
        <v>127000</v>
      </c>
      <c r="P1316" s="2" t="s">
        <v>22</v>
      </c>
      <c r="Q1316" t="str">
        <f>_xlfn.XLOOKUP(B1316,Status!$A$2:$A$1867,Status!$B$2:$B$1867)</f>
        <v>Completed</v>
      </c>
      <c r="R1316" s="2" t="s">
        <v>82</v>
      </c>
      <c r="S1316" s="8">
        <v>2</v>
      </c>
      <c r="T1316" s="2" t="s">
        <v>24</v>
      </c>
      <c r="U1316" s="31" t="str" cm="1">
        <f t="array" ref="U1316">_xlfn.IFS(L1316&lt;=5000,$Z$3,AND(L1316&gt;5000,L1316&lt;=15000),$Z$4,AND(L1316&gt;15000,L1316&lt;=30000),$Z$5,AND(L1316&gt;30000,L1316&lt;=50000),$Z$6,L1316&gt;50000,$Z$7)</f>
        <v>Sangat Rendah</v>
      </c>
      <c r="V1316" s="2"/>
    </row>
    <row r="1317" spans="1:22" ht="15.75" customHeight="1" x14ac:dyDescent="0.25">
      <c r="A1317" s="26"/>
      <c r="B1317" s="2" t="s">
        <v>1699</v>
      </c>
      <c r="C1317" s="32">
        <v>45797.032719907409</v>
      </c>
      <c r="D1317" s="53">
        <f>YEAR(Table1[[#This Row],[Order Date]])</f>
        <v>2025</v>
      </c>
      <c r="E1317" s="2" t="s">
        <v>148</v>
      </c>
      <c r="F1317" s="2" t="s">
        <v>74</v>
      </c>
      <c r="G1317" s="2" t="s">
        <v>41</v>
      </c>
      <c r="H1317" s="23">
        <v>4000</v>
      </c>
      <c r="I1317" s="2">
        <v>3</v>
      </c>
      <c r="J1317" s="31">
        <v>10</v>
      </c>
      <c r="K1317" s="7">
        <f t="shared" si="80"/>
        <v>12000</v>
      </c>
      <c r="L1317" s="7">
        <f t="shared" si="81"/>
        <v>1200</v>
      </c>
      <c r="M1317" s="7">
        <f t="shared" si="82"/>
        <v>10800</v>
      </c>
      <c r="N1317" s="23">
        <v>87000</v>
      </c>
      <c r="O1317" s="7">
        <f t="shared" si="83"/>
        <v>97800</v>
      </c>
      <c r="P1317" s="2" t="s">
        <v>29</v>
      </c>
      <c r="Q1317" t="str">
        <f>_xlfn.XLOOKUP(B1317,Status!$A$2:$A$1867,Status!$B$2:$B$1867)</f>
        <v>Returned</v>
      </c>
      <c r="R1317" s="2" t="s">
        <v>46</v>
      </c>
      <c r="S1317" s="8">
        <v>5</v>
      </c>
      <c r="T1317" s="2" t="s">
        <v>24</v>
      </c>
      <c r="U1317" s="31" t="str" cm="1">
        <f t="array" ref="U1317">_xlfn.IFS(L1317&lt;=5000,$Z$3,AND(L1317&gt;5000,L1317&lt;=15000),$Z$4,AND(L1317&gt;15000,L1317&lt;=30000),$Z$5,AND(L1317&gt;30000,L1317&lt;=50000),$Z$6,L1317&gt;50000,$Z$7)</f>
        <v>Sangat Rendah</v>
      </c>
      <c r="V1317" s="2"/>
    </row>
    <row r="1318" spans="1:22" ht="15.75" customHeight="1" x14ac:dyDescent="0.25">
      <c r="A1318" s="26"/>
      <c r="B1318" s="2" t="s">
        <v>1700</v>
      </c>
      <c r="C1318" s="32">
        <v>45797.425219907411</v>
      </c>
      <c r="D1318" s="53">
        <f>YEAR(Table1[[#This Row],[Order Date]])</f>
        <v>2025</v>
      </c>
      <c r="E1318" s="2" t="s">
        <v>499</v>
      </c>
      <c r="F1318" s="2" t="s">
        <v>131</v>
      </c>
      <c r="G1318" s="2" t="s">
        <v>174</v>
      </c>
      <c r="H1318" s="23">
        <v>10000</v>
      </c>
      <c r="I1318" s="2">
        <v>3</v>
      </c>
      <c r="J1318" s="31">
        <v>0</v>
      </c>
      <c r="K1318" s="7">
        <f t="shared" si="80"/>
        <v>30000</v>
      </c>
      <c r="L1318" s="7">
        <f t="shared" si="81"/>
        <v>0</v>
      </c>
      <c r="M1318" s="7">
        <f t="shared" si="82"/>
        <v>30000</v>
      </c>
      <c r="N1318" s="23">
        <v>59000</v>
      </c>
      <c r="O1318" s="7">
        <f t="shared" si="83"/>
        <v>89000</v>
      </c>
      <c r="P1318" s="2" t="s">
        <v>35</v>
      </c>
      <c r="Q1318" t="str">
        <f>_xlfn.XLOOKUP(B1318,Status!$A$2:$A$1867,Status!$B$2:$B$1867)</f>
        <v>Completed</v>
      </c>
      <c r="R1318" s="2" t="s">
        <v>46</v>
      </c>
      <c r="S1318" s="8">
        <v>3</v>
      </c>
      <c r="T1318" s="2" t="s">
        <v>24</v>
      </c>
      <c r="U1318" s="31" t="str" cm="1">
        <f t="array" ref="U1318">_xlfn.IFS(L1318&lt;=5000,$Z$3,AND(L1318&gt;5000,L1318&lt;=15000),$Z$4,AND(L1318&gt;15000,L1318&lt;=30000),$Z$5,AND(L1318&gt;30000,L1318&lt;=50000),$Z$6,L1318&gt;50000,$Z$7)</f>
        <v>Sangat Rendah</v>
      </c>
      <c r="V1318" s="2"/>
    </row>
    <row r="1319" spans="1:22" ht="15.75" customHeight="1" x14ac:dyDescent="0.25">
      <c r="A1319" s="26"/>
      <c r="B1319" s="2" t="s">
        <v>1701</v>
      </c>
      <c r="C1319" s="32">
        <v>45797.735833333332</v>
      </c>
      <c r="D1319" s="53">
        <f>YEAR(Table1[[#This Row],[Order Date]])</f>
        <v>2025</v>
      </c>
      <c r="E1319" s="2" t="s">
        <v>118</v>
      </c>
      <c r="F1319" s="2" t="s">
        <v>119</v>
      </c>
      <c r="G1319" s="2" t="s">
        <v>190</v>
      </c>
      <c r="H1319" s="23">
        <v>35000</v>
      </c>
      <c r="I1319" s="2">
        <v>2</v>
      </c>
      <c r="J1319" s="31">
        <v>20</v>
      </c>
      <c r="K1319" s="7">
        <f t="shared" si="80"/>
        <v>70000</v>
      </c>
      <c r="L1319" s="7">
        <f t="shared" si="81"/>
        <v>14000</v>
      </c>
      <c r="M1319" s="7">
        <f t="shared" si="82"/>
        <v>56000</v>
      </c>
      <c r="N1319" s="23">
        <v>0</v>
      </c>
      <c r="O1319" s="7">
        <f t="shared" si="83"/>
        <v>56000</v>
      </c>
      <c r="P1319" s="2" t="s">
        <v>35</v>
      </c>
      <c r="Q1319" t="str">
        <f>_xlfn.XLOOKUP(B1319,Status!$A$2:$A$1867,Status!$B$2:$B$1867)</f>
        <v>Returned</v>
      </c>
      <c r="R1319" s="2" t="s">
        <v>30</v>
      </c>
      <c r="S1319" s="8">
        <v>4</v>
      </c>
      <c r="T1319" s="2" t="s">
        <v>24</v>
      </c>
      <c r="U1319" s="31" t="str" cm="1">
        <f t="array" ref="U1319">_xlfn.IFS(L1319&lt;=5000,$Z$3,AND(L1319&gt;5000,L1319&lt;=15000),$Z$4,AND(L1319&gt;15000,L1319&lt;=30000),$Z$5,AND(L1319&gt;30000,L1319&lt;=50000),$Z$6,L1319&gt;50000,$Z$7)</f>
        <v>Rendah</v>
      </c>
      <c r="V1319" s="2"/>
    </row>
    <row r="1320" spans="1:22" ht="15.75" customHeight="1" x14ac:dyDescent="0.25">
      <c r="A1320" s="26"/>
      <c r="B1320" s="2" t="s">
        <v>1702</v>
      </c>
      <c r="C1320" s="32">
        <v>45797.861261574071</v>
      </c>
      <c r="D1320" s="53">
        <f>YEAR(Table1[[#This Row],[Order Date]])</f>
        <v>2025</v>
      </c>
      <c r="E1320" s="2" t="s">
        <v>453</v>
      </c>
      <c r="F1320" s="2" t="s">
        <v>27</v>
      </c>
      <c r="G1320" s="2" t="s">
        <v>71</v>
      </c>
      <c r="H1320" s="23">
        <v>40000</v>
      </c>
      <c r="I1320" s="2">
        <v>1</v>
      </c>
      <c r="J1320" s="31">
        <v>15</v>
      </c>
      <c r="K1320" s="7">
        <f t="shared" si="80"/>
        <v>40000</v>
      </c>
      <c r="L1320" s="7">
        <f t="shared" si="81"/>
        <v>6000</v>
      </c>
      <c r="M1320" s="7">
        <f t="shared" si="82"/>
        <v>34000</v>
      </c>
      <c r="N1320" s="23">
        <v>17000</v>
      </c>
      <c r="O1320" s="7">
        <f t="shared" si="83"/>
        <v>51000</v>
      </c>
      <c r="P1320" s="2" t="s">
        <v>63</v>
      </c>
      <c r="Q1320" t="str">
        <f>_xlfn.XLOOKUP(B1320,Status!$A$2:$A$1867,Status!$B$2:$B$1867)</f>
        <v>Completed</v>
      </c>
      <c r="R1320" s="2" t="s">
        <v>30</v>
      </c>
      <c r="S1320" s="8">
        <v>4</v>
      </c>
      <c r="T1320" s="2" t="s">
        <v>37</v>
      </c>
      <c r="U1320" s="31" t="str" cm="1">
        <f t="array" ref="U1320">_xlfn.IFS(L1320&lt;=5000,$Z$3,AND(L1320&gt;5000,L1320&lt;=15000),$Z$4,AND(L1320&gt;15000,L1320&lt;=30000),$Z$5,AND(L1320&gt;30000,L1320&lt;=50000),$Z$6,L1320&gt;50000,$Z$7)</f>
        <v>Rendah</v>
      </c>
      <c r="V1320" s="2"/>
    </row>
    <row r="1321" spans="1:22" ht="15.75" customHeight="1" x14ac:dyDescent="0.25">
      <c r="A1321" s="26"/>
      <c r="B1321" s="2" t="s">
        <v>1703</v>
      </c>
      <c r="C1321" s="32">
        <v>45797.981851851851</v>
      </c>
      <c r="D1321" s="53">
        <f>YEAR(Table1[[#This Row],[Order Date]])</f>
        <v>2025</v>
      </c>
      <c r="E1321" s="2" t="s">
        <v>1620</v>
      </c>
      <c r="F1321" s="2" t="s">
        <v>92</v>
      </c>
      <c r="G1321" s="2" t="s">
        <v>138</v>
      </c>
      <c r="H1321" s="23">
        <v>17000</v>
      </c>
      <c r="I1321" s="2">
        <v>3</v>
      </c>
      <c r="J1321" s="31">
        <v>15</v>
      </c>
      <c r="K1321" s="7">
        <f t="shared" si="80"/>
        <v>51000</v>
      </c>
      <c r="L1321" s="7">
        <f t="shared" si="81"/>
        <v>7650</v>
      </c>
      <c r="M1321" s="7">
        <f t="shared" si="82"/>
        <v>43350</v>
      </c>
      <c r="N1321" s="23">
        <v>30000</v>
      </c>
      <c r="O1321" s="7">
        <f t="shared" si="83"/>
        <v>73350</v>
      </c>
      <c r="P1321" s="2" t="s">
        <v>35</v>
      </c>
      <c r="Q1321" t="str">
        <f>_xlfn.XLOOKUP(B1321,Status!$A$2:$A$1867,Status!$B$2:$B$1867)</f>
        <v>Completed</v>
      </c>
      <c r="R1321" s="2" t="s">
        <v>23</v>
      </c>
      <c r="S1321" s="8">
        <v>1</v>
      </c>
      <c r="T1321" s="2" t="s">
        <v>24</v>
      </c>
      <c r="U1321" s="31" t="str" cm="1">
        <f t="array" ref="U1321">_xlfn.IFS(L1321&lt;=5000,$Z$3,AND(L1321&gt;5000,L1321&lt;=15000),$Z$4,AND(L1321&gt;15000,L1321&lt;=30000),$Z$5,AND(L1321&gt;30000,L1321&lt;=50000),$Z$6,L1321&gt;50000,$Z$7)</f>
        <v>Rendah</v>
      </c>
      <c r="V1321" s="2"/>
    </row>
    <row r="1322" spans="1:22" ht="15.75" customHeight="1" x14ac:dyDescent="0.25">
      <c r="A1322" s="26"/>
      <c r="B1322" s="2" t="s">
        <v>1704</v>
      </c>
      <c r="C1322" s="32">
        <v>45798.410138888888</v>
      </c>
      <c r="D1322" s="53">
        <f>YEAR(Table1[[#This Row],[Order Date]])</f>
        <v>2025</v>
      </c>
      <c r="E1322" s="2" t="s">
        <v>311</v>
      </c>
      <c r="F1322" s="2" t="s">
        <v>116</v>
      </c>
      <c r="G1322" s="2" t="s">
        <v>58</v>
      </c>
      <c r="H1322" s="23">
        <v>16000</v>
      </c>
      <c r="I1322" s="2">
        <v>3</v>
      </c>
      <c r="J1322" s="31">
        <v>20</v>
      </c>
      <c r="K1322" s="7">
        <f t="shared" si="80"/>
        <v>48000</v>
      </c>
      <c r="L1322" s="7">
        <f t="shared" si="81"/>
        <v>9600</v>
      </c>
      <c r="M1322" s="7">
        <f t="shared" si="82"/>
        <v>38400</v>
      </c>
      <c r="N1322" s="23">
        <v>72000</v>
      </c>
      <c r="O1322" s="7">
        <f t="shared" si="83"/>
        <v>110400</v>
      </c>
      <c r="P1322" s="2" t="s">
        <v>29</v>
      </c>
      <c r="Q1322" t="str">
        <f>_xlfn.XLOOKUP(B1322,Status!$A$2:$A$1867,Status!$B$2:$B$1867)</f>
        <v>Returned</v>
      </c>
      <c r="R1322" s="2" t="s">
        <v>30</v>
      </c>
      <c r="S1322" s="8">
        <v>1</v>
      </c>
      <c r="T1322" s="2" t="s">
        <v>24</v>
      </c>
      <c r="U1322" s="31" t="str" cm="1">
        <f t="array" ref="U1322">_xlfn.IFS(L1322&lt;=5000,$Z$3,AND(L1322&gt;5000,L1322&lt;=15000),$Z$4,AND(L1322&gt;15000,L1322&lt;=30000),$Z$5,AND(L1322&gt;30000,L1322&lt;=50000),$Z$6,L1322&gt;50000,$Z$7)</f>
        <v>Rendah</v>
      </c>
      <c r="V1322" s="2"/>
    </row>
    <row r="1323" spans="1:22" ht="15.75" customHeight="1" x14ac:dyDescent="0.25">
      <c r="A1323" s="26"/>
      <c r="B1323" s="2" t="s">
        <v>1705</v>
      </c>
      <c r="C1323" s="32">
        <v>45798.515902777777</v>
      </c>
      <c r="D1323" s="53">
        <f>YEAR(Table1[[#This Row],[Order Date]])</f>
        <v>2025</v>
      </c>
      <c r="E1323" s="2" t="s">
        <v>527</v>
      </c>
      <c r="F1323" s="2" t="s">
        <v>173</v>
      </c>
      <c r="G1323" s="2" t="s">
        <v>136</v>
      </c>
      <c r="H1323" s="23">
        <v>12000</v>
      </c>
      <c r="I1323" s="2">
        <v>4</v>
      </c>
      <c r="J1323" s="31">
        <v>0</v>
      </c>
      <c r="K1323" s="7">
        <f t="shared" si="80"/>
        <v>48000</v>
      </c>
      <c r="L1323" s="7">
        <f t="shared" si="81"/>
        <v>0</v>
      </c>
      <c r="M1323" s="7">
        <f t="shared" si="82"/>
        <v>48000</v>
      </c>
      <c r="N1323" s="23">
        <v>49000</v>
      </c>
      <c r="O1323" s="7">
        <f t="shared" si="83"/>
        <v>97000</v>
      </c>
      <c r="P1323" s="2" t="s">
        <v>29</v>
      </c>
      <c r="Q1323" t="str">
        <f>_xlfn.XLOOKUP(B1323,Status!$A$2:$A$1867,Status!$B$2:$B$1867)</f>
        <v>Completed</v>
      </c>
      <c r="R1323" s="2" t="s">
        <v>30</v>
      </c>
      <c r="S1323" s="8">
        <v>5</v>
      </c>
      <c r="T1323" s="2" t="s">
        <v>24</v>
      </c>
      <c r="U1323" s="31" t="str" cm="1">
        <f t="array" ref="U1323">_xlfn.IFS(L1323&lt;=5000,$Z$3,AND(L1323&gt;5000,L1323&lt;=15000),$Z$4,AND(L1323&gt;15000,L1323&lt;=30000),$Z$5,AND(L1323&gt;30000,L1323&lt;=50000),$Z$6,L1323&gt;50000,$Z$7)</f>
        <v>Sangat Rendah</v>
      </c>
      <c r="V1323" s="2"/>
    </row>
    <row r="1324" spans="1:22" ht="15.75" customHeight="1" x14ac:dyDescent="0.25">
      <c r="A1324" s="26"/>
      <c r="B1324" s="2" t="s">
        <v>1706</v>
      </c>
      <c r="C1324" s="32">
        <v>45798.735196759262</v>
      </c>
      <c r="D1324" s="53">
        <f>YEAR(Table1[[#This Row],[Order Date]])</f>
        <v>2025</v>
      </c>
      <c r="E1324" s="2" t="s">
        <v>1523</v>
      </c>
      <c r="F1324" s="2" t="s">
        <v>96</v>
      </c>
      <c r="G1324" s="2" t="s">
        <v>93</v>
      </c>
      <c r="H1324" s="23">
        <v>25000</v>
      </c>
      <c r="I1324" s="2">
        <v>1</v>
      </c>
      <c r="J1324" s="31">
        <v>10</v>
      </c>
      <c r="K1324" s="7">
        <f t="shared" si="80"/>
        <v>25000</v>
      </c>
      <c r="L1324" s="7">
        <f t="shared" si="81"/>
        <v>2500</v>
      </c>
      <c r="M1324" s="7">
        <f t="shared" si="82"/>
        <v>22500</v>
      </c>
      <c r="N1324" s="23">
        <v>49000</v>
      </c>
      <c r="O1324" s="7">
        <f t="shared" si="83"/>
        <v>71500</v>
      </c>
      <c r="P1324" s="2" t="s">
        <v>35</v>
      </c>
      <c r="Q1324" t="str">
        <f>_xlfn.XLOOKUP(B1324,Status!$A$2:$A$1867,Status!$B$2:$B$1867)</f>
        <v>Returned</v>
      </c>
      <c r="R1324" s="2" t="s">
        <v>30</v>
      </c>
      <c r="S1324" s="8">
        <v>1</v>
      </c>
      <c r="T1324" s="2" t="s">
        <v>24</v>
      </c>
      <c r="U1324" s="31" t="str" cm="1">
        <f t="array" ref="U1324">_xlfn.IFS(L1324&lt;=5000,$Z$3,AND(L1324&gt;5000,L1324&lt;=15000),$Z$4,AND(L1324&gt;15000,L1324&lt;=30000),$Z$5,AND(L1324&gt;30000,L1324&lt;=50000),$Z$6,L1324&gt;50000,$Z$7)</f>
        <v>Sangat Rendah</v>
      </c>
      <c r="V1324" s="2"/>
    </row>
    <row r="1325" spans="1:22" ht="15.75" customHeight="1" x14ac:dyDescent="0.25">
      <c r="A1325" s="26"/>
      <c r="B1325" s="2" t="s">
        <v>1707</v>
      </c>
      <c r="C1325" s="32">
        <v>45799.302233796298</v>
      </c>
      <c r="D1325" s="53">
        <f>YEAR(Table1[[#This Row],[Order Date]])</f>
        <v>2025</v>
      </c>
      <c r="E1325" s="2" t="s">
        <v>483</v>
      </c>
      <c r="F1325" s="2" t="s">
        <v>170</v>
      </c>
      <c r="G1325" s="2" t="s">
        <v>138</v>
      </c>
      <c r="H1325" s="23">
        <v>17000</v>
      </c>
      <c r="I1325" s="2">
        <v>4</v>
      </c>
      <c r="J1325" s="31">
        <v>5</v>
      </c>
      <c r="K1325" s="7">
        <f t="shared" si="80"/>
        <v>68000</v>
      </c>
      <c r="L1325" s="7">
        <f t="shared" si="81"/>
        <v>3400</v>
      </c>
      <c r="M1325" s="7">
        <f t="shared" si="82"/>
        <v>64600</v>
      </c>
      <c r="N1325" s="23">
        <v>46000</v>
      </c>
      <c r="O1325" s="7">
        <f t="shared" si="83"/>
        <v>110600</v>
      </c>
      <c r="P1325" s="2" t="s">
        <v>35</v>
      </c>
      <c r="Q1325" t="str">
        <f>_xlfn.XLOOKUP(B1325,Status!$A$2:$A$1867,Status!$B$2:$B$1867)</f>
        <v>Completed</v>
      </c>
      <c r="R1325" s="2" t="s">
        <v>23</v>
      </c>
      <c r="S1325" s="8">
        <v>2</v>
      </c>
      <c r="T1325" s="2" t="s">
        <v>24</v>
      </c>
      <c r="U1325" s="31" t="str" cm="1">
        <f t="array" ref="U1325">_xlfn.IFS(L1325&lt;=5000,$Z$3,AND(L1325&gt;5000,L1325&lt;=15000),$Z$4,AND(L1325&gt;15000,L1325&lt;=30000),$Z$5,AND(L1325&gt;30000,L1325&lt;=50000),$Z$6,L1325&gt;50000,$Z$7)</f>
        <v>Sangat Rendah</v>
      </c>
      <c r="V1325" s="2"/>
    </row>
    <row r="1326" spans="1:22" ht="15.75" customHeight="1" x14ac:dyDescent="0.25">
      <c r="A1326" s="26"/>
      <c r="B1326" s="2" t="s">
        <v>1708</v>
      </c>
      <c r="C1326" s="32">
        <v>45799.39261574074</v>
      </c>
      <c r="D1326" s="53">
        <f>YEAR(Table1[[#This Row],[Order Date]])</f>
        <v>2025</v>
      </c>
      <c r="E1326" s="2" t="s">
        <v>598</v>
      </c>
      <c r="F1326" s="2" t="s">
        <v>61</v>
      </c>
      <c r="G1326" s="2" t="s">
        <v>190</v>
      </c>
      <c r="H1326" s="23">
        <v>35000</v>
      </c>
      <c r="I1326" s="2">
        <v>4</v>
      </c>
      <c r="J1326" s="31">
        <v>10</v>
      </c>
      <c r="K1326" s="7">
        <f t="shared" si="80"/>
        <v>140000</v>
      </c>
      <c r="L1326" s="7">
        <f t="shared" si="81"/>
        <v>14000</v>
      </c>
      <c r="M1326" s="7">
        <f t="shared" si="82"/>
        <v>126000</v>
      </c>
      <c r="N1326" s="23">
        <v>26000</v>
      </c>
      <c r="O1326" s="7">
        <f t="shared" si="83"/>
        <v>152000</v>
      </c>
      <c r="P1326" s="2" t="s">
        <v>35</v>
      </c>
      <c r="Q1326" t="str">
        <f>_xlfn.XLOOKUP(B1326,Status!$A$2:$A$1867,Status!$B$2:$B$1867)</f>
        <v>Cancelled</v>
      </c>
      <c r="R1326" s="2" t="s">
        <v>46</v>
      </c>
      <c r="S1326" s="8">
        <v>4</v>
      </c>
      <c r="T1326" s="2" t="s">
        <v>24</v>
      </c>
      <c r="U1326" s="31" t="str" cm="1">
        <f t="array" ref="U1326">_xlfn.IFS(L1326&lt;=5000,$Z$3,AND(L1326&gt;5000,L1326&lt;=15000),$Z$4,AND(L1326&gt;15000,L1326&lt;=30000),$Z$5,AND(L1326&gt;30000,L1326&lt;=50000),$Z$6,L1326&gt;50000,$Z$7)</f>
        <v>Rendah</v>
      </c>
      <c r="V1326" s="2"/>
    </row>
    <row r="1327" spans="1:22" ht="15.75" customHeight="1" x14ac:dyDescent="0.25">
      <c r="A1327" s="26"/>
      <c r="B1327" s="2" t="s">
        <v>1709</v>
      </c>
      <c r="C1327" s="32">
        <v>45799.662685185183</v>
      </c>
      <c r="D1327" s="53">
        <f>YEAR(Table1[[#This Row],[Order Date]])</f>
        <v>2025</v>
      </c>
      <c r="E1327" s="2" t="s">
        <v>1087</v>
      </c>
      <c r="F1327" s="2" t="s">
        <v>143</v>
      </c>
      <c r="G1327" s="2" t="s">
        <v>50</v>
      </c>
      <c r="H1327" s="23">
        <v>14000</v>
      </c>
      <c r="I1327" s="2">
        <v>5</v>
      </c>
      <c r="J1327" s="31">
        <v>5</v>
      </c>
      <c r="K1327" s="7">
        <f t="shared" si="80"/>
        <v>70000</v>
      </c>
      <c r="L1327" s="7">
        <f t="shared" si="81"/>
        <v>3500</v>
      </c>
      <c r="M1327" s="7">
        <f t="shared" si="82"/>
        <v>66500</v>
      </c>
      <c r="N1327" s="23">
        <v>50000</v>
      </c>
      <c r="O1327" s="7">
        <f t="shared" si="83"/>
        <v>116500</v>
      </c>
      <c r="P1327" s="2" t="s">
        <v>29</v>
      </c>
      <c r="Q1327" t="str">
        <f>_xlfn.XLOOKUP(B1327,Status!$A$2:$A$1867,Status!$B$2:$B$1867)</f>
        <v>Completed</v>
      </c>
      <c r="R1327" s="2" t="s">
        <v>36</v>
      </c>
      <c r="S1327" s="8">
        <v>1</v>
      </c>
      <c r="T1327" s="2" t="s">
        <v>24</v>
      </c>
      <c r="U1327" s="31" t="str" cm="1">
        <f t="array" ref="U1327">_xlfn.IFS(L1327&lt;=5000,$Z$3,AND(L1327&gt;5000,L1327&lt;=15000),$Z$4,AND(L1327&gt;15000,L1327&lt;=30000),$Z$5,AND(L1327&gt;30000,L1327&lt;=50000),$Z$6,L1327&gt;50000,$Z$7)</f>
        <v>Sangat Rendah</v>
      </c>
      <c r="V1327" s="2"/>
    </row>
    <row r="1328" spans="1:22" ht="15.75" customHeight="1" x14ac:dyDescent="0.25">
      <c r="A1328" s="26"/>
      <c r="B1328" s="2" t="s">
        <v>1710</v>
      </c>
      <c r="C1328" s="32">
        <v>45799.76903935185</v>
      </c>
      <c r="D1328" s="53">
        <f>YEAR(Table1[[#This Row],[Order Date]])</f>
        <v>2025</v>
      </c>
      <c r="E1328" s="2" t="s">
        <v>1366</v>
      </c>
      <c r="F1328" s="2" t="s">
        <v>126</v>
      </c>
      <c r="G1328" s="2" t="s">
        <v>28</v>
      </c>
      <c r="H1328" s="23">
        <v>5000</v>
      </c>
      <c r="I1328" s="2">
        <v>4</v>
      </c>
      <c r="J1328" s="31">
        <v>5</v>
      </c>
      <c r="K1328" s="7">
        <f t="shared" si="80"/>
        <v>20000</v>
      </c>
      <c r="L1328" s="7">
        <f t="shared" si="81"/>
        <v>1000</v>
      </c>
      <c r="M1328" s="7">
        <f t="shared" si="82"/>
        <v>19000</v>
      </c>
      <c r="N1328" s="23">
        <v>84000</v>
      </c>
      <c r="O1328" s="7">
        <f t="shared" si="83"/>
        <v>103000</v>
      </c>
      <c r="P1328" s="2" t="s">
        <v>22</v>
      </c>
      <c r="Q1328" t="str">
        <f>_xlfn.XLOOKUP(B1328,Status!$A$2:$A$1867,Status!$B$2:$B$1867)</f>
        <v>Completed</v>
      </c>
      <c r="R1328" s="2" t="s">
        <v>36</v>
      </c>
      <c r="S1328" s="8">
        <v>4</v>
      </c>
      <c r="T1328" s="2" t="s">
        <v>24</v>
      </c>
      <c r="U1328" s="31" t="str" cm="1">
        <f t="array" ref="U1328">_xlfn.IFS(L1328&lt;=5000,$Z$3,AND(L1328&gt;5000,L1328&lt;=15000),$Z$4,AND(L1328&gt;15000,L1328&lt;=30000),$Z$5,AND(L1328&gt;30000,L1328&lt;=50000),$Z$6,L1328&gt;50000,$Z$7)</f>
        <v>Sangat Rendah</v>
      </c>
      <c r="V1328" s="2"/>
    </row>
    <row r="1329" spans="1:22" ht="15.75" customHeight="1" x14ac:dyDescent="0.25">
      <c r="A1329" s="26"/>
      <c r="B1329" s="2" t="s">
        <v>1711</v>
      </c>
      <c r="C1329" s="32">
        <v>45799.893622685187</v>
      </c>
      <c r="D1329" s="53">
        <f>YEAR(Table1[[#This Row],[Order Date]])</f>
        <v>2025</v>
      </c>
      <c r="E1329" s="2" t="s">
        <v>48</v>
      </c>
      <c r="F1329" s="2" t="s">
        <v>49</v>
      </c>
      <c r="G1329" s="2" t="s">
        <v>88</v>
      </c>
      <c r="H1329" s="23">
        <v>14000</v>
      </c>
      <c r="I1329" s="2">
        <v>4</v>
      </c>
      <c r="J1329" s="31">
        <v>10</v>
      </c>
      <c r="K1329" s="7">
        <f t="shared" si="80"/>
        <v>56000</v>
      </c>
      <c r="L1329" s="7">
        <f t="shared" si="81"/>
        <v>5600</v>
      </c>
      <c r="M1329" s="7">
        <f t="shared" si="82"/>
        <v>50400</v>
      </c>
      <c r="N1329" s="23">
        <v>43000</v>
      </c>
      <c r="O1329" s="7">
        <f t="shared" si="83"/>
        <v>93400</v>
      </c>
      <c r="P1329" s="2" t="s">
        <v>63</v>
      </c>
      <c r="Q1329" t="str">
        <f>_xlfn.XLOOKUP(B1329,Status!$A$2:$A$1867,Status!$B$2:$B$1867)</f>
        <v>Completed</v>
      </c>
      <c r="R1329" s="2" t="s">
        <v>46</v>
      </c>
      <c r="S1329" s="8">
        <v>2</v>
      </c>
      <c r="T1329" s="2" t="s">
        <v>24</v>
      </c>
      <c r="U1329" s="31" t="str" cm="1">
        <f t="array" ref="U1329">_xlfn.IFS(L1329&lt;=5000,$Z$3,AND(L1329&gt;5000,L1329&lt;=15000),$Z$4,AND(L1329&gt;15000,L1329&lt;=30000),$Z$5,AND(L1329&gt;30000,L1329&lt;=50000),$Z$6,L1329&gt;50000,$Z$7)</f>
        <v>Rendah</v>
      </c>
      <c r="V1329" s="2"/>
    </row>
    <row r="1330" spans="1:22" ht="15.75" customHeight="1" x14ac:dyDescent="0.25">
      <c r="A1330" s="26"/>
      <c r="B1330" s="2" t="s">
        <v>1712</v>
      </c>
      <c r="C1330" s="32">
        <v>45800.171909722223</v>
      </c>
      <c r="D1330" s="53">
        <f>YEAR(Table1[[#This Row],[Order Date]])</f>
        <v>2025</v>
      </c>
      <c r="E1330" s="2" t="s">
        <v>416</v>
      </c>
      <c r="F1330" s="2" t="s">
        <v>131</v>
      </c>
      <c r="G1330" s="2" t="s">
        <v>138</v>
      </c>
      <c r="H1330" s="23">
        <v>17000</v>
      </c>
      <c r="I1330" s="2">
        <v>5</v>
      </c>
      <c r="J1330" s="31">
        <v>5</v>
      </c>
      <c r="K1330" s="7">
        <f t="shared" si="80"/>
        <v>85000</v>
      </c>
      <c r="L1330" s="7">
        <f t="shared" si="81"/>
        <v>4250</v>
      </c>
      <c r="M1330" s="7">
        <f t="shared" si="82"/>
        <v>80750</v>
      </c>
      <c r="N1330" s="23">
        <v>59000</v>
      </c>
      <c r="O1330" s="7">
        <f t="shared" si="83"/>
        <v>139750</v>
      </c>
      <c r="P1330" s="2" t="s">
        <v>29</v>
      </c>
      <c r="Q1330" t="str">
        <f>_xlfn.XLOOKUP(B1330,Status!$A$2:$A$1867,Status!$B$2:$B$1867)</f>
        <v>Completed</v>
      </c>
      <c r="R1330" s="2" t="s">
        <v>46</v>
      </c>
      <c r="S1330" s="8">
        <v>3</v>
      </c>
      <c r="T1330" s="2" t="s">
        <v>24</v>
      </c>
      <c r="U1330" s="31" t="str" cm="1">
        <f t="array" ref="U1330">_xlfn.IFS(L1330&lt;=5000,$Z$3,AND(L1330&gt;5000,L1330&lt;=15000),$Z$4,AND(L1330&gt;15000,L1330&lt;=30000),$Z$5,AND(L1330&gt;30000,L1330&lt;=50000),$Z$6,L1330&gt;50000,$Z$7)</f>
        <v>Sangat Rendah</v>
      </c>
      <c r="V1330" s="2"/>
    </row>
    <row r="1331" spans="1:22" ht="15.75" customHeight="1" x14ac:dyDescent="0.25">
      <c r="A1331" s="26"/>
      <c r="B1331" s="2" t="s">
        <v>1713</v>
      </c>
      <c r="C1331" s="32">
        <v>45800.360254629632</v>
      </c>
      <c r="D1331" s="53">
        <f>YEAR(Table1[[#This Row],[Order Date]])</f>
        <v>2025</v>
      </c>
      <c r="E1331" s="2" t="s">
        <v>1241</v>
      </c>
      <c r="F1331" s="2" t="s">
        <v>80</v>
      </c>
      <c r="G1331" s="2" t="s">
        <v>50</v>
      </c>
      <c r="H1331" s="23">
        <v>14000</v>
      </c>
      <c r="I1331" s="2">
        <v>1</v>
      </c>
      <c r="J1331" s="31">
        <v>0</v>
      </c>
      <c r="K1331" s="7">
        <f t="shared" si="80"/>
        <v>14000</v>
      </c>
      <c r="L1331" s="7">
        <f t="shared" si="81"/>
        <v>0</v>
      </c>
      <c r="M1331" s="7">
        <f t="shared" si="82"/>
        <v>14000</v>
      </c>
      <c r="N1331" s="23">
        <v>74000</v>
      </c>
      <c r="O1331" s="7">
        <f t="shared" si="83"/>
        <v>88000</v>
      </c>
      <c r="P1331" s="2" t="s">
        <v>63</v>
      </c>
      <c r="Q1331" t="str">
        <f>_xlfn.XLOOKUP(B1331,Status!$A$2:$A$1867,Status!$B$2:$B$1867)</f>
        <v>Completed</v>
      </c>
      <c r="R1331" s="2" t="s">
        <v>36</v>
      </c>
      <c r="S1331" s="8">
        <v>5</v>
      </c>
      <c r="T1331" s="2" t="s">
        <v>24</v>
      </c>
      <c r="U1331" s="31" t="str" cm="1">
        <f t="array" ref="U1331">_xlfn.IFS(L1331&lt;=5000,$Z$3,AND(L1331&gt;5000,L1331&lt;=15000),$Z$4,AND(L1331&gt;15000,L1331&lt;=30000),$Z$5,AND(L1331&gt;30000,L1331&lt;=50000),$Z$6,L1331&gt;50000,$Z$7)</f>
        <v>Sangat Rendah</v>
      </c>
      <c r="V1331" s="2"/>
    </row>
    <row r="1332" spans="1:22" ht="15.75" customHeight="1" x14ac:dyDescent="0.25">
      <c r="A1332" s="26"/>
      <c r="B1332" s="2" t="s">
        <v>1714</v>
      </c>
      <c r="C1332" s="32">
        <v>45800.374293981477</v>
      </c>
      <c r="D1332" s="53">
        <f>YEAR(Table1[[#This Row],[Order Date]])</f>
        <v>2025</v>
      </c>
      <c r="E1332" s="2" t="s">
        <v>570</v>
      </c>
      <c r="F1332" s="2" t="s">
        <v>80</v>
      </c>
      <c r="G1332" s="2" t="s">
        <v>144</v>
      </c>
      <c r="H1332" s="23">
        <v>18000</v>
      </c>
      <c r="I1332" s="2">
        <v>5</v>
      </c>
      <c r="J1332" s="31">
        <v>15</v>
      </c>
      <c r="K1332" s="7">
        <f t="shared" si="80"/>
        <v>90000</v>
      </c>
      <c r="L1332" s="7">
        <f t="shared" si="81"/>
        <v>13500</v>
      </c>
      <c r="M1332" s="7">
        <f t="shared" si="82"/>
        <v>76500</v>
      </c>
      <c r="N1332" s="23">
        <v>74000</v>
      </c>
      <c r="O1332" s="7">
        <f t="shared" si="83"/>
        <v>150500</v>
      </c>
      <c r="P1332" s="2" t="s">
        <v>22</v>
      </c>
      <c r="Q1332" t="str">
        <f>_xlfn.XLOOKUP(B1332,Status!$A$2:$A$1867,Status!$B$2:$B$1867)</f>
        <v>Completed</v>
      </c>
      <c r="R1332" s="2" t="s">
        <v>23</v>
      </c>
      <c r="S1332" s="8">
        <v>5</v>
      </c>
      <c r="T1332" s="2" t="s">
        <v>24</v>
      </c>
      <c r="U1332" s="31" t="str" cm="1">
        <f t="array" ref="U1332">_xlfn.IFS(L1332&lt;=5000,$Z$3,AND(L1332&gt;5000,L1332&lt;=15000),$Z$4,AND(L1332&gt;15000,L1332&lt;=30000),$Z$5,AND(L1332&gt;30000,L1332&lt;=50000),$Z$6,L1332&gt;50000,$Z$7)</f>
        <v>Rendah</v>
      </c>
      <c r="V1332" s="2"/>
    </row>
    <row r="1333" spans="1:22" ht="15.75" customHeight="1" x14ac:dyDescent="0.25">
      <c r="A1333" s="26"/>
      <c r="B1333" s="2" t="s">
        <v>1714</v>
      </c>
      <c r="C1333" s="32">
        <v>45800.374293981477</v>
      </c>
      <c r="D1333" s="53">
        <f>YEAR(Table1[[#This Row],[Order Date]])</f>
        <v>2025</v>
      </c>
      <c r="E1333" s="2" t="s">
        <v>570</v>
      </c>
      <c r="F1333" s="2" t="s">
        <v>80</v>
      </c>
      <c r="G1333" s="2" t="s">
        <v>34</v>
      </c>
      <c r="H1333" s="23">
        <v>16000</v>
      </c>
      <c r="I1333" s="2">
        <v>4</v>
      </c>
      <c r="J1333" s="31">
        <v>20</v>
      </c>
      <c r="K1333" s="7">
        <f t="shared" si="80"/>
        <v>64000</v>
      </c>
      <c r="L1333" s="7">
        <f t="shared" si="81"/>
        <v>12800</v>
      </c>
      <c r="M1333" s="7">
        <f t="shared" si="82"/>
        <v>51200</v>
      </c>
      <c r="N1333" s="23">
        <v>0</v>
      </c>
      <c r="O1333" s="7">
        <f t="shared" si="83"/>
        <v>51200</v>
      </c>
      <c r="P1333" s="2" t="s">
        <v>22</v>
      </c>
      <c r="Q1333" t="str">
        <f>_xlfn.XLOOKUP(B1333,Status!$A$2:$A$1867,Status!$B$2:$B$1867)</f>
        <v>Completed</v>
      </c>
      <c r="R1333" s="2" t="s">
        <v>23</v>
      </c>
      <c r="S1333" s="8">
        <v>5</v>
      </c>
      <c r="T1333" s="2" t="s">
        <v>24</v>
      </c>
      <c r="U1333" s="31" t="str" cm="1">
        <f t="array" ref="U1333">_xlfn.IFS(L1333&lt;=5000,$Z$3,AND(L1333&gt;5000,L1333&lt;=15000),$Z$4,AND(L1333&gt;15000,L1333&lt;=30000),$Z$5,AND(L1333&gt;30000,L1333&lt;=50000),$Z$6,L1333&gt;50000,$Z$7)</f>
        <v>Rendah</v>
      </c>
      <c r="V1333" s="2"/>
    </row>
    <row r="1334" spans="1:22" ht="15.75" customHeight="1" x14ac:dyDescent="0.25">
      <c r="A1334" s="26"/>
      <c r="B1334" s="2" t="s">
        <v>1715</v>
      </c>
      <c r="C1334" s="32">
        <v>45800.840011574073</v>
      </c>
      <c r="D1334" s="53">
        <f>YEAR(Table1[[#This Row],[Order Date]])</f>
        <v>2025</v>
      </c>
      <c r="E1334" s="2" t="s">
        <v>1033</v>
      </c>
      <c r="F1334" s="2" t="s">
        <v>122</v>
      </c>
      <c r="G1334" s="2" t="s">
        <v>54</v>
      </c>
      <c r="H1334" s="23">
        <v>16000</v>
      </c>
      <c r="I1334" s="2">
        <v>5</v>
      </c>
      <c r="J1334" s="31">
        <v>5</v>
      </c>
      <c r="K1334" s="7">
        <f t="shared" si="80"/>
        <v>80000</v>
      </c>
      <c r="L1334" s="7">
        <f t="shared" si="81"/>
        <v>4000</v>
      </c>
      <c r="M1334" s="7">
        <f t="shared" si="82"/>
        <v>76000</v>
      </c>
      <c r="N1334" s="23">
        <v>78000</v>
      </c>
      <c r="O1334" s="7">
        <f t="shared" si="83"/>
        <v>154000</v>
      </c>
      <c r="P1334" s="2" t="s">
        <v>22</v>
      </c>
      <c r="Q1334" t="str">
        <f>_xlfn.XLOOKUP(B1334,Status!$A$2:$A$1867,Status!$B$2:$B$1867)</f>
        <v>Completed</v>
      </c>
      <c r="R1334" s="2" t="s">
        <v>82</v>
      </c>
      <c r="S1334" s="8">
        <v>5</v>
      </c>
      <c r="T1334" s="2" t="s">
        <v>24</v>
      </c>
      <c r="U1334" s="31" t="str" cm="1">
        <f t="array" ref="U1334">_xlfn.IFS(L1334&lt;=5000,$Z$3,AND(L1334&gt;5000,L1334&lt;=15000),$Z$4,AND(L1334&gt;15000,L1334&lt;=30000),$Z$5,AND(L1334&gt;30000,L1334&lt;=50000),$Z$6,L1334&gt;50000,$Z$7)</f>
        <v>Sangat Rendah</v>
      </c>
      <c r="V1334" s="2"/>
    </row>
    <row r="1335" spans="1:22" ht="15.75" customHeight="1" x14ac:dyDescent="0.25">
      <c r="A1335" s="26"/>
      <c r="B1335" s="2" t="s">
        <v>1716</v>
      </c>
      <c r="C1335" s="32">
        <v>45801.033738425933</v>
      </c>
      <c r="D1335" s="53">
        <f>YEAR(Table1[[#This Row],[Order Date]])</f>
        <v>2025</v>
      </c>
      <c r="E1335" s="2" t="s">
        <v>427</v>
      </c>
      <c r="F1335" s="2" t="s">
        <v>103</v>
      </c>
      <c r="G1335" s="2" t="s">
        <v>50</v>
      </c>
      <c r="H1335" s="23">
        <v>14000</v>
      </c>
      <c r="I1335" s="2">
        <v>1</v>
      </c>
      <c r="J1335" s="31">
        <v>15</v>
      </c>
      <c r="K1335" s="7">
        <f t="shared" si="80"/>
        <v>14000</v>
      </c>
      <c r="L1335" s="7">
        <f t="shared" si="81"/>
        <v>2100</v>
      </c>
      <c r="M1335" s="7">
        <f t="shared" si="82"/>
        <v>11900</v>
      </c>
      <c r="N1335" s="23">
        <v>85000</v>
      </c>
      <c r="O1335" s="7">
        <f t="shared" si="83"/>
        <v>96900</v>
      </c>
      <c r="P1335" s="2" t="s">
        <v>22</v>
      </c>
      <c r="Q1335" t="str">
        <f>_xlfn.XLOOKUP(B1335,Status!$A$2:$A$1867,Status!$B$2:$B$1867)</f>
        <v>Returned</v>
      </c>
      <c r="R1335" s="2" t="s">
        <v>82</v>
      </c>
      <c r="S1335" s="8">
        <v>1</v>
      </c>
      <c r="T1335" s="2" t="s">
        <v>24</v>
      </c>
      <c r="U1335" s="31" t="str" cm="1">
        <f t="array" ref="U1335">_xlfn.IFS(L1335&lt;=5000,$Z$3,AND(L1335&gt;5000,L1335&lt;=15000),$Z$4,AND(L1335&gt;15000,L1335&lt;=30000),$Z$5,AND(L1335&gt;30000,L1335&lt;=50000),$Z$6,L1335&gt;50000,$Z$7)</f>
        <v>Sangat Rendah</v>
      </c>
      <c r="V1335" s="2"/>
    </row>
    <row r="1336" spans="1:22" ht="15.75" customHeight="1" x14ac:dyDescent="0.25">
      <c r="A1336" s="26"/>
      <c r="B1336" s="2" t="s">
        <v>1716</v>
      </c>
      <c r="C1336" s="32">
        <v>45801.033738425933</v>
      </c>
      <c r="D1336" s="53">
        <f>YEAR(Table1[[#This Row],[Order Date]])</f>
        <v>2025</v>
      </c>
      <c r="E1336" s="2" t="s">
        <v>427</v>
      </c>
      <c r="F1336" s="2" t="s">
        <v>103</v>
      </c>
      <c r="G1336" s="2" t="s">
        <v>54</v>
      </c>
      <c r="H1336" s="23">
        <v>16000</v>
      </c>
      <c r="I1336" s="2">
        <v>4</v>
      </c>
      <c r="J1336" s="31">
        <v>10</v>
      </c>
      <c r="K1336" s="7">
        <f t="shared" si="80"/>
        <v>64000</v>
      </c>
      <c r="L1336" s="7">
        <f t="shared" si="81"/>
        <v>6400</v>
      </c>
      <c r="M1336" s="7">
        <f t="shared" si="82"/>
        <v>57600</v>
      </c>
      <c r="N1336" s="23">
        <v>0</v>
      </c>
      <c r="O1336" s="7">
        <f t="shared" si="83"/>
        <v>57600</v>
      </c>
      <c r="P1336" s="2" t="s">
        <v>22</v>
      </c>
      <c r="Q1336" t="str">
        <f>_xlfn.XLOOKUP(B1336,Status!$A$2:$A$1867,Status!$B$2:$B$1867)</f>
        <v>Returned</v>
      </c>
      <c r="R1336" s="2" t="s">
        <v>82</v>
      </c>
      <c r="S1336" s="8">
        <v>1</v>
      </c>
      <c r="T1336" s="2" t="s">
        <v>24</v>
      </c>
      <c r="U1336" s="31" t="str" cm="1">
        <f t="array" ref="U1336">_xlfn.IFS(L1336&lt;=5000,$Z$3,AND(L1336&gt;5000,L1336&lt;=15000),$Z$4,AND(L1336&gt;15000,L1336&lt;=30000),$Z$5,AND(L1336&gt;30000,L1336&lt;=50000),$Z$6,L1336&gt;50000,$Z$7)</f>
        <v>Rendah</v>
      </c>
      <c r="V1336" s="2"/>
    </row>
    <row r="1337" spans="1:22" ht="15.75" customHeight="1" x14ac:dyDescent="0.25">
      <c r="A1337" s="26"/>
      <c r="B1337" s="2" t="s">
        <v>1717</v>
      </c>
      <c r="C1337" s="32">
        <v>45801.037743055553</v>
      </c>
      <c r="D1337" s="53">
        <f>YEAR(Table1[[#This Row],[Order Date]])</f>
        <v>2025</v>
      </c>
      <c r="E1337" s="2" t="s">
        <v>203</v>
      </c>
      <c r="F1337" s="2" t="s">
        <v>20</v>
      </c>
      <c r="G1337" s="2" t="s">
        <v>50</v>
      </c>
      <c r="H1337" s="23">
        <v>14000</v>
      </c>
      <c r="I1337" s="2">
        <v>1</v>
      </c>
      <c r="J1337" s="31">
        <v>10</v>
      </c>
      <c r="K1337" s="7">
        <f t="shared" si="80"/>
        <v>14000</v>
      </c>
      <c r="L1337" s="7">
        <f t="shared" si="81"/>
        <v>1400</v>
      </c>
      <c r="M1337" s="7">
        <f t="shared" si="82"/>
        <v>12600</v>
      </c>
      <c r="N1337" s="23">
        <v>15000</v>
      </c>
      <c r="O1337" s="7">
        <f t="shared" si="83"/>
        <v>27600</v>
      </c>
      <c r="P1337" s="2" t="s">
        <v>29</v>
      </c>
      <c r="Q1337" t="str">
        <f>_xlfn.XLOOKUP(B1337,Status!$A$2:$A$1867,Status!$B$2:$B$1867)</f>
        <v>Completed</v>
      </c>
      <c r="R1337" s="2" t="s">
        <v>23</v>
      </c>
      <c r="S1337" s="8">
        <v>4</v>
      </c>
      <c r="T1337" s="2" t="s">
        <v>24</v>
      </c>
      <c r="U1337" s="31" t="str" cm="1">
        <f t="array" ref="U1337">_xlfn.IFS(L1337&lt;=5000,$Z$3,AND(L1337&gt;5000,L1337&lt;=15000),$Z$4,AND(L1337&gt;15000,L1337&lt;=30000),$Z$5,AND(L1337&gt;30000,L1337&lt;=50000),$Z$6,L1337&gt;50000,$Z$7)</f>
        <v>Sangat Rendah</v>
      </c>
      <c r="V1337" s="2"/>
    </row>
    <row r="1338" spans="1:22" ht="15.75" customHeight="1" x14ac:dyDescent="0.25">
      <c r="A1338" s="26"/>
      <c r="B1338" s="2" t="s">
        <v>1718</v>
      </c>
      <c r="C1338" s="32">
        <v>45801.344710648147</v>
      </c>
      <c r="D1338" s="53">
        <f>YEAR(Table1[[#This Row],[Order Date]])</f>
        <v>2025</v>
      </c>
      <c r="E1338" s="2" t="s">
        <v>333</v>
      </c>
      <c r="F1338" s="2" t="s">
        <v>107</v>
      </c>
      <c r="G1338" s="2" t="s">
        <v>28</v>
      </c>
      <c r="H1338" s="23">
        <v>5000</v>
      </c>
      <c r="I1338" s="2">
        <v>3</v>
      </c>
      <c r="J1338" s="31">
        <v>10</v>
      </c>
      <c r="K1338" s="7">
        <f t="shared" si="80"/>
        <v>15000</v>
      </c>
      <c r="L1338" s="7">
        <f t="shared" si="81"/>
        <v>1500</v>
      </c>
      <c r="M1338" s="7">
        <f t="shared" si="82"/>
        <v>13500</v>
      </c>
      <c r="N1338" s="23">
        <v>97000</v>
      </c>
      <c r="O1338" s="7">
        <f t="shared" si="83"/>
        <v>110500</v>
      </c>
      <c r="P1338" s="2" t="s">
        <v>35</v>
      </c>
      <c r="Q1338" t="str">
        <f>_xlfn.XLOOKUP(B1338,Status!$A$2:$A$1867,Status!$B$2:$B$1867)</f>
        <v>Completed</v>
      </c>
      <c r="R1338" s="2" t="s">
        <v>82</v>
      </c>
      <c r="S1338" s="8">
        <v>2</v>
      </c>
      <c r="T1338" s="2" t="s">
        <v>37</v>
      </c>
      <c r="U1338" s="31" t="str" cm="1">
        <f t="array" ref="U1338">_xlfn.IFS(L1338&lt;=5000,$Z$3,AND(L1338&gt;5000,L1338&lt;=15000),$Z$4,AND(L1338&gt;15000,L1338&lt;=30000),$Z$5,AND(L1338&gt;30000,L1338&lt;=50000),$Z$6,L1338&gt;50000,$Z$7)</f>
        <v>Sangat Rendah</v>
      </c>
      <c r="V1338" s="2"/>
    </row>
    <row r="1339" spans="1:22" ht="15.75" customHeight="1" x14ac:dyDescent="0.25">
      <c r="A1339" s="26"/>
      <c r="B1339" s="2" t="s">
        <v>1719</v>
      </c>
      <c r="C1339" s="32">
        <v>45801.76462962963</v>
      </c>
      <c r="D1339" s="53">
        <f>YEAR(Table1[[#This Row],[Order Date]])</f>
        <v>2025</v>
      </c>
      <c r="E1339" s="2" t="s">
        <v>207</v>
      </c>
      <c r="F1339" s="2" t="s">
        <v>96</v>
      </c>
      <c r="G1339" s="2" t="s">
        <v>138</v>
      </c>
      <c r="H1339" s="23">
        <v>17000</v>
      </c>
      <c r="I1339" s="2">
        <v>3</v>
      </c>
      <c r="J1339" s="31">
        <v>0</v>
      </c>
      <c r="K1339" s="7">
        <f t="shared" si="80"/>
        <v>51000</v>
      </c>
      <c r="L1339" s="7">
        <f t="shared" si="81"/>
        <v>0</v>
      </c>
      <c r="M1339" s="7">
        <f t="shared" si="82"/>
        <v>51000</v>
      </c>
      <c r="N1339" s="23">
        <v>49000</v>
      </c>
      <c r="O1339" s="7">
        <f t="shared" si="83"/>
        <v>100000</v>
      </c>
      <c r="P1339" s="2" t="s">
        <v>29</v>
      </c>
      <c r="Q1339" t="str">
        <f>_xlfn.XLOOKUP(B1339,Status!$A$2:$A$1867,Status!$B$2:$B$1867)</f>
        <v>Returned</v>
      </c>
      <c r="R1339" s="2" t="s">
        <v>82</v>
      </c>
      <c r="S1339" s="8">
        <v>5</v>
      </c>
      <c r="T1339" s="2" t="s">
        <v>24</v>
      </c>
      <c r="U1339" s="31" t="str" cm="1">
        <f t="array" ref="U1339">_xlfn.IFS(L1339&lt;=5000,$Z$3,AND(L1339&gt;5000,L1339&lt;=15000),$Z$4,AND(L1339&gt;15000,L1339&lt;=30000),$Z$5,AND(L1339&gt;30000,L1339&lt;=50000),$Z$6,L1339&gt;50000,$Z$7)</f>
        <v>Sangat Rendah</v>
      </c>
      <c r="V1339" s="2"/>
    </row>
    <row r="1340" spans="1:22" ht="15.75" customHeight="1" x14ac:dyDescent="0.25">
      <c r="A1340" s="26"/>
      <c r="B1340" s="2" t="s">
        <v>1720</v>
      </c>
      <c r="C1340" s="32">
        <v>45801.808657407397</v>
      </c>
      <c r="D1340" s="53">
        <f>YEAR(Table1[[#This Row],[Order Date]])</f>
        <v>2025</v>
      </c>
      <c r="E1340" s="2" t="s">
        <v>1436</v>
      </c>
      <c r="F1340" s="2" t="s">
        <v>119</v>
      </c>
      <c r="G1340" s="2" t="s">
        <v>54</v>
      </c>
      <c r="H1340" s="23">
        <v>16000</v>
      </c>
      <c r="I1340" s="2">
        <v>5</v>
      </c>
      <c r="J1340" s="31">
        <v>0</v>
      </c>
      <c r="K1340" s="7">
        <f t="shared" si="80"/>
        <v>80000</v>
      </c>
      <c r="L1340" s="7">
        <f t="shared" si="81"/>
        <v>0</v>
      </c>
      <c r="M1340" s="7">
        <f t="shared" si="82"/>
        <v>80000</v>
      </c>
      <c r="N1340" s="23">
        <v>0</v>
      </c>
      <c r="O1340" s="7">
        <f t="shared" si="83"/>
        <v>80000</v>
      </c>
      <c r="P1340" s="2" t="s">
        <v>29</v>
      </c>
      <c r="Q1340" t="str">
        <f>_xlfn.XLOOKUP(B1340,Status!$A$2:$A$1867,Status!$B$2:$B$1867)</f>
        <v>Completed</v>
      </c>
      <c r="R1340" s="2" t="s">
        <v>36</v>
      </c>
      <c r="S1340" s="8">
        <v>5</v>
      </c>
      <c r="T1340" s="2" t="s">
        <v>24</v>
      </c>
      <c r="U1340" s="31" t="str" cm="1">
        <f t="array" ref="U1340">_xlfn.IFS(L1340&lt;=5000,$Z$3,AND(L1340&gt;5000,L1340&lt;=15000),$Z$4,AND(L1340&gt;15000,L1340&lt;=30000),$Z$5,AND(L1340&gt;30000,L1340&lt;=50000),$Z$6,L1340&gt;50000,$Z$7)</f>
        <v>Sangat Rendah</v>
      </c>
      <c r="V1340" s="2"/>
    </row>
    <row r="1341" spans="1:22" ht="15.75" customHeight="1" x14ac:dyDescent="0.25">
      <c r="A1341" s="26"/>
      <c r="B1341" s="2" t="s">
        <v>1721</v>
      </c>
      <c r="C1341" s="32">
        <v>45801.997141203698</v>
      </c>
      <c r="D1341" s="53">
        <f>YEAR(Table1[[#This Row],[Order Date]])</f>
        <v>2025</v>
      </c>
      <c r="E1341" s="2" t="s">
        <v>220</v>
      </c>
      <c r="F1341" s="2" t="s">
        <v>53</v>
      </c>
      <c r="G1341" s="2" t="s">
        <v>50</v>
      </c>
      <c r="H1341" s="23">
        <v>14000</v>
      </c>
      <c r="I1341" s="2">
        <v>5</v>
      </c>
      <c r="J1341" s="31">
        <v>15</v>
      </c>
      <c r="K1341" s="7">
        <f t="shared" si="80"/>
        <v>70000</v>
      </c>
      <c r="L1341" s="7">
        <f t="shared" si="81"/>
        <v>10500</v>
      </c>
      <c r="M1341" s="7">
        <f t="shared" si="82"/>
        <v>59500</v>
      </c>
      <c r="N1341" s="23">
        <v>18000</v>
      </c>
      <c r="O1341" s="7">
        <f t="shared" si="83"/>
        <v>77500</v>
      </c>
      <c r="P1341" s="2" t="s">
        <v>35</v>
      </c>
      <c r="Q1341" t="str">
        <f>_xlfn.XLOOKUP(B1341,Status!$A$2:$A$1867,Status!$B$2:$B$1867)</f>
        <v>Completed</v>
      </c>
      <c r="R1341" s="2" t="s">
        <v>23</v>
      </c>
      <c r="S1341" s="8">
        <v>4</v>
      </c>
      <c r="T1341" s="2" t="s">
        <v>24</v>
      </c>
      <c r="U1341" s="31" t="str" cm="1">
        <f t="array" ref="U1341">_xlfn.IFS(L1341&lt;=5000,$Z$3,AND(L1341&gt;5000,L1341&lt;=15000),$Z$4,AND(L1341&gt;15000,L1341&lt;=30000),$Z$5,AND(L1341&gt;30000,L1341&lt;=50000),$Z$6,L1341&gt;50000,$Z$7)</f>
        <v>Rendah</v>
      </c>
      <c r="V1341" s="2"/>
    </row>
    <row r="1342" spans="1:22" ht="15.75" customHeight="1" x14ac:dyDescent="0.25">
      <c r="A1342" s="26"/>
      <c r="B1342" s="2" t="s">
        <v>1722</v>
      </c>
      <c r="C1342" s="32">
        <v>45802.425787037027</v>
      </c>
      <c r="D1342" s="53">
        <f>YEAR(Table1[[#This Row],[Order Date]])</f>
        <v>2025</v>
      </c>
      <c r="E1342" s="2" t="s">
        <v>205</v>
      </c>
      <c r="F1342" s="2" t="s">
        <v>96</v>
      </c>
      <c r="G1342" s="2" t="s">
        <v>144</v>
      </c>
      <c r="H1342" s="23">
        <v>18000</v>
      </c>
      <c r="I1342" s="2">
        <v>3</v>
      </c>
      <c r="J1342" s="31">
        <v>0</v>
      </c>
      <c r="K1342" s="7">
        <f t="shared" si="80"/>
        <v>54000</v>
      </c>
      <c r="L1342" s="7">
        <f t="shared" si="81"/>
        <v>0</v>
      </c>
      <c r="M1342" s="7">
        <f t="shared" si="82"/>
        <v>54000</v>
      </c>
      <c r="N1342" s="23">
        <v>49000</v>
      </c>
      <c r="O1342" s="7">
        <f t="shared" si="83"/>
        <v>103000</v>
      </c>
      <c r="P1342" s="2" t="s">
        <v>63</v>
      </c>
      <c r="Q1342" t="str">
        <f>_xlfn.XLOOKUP(B1342,Status!$A$2:$A$1867,Status!$B$2:$B$1867)</f>
        <v>Returned</v>
      </c>
      <c r="R1342" s="2" t="s">
        <v>82</v>
      </c>
      <c r="S1342" s="8">
        <v>2</v>
      </c>
      <c r="T1342" s="2" t="s">
        <v>24</v>
      </c>
      <c r="U1342" s="31" t="str" cm="1">
        <f t="array" ref="U1342">_xlfn.IFS(L1342&lt;=5000,$Z$3,AND(L1342&gt;5000,L1342&lt;=15000),$Z$4,AND(L1342&gt;15000,L1342&lt;=30000),$Z$5,AND(L1342&gt;30000,L1342&lt;=50000),$Z$6,L1342&gt;50000,$Z$7)</f>
        <v>Sangat Rendah</v>
      </c>
      <c r="V1342" s="2"/>
    </row>
    <row r="1343" spans="1:22" ht="15.75" customHeight="1" x14ac:dyDescent="0.25">
      <c r="A1343" s="26"/>
      <c r="B1343" s="2" t="s">
        <v>1723</v>
      </c>
      <c r="C1343" s="32">
        <v>45802.638159722221</v>
      </c>
      <c r="D1343" s="53">
        <f>YEAR(Table1[[#This Row],[Order Date]])</f>
        <v>2025</v>
      </c>
      <c r="E1343" s="2" t="s">
        <v>748</v>
      </c>
      <c r="F1343" s="2" t="s">
        <v>160</v>
      </c>
      <c r="G1343" s="2" t="s">
        <v>21</v>
      </c>
      <c r="H1343" s="23">
        <v>45000</v>
      </c>
      <c r="I1343" s="2">
        <v>5</v>
      </c>
      <c r="J1343" s="31">
        <v>15</v>
      </c>
      <c r="K1343" s="7">
        <f t="shared" si="80"/>
        <v>225000</v>
      </c>
      <c r="L1343" s="7">
        <f t="shared" si="81"/>
        <v>33750</v>
      </c>
      <c r="M1343" s="7">
        <f t="shared" si="82"/>
        <v>191250</v>
      </c>
      <c r="N1343" s="23">
        <v>68000</v>
      </c>
      <c r="O1343" s="7">
        <f t="shared" si="83"/>
        <v>259250</v>
      </c>
      <c r="P1343" s="2" t="s">
        <v>29</v>
      </c>
      <c r="Q1343" t="str">
        <f>_xlfn.XLOOKUP(B1343,Status!$A$2:$A$1867,Status!$B$2:$B$1867)</f>
        <v>Completed</v>
      </c>
      <c r="R1343" s="2" t="s">
        <v>23</v>
      </c>
      <c r="S1343" s="8">
        <v>4</v>
      </c>
      <c r="T1343" s="2" t="s">
        <v>24</v>
      </c>
      <c r="U1343" s="31" t="str" cm="1">
        <f t="array" ref="U1343">_xlfn.IFS(L1343&lt;=5000,$Z$3,AND(L1343&gt;5000,L1343&lt;=15000),$Z$4,AND(L1343&gt;15000,L1343&lt;=30000),$Z$5,AND(L1343&gt;30000,L1343&lt;=50000),$Z$6,L1343&gt;50000,$Z$7)</f>
        <v>Tinggi</v>
      </c>
      <c r="V1343" s="2"/>
    </row>
    <row r="1344" spans="1:22" ht="15.75" customHeight="1" x14ac:dyDescent="0.25">
      <c r="A1344" s="26"/>
      <c r="B1344" s="2" t="s">
        <v>1724</v>
      </c>
      <c r="C1344" s="32">
        <v>45802.656712962962</v>
      </c>
      <c r="D1344" s="53">
        <f>YEAR(Table1[[#This Row],[Order Date]])</f>
        <v>2025</v>
      </c>
      <c r="E1344" s="2" t="s">
        <v>118</v>
      </c>
      <c r="F1344" s="2" t="s">
        <v>119</v>
      </c>
      <c r="G1344" s="2" t="s">
        <v>110</v>
      </c>
      <c r="H1344" s="23">
        <v>6000</v>
      </c>
      <c r="I1344" s="2">
        <v>5</v>
      </c>
      <c r="J1344" s="31">
        <v>10</v>
      </c>
      <c r="K1344" s="7">
        <f t="shared" si="80"/>
        <v>30000</v>
      </c>
      <c r="L1344" s="7">
        <f t="shared" si="81"/>
        <v>3000</v>
      </c>
      <c r="M1344" s="7">
        <f t="shared" si="82"/>
        <v>27000</v>
      </c>
      <c r="N1344" s="23">
        <v>0</v>
      </c>
      <c r="O1344" s="7">
        <f t="shared" si="83"/>
        <v>27000</v>
      </c>
      <c r="P1344" s="2" t="s">
        <v>22</v>
      </c>
      <c r="Q1344" t="str">
        <f>_xlfn.XLOOKUP(B1344,Status!$A$2:$A$1867,Status!$B$2:$B$1867)</f>
        <v>Completed</v>
      </c>
      <c r="R1344" s="2" t="s">
        <v>23</v>
      </c>
      <c r="S1344" s="8">
        <v>3</v>
      </c>
      <c r="T1344" s="2" t="s">
        <v>24</v>
      </c>
      <c r="U1344" s="31" t="str" cm="1">
        <f t="array" ref="U1344">_xlfn.IFS(L1344&lt;=5000,$Z$3,AND(L1344&gt;5000,L1344&lt;=15000),$Z$4,AND(L1344&gt;15000,L1344&lt;=30000),$Z$5,AND(L1344&gt;30000,L1344&lt;=50000),$Z$6,L1344&gt;50000,$Z$7)</f>
        <v>Sangat Rendah</v>
      </c>
      <c r="V1344" s="2"/>
    </row>
    <row r="1345" spans="1:22" ht="15.75" customHeight="1" x14ac:dyDescent="0.25">
      <c r="A1345" s="26"/>
      <c r="B1345" s="2" t="s">
        <v>1725</v>
      </c>
      <c r="C1345" s="32">
        <v>45802.660081018519</v>
      </c>
      <c r="D1345" s="53">
        <f>YEAR(Table1[[#This Row],[Order Date]])</f>
        <v>2025</v>
      </c>
      <c r="E1345" s="2" t="s">
        <v>43</v>
      </c>
      <c r="F1345" s="2" t="s">
        <v>44</v>
      </c>
      <c r="G1345" s="2" t="s">
        <v>174</v>
      </c>
      <c r="H1345" s="23">
        <v>10000</v>
      </c>
      <c r="I1345" s="2">
        <v>1</v>
      </c>
      <c r="J1345" s="31">
        <v>10</v>
      </c>
      <c r="K1345" s="7">
        <f t="shared" si="80"/>
        <v>10000</v>
      </c>
      <c r="L1345" s="7">
        <f t="shared" si="81"/>
        <v>1000</v>
      </c>
      <c r="M1345" s="7">
        <f t="shared" si="82"/>
        <v>9000</v>
      </c>
      <c r="N1345" s="23">
        <v>93000</v>
      </c>
      <c r="O1345" s="7">
        <f t="shared" si="83"/>
        <v>102000</v>
      </c>
      <c r="P1345" s="2" t="s">
        <v>35</v>
      </c>
      <c r="Q1345" t="str">
        <f>_xlfn.XLOOKUP(B1345,Status!$A$2:$A$1867,Status!$B$2:$B$1867)</f>
        <v>Returned</v>
      </c>
      <c r="R1345" s="2" t="s">
        <v>46</v>
      </c>
      <c r="S1345" s="8">
        <v>5</v>
      </c>
      <c r="T1345" s="2" t="s">
        <v>24</v>
      </c>
      <c r="U1345" s="31" t="str" cm="1">
        <f t="array" ref="U1345">_xlfn.IFS(L1345&lt;=5000,$Z$3,AND(L1345&gt;5000,L1345&lt;=15000),$Z$4,AND(L1345&gt;15000,L1345&lt;=30000),$Z$5,AND(L1345&gt;30000,L1345&lt;=50000),$Z$6,L1345&gt;50000,$Z$7)</f>
        <v>Sangat Rendah</v>
      </c>
      <c r="V1345" s="2"/>
    </row>
    <row r="1346" spans="1:22" ht="15.75" customHeight="1" x14ac:dyDescent="0.25">
      <c r="A1346" s="26"/>
      <c r="B1346" s="2" t="s">
        <v>1726</v>
      </c>
      <c r="C1346" s="32">
        <v>45802.77516203704</v>
      </c>
      <c r="D1346" s="53">
        <f>YEAR(Table1[[#This Row],[Order Date]])</f>
        <v>2025</v>
      </c>
      <c r="E1346" s="2" t="s">
        <v>275</v>
      </c>
      <c r="F1346" s="2" t="s">
        <v>96</v>
      </c>
      <c r="G1346" s="2" t="s">
        <v>62</v>
      </c>
      <c r="H1346" s="23">
        <v>50000</v>
      </c>
      <c r="I1346" s="2">
        <v>1</v>
      </c>
      <c r="J1346" s="31">
        <v>20</v>
      </c>
      <c r="K1346" s="7">
        <f t="shared" si="80"/>
        <v>50000</v>
      </c>
      <c r="L1346" s="7">
        <f t="shared" si="81"/>
        <v>10000</v>
      </c>
      <c r="M1346" s="7">
        <f t="shared" si="82"/>
        <v>40000</v>
      </c>
      <c r="N1346" s="23">
        <v>49000</v>
      </c>
      <c r="O1346" s="7">
        <f t="shared" si="83"/>
        <v>89000</v>
      </c>
      <c r="P1346" s="2" t="s">
        <v>29</v>
      </c>
      <c r="Q1346" t="str">
        <f>_xlfn.XLOOKUP(B1346,Status!$A$2:$A$1867,Status!$B$2:$B$1867)</f>
        <v>Returned</v>
      </c>
      <c r="R1346" s="2" t="s">
        <v>36</v>
      </c>
      <c r="S1346" s="8">
        <v>4</v>
      </c>
      <c r="T1346" s="2" t="s">
        <v>24</v>
      </c>
      <c r="U1346" s="31" t="str" cm="1">
        <f t="array" ref="U1346">_xlfn.IFS(L1346&lt;=5000,$Z$3,AND(L1346&gt;5000,L1346&lt;=15000),$Z$4,AND(L1346&gt;15000,L1346&lt;=30000),$Z$5,AND(L1346&gt;30000,L1346&lt;=50000),$Z$6,L1346&gt;50000,$Z$7)</f>
        <v>Rendah</v>
      </c>
      <c r="V1346" s="2"/>
    </row>
    <row r="1347" spans="1:22" ht="15.75" customHeight="1" x14ac:dyDescent="0.25">
      <c r="A1347" s="26"/>
      <c r="B1347" s="2" t="s">
        <v>1727</v>
      </c>
      <c r="C1347" s="32">
        <v>45802.920034722221</v>
      </c>
      <c r="D1347" s="53">
        <f>YEAR(Table1[[#This Row],[Order Date]])</f>
        <v>2025</v>
      </c>
      <c r="E1347" s="2" t="s">
        <v>786</v>
      </c>
      <c r="F1347" s="2" t="s">
        <v>107</v>
      </c>
      <c r="G1347" s="2" t="s">
        <v>136</v>
      </c>
      <c r="H1347" s="23">
        <v>12000</v>
      </c>
      <c r="I1347" s="2">
        <v>3</v>
      </c>
      <c r="J1347" s="31">
        <v>0</v>
      </c>
      <c r="K1347" s="7">
        <f t="shared" si="80"/>
        <v>36000</v>
      </c>
      <c r="L1347" s="7">
        <f t="shared" si="81"/>
        <v>0</v>
      </c>
      <c r="M1347" s="7">
        <f t="shared" si="82"/>
        <v>36000</v>
      </c>
      <c r="N1347" s="23">
        <v>97000</v>
      </c>
      <c r="O1347" s="7">
        <f t="shared" si="83"/>
        <v>133000</v>
      </c>
      <c r="P1347" s="2" t="s">
        <v>22</v>
      </c>
      <c r="Q1347" t="str">
        <f>_xlfn.XLOOKUP(B1347,Status!$A$2:$A$1867,Status!$B$2:$B$1867)</f>
        <v>Completed</v>
      </c>
      <c r="R1347" s="2" t="s">
        <v>46</v>
      </c>
      <c r="S1347" s="8">
        <v>1</v>
      </c>
      <c r="T1347" s="2" t="s">
        <v>24</v>
      </c>
      <c r="U1347" s="31" t="str" cm="1">
        <f t="array" ref="U1347">_xlfn.IFS(L1347&lt;=5000,$Z$3,AND(L1347&gt;5000,L1347&lt;=15000),$Z$4,AND(L1347&gt;15000,L1347&lt;=30000),$Z$5,AND(L1347&gt;30000,L1347&lt;=50000),$Z$6,L1347&gt;50000,$Z$7)</f>
        <v>Sangat Rendah</v>
      </c>
      <c r="V1347" s="2"/>
    </row>
    <row r="1348" spans="1:22" ht="15.75" customHeight="1" x14ac:dyDescent="0.25">
      <c r="A1348" s="26"/>
      <c r="B1348" s="2" t="s">
        <v>1728</v>
      </c>
      <c r="C1348" s="32">
        <v>45802.923831018517</v>
      </c>
      <c r="D1348" s="53">
        <f>YEAR(Table1[[#This Row],[Order Date]])</f>
        <v>2025</v>
      </c>
      <c r="E1348" s="2" t="s">
        <v>398</v>
      </c>
      <c r="F1348" s="2" t="s">
        <v>182</v>
      </c>
      <c r="G1348" s="2" t="s">
        <v>136</v>
      </c>
      <c r="H1348" s="23">
        <v>12000</v>
      </c>
      <c r="I1348" s="2">
        <v>1</v>
      </c>
      <c r="J1348" s="31">
        <v>10</v>
      </c>
      <c r="K1348" s="7">
        <f t="shared" ref="K1348:K1411" si="84">H1348*I1348</f>
        <v>12000</v>
      </c>
      <c r="L1348" s="7">
        <f t="shared" ref="L1348:L1411" si="85">K1348*(J1348/100)</f>
        <v>1200</v>
      </c>
      <c r="M1348" s="7">
        <f t="shared" ref="M1348:M1411" si="86">K1348-L1348</f>
        <v>10800</v>
      </c>
      <c r="N1348" s="23">
        <v>48000</v>
      </c>
      <c r="O1348" s="7">
        <f t="shared" ref="O1348:O1411" si="87">SUM(M1348:N1348)</f>
        <v>58800</v>
      </c>
      <c r="P1348" s="2" t="s">
        <v>63</v>
      </c>
      <c r="Q1348" t="str">
        <f>_xlfn.XLOOKUP(B1348,Status!$A$2:$A$1867,Status!$B$2:$B$1867)</f>
        <v>Completed</v>
      </c>
      <c r="R1348" s="2" t="s">
        <v>82</v>
      </c>
      <c r="S1348" s="8">
        <v>2</v>
      </c>
      <c r="T1348" s="2" t="s">
        <v>24</v>
      </c>
      <c r="U1348" s="31" t="str" cm="1">
        <f t="array" ref="U1348">_xlfn.IFS(L1348&lt;=5000,$Z$3,AND(L1348&gt;5000,L1348&lt;=15000),$Z$4,AND(L1348&gt;15000,L1348&lt;=30000),$Z$5,AND(L1348&gt;30000,L1348&lt;=50000),$Z$6,L1348&gt;50000,$Z$7)</f>
        <v>Sangat Rendah</v>
      </c>
      <c r="V1348" s="2"/>
    </row>
    <row r="1349" spans="1:22" ht="15.75" customHeight="1" x14ac:dyDescent="0.25">
      <c r="A1349" s="26"/>
      <c r="B1349" s="2" t="s">
        <v>1729</v>
      </c>
      <c r="C1349" s="32">
        <v>45803.088113425933</v>
      </c>
      <c r="D1349" s="53">
        <f>YEAR(Table1[[#This Row],[Order Date]])</f>
        <v>2025</v>
      </c>
      <c r="E1349" s="2" t="s">
        <v>1293</v>
      </c>
      <c r="F1349" s="2" t="s">
        <v>44</v>
      </c>
      <c r="G1349" s="2" t="s">
        <v>58</v>
      </c>
      <c r="H1349" s="23">
        <v>16000</v>
      </c>
      <c r="I1349" s="2">
        <v>2</v>
      </c>
      <c r="J1349" s="31">
        <v>5</v>
      </c>
      <c r="K1349" s="7">
        <f t="shared" si="84"/>
        <v>32000</v>
      </c>
      <c r="L1349" s="7">
        <f t="shared" si="85"/>
        <v>1600</v>
      </c>
      <c r="M1349" s="7">
        <f t="shared" si="86"/>
        <v>30400</v>
      </c>
      <c r="N1349" s="23">
        <v>93000</v>
      </c>
      <c r="O1349" s="7">
        <f t="shared" si="87"/>
        <v>123400</v>
      </c>
      <c r="P1349" s="2" t="s">
        <v>63</v>
      </c>
      <c r="Q1349" t="str">
        <f>_xlfn.XLOOKUP(B1349,Status!$A$2:$A$1867,Status!$B$2:$B$1867)</f>
        <v>Completed</v>
      </c>
      <c r="R1349" s="2" t="s">
        <v>82</v>
      </c>
      <c r="S1349" s="8">
        <v>1</v>
      </c>
      <c r="T1349" s="2" t="s">
        <v>24</v>
      </c>
      <c r="U1349" s="31" t="str" cm="1">
        <f t="array" ref="U1349">_xlfn.IFS(L1349&lt;=5000,$Z$3,AND(L1349&gt;5000,L1349&lt;=15000),$Z$4,AND(L1349&gt;15000,L1349&lt;=30000),$Z$5,AND(L1349&gt;30000,L1349&lt;=50000),$Z$6,L1349&gt;50000,$Z$7)</f>
        <v>Sangat Rendah</v>
      </c>
      <c r="V1349" s="2"/>
    </row>
    <row r="1350" spans="1:22" ht="15.75" customHeight="1" x14ac:dyDescent="0.25">
      <c r="A1350" s="26"/>
      <c r="B1350" s="2" t="s">
        <v>1730</v>
      </c>
      <c r="C1350" s="32">
        <v>45803.117256944453</v>
      </c>
      <c r="D1350" s="53">
        <f>YEAR(Table1[[#This Row],[Order Date]])</f>
        <v>2025</v>
      </c>
      <c r="E1350" s="2" t="s">
        <v>318</v>
      </c>
      <c r="F1350" s="2" t="s">
        <v>244</v>
      </c>
      <c r="G1350" s="2" t="s">
        <v>110</v>
      </c>
      <c r="H1350" s="23">
        <v>6000</v>
      </c>
      <c r="I1350" s="2">
        <v>4</v>
      </c>
      <c r="J1350" s="31">
        <v>0</v>
      </c>
      <c r="K1350" s="7">
        <f t="shared" si="84"/>
        <v>24000</v>
      </c>
      <c r="L1350" s="7">
        <f t="shared" si="85"/>
        <v>0</v>
      </c>
      <c r="M1350" s="7">
        <f t="shared" si="86"/>
        <v>24000</v>
      </c>
      <c r="N1350" s="23">
        <v>80000</v>
      </c>
      <c r="O1350" s="7">
        <f t="shared" si="87"/>
        <v>104000</v>
      </c>
      <c r="P1350" s="2" t="s">
        <v>22</v>
      </c>
      <c r="Q1350" t="str">
        <f>_xlfn.XLOOKUP(B1350,Status!$A$2:$A$1867,Status!$B$2:$B$1867)</f>
        <v>Cancelled</v>
      </c>
      <c r="R1350" s="2" t="s">
        <v>36</v>
      </c>
      <c r="S1350" s="8">
        <v>1</v>
      </c>
      <c r="T1350" s="2" t="s">
        <v>37</v>
      </c>
      <c r="U1350" s="31" t="str" cm="1">
        <f t="array" ref="U1350">_xlfn.IFS(L1350&lt;=5000,$Z$3,AND(L1350&gt;5000,L1350&lt;=15000),$Z$4,AND(L1350&gt;15000,L1350&lt;=30000),$Z$5,AND(L1350&gt;30000,L1350&lt;=50000),$Z$6,L1350&gt;50000,$Z$7)</f>
        <v>Sangat Rendah</v>
      </c>
      <c r="V1350" s="2"/>
    </row>
    <row r="1351" spans="1:22" ht="15.75" customHeight="1" x14ac:dyDescent="0.25">
      <c r="A1351" s="26"/>
      <c r="B1351" s="2" t="s">
        <v>1730</v>
      </c>
      <c r="C1351" s="32">
        <v>45803.117256944453</v>
      </c>
      <c r="D1351" s="53">
        <f>YEAR(Table1[[#This Row],[Order Date]])</f>
        <v>2025</v>
      </c>
      <c r="E1351" s="2" t="s">
        <v>318</v>
      </c>
      <c r="F1351" s="2" t="s">
        <v>244</v>
      </c>
      <c r="G1351" s="2" t="s">
        <v>62</v>
      </c>
      <c r="H1351" s="23">
        <v>50000</v>
      </c>
      <c r="I1351" s="2">
        <v>3</v>
      </c>
      <c r="J1351" s="31">
        <v>10</v>
      </c>
      <c r="K1351" s="7">
        <f t="shared" si="84"/>
        <v>150000</v>
      </c>
      <c r="L1351" s="7">
        <f t="shared" si="85"/>
        <v>15000</v>
      </c>
      <c r="M1351" s="7">
        <f t="shared" si="86"/>
        <v>135000</v>
      </c>
      <c r="N1351" s="23">
        <v>0</v>
      </c>
      <c r="O1351" s="7">
        <f t="shared" si="87"/>
        <v>135000</v>
      </c>
      <c r="P1351" s="2" t="s">
        <v>22</v>
      </c>
      <c r="Q1351" t="str">
        <f>_xlfn.XLOOKUP(B1351,Status!$A$2:$A$1867,Status!$B$2:$B$1867)</f>
        <v>Cancelled</v>
      </c>
      <c r="R1351" s="2" t="s">
        <v>36</v>
      </c>
      <c r="S1351" s="8">
        <v>1</v>
      </c>
      <c r="T1351" s="2" t="s">
        <v>37</v>
      </c>
      <c r="U1351" s="31" t="str" cm="1">
        <f t="array" ref="U1351">_xlfn.IFS(L1351&lt;=5000,$Z$3,AND(L1351&gt;5000,L1351&lt;=15000),$Z$4,AND(L1351&gt;15000,L1351&lt;=30000),$Z$5,AND(L1351&gt;30000,L1351&lt;=50000),$Z$6,L1351&gt;50000,$Z$7)</f>
        <v>Rendah</v>
      </c>
      <c r="V1351" s="2"/>
    </row>
    <row r="1352" spans="1:22" ht="15.75" customHeight="1" x14ac:dyDescent="0.25">
      <c r="A1352" s="26"/>
      <c r="B1352" s="2" t="s">
        <v>1731</v>
      </c>
      <c r="C1352" s="32">
        <v>45803.139768518522</v>
      </c>
      <c r="D1352" s="53">
        <f>YEAR(Table1[[#This Row],[Order Date]])</f>
        <v>2025</v>
      </c>
      <c r="E1352" s="2" t="s">
        <v>287</v>
      </c>
      <c r="F1352" s="2" t="s">
        <v>262</v>
      </c>
      <c r="G1352" s="2" t="s">
        <v>58</v>
      </c>
      <c r="H1352" s="23">
        <v>16000</v>
      </c>
      <c r="I1352" s="2">
        <v>5</v>
      </c>
      <c r="J1352" s="31">
        <v>15</v>
      </c>
      <c r="K1352" s="7">
        <f t="shared" si="84"/>
        <v>80000</v>
      </c>
      <c r="L1352" s="7">
        <f t="shared" si="85"/>
        <v>12000</v>
      </c>
      <c r="M1352" s="7">
        <f t="shared" si="86"/>
        <v>68000</v>
      </c>
      <c r="N1352" s="23">
        <v>18000</v>
      </c>
      <c r="O1352" s="7">
        <f t="shared" si="87"/>
        <v>86000</v>
      </c>
      <c r="P1352" s="2" t="s">
        <v>63</v>
      </c>
      <c r="Q1352" t="str">
        <f>_xlfn.XLOOKUP(B1352,Status!$A$2:$A$1867,Status!$B$2:$B$1867)</f>
        <v>Completed</v>
      </c>
      <c r="R1352" s="2" t="s">
        <v>30</v>
      </c>
      <c r="S1352" s="8">
        <v>5</v>
      </c>
      <c r="T1352" s="2" t="s">
        <v>24</v>
      </c>
      <c r="U1352" s="31" t="str" cm="1">
        <f t="array" ref="U1352">_xlfn.IFS(L1352&lt;=5000,$Z$3,AND(L1352&gt;5000,L1352&lt;=15000),$Z$4,AND(L1352&gt;15000,L1352&lt;=30000),$Z$5,AND(L1352&gt;30000,L1352&lt;=50000),$Z$6,L1352&gt;50000,$Z$7)</f>
        <v>Rendah</v>
      </c>
      <c r="V1352" s="2"/>
    </row>
    <row r="1353" spans="1:22" ht="15.75" customHeight="1" x14ac:dyDescent="0.25">
      <c r="A1353" s="26"/>
      <c r="B1353" s="2" t="s">
        <v>1732</v>
      </c>
      <c r="C1353" s="32">
        <v>45803.195162037038</v>
      </c>
      <c r="D1353" s="53">
        <f>YEAR(Table1[[#This Row],[Order Date]])</f>
        <v>2025</v>
      </c>
      <c r="E1353" s="2" t="s">
        <v>197</v>
      </c>
      <c r="F1353" s="2" t="s">
        <v>119</v>
      </c>
      <c r="G1353" s="2" t="s">
        <v>50</v>
      </c>
      <c r="H1353" s="23">
        <v>14000</v>
      </c>
      <c r="I1353" s="2">
        <v>1</v>
      </c>
      <c r="J1353" s="31">
        <v>10</v>
      </c>
      <c r="K1353" s="7">
        <f t="shared" si="84"/>
        <v>14000</v>
      </c>
      <c r="L1353" s="7">
        <f t="shared" si="85"/>
        <v>1400</v>
      </c>
      <c r="M1353" s="7">
        <f t="shared" si="86"/>
        <v>12600</v>
      </c>
      <c r="N1353" s="23">
        <v>0</v>
      </c>
      <c r="O1353" s="7">
        <f t="shared" si="87"/>
        <v>12600</v>
      </c>
      <c r="P1353" s="2" t="s">
        <v>29</v>
      </c>
      <c r="Q1353" t="str">
        <f>_xlfn.XLOOKUP(B1353,Status!$A$2:$A$1867,Status!$B$2:$B$1867)</f>
        <v>Completed</v>
      </c>
      <c r="R1353" s="2" t="s">
        <v>46</v>
      </c>
      <c r="S1353" s="8">
        <v>4</v>
      </c>
      <c r="T1353" s="2" t="s">
        <v>37</v>
      </c>
      <c r="U1353" s="31" t="str" cm="1">
        <f t="array" ref="U1353">_xlfn.IFS(L1353&lt;=5000,$Z$3,AND(L1353&gt;5000,L1353&lt;=15000),$Z$4,AND(L1353&gt;15000,L1353&lt;=30000),$Z$5,AND(L1353&gt;30000,L1353&lt;=50000),$Z$6,L1353&gt;50000,$Z$7)</f>
        <v>Sangat Rendah</v>
      </c>
      <c r="V1353" s="2"/>
    </row>
    <row r="1354" spans="1:22" ht="15.75" customHeight="1" x14ac:dyDescent="0.25">
      <c r="A1354" s="26"/>
      <c r="B1354" s="2" t="s">
        <v>1733</v>
      </c>
      <c r="C1354" s="32">
        <v>45803.279699074083</v>
      </c>
      <c r="D1354" s="53">
        <f>YEAR(Table1[[#This Row],[Order Date]])</f>
        <v>2025</v>
      </c>
      <c r="E1354" s="2" t="s">
        <v>741</v>
      </c>
      <c r="F1354" s="2" t="s">
        <v>189</v>
      </c>
      <c r="G1354" s="2" t="s">
        <v>81</v>
      </c>
      <c r="H1354" s="23">
        <v>17000</v>
      </c>
      <c r="I1354" s="2">
        <v>2</v>
      </c>
      <c r="J1354" s="31">
        <v>10</v>
      </c>
      <c r="K1354" s="7">
        <f t="shared" si="84"/>
        <v>34000</v>
      </c>
      <c r="L1354" s="7">
        <f t="shared" si="85"/>
        <v>3400</v>
      </c>
      <c r="M1354" s="7">
        <f t="shared" si="86"/>
        <v>30600</v>
      </c>
      <c r="N1354" s="23">
        <v>57000</v>
      </c>
      <c r="O1354" s="7">
        <f t="shared" si="87"/>
        <v>87600</v>
      </c>
      <c r="P1354" s="2" t="s">
        <v>29</v>
      </c>
      <c r="Q1354" t="str">
        <f>_xlfn.XLOOKUP(B1354,Status!$A$2:$A$1867,Status!$B$2:$B$1867)</f>
        <v>Completed</v>
      </c>
      <c r="R1354" s="2" t="s">
        <v>23</v>
      </c>
      <c r="S1354" s="8">
        <v>3</v>
      </c>
      <c r="T1354" s="2" t="s">
        <v>24</v>
      </c>
      <c r="U1354" s="31" t="str" cm="1">
        <f t="array" ref="U1354">_xlfn.IFS(L1354&lt;=5000,$Z$3,AND(L1354&gt;5000,L1354&lt;=15000),$Z$4,AND(L1354&gt;15000,L1354&lt;=30000),$Z$5,AND(L1354&gt;30000,L1354&lt;=50000),$Z$6,L1354&gt;50000,$Z$7)</f>
        <v>Sangat Rendah</v>
      </c>
      <c r="V1354" s="2"/>
    </row>
    <row r="1355" spans="1:22" ht="15.75" customHeight="1" x14ac:dyDescent="0.25">
      <c r="A1355" s="26"/>
      <c r="B1355" s="2" t="s">
        <v>1734</v>
      </c>
      <c r="C1355" s="32">
        <v>45803.584502314807</v>
      </c>
      <c r="D1355" s="53">
        <f>YEAR(Table1[[#This Row],[Order Date]])</f>
        <v>2025</v>
      </c>
      <c r="E1355" s="2" t="s">
        <v>1173</v>
      </c>
      <c r="F1355" s="2" t="s">
        <v>170</v>
      </c>
      <c r="G1355" s="2" t="s">
        <v>45</v>
      </c>
      <c r="H1355" s="23">
        <v>40000</v>
      </c>
      <c r="I1355" s="2">
        <v>4</v>
      </c>
      <c r="J1355" s="31">
        <v>20</v>
      </c>
      <c r="K1355" s="7">
        <f t="shared" si="84"/>
        <v>160000</v>
      </c>
      <c r="L1355" s="7">
        <f t="shared" si="85"/>
        <v>32000</v>
      </c>
      <c r="M1355" s="7">
        <f t="shared" si="86"/>
        <v>128000</v>
      </c>
      <c r="N1355" s="23">
        <v>46000</v>
      </c>
      <c r="O1355" s="7">
        <f t="shared" si="87"/>
        <v>174000</v>
      </c>
      <c r="P1355" s="2" t="s">
        <v>22</v>
      </c>
      <c r="Q1355" t="str">
        <f>_xlfn.XLOOKUP(B1355,Status!$A$2:$A$1867,Status!$B$2:$B$1867)</f>
        <v>Returned</v>
      </c>
      <c r="R1355" s="2" t="s">
        <v>46</v>
      </c>
      <c r="S1355" s="8">
        <v>2</v>
      </c>
      <c r="T1355" s="2" t="s">
        <v>24</v>
      </c>
      <c r="U1355" s="31" t="str" cm="1">
        <f t="array" ref="U1355">_xlfn.IFS(L1355&lt;=5000,$Z$3,AND(L1355&gt;5000,L1355&lt;=15000),$Z$4,AND(L1355&gt;15000,L1355&lt;=30000),$Z$5,AND(L1355&gt;30000,L1355&lt;=50000),$Z$6,L1355&gt;50000,$Z$7)</f>
        <v>Tinggi</v>
      </c>
      <c r="V1355" s="2"/>
    </row>
    <row r="1356" spans="1:22" ht="15.75" customHeight="1" x14ac:dyDescent="0.25">
      <c r="A1356" s="26"/>
      <c r="B1356" s="2" t="s">
        <v>1735</v>
      </c>
      <c r="C1356" s="32">
        <v>45803.98578703704</v>
      </c>
      <c r="D1356" s="53">
        <f>YEAR(Table1[[#This Row],[Order Date]])</f>
        <v>2025</v>
      </c>
      <c r="E1356" s="2" t="s">
        <v>184</v>
      </c>
      <c r="F1356" s="2" t="s">
        <v>103</v>
      </c>
      <c r="G1356" s="2" t="s">
        <v>34</v>
      </c>
      <c r="H1356" s="23">
        <v>16000</v>
      </c>
      <c r="I1356" s="2">
        <v>4</v>
      </c>
      <c r="J1356" s="31">
        <v>5</v>
      </c>
      <c r="K1356" s="7">
        <f t="shared" si="84"/>
        <v>64000</v>
      </c>
      <c r="L1356" s="7">
        <f t="shared" si="85"/>
        <v>3200</v>
      </c>
      <c r="M1356" s="7">
        <f t="shared" si="86"/>
        <v>60800</v>
      </c>
      <c r="N1356" s="23">
        <v>85000</v>
      </c>
      <c r="O1356" s="7">
        <f t="shared" si="87"/>
        <v>145800</v>
      </c>
      <c r="P1356" s="2" t="s">
        <v>29</v>
      </c>
      <c r="Q1356" t="str">
        <f>_xlfn.XLOOKUP(B1356,Status!$A$2:$A$1867,Status!$B$2:$B$1867)</f>
        <v>Completed</v>
      </c>
      <c r="R1356" s="2" t="s">
        <v>36</v>
      </c>
      <c r="S1356" s="8">
        <v>4</v>
      </c>
      <c r="T1356" s="2" t="s">
        <v>24</v>
      </c>
      <c r="U1356" s="31" t="str" cm="1">
        <f t="array" ref="U1356">_xlfn.IFS(L1356&lt;=5000,$Z$3,AND(L1356&gt;5000,L1356&lt;=15000),$Z$4,AND(L1356&gt;15000,L1356&lt;=30000),$Z$5,AND(L1356&gt;30000,L1356&lt;=50000),$Z$6,L1356&gt;50000,$Z$7)</f>
        <v>Sangat Rendah</v>
      </c>
      <c r="V1356" s="2"/>
    </row>
    <row r="1357" spans="1:22" ht="15.75" customHeight="1" x14ac:dyDescent="0.25">
      <c r="A1357" s="26"/>
      <c r="B1357" s="2" t="s">
        <v>1736</v>
      </c>
      <c r="C1357" s="32">
        <v>45804.007256944453</v>
      </c>
      <c r="D1357" s="53">
        <f>YEAR(Table1[[#This Row],[Order Date]])</f>
        <v>2025</v>
      </c>
      <c r="E1357" s="2" t="s">
        <v>431</v>
      </c>
      <c r="F1357" s="2" t="s">
        <v>33</v>
      </c>
      <c r="G1357" s="2" t="s">
        <v>34</v>
      </c>
      <c r="H1357" s="23">
        <v>16000</v>
      </c>
      <c r="I1357" s="2">
        <v>3</v>
      </c>
      <c r="J1357" s="31">
        <v>15</v>
      </c>
      <c r="K1357" s="7">
        <f t="shared" si="84"/>
        <v>48000</v>
      </c>
      <c r="L1357" s="7">
        <f t="shared" si="85"/>
        <v>7200</v>
      </c>
      <c r="M1357" s="7">
        <f t="shared" si="86"/>
        <v>40800</v>
      </c>
      <c r="N1357" s="23">
        <v>76000</v>
      </c>
      <c r="O1357" s="7">
        <f t="shared" si="87"/>
        <v>116800</v>
      </c>
      <c r="P1357" s="2" t="s">
        <v>35</v>
      </c>
      <c r="Q1357" t="str">
        <f>_xlfn.XLOOKUP(B1357,Status!$A$2:$A$1867,Status!$B$2:$B$1867)</f>
        <v>Completed</v>
      </c>
      <c r="R1357" s="2" t="s">
        <v>36</v>
      </c>
      <c r="S1357" s="8">
        <v>2</v>
      </c>
      <c r="T1357" s="2" t="s">
        <v>24</v>
      </c>
      <c r="U1357" s="31" t="str" cm="1">
        <f t="array" ref="U1357">_xlfn.IFS(L1357&lt;=5000,$Z$3,AND(L1357&gt;5000,L1357&lt;=15000),$Z$4,AND(L1357&gt;15000,L1357&lt;=30000),$Z$5,AND(L1357&gt;30000,L1357&lt;=50000),$Z$6,L1357&gt;50000,$Z$7)</f>
        <v>Rendah</v>
      </c>
      <c r="V1357" s="2"/>
    </row>
    <row r="1358" spans="1:22" ht="15.75" customHeight="1" x14ac:dyDescent="0.25">
      <c r="A1358" s="26"/>
      <c r="B1358" s="2" t="s">
        <v>1737</v>
      </c>
      <c r="C1358" s="32">
        <v>45804.123182870368</v>
      </c>
      <c r="D1358" s="53">
        <f>YEAR(Table1[[#This Row],[Order Date]])</f>
        <v>2025</v>
      </c>
      <c r="E1358" s="2" t="s">
        <v>780</v>
      </c>
      <c r="F1358" s="2" t="s">
        <v>113</v>
      </c>
      <c r="G1358" s="2" t="s">
        <v>45</v>
      </c>
      <c r="H1358" s="23">
        <v>40000</v>
      </c>
      <c r="I1358" s="2">
        <v>1</v>
      </c>
      <c r="J1358" s="31">
        <v>5</v>
      </c>
      <c r="K1358" s="7">
        <f t="shared" si="84"/>
        <v>40000</v>
      </c>
      <c r="L1358" s="7">
        <f t="shared" si="85"/>
        <v>2000</v>
      </c>
      <c r="M1358" s="7">
        <f t="shared" si="86"/>
        <v>38000</v>
      </c>
      <c r="N1358" s="23">
        <v>18000</v>
      </c>
      <c r="O1358" s="7">
        <f t="shared" si="87"/>
        <v>56000</v>
      </c>
      <c r="P1358" s="2" t="s">
        <v>22</v>
      </c>
      <c r="Q1358" t="str">
        <f>_xlfn.XLOOKUP(B1358,Status!$A$2:$A$1867,Status!$B$2:$B$1867)</f>
        <v>Completed</v>
      </c>
      <c r="R1358" s="2" t="s">
        <v>30</v>
      </c>
      <c r="S1358" s="8">
        <v>1</v>
      </c>
      <c r="T1358" s="2" t="s">
        <v>24</v>
      </c>
      <c r="U1358" s="31" t="str" cm="1">
        <f t="array" ref="U1358">_xlfn.IFS(L1358&lt;=5000,$Z$3,AND(L1358&gt;5000,L1358&lt;=15000),$Z$4,AND(L1358&gt;15000,L1358&lt;=30000),$Z$5,AND(L1358&gt;30000,L1358&lt;=50000),$Z$6,L1358&gt;50000,$Z$7)</f>
        <v>Sangat Rendah</v>
      </c>
      <c r="V1358" s="2"/>
    </row>
    <row r="1359" spans="1:22" ht="15.75" customHeight="1" x14ac:dyDescent="0.25">
      <c r="A1359" s="26"/>
      <c r="B1359" s="2" t="s">
        <v>1738</v>
      </c>
      <c r="C1359" s="32">
        <v>45804.200624999998</v>
      </c>
      <c r="D1359" s="53">
        <f>YEAR(Table1[[#This Row],[Order Date]])</f>
        <v>2025</v>
      </c>
      <c r="E1359" s="2" t="s">
        <v>176</v>
      </c>
      <c r="F1359" s="2" t="s">
        <v>177</v>
      </c>
      <c r="G1359" s="2" t="s">
        <v>136</v>
      </c>
      <c r="H1359" s="23">
        <v>12000</v>
      </c>
      <c r="I1359" s="2">
        <v>3</v>
      </c>
      <c r="J1359" s="31">
        <v>0</v>
      </c>
      <c r="K1359" s="7">
        <f t="shared" si="84"/>
        <v>36000</v>
      </c>
      <c r="L1359" s="7">
        <f t="shared" si="85"/>
        <v>0</v>
      </c>
      <c r="M1359" s="7">
        <f t="shared" si="86"/>
        <v>36000</v>
      </c>
      <c r="N1359" s="23">
        <v>56000</v>
      </c>
      <c r="O1359" s="7">
        <f t="shared" si="87"/>
        <v>92000</v>
      </c>
      <c r="P1359" s="2" t="s">
        <v>35</v>
      </c>
      <c r="Q1359" t="str">
        <f>_xlfn.XLOOKUP(B1359,Status!$A$2:$A$1867,Status!$B$2:$B$1867)</f>
        <v>Completed</v>
      </c>
      <c r="R1359" s="2" t="s">
        <v>82</v>
      </c>
      <c r="S1359" s="8">
        <v>5</v>
      </c>
      <c r="T1359" s="2" t="s">
        <v>24</v>
      </c>
      <c r="U1359" s="31" t="str" cm="1">
        <f t="array" ref="U1359">_xlfn.IFS(L1359&lt;=5000,$Z$3,AND(L1359&gt;5000,L1359&lt;=15000),$Z$4,AND(L1359&gt;15000,L1359&lt;=30000),$Z$5,AND(L1359&gt;30000,L1359&lt;=50000),$Z$6,L1359&gt;50000,$Z$7)</f>
        <v>Sangat Rendah</v>
      </c>
      <c r="V1359" s="2"/>
    </row>
    <row r="1360" spans="1:22" ht="15.75" customHeight="1" x14ac:dyDescent="0.25">
      <c r="A1360" s="26"/>
      <c r="B1360" s="2" t="s">
        <v>1739</v>
      </c>
      <c r="C1360" s="32">
        <v>45804.696400462963</v>
      </c>
      <c r="D1360" s="53">
        <f>YEAR(Table1[[#This Row],[Order Date]])</f>
        <v>2025</v>
      </c>
      <c r="E1360" s="2" t="s">
        <v>431</v>
      </c>
      <c r="F1360" s="2" t="s">
        <v>33</v>
      </c>
      <c r="G1360" s="2" t="s">
        <v>81</v>
      </c>
      <c r="H1360" s="23">
        <v>17000</v>
      </c>
      <c r="I1360" s="2">
        <v>5</v>
      </c>
      <c r="J1360" s="31">
        <v>0</v>
      </c>
      <c r="K1360" s="7">
        <f t="shared" si="84"/>
        <v>85000</v>
      </c>
      <c r="L1360" s="7">
        <f t="shared" si="85"/>
        <v>0</v>
      </c>
      <c r="M1360" s="7">
        <f t="shared" si="86"/>
        <v>85000</v>
      </c>
      <c r="N1360" s="23">
        <v>76000</v>
      </c>
      <c r="O1360" s="7">
        <f t="shared" si="87"/>
        <v>161000</v>
      </c>
      <c r="P1360" s="2" t="s">
        <v>35</v>
      </c>
      <c r="Q1360" t="str">
        <f>_xlfn.XLOOKUP(B1360,Status!$A$2:$A$1867,Status!$B$2:$B$1867)</f>
        <v>Completed</v>
      </c>
      <c r="R1360" s="2" t="s">
        <v>23</v>
      </c>
      <c r="S1360" s="8">
        <v>4</v>
      </c>
      <c r="T1360" s="2" t="s">
        <v>24</v>
      </c>
      <c r="U1360" s="31" t="str" cm="1">
        <f t="array" ref="U1360">_xlfn.IFS(L1360&lt;=5000,$Z$3,AND(L1360&gt;5000,L1360&lt;=15000),$Z$4,AND(L1360&gt;15000,L1360&lt;=30000),$Z$5,AND(L1360&gt;30000,L1360&lt;=50000),$Z$6,L1360&gt;50000,$Z$7)</f>
        <v>Sangat Rendah</v>
      </c>
      <c r="V1360" s="2"/>
    </row>
    <row r="1361" spans="1:22" ht="15.75" customHeight="1" x14ac:dyDescent="0.25">
      <c r="A1361" s="26"/>
      <c r="B1361" s="2" t="s">
        <v>1740</v>
      </c>
      <c r="C1361" s="32">
        <v>45805.642951388887</v>
      </c>
      <c r="D1361" s="53">
        <f>YEAR(Table1[[#This Row],[Order Date]])</f>
        <v>2025</v>
      </c>
      <c r="E1361" s="2" t="s">
        <v>1741</v>
      </c>
      <c r="F1361" s="2" t="s">
        <v>44</v>
      </c>
      <c r="G1361" s="2" t="s">
        <v>190</v>
      </c>
      <c r="H1361" s="23">
        <v>35000</v>
      </c>
      <c r="I1361" s="2">
        <v>2</v>
      </c>
      <c r="J1361" s="31">
        <v>0</v>
      </c>
      <c r="K1361" s="7">
        <f t="shared" si="84"/>
        <v>70000</v>
      </c>
      <c r="L1361" s="7">
        <f t="shared" si="85"/>
        <v>0</v>
      </c>
      <c r="M1361" s="7">
        <f t="shared" si="86"/>
        <v>70000</v>
      </c>
      <c r="N1361" s="23">
        <v>93000</v>
      </c>
      <c r="O1361" s="7">
        <f t="shared" si="87"/>
        <v>163000</v>
      </c>
      <c r="P1361" s="2" t="s">
        <v>63</v>
      </c>
      <c r="Q1361" t="str">
        <f>_xlfn.XLOOKUP(B1361,Status!$A$2:$A$1867,Status!$B$2:$B$1867)</f>
        <v>Returned</v>
      </c>
      <c r="R1361" s="2" t="s">
        <v>36</v>
      </c>
      <c r="S1361" s="8">
        <v>5</v>
      </c>
      <c r="T1361" s="2" t="s">
        <v>24</v>
      </c>
      <c r="U1361" s="31" t="str" cm="1">
        <f t="array" ref="U1361">_xlfn.IFS(L1361&lt;=5000,$Z$3,AND(L1361&gt;5000,L1361&lt;=15000),$Z$4,AND(L1361&gt;15000,L1361&lt;=30000),$Z$5,AND(L1361&gt;30000,L1361&lt;=50000),$Z$6,L1361&gt;50000,$Z$7)</f>
        <v>Sangat Rendah</v>
      </c>
      <c r="V1361" s="2"/>
    </row>
    <row r="1362" spans="1:22" ht="15.75" customHeight="1" x14ac:dyDescent="0.25">
      <c r="A1362" s="26"/>
      <c r="B1362" s="2" t="s">
        <v>1742</v>
      </c>
      <c r="C1362" s="32">
        <v>45805.645462962973</v>
      </c>
      <c r="D1362" s="53">
        <f>YEAR(Table1[[#This Row],[Order Date]])</f>
        <v>2025</v>
      </c>
      <c r="E1362" s="2" t="s">
        <v>416</v>
      </c>
      <c r="F1362" s="2" t="s">
        <v>131</v>
      </c>
      <c r="G1362" s="2" t="s">
        <v>75</v>
      </c>
      <c r="H1362" s="23">
        <v>55000</v>
      </c>
      <c r="I1362" s="2">
        <v>1</v>
      </c>
      <c r="J1362" s="31">
        <v>10</v>
      </c>
      <c r="K1362" s="7">
        <f t="shared" si="84"/>
        <v>55000</v>
      </c>
      <c r="L1362" s="7">
        <f t="shared" si="85"/>
        <v>5500</v>
      </c>
      <c r="M1362" s="7">
        <f t="shared" si="86"/>
        <v>49500</v>
      </c>
      <c r="N1362" s="23">
        <v>59000</v>
      </c>
      <c r="O1362" s="7">
        <f t="shared" si="87"/>
        <v>108500</v>
      </c>
      <c r="P1362" s="2" t="s">
        <v>22</v>
      </c>
      <c r="Q1362" t="str">
        <f>_xlfn.XLOOKUP(B1362,Status!$A$2:$A$1867,Status!$B$2:$B$1867)</f>
        <v>Returned</v>
      </c>
      <c r="R1362" s="2" t="s">
        <v>30</v>
      </c>
      <c r="S1362" s="8">
        <v>2</v>
      </c>
      <c r="T1362" s="2" t="s">
        <v>24</v>
      </c>
      <c r="U1362" s="31" t="str" cm="1">
        <f t="array" ref="U1362">_xlfn.IFS(L1362&lt;=5000,$Z$3,AND(L1362&gt;5000,L1362&lt;=15000),$Z$4,AND(L1362&gt;15000,L1362&lt;=30000),$Z$5,AND(L1362&gt;30000,L1362&lt;=50000),$Z$6,L1362&gt;50000,$Z$7)</f>
        <v>Rendah</v>
      </c>
      <c r="V1362" s="2"/>
    </row>
    <row r="1363" spans="1:22" ht="15.75" customHeight="1" x14ac:dyDescent="0.25">
      <c r="A1363" s="26"/>
      <c r="B1363" s="2" t="s">
        <v>1743</v>
      </c>
      <c r="C1363" s="32">
        <v>45805.911238425928</v>
      </c>
      <c r="D1363" s="53">
        <f>YEAR(Table1[[#This Row],[Order Date]])</f>
        <v>2025</v>
      </c>
      <c r="E1363" s="2" t="s">
        <v>1530</v>
      </c>
      <c r="F1363" s="2" t="s">
        <v>122</v>
      </c>
      <c r="G1363" s="2" t="s">
        <v>41</v>
      </c>
      <c r="H1363" s="23">
        <v>4000</v>
      </c>
      <c r="I1363" s="2">
        <v>5</v>
      </c>
      <c r="J1363" s="31">
        <v>0</v>
      </c>
      <c r="K1363" s="7">
        <f t="shared" si="84"/>
        <v>20000</v>
      </c>
      <c r="L1363" s="7">
        <f t="shared" si="85"/>
        <v>0</v>
      </c>
      <c r="M1363" s="7">
        <f t="shared" si="86"/>
        <v>20000</v>
      </c>
      <c r="N1363" s="23">
        <v>78000</v>
      </c>
      <c r="O1363" s="7">
        <f t="shared" si="87"/>
        <v>98000</v>
      </c>
      <c r="P1363" s="2" t="s">
        <v>29</v>
      </c>
      <c r="Q1363" t="str">
        <f>_xlfn.XLOOKUP(B1363,Status!$A$2:$A$1867,Status!$B$2:$B$1867)</f>
        <v>Returned</v>
      </c>
      <c r="R1363" s="2" t="s">
        <v>23</v>
      </c>
      <c r="S1363" s="8">
        <v>4</v>
      </c>
      <c r="T1363" s="2" t="s">
        <v>24</v>
      </c>
      <c r="U1363" s="31" t="str" cm="1">
        <f t="array" ref="U1363">_xlfn.IFS(L1363&lt;=5000,$Z$3,AND(L1363&gt;5000,L1363&lt;=15000),$Z$4,AND(L1363&gt;15000,L1363&lt;=30000),$Z$5,AND(L1363&gt;30000,L1363&lt;=50000),$Z$6,L1363&gt;50000,$Z$7)</f>
        <v>Sangat Rendah</v>
      </c>
      <c r="V1363" s="2"/>
    </row>
    <row r="1364" spans="1:22" ht="15.75" customHeight="1" x14ac:dyDescent="0.25">
      <c r="A1364" s="26"/>
      <c r="B1364" s="2" t="s">
        <v>1744</v>
      </c>
      <c r="C1364" s="32">
        <v>45806.661747685182</v>
      </c>
      <c r="D1364" s="53">
        <f>YEAR(Table1[[#This Row],[Order Date]])</f>
        <v>2025</v>
      </c>
      <c r="E1364" s="2" t="s">
        <v>87</v>
      </c>
      <c r="F1364" s="2" t="s">
        <v>80</v>
      </c>
      <c r="G1364" s="2" t="s">
        <v>174</v>
      </c>
      <c r="H1364" s="23">
        <v>10000</v>
      </c>
      <c r="I1364" s="2">
        <v>3</v>
      </c>
      <c r="J1364" s="31">
        <v>10</v>
      </c>
      <c r="K1364" s="7">
        <f t="shared" si="84"/>
        <v>30000</v>
      </c>
      <c r="L1364" s="7">
        <f t="shared" si="85"/>
        <v>3000</v>
      </c>
      <c r="M1364" s="7">
        <f t="shared" si="86"/>
        <v>27000</v>
      </c>
      <c r="N1364" s="23">
        <v>74000</v>
      </c>
      <c r="O1364" s="7">
        <f t="shared" si="87"/>
        <v>101000</v>
      </c>
      <c r="P1364" s="2" t="s">
        <v>35</v>
      </c>
      <c r="Q1364" t="str">
        <f>_xlfn.XLOOKUP(B1364,Status!$A$2:$A$1867,Status!$B$2:$B$1867)</f>
        <v>Completed</v>
      </c>
      <c r="R1364" s="2" t="s">
        <v>46</v>
      </c>
      <c r="S1364" s="8">
        <v>1</v>
      </c>
      <c r="T1364" s="2" t="s">
        <v>24</v>
      </c>
      <c r="U1364" s="31" t="str" cm="1">
        <f t="array" ref="U1364">_xlfn.IFS(L1364&lt;=5000,$Z$3,AND(L1364&gt;5000,L1364&lt;=15000),$Z$4,AND(L1364&gt;15000,L1364&lt;=30000),$Z$5,AND(L1364&gt;30000,L1364&lt;=50000),$Z$6,L1364&gt;50000,$Z$7)</f>
        <v>Sangat Rendah</v>
      </c>
      <c r="V1364" s="2"/>
    </row>
    <row r="1365" spans="1:22" ht="15.75" customHeight="1" x14ac:dyDescent="0.25">
      <c r="A1365" s="26"/>
      <c r="B1365" s="2" t="s">
        <v>1745</v>
      </c>
      <c r="C1365" s="32">
        <v>45806.868321759262</v>
      </c>
      <c r="D1365" s="53">
        <f>YEAR(Table1[[#This Row],[Order Date]])</f>
        <v>2025</v>
      </c>
      <c r="E1365" s="2" t="s">
        <v>199</v>
      </c>
      <c r="F1365" s="2" t="s">
        <v>143</v>
      </c>
      <c r="G1365" s="2" t="s">
        <v>38</v>
      </c>
      <c r="H1365" s="23">
        <v>28000</v>
      </c>
      <c r="I1365" s="2">
        <v>4</v>
      </c>
      <c r="J1365" s="31">
        <v>15</v>
      </c>
      <c r="K1365" s="7">
        <f t="shared" si="84"/>
        <v>112000</v>
      </c>
      <c r="L1365" s="7">
        <f t="shared" si="85"/>
        <v>16800</v>
      </c>
      <c r="M1365" s="7">
        <f t="shared" si="86"/>
        <v>95200</v>
      </c>
      <c r="N1365" s="23">
        <v>50000</v>
      </c>
      <c r="O1365" s="7">
        <f t="shared" si="87"/>
        <v>145200</v>
      </c>
      <c r="P1365" s="2" t="s">
        <v>63</v>
      </c>
      <c r="Q1365" t="str">
        <f>_xlfn.XLOOKUP(B1365,Status!$A$2:$A$1867,Status!$B$2:$B$1867)</f>
        <v>Completed</v>
      </c>
      <c r="R1365" s="2" t="s">
        <v>23</v>
      </c>
      <c r="S1365" s="8">
        <v>4</v>
      </c>
      <c r="T1365" s="2" t="s">
        <v>24</v>
      </c>
      <c r="U1365" s="31" t="str" cm="1">
        <f t="array" ref="U1365">_xlfn.IFS(L1365&lt;=5000,$Z$3,AND(L1365&gt;5000,L1365&lt;=15000),$Z$4,AND(L1365&gt;15000,L1365&lt;=30000),$Z$5,AND(L1365&gt;30000,L1365&lt;=50000),$Z$6,L1365&gt;50000,$Z$7)</f>
        <v>Normal</v>
      </c>
      <c r="V1365" s="2"/>
    </row>
    <row r="1366" spans="1:22" ht="15.75" customHeight="1" x14ac:dyDescent="0.25">
      <c r="A1366" s="26"/>
      <c r="B1366" s="2" t="s">
        <v>1746</v>
      </c>
      <c r="C1366" s="32">
        <v>45807.260497685187</v>
      </c>
      <c r="D1366" s="53">
        <f>YEAR(Table1[[#This Row],[Order Date]])</f>
        <v>2025</v>
      </c>
      <c r="E1366" s="2" t="s">
        <v>225</v>
      </c>
      <c r="F1366" s="2" t="s">
        <v>189</v>
      </c>
      <c r="G1366" s="2" t="s">
        <v>88</v>
      </c>
      <c r="H1366" s="23">
        <v>14000</v>
      </c>
      <c r="I1366" s="2">
        <v>5</v>
      </c>
      <c r="J1366" s="31">
        <v>5</v>
      </c>
      <c r="K1366" s="7">
        <f t="shared" si="84"/>
        <v>70000</v>
      </c>
      <c r="L1366" s="7">
        <f t="shared" si="85"/>
        <v>3500</v>
      </c>
      <c r="M1366" s="7">
        <f t="shared" si="86"/>
        <v>66500</v>
      </c>
      <c r="N1366" s="23">
        <v>57000</v>
      </c>
      <c r="O1366" s="7">
        <f t="shared" si="87"/>
        <v>123500</v>
      </c>
      <c r="P1366" s="2" t="s">
        <v>29</v>
      </c>
      <c r="Q1366" t="str">
        <f>_xlfn.XLOOKUP(B1366,Status!$A$2:$A$1867,Status!$B$2:$B$1867)</f>
        <v>Completed</v>
      </c>
      <c r="R1366" s="2" t="s">
        <v>46</v>
      </c>
      <c r="S1366" s="8">
        <v>1</v>
      </c>
      <c r="T1366" s="2" t="s">
        <v>37</v>
      </c>
      <c r="U1366" s="31" t="str" cm="1">
        <f t="array" ref="U1366">_xlfn.IFS(L1366&lt;=5000,$Z$3,AND(L1366&gt;5000,L1366&lt;=15000),$Z$4,AND(L1366&gt;15000,L1366&lt;=30000),$Z$5,AND(L1366&gt;30000,L1366&lt;=50000),$Z$6,L1366&gt;50000,$Z$7)</f>
        <v>Sangat Rendah</v>
      </c>
      <c r="V1366" s="2"/>
    </row>
    <row r="1367" spans="1:22" ht="15.75" customHeight="1" x14ac:dyDescent="0.25">
      <c r="A1367" s="26"/>
      <c r="B1367" s="2" t="s">
        <v>1747</v>
      </c>
      <c r="C1367" s="32">
        <v>45807.876099537039</v>
      </c>
      <c r="D1367" s="53">
        <f>YEAR(Table1[[#This Row],[Order Date]])</f>
        <v>2025</v>
      </c>
      <c r="E1367" s="2" t="s">
        <v>256</v>
      </c>
      <c r="F1367" s="2" t="s">
        <v>107</v>
      </c>
      <c r="G1367" s="2" t="s">
        <v>54</v>
      </c>
      <c r="H1367" s="23">
        <v>16000</v>
      </c>
      <c r="I1367" s="2">
        <v>3</v>
      </c>
      <c r="J1367" s="31">
        <v>0</v>
      </c>
      <c r="K1367" s="7">
        <f t="shared" si="84"/>
        <v>48000</v>
      </c>
      <c r="L1367" s="7">
        <f t="shared" si="85"/>
        <v>0</v>
      </c>
      <c r="M1367" s="7">
        <f t="shared" si="86"/>
        <v>48000</v>
      </c>
      <c r="N1367" s="23">
        <v>97000</v>
      </c>
      <c r="O1367" s="7">
        <f t="shared" si="87"/>
        <v>145000</v>
      </c>
      <c r="P1367" s="2" t="s">
        <v>63</v>
      </c>
      <c r="Q1367" t="str">
        <f>_xlfn.XLOOKUP(B1367,Status!$A$2:$A$1867,Status!$B$2:$B$1867)</f>
        <v>Returned</v>
      </c>
      <c r="R1367" s="2" t="s">
        <v>30</v>
      </c>
      <c r="S1367" s="8">
        <v>2</v>
      </c>
      <c r="T1367" s="2" t="s">
        <v>24</v>
      </c>
      <c r="U1367" s="31" t="str" cm="1">
        <f t="array" ref="U1367">_xlfn.IFS(L1367&lt;=5000,$Z$3,AND(L1367&gt;5000,L1367&lt;=15000),$Z$4,AND(L1367&gt;15000,L1367&lt;=30000),$Z$5,AND(L1367&gt;30000,L1367&lt;=50000),$Z$6,L1367&gt;50000,$Z$7)</f>
        <v>Sangat Rendah</v>
      </c>
      <c r="V1367" s="2"/>
    </row>
    <row r="1368" spans="1:22" ht="15.75" customHeight="1" x14ac:dyDescent="0.25">
      <c r="A1368" s="26"/>
      <c r="B1368" s="2" t="s">
        <v>1748</v>
      </c>
      <c r="C1368" s="32">
        <v>45807.93608796296</v>
      </c>
      <c r="D1368" s="53">
        <f>YEAR(Table1[[#This Row],[Order Date]])</f>
        <v>2025</v>
      </c>
      <c r="E1368" s="2" t="s">
        <v>218</v>
      </c>
      <c r="F1368" s="2" t="s">
        <v>170</v>
      </c>
      <c r="G1368" s="2" t="s">
        <v>58</v>
      </c>
      <c r="H1368" s="23">
        <v>16000</v>
      </c>
      <c r="I1368" s="2">
        <v>4</v>
      </c>
      <c r="J1368" s="31">
        <v>10</v>
      </c>
      <c r="K1368" s="7">
        <f t="shared" si="84"/>
        <v>64000</v>
      </c>
      <c r="L1368" s="7">
        <f t="shared" si="85"/>
        <v>6400</v>
      </c>
      <c r="M1368" s="7">
        <f t="shared" si="86"/>
        <v>57600</v>
      </c>
      <c r="N1368" s="23">
        <v>46000</v>
      </c>
      <c r="O1368" s="7">
        <f t="shared" si="87"/>
        <v>103600</v>
      </c>
      <c r="P1368" s="2" t="s">
        <v>35</v>
      </c>
      <c r="Q1368" t="str">
        <f>_xlfn.XLOOKUP(B1368,Status!$A$2:$A$1867,Status!$B$2:$B$1867)</f>
        <v>Completed</v>
      </c>
      <c r="R1368" s="2" t="s">
        <v>46</v>
      </c>
      <c r="S1368" s="8">
        <v>5</v>
      </c>
      <c r="T1368" s="2" t="s">
        <v>24</v>
      </c>
      <c r="U1368" s="31" t="str" cm="1">
        <f t="array" ref="U1368">_xlfn.IFS(L1368&lt;=5000,$Z$3,AND(L1368&gt;5000,L1368&lt;=15000),$Z$4,AND(L1368&gt;15000,L1368&lt;=30000),$Z$5,AND(L1368&gt;30000,L1368&lt;=50000),$Z$6,L1368&gt;50000,$Z$7)</f>
        <v>Rendah</v>
      </c>
      <c r="V1368" s="2"/>
    </row>
    <row r="1369" spans="1:22" ht="15.75" customHeight="1" x14ac:dyDescent="0.25">
      <c r="A1369" s="26"/>
      <c r="B1369" s="2" t="s">
        <v>1749</v>
      </c>
      <c r="C1369" s="32">
        <v>45808.147893518522</v>
      </c>
      <c r="D1369" s="53">
        <f>YEAR(Table1[[#This Row],[Order Date]])</f>
        <v>2025</v>
      </c>
      <c r="E1369" s="2" t="s">
        <v>355</v>
      </c>
      <c r="F1369" s="2" t="s">
        <v>116</v>
      </c>
      <c r="G1369" s="2" t="s">
        <v>144</v>
      </c>
      <c r="H1369" s="23">
        <v>18000</v>
      </c>
      <c r="I1369" s="2">
        <v>2</v>
      </c>
      <c r="J1369" s="31">
        <v>10</v>
      </c>
      <c r="K1369" s="7">
        <f t="shared" si="84"/>
        <v>36000</v>
      </c>
      <c r="L1369" s="7">
        <f t="shared" si="85"/>
        <v>3600</v>
      </c>
      <c r="M1369" s="7">
        <f t="shared" si="86"/>
        <v>32400</v>
      </c>
      <c r="N1369" s="23">
        <v>72000</v>
      </c>
      <c r="O1369" s="7">
        <f t="shared" si="87"/>
        <v>104400</v>
      </c>
      <c r="P1369" s="2" t="s">
        <v>29</v>
      </c>
      <c r="Q1369" t="str">
        <f>_xlfn.XLOOKUP(B1369,Status!$A$2:$A$1867,Status!$B$2:$B$1867)</f>
        <v>Completed</v>
      </c>
      <c r="R1369" s="2" t="s">
        <v>36</v>
      </c>
      <c r="S1369" s="8">
        <v>2</v>
      </c>
      <c r="T1369" s="2" t="s">
        <v>24</v>
      </c>
      <c r="U1369" s="31" t="str" cm="1">
        <f t="array" ref="U1369">_xlfn.IFS(L1369&lt;=5000,$Z$3,AND(L1369&gt;5000,L1369&lt;=15000),$Z$4,AND(L1369&gt;15000,L1369&lt;=30000),$Z$5,AND(L1369&gt;30000,L1369&lt;=50000),$Z$6,L1369&gt;50000,$Z$7)</f>
        <v>Sangat Rendah</v>
      </c>
      <c r="V1369" s="2"/>
    </row>
    <row r="1370" spans="1:22" ht="15.75" customHeight="1" x14ac:dyDescent="0.25">
      <c r="A1370" s="26"/>
      <c r="B1370" s="2" t="s">
        <v>1750</v>
      </c>
      <c r="C1370" s="32">
        <v>45808.278726851851</v>
      </c>
      <c r="D1370" s="53">
        <f>YEAR(Table1[[#This Row],[Order Date]])</f>
        <v>2025</v>
      </c>
      <c r="E1370" s="2" t="s">
        <v>102</v>
      </c>
      <c r="F1370" s="2" t="s">
        <v>103</v>
      </c>
      <c r="G1370" s="2" t="s">
        <v>144</v>
      </c>
      <c r="H1370" s="23">
        <v>18000</v>
      </c>
      <c r="I1370" s="2">
        <v>1</v>
      </c>
      <c r="J1370" s="31">
        <v>10</v>
      </c>
      <c r="K1370" s="7">
        <f t="shared" si="84"/>
        <v>18000</v>
      </c>
      <c r="L1370" s="7">
        <f t="shared" si="85"/>
        <v>1800</v>
      </c>
      <c r="M1370" s="7">
        <f t="shared" si="86"/>
        <v>16200</v>
      </c>
      <c r="N1370" s="23">
        <v>85000</v>
      </c>
      <c r="O1370" s="7">
        <f t="shared" si="87"/>
        <v>101200</v>
      </c>
      <c r="P1370" s="2" t="s">
        <v>22</v>
      </c>
      <c r="Q1370" t="str">
        <f>_xlfn.XLOOKUP(B1370,Status!$A$2:$A$1867,Status!$B$2:$B$1867)</f>
        <v>Completed</v>
      </c>
      <c r="R1370" s="2" t="s">
        <v>23</v>
      </c>
      <c r="S1370" s="8">
        <v>1</v>
      </c>
      <c r="T1370" s="2" t="s">
        <v>24</v>
      </c>
      <c r="U1370" s="31" t="str" cm="1">
        <f t="array" ref="U1370">_xlfn.IFS(L1370&lt;=5000,$Z$3,AND(L1370&gt;5000,L1370&lt;=15000),$Z$4,AND(L1370&gt;15000,L1370&lt;=30000),$Z$5,AND(L1370&gt;30000,L1370&lt;=50000),$Z$6,L1370&gt;50000,$Z$7)</f>
        <v>Sangat Rendah</v>
      </c>
      <c r="V1370" s="2"/>
    </row>
    <row r="1371" spans="1:22" ht="15.75" customHeight="1" x14ac:dyDescent="0.25">
      <c r="A1371" s="26"/>
      <c r="B1371" s="2" t="s">
        <v>1751</v>
      </c>
      <c r="C1371" s="32">
        <v>45808.335034722222</v>
      </c>
      <c r="D1371" s="53">
        <f>YEAR(Table1[[#This Row],[Order Date]])</f>
        <v>2025</v>
      </c>
      <c r="E1371" s="2" t="s">
        <v>549</v>
      </c>
      <c r="F1371" s="2" t="s">
        <v>107</v>
      </c>
      <c r="G1371" s="2" t="s">
        <v>38</v>
      </c>
      <c r="H1371" s="23">
        <v>28000</v>
      </c>
      <c r="I1371" s="2">
        <v>3</v>
      </c>
      <c r="J1371" s="31">
        <v>10</v>
      </c>
      <c r="K1371" s="7">
        <f t="shared" si="84"/>
        <v>84000</v>
      </c>
      <c r="L1371" s="7">
        <f t="shared" si="85"/>
        <v>8400</v>
      </c>
      <c r="M1371" s="7">
        <f t="shared" si="86"/>
        <v>75600</v>
      </c>
      <c r="N1371" s="23">
        <v>97000</v>
      </c>
      <c r="O1371" s="7">
        <f t="shared" si="87"/>
        <v>172600</v>
      </c>
      <c r="P1371" s="2" t="s">
        <v>63</v>
      </c>
      <c r="Q1371" t="str">
        <f>_xlfn.XLOOKUP(B1371,Status!$A$2:$A$1867,Status!$B$2:$B$1867)</f>
        <v>Completed</v>
      </c>
      <c r="R1371" s="2" t="s">
        <v>23</v>
      </c>
      <c r="S1371" s="8">
        <v>5</v>
      </c>
      <c r="T1371" s="2" t="s">
        <v>24</v>
      </c>
      <c r="U1371" s="31" t="str" cm="1">
        <f t="array" ref="U1371">_xlfn.IFS(L1371&lt;=5000,$Z$3,AND(L1371&gt;5000,L1371&lt;=15000),$Z$4,AND(L1371&gt;15000,L1371&lt;=30000),$Z$5,AND(L1371&gt;30000,L1371&lt;=50000),$Z$6,L1371&gt;50000,$Z$7)</f>
        <v>Rendah</v>
      </c>
      <c r="V1371" s="2"/>
    </row>
    <row r="1372" spans="1:22" ht="15.75" customHeight="1" x14ac:dyDescent="0.25">
      <c r="A1372" s="26"/>
      <c r="B1372" s="2" t="s">
        <v>1751</v>
      </c>
      <c r="C1372" s="32">
        <v>45808.335034722222</v>
      </c>
      <c r="D1372" s="53">
        <f>YEAR(Table1[[#This Row],[Order Date]])</f>
        <v>2025</v>
      </c>
      <c r="E1372" s="2" t="s">
        <v>549</v>
      </c>
      <c r="F1372" s="2" t="s">
        <v>107</v>
      </c>
      <c r="G1372" s="2" t="s">
        <v>41</v>
      </c>
      <c r="H1372" s="23">
        <v>4000</v>
      </c>
      <c r="I1372" s="2">
        <v>5</v>
      </c>
      <c r="J1372" s="31">
        <v>0</v>
      </c>
      <c r="K1372" s="7">
        <f t="shared" si="84"/>
        <v>20000</v>
      </c>
      <c r="L1372" s="7">
        <f t="shared" si="85"/>
        <v>0</v>
      </c>
      <c r="M1372" s="7">
        <f t="shared" si="86"/>
        <v>20000</v>
      </c>
      <c r="N1372" s="23">
        <v>0</v>
      </c>
      <c r="O1372" s="7">
        <f t="shared" si="87"/>
        <v>20000</v>
      </c>
      <c r="P1372" s="2" t="s">
        <v>63</v>
      </c>
      <c r="Q1372" t="str">
        <f>_xlfn.XLOOKUP(B1372,Status!$A$2:$A$1867,Status!$B$2:$B$1867)</f>
        <v>Completed</v>
      </c>
      <c r="R1372" s="2" t="s">
        <v>23</v>
      </c>
      <c r="S1372" s="8">
        <v>5</v>
      </c>
      <c r="T1372" s="2" t="s">
        <v>24</v>
      </c>
      <c r="U1372" s="31" t="str" cm="1">
        <f t="array" ref="U1372">_xlfn.IFS(L1372&lt;=5000,$Z$3,AND(L1372&gt;5000,L1372&lt;=15000),$Z$4,AND(L1372&gt;15000,L1372&lt;=30000),$Z$5,AND(L1372&gt;30000,L1372&lt;=50000),$Z$6,L1372&gt;50000,$Z$7)</f>
        <v>Sangat Rendah</v>
      </c>
      <c r="V1372" s="2"/>
    </row>
    <row r="1373" spans="1:22" ht="15.75" customHeight="1" x14ac:dyDescent="0.25">
      <c r="A1373" s="26"/>
      <c r="B1373" s="2" t="s">
        <v>1752</v>
      </c>
      <c r="C1373" s="32">
        <v>45808.48159722222</v>
      </c>
      <c r="D1373" s="53">
        <f>YEAR(Table1[[#This Row],[Order Date]])</f>
        <v>2025</v>
      </c>
      <c r="E1373" s="2" t="s">
        <v>179</v>
      </c>
      <c r="F1373" s="2" t="s">
        <v>66</v>
      </c>
      <c r="G1373" s="2" t="s">
        <v>54</v>
      </c>
      <c r="H1373" s="23">
        <v>16000</v>
      </c>
      <c r="I1373" s="2">
        <v>5</v>
      </c>
      <c r="J1373" s="31">
        <v>0</v>
      </c>
      <c r="K1373" s="7">
        <f t="shared" si="84"/>
        <v>80000</v>
      </c>
      <c r="L1373" s="7">
        <f t="shared" si="85"/>
        <v>0</v>
      </c>
      <c r="M1373" s="7">
        <f t="shared" si="86"/>
        <v>80000</v>
      </c>
      <c r="N1373" s="23">
        <v>59000</v>
      </c>
      <c r="O1373" s="7">
        <f t="shared" si="87"/>
        <v>139000</v>
      </c>
      <c r="P1373" s="2" t="s">
        <v>63</v>
      </c>
      <c r="Q1373" t="str">
        <f>_xlfn.XLOOKUP(B1373,Status!$A$2:$A$1867,Status!$B$2:$B$1867)</f>
        <v>Completed</v>
      </c>
      <c r="R1373" s="2" t="s">
        <v>46</v>
      </c>
      <c r="S1373" s="8">
        <v>2</v>
      </c>
      <c r="T1373" s="2" t="s">
        <v>24</v>
      </c>
      <c r="U1373" s="31" t="str" cm="1">
        <f t="array" ref="U1373">_xlfn.IFS(L1373&lt;=5000,$Z$3,AND(L1373&gt;5000,L1373&lt;=15000),$Z$4,AND(L1373&gt;15000,L1373&lt;=30000),$Z$5,AND(L1373&gt;30000,L1373&lt;=50000),$Z$6,L1373&gt;50000,$Z$7)</f>
        <v>Sangat Rendah</v>
      </c>
      <c r="V1373" s="2"/>
    </row>
    <row r="1374" spans="1:22" ht="15.75" customHeight="1" x14ac:dyDescent="0.25">
      <c r="A1374" s="26"/>
      <c r="B1374" s="2" t="s">
        <v>1753</v>
      </c>
      <c r="C1374" s="32">
        <v>45808.593981481477</v>
      </c>
      <c r="D1374" s="53">
        <f>YEAR(Table1[[#This Row],[Order Date]])</f>
        <v>2025</v>
      </c>
      <c r="E1374" s="2" t="s">
        <v>314</v>
      </c>
      <c r="F1374" s="2" t="s">
        <v>113</v>
      </c>
      <c r="G1374" s="2" t="s">
        <v>75</v>
      </c>
      <c r="H1374" s="23">
        <v>55000</v>
      </c>
      <c r="I1374" s="2">
        <v>4</v>
      </c>
      <c r="J1374" s="31">
        <v>0</v>
      </c>
      <c r="K1374" s="7">
        <f t="shared" si="84"/>
        <v>220000</v>
      </c>
      <c r="L1374" s="7">
        <f t="shared" si="85"/>
        <v>0</v>
      </c>
      <c r="M1374" s="7">
        <f t="shared" si="86"/>
        <v>220000</v>
      </c>
      <c r="N1374" s="23">
        <v>18000</v>
      </c>
      <c r="O1374" s="7">
        <f t="shared" si="87"/>
        <v>238000</v>
      </c>
      <c r="P1374" s="2" t="s">
        <v>22</v>
      </c>
      <c r="Q1374" t="str">
        <f>_xlfn.XLOOKUP(B1374,Status!$A$2:$A$1867,Status!$B$2:$B$1867)</f>
        <v>Completed</v>
      </c>
      <c r="R1374" s="2" t="s">
        <v>30</v>
      </c>
      <c r="S1374" s="8">
        <v>1</v>
      </c>
      <c r="T1374" s="2" t="s">
        <v>24</v>
      </c>
      <c r="U1374" s="31" t="str" cm="1">
        <f t="array" ref="U1374">_xlfn.IFS(L1374&lt;=5000,$Z$3,AND(L1374&gt;5000,L1374&lt;=15000),$Z$4,AND(L1374&gt;15000,L1374&lt;=30000),$Z$5,AND(L1374&gt;30000,L1374&lt;=50000),$Z$6,L1374&gt;50000,$Z$7)</f>
        <v>Sangat Rendah</v>
      </c>
      <c r="V1374" s="2"/>
    </row>
    <row r="1375" spans="1:22" ht="15.75" customHeight="1" x14ac:dyDescent="0.25">
      <c r="A1375" s="26"/>
      <c r="B1375" s="2" t="s">
        <v>1754</v>
      </c>
      <c r="C1375" s="32">
        <v>45809.02171296296</v>
      </c>
      <c r="D1375" s="53">
        <f>YEAR(Table1[[#This Row],[Order Date]])</f>
        <v>2025</v>
      </c>
      <c r="E1375" s="2" t="s">
        <v>302</v>
      </c>
      <c r="F1375" s="2" t="s">
        <v>74</v>
      </c>
      <c r="G1375" s="2" t="s">
        <v>190</v>
      </c>
      <c r="H1375" s="23">
        <v>35000</v>
      </c>
      <c r="I1375" s="2">
        <v>2</v>
      </c>
      <c r="J1375" s="31">
        <v>10</v>
      </c>
      <c r="K1375" s="7">
        <f t="shared" si="84"/>
        <v>70000</v>
      </c>
      <c r="L1375" s="7">
        <f t="shared" si="85"/>
        <v>7000</v>
      </c>
      <c r="M1375" s="7">
        <f t="shared" si="86"/>
        <v>63000</v>
      </c>
      <c r="N1375" s="23">
        <v>87000</v>
      </c>
      <c r="O1375" s="7">
        <f t="shared" si="87"/>
        <v>150000</v>
      </c>
      <c r="P1375" s="2" t="s">
        <v>29</v>
      </c>
      <c r="Q1375" t="str">
        <f>_xlfn.XLOOKUP(B1375,Status!$A$2:$A$1867,Status!$B$2:$B$1867)</f>
        <v>Completed</v>
      </c>
      <c r="R1375" s="2" t="s">
        <v>82</v>
      </c>
      <c r="S1375" s="8">
        <v>2</v>
      </c>
      <c r="T1375" s="2" t="s">
        <v>24</v>
      </c>
      <c r="U1375" s="31" t="str" cm="1">
        <f t="array" ref="U1375">_xlfn.IFS(L1375&lt;=5000,$Z$3,AND(L1375&gt;5000,L1375&lt;=15000),$Z$4,AND(L1375&gt;15000,L1375&lt;=30000),$Z$5,AND(L1375&gt;30000,L1375&lt;=50000),$Z$6,L1375&gt;50000,$Z$7)</f>
        <v>Rendah</v>
      </c>
      <c r="V1375" s="2"/>
    </row>
    <row r="1376" spans="1:22" ht="15.75" customHeight="1" x14ac:dyDescent="0.25">
      <c r="A1376" s="26"/>
      <c r="B1376" s="2" t="s">
        <v>1755</v>
      </c>
      <c r="C1376" s="32">
        <v>45809.438032407408</v>
      </c>
      <c r="D1376" s="53">
        <f>YEAR(Table1[[#This Row],[Order Date]])</f>
        <v>2025</v>
      </c>
      <c r="E1376" s="2" t="s">
        <v>900</v>
      </c>
      <c r="F1376" s="2" t="s">
        <v>27</v>
      </c>
      <c r="G1376" s="2" t="s">
        <v>54</v>
      </c>
      <c r="H1376" s="23">
        <v>16000</v>
      </c>
      <c r="I1376" s="2">
        <v>1</v>
      </c>
      <c r="J1376" s="31">
        <v>0</v>
      </c>
      <c r="K1376" s="7">
        <f t="shared" si="84"/>
        <v>16000</v>
      </c>
      <c r="L1376" s="7">
        <f t="shared" si="85"/>
        <v>0</v>
      </c>
      <c r="M1376" s="7">
        <f t="shared" si="86"/>
        <v>16000</v>
      </c>
      <c r="N1376" s="23">
        <v>17000</v>
      </c>
      <c r="O1376" s="7">
        <f t="shared" si="87"/>
        <v>33000</v>
      </c>
      <c r="P1376" s="2" t="s">
        <v>29</v>
      </c>
      <c r="Q1376" t="str">
        <f>_xlfn.XLOOKUP(B1376,Status!$A$2:$A$1867,Status!$B$2:$B$1867)</f>
        <v>Completed</v>
      </c>
      <c r="R1376" s="2" t="s">
        <v>46</v>
      </c>
      <c r="S1376" s="8">
        <v>3</v>
      </c>
      <c r="T1376" s="2" t="s">
        <v>24</v>
      </c>
      <c r="U1376" s="31" t="str" cm="1">
        <f t="array" ref="U1376">_xlfn.IFS(L1376&lt;=5000,$Z$3,AND(L1376&gt;5000,L1376&lt;=15000),$Z$4,AND(L1376&gt;15000,L1376&lt;=30000),$Z$5,AND(L1376&gt;30000,L1376&lt;=50000),$Z$6,L1376&gt;50000,$Z$7)</f>
        <v>Sangat Rendah</v>
      </c>
      <c r="V1376" s="2"/>
    </row>
    <row r="1377" spans="1:22" ht="15.75" customHeight="1" x14ac:dyDescent="0.25">
      <c r="A1377" s="26"/>
      <c r="B1377" s="2" t="s">
        <v>1756</v>
      </c>
      <c r="C1377" s="32">
        <v>45809.503657407397</v>
      </c>
      <c r="D1377" s="53">
        <f>YEAR(Table1[[#This Row],[Order Date]])</f>
        <v>2025</v>
      </c>
      <c r="E1377" s="2" t="s">
        <v>1757</v>
      </c>
      <c r="F1377" s="2" t="s">
        <v>74</v>
      </c>
      <c r="G1377" s="2" t="s">
        <v>21</v>
      </c>
      <c r="H1377" s="23">
        <v>45000</v>
      </c>
      <c r="I1377" s="2">
        <v>3</v>
      </c>
      <c r="J1377" s="31">
        <v>15</v>
      </c>
      <c r="K1377" s="7">
        <f t="shared" si="84"/>
        <v>135000</v>
      </c>
      <c r="L1377" s="7">
        <f t="shared" si="85"/>
        <v>20250</v>
      </c>
      <c r="M1377" s="7">
        <f t="shared" si="86"/>
        <v>114750</v>
      </c>
      <c r="N1377" s="23">
        <v>87000</v>
      </c>
      <c r="O1377" s="7">
        <f t="shared" si="87"/>
        <v>201750</v>
      </c>
      <c r="P1377" s="2" t="s">
        <v>22</v>
      </c>
      <c r="Q1377" t="str">
        <f>_xlfn.XLOOKUP(B1377,Status!$A$2:$A$1867,Status!$B$2:$B$1867)</f>
        <v>Completed</v>
      </c>
      <c r="R1377" s="2" t="s">
        <v>30</v>
      </c>
      <c r="S1377" s="8">
        <v>3</v>
      </c>
      <c r="T1377" s="2" t="s">
        <v>37</v>
      </c>
      <c r="U1377" s="31" t="str" cm="1">
        <f t="array" ref="U1377">_xlfn.IFS(L1377&lt;=5000,$Z$3,AND(L1377&gt;5000,L1377&lt;=15000),$Z$4,AND(L1377&gt;15000,L1377&lt;=30000),$Z$5,AND(L1377&gt;30000,L1377&lt;=50000),$Z$6,L1377&gt;50000,$Z$7)</f>
        <v>Normal</v>
      </c>
      <c r="V1377" s="2"/>
    </row>
    <row r="1378" spans="1:22" ht="15.75" customHeight="1" x14ac:dyDescent="0.25">
      <c r="A1378" s="26"/>
      <c r="B1378" s="2" t="s">
        <v>1758</v>
      </c>
      <c r="C1378" s="32">
        <v>45809.878032407411</v>
      </c>
      <c r="D1378" s="53">
        <f>YEAR(Table1[[#This Row],[Order Date]])</f>
        <v>2025</v>
      </c>
      <c r="E1378" s="2" t="s">
        <v>60</v>
      </c>
      <c r="F1378" s="2" t="s">
        <v>61</v>
      </c>
      <c r="G1378" s="2" t="s">
        <v>110</v>
      </c>
      <c r="H1378" s="23">
        <v>6000</v>
      </c>
      <c r="I1378" s="2">
        <v>1</v>
      </c>
      <c r="J1378" s="31">
        <v>0</v>
      </c>
      <c r="K1378" s="7">
        <f t="shared" si="84"/>
        <v>6000</v>
      </c>
      <c r="L1378" s="7">
        <f t="shared" si="85"/>
        <v>0</v>
      </c>
      <c r="M1378" s="7">
        <f t="shared" si="86"/>
        <v>6000</v>
      </c>
      <c r="N1378" s="23">
        <v>26000</v>
      </c>
      <c r="O1378" s="7">
        <f t="shared" si="87"/>
        <v>32000</v>
      </c>
      <c r="P1378" s="2" t="s">
        <v>63</v>
      </c>
      <c r="Q1378" t="str">
        <f>_xlfn.XLOOKUP(B1378,Status!$A$2:$A$1867,Status!$B$2:$B$1867)</f>
        <v>Returned</v>
      </c>
      <c r="R1378" s="2" t="s">
        <v>82</v>
      </c>
      <c r="S1378" s="8">
        <v>3</v>
      </c>
      <c r="T1378" s="2" t="s">
        <v>24</v>
      </c>
      <c r="U1378" s="31" t="str" cm="1">
        <f t="array" ref="U1378">_xlfn.IFS(L1378&lt;=5000,$Z$3,AND(L1378&gt;5000,L1378&lt;=15000),$Z$4,AND(L1378&gt;15000,L1378&lt;=30000),$Z$5,AND(L1378&gt;30000,L1378&lt;=50000),$Z$6,L1378&gt;50000,$Z$7)</f>
        <v>Sangat Rendah</v>
      </c>
      <c r="V1378" s="2"/>
    </row>
    <row r="1379" spans="1:22" ht="15.75" customHeight="1" x14ac:dyDescent="0.25">
      <c r="A1379" s="26"/>
      <c r="B1379" s="2" t="s">
        <v>1759</v>
      </c>
      <c r="C1379" s="32">
        <v>45810.018136574072</v>
      </c>
      <c r="D1379" s="53">
        <f>YEAR(Table1[[#This Row],[Order Date]])</f>
        <v>2025</v>
      </c>
      <c r="E1379" s="2" t="s">
        <v>441</v>
      </c>
      <c r="F1379" s="2" t="s">
        <v>116</v>
      </c>
      <c r="G1379" s="2" t="s">
        <v>67</v>
      </c>
      <c r="H1379" s="23">
        <v>15000</v>
      </c>
      <c r="I1379" s="2">
        <v>5</v>
      </c>
      <c r="J1379" s="31">
        <v>0</v>
      </c>
      <c r="K1379" s="7">
        <f t="shared" si="84"/>
        <v>75000</v>
      </c>
      <c r="L1379" s="7">
        <f t="shared" si="85"/>
        <v>0</v>
      </c>
      <c r="M1379" s="7">
        <f t="shared" si="86"/>
        <v>75000</v>
      </c>
      <c r="N1379" s="23">
        <v>72000</v>
      </c>
      <c r="O1379" s="7">
        <f t="shared" si="87"/>
        <v>147000</v>
      </c>
      <c r="P1379" s="2" t="s">
        <v>35</v>
      </c>
      <c r="Q1379" t="str">
        <f>_xlfn.XLOOKUP(B1379,Status!$A$2:$A$1867,Status!$B$2:$B$1867)</f>
        <v>Completed</v>
      </c>
      <c r="R1379" s="2" t="s">
        <v>30</v>
      </c>
      <c r="S1379" s="8">
        <v>4</v>
      </c>
      <c r="T1379" s="2" t="s">
        <v>37</v>
      </c>
      <c r="U1379" s="31" t="str" cm="1">
        <f t="array" ref="U1379">_xlfn.IFS(L1379&lt;=5000,$Z$3,AND(L1379&gt;5000,L1379&lt;=15000),$Z$4,AND(L1379&gt;15000,L1379&lt;=30000),$Z$5,AND(L1379&gt;30000,L1379&lt;=50000),$Z$6,L1379&gt;50000,$Z$7)</f>
        <v>Sangat Rendah</v>
      </c>
      <c r="V1379" s="2"/>
    </row>
    <row r="1380" spans="1:22" ht="15.75" customHeight="1" x14ac:dyDescent="0.25">
      <c r="A1380" s="26"/>
      <c r="B1380" s="2" t="s">
        <v>1759</v>
      </c>
      <c r="C1380" s="32">
        <v>45810.018136574072</v>
      </c>
      <c r="D1380" s="53">
        <f>YEAR(Table1[[#This Row],[Order Date]])</f>
        <v>2025</v>
      </c>
      <c r="E1380" s="2" t="s">
        <v>441</v>
      </c>
      <c r="F1380" s="2" t="s">
        <v>116</v>
      </c>
      <c r="G1380" s="2" t="s">
        <v>104</v>
      </c>
      <c r="H1380" s="23">
        <v>30000</v>
      </c>
      <c r="I1380" s="2">
        <v>1</v>
      </c>
      <c r="J1380" s="31">
        <v>10</v>
      </c>
      <c r="K1380" s="7">
        <f t="shared" si="84"/>
        <v>30000</v>
      </c>
      <c r="L1380" s="7">
        <f t="shared" si="85"/>
        <v>3000</v>
      </c>
      <c r="M1380" s="7">
        <f t="shared" si="86"/>
        <v>27000</v>
      </c>
      <c r="N1380" s="23">
        <v>0</v>
      </c>
      <c r="O1380" s="7">
        <f t="shared" si="87"/>
        <v>27000</v>
      </c>
      <c r="P1380" s="2" t="s">
        <v>35</v>
      </c>
      <c r="Q1380" t="str">
        <f>_xlfn.XLOOKUP(B1380,Status!$A$2:$A$1867,Status!$B$2:$B$1867)</f>
        <v>Completed</v>
      </c>
      <c r="R1380" s="2" t="s">
        <v>30</v>
      </c>
      <c r="S1380" s="8">
        <v>4</v>
      </c>
      <c r="T1380" s="2" t="s">
        <v>37</v>
      </c>
      <c r="U1380" s="31" t="str" cm="1">
        <f t="array" ref="U1380">_xlfn.IFS(L1380&lt;=5000,$Z$3,AND(L1380&gt;5000,L1380&lt;=15000),$Z$4,AND(L1380&gt;15000,L1380&lt;=30000),$Z$5,AND(L1380&gt;30000,L1380&lt;=50000),$Z$6,L1380&gt;50000,$Z$7)</f>
        <v>Sangat Rendah</v>
      </c>
      <c r="V1380" s="2"/>
    </row>
    <row r="1381" spans="1:22" ht="15.75" customHeight="1" x14ac:dyDescent="0.25">
      <c r="A1381" s="26"/>
      <c r="B1381" s="2" t="s">
        <v>1760</v>
      </c>
      <c r="C1381" s="32">
        <v>45810.365717592591</v>
      </c>
      <c r="D1381" s="53">
        <f>YEAR(Table1[[#This Row],[Order Date]])</f>
        <v>2025</v>
      </c>
      <c r="E1381" s="2" t="s">
        <v>1228</v>
      </c>
      <c r="F1381" s="2" t="s">
        <v>33</v>
      </c>
      <c r="G1381" s="2" t="s">
        <v>138</v>
      </c>
      <c r="H1381" s="23">
        <v>17000</v>
      </c>
      <c r="I1381" s="2">
        <v>4</v>
      </c>
      <c r="J1381" s="31">
        <v>10</v>
      </c>
      <c r="K1381" s="7">
        <f t="shared" si="84"/>
        <v>68000</v>
      </c>
      <c r="L1381" s="7">
        <f t="shared" si="85"/>
        <v>6800</v>
      </c>
      <c r="M1381" s="7">
        <f t="shared" si="86"/>
        <v>61200</v>
      </c>
      <c r="N1381" s="23">
        <v>76000</v>
      </c>
      <c r="O1381" s="7">
        <f t="shared" si="87"/>
        <v>137200</v>
      </c>
      <c r="P1381" s="2" t="s">
        <v>29</v>
      </c>
      <c r="Q1381" t="str">
        <f>_xlfn.XLOOKUP(B1381,Status!$A$2:$A$1867,Status!$B$2:$B$1867)</f>
        <v>Completed</v>
      </c>
      <c r="R1381" s="2" t="s">
        <v>30</v>
      </c>
      <c r="S1381" s="8">
        <v>3</v>
      </c>
      <c r="T1381" s="2" t="s">
        <v>24</v>
      </c>
      <c r="U1381" s="31" t="str" cm="1">
        <f t="array" ref="U1381">_xlfn.IFS(L1381&lt;=5000,$Z$3,AND(L1381&gt;5000,L1381&lt;=15000),$Z$4,AND(L1381&gt;15000,L1381&lt;=30000),$Z$5,AND(L1381&gt;30000,L1381&lt;=50000),$Z$6,L1381&gt;50000,$Z$7)</f>
        <v>Rendah</v>
      </c>
      <c r="V1381" s="2"/>
    </row>
    <row r="1382" spans="1:22" ht="15.75" customHeight="1" x14ac:dyDescent="0.25">
      <c r="A1382" s="26"/>
      <c r="B1382" s="2" t="s">
        <v>1761</v>
      </c>
      <c r="C1382" s="32">
        <v>45810.574479166673</v>
      </c>
      <c r="D1382" s="53">
        <f>YEAR(Table1[[#This Row],[Order Date]])</f>
        <v>2025</v>
      </c>
      <c r="E1382" s="2" t="s">
        <v>1574</v>
      </c>
      <c r="F1382" s="2" t="s">
        <v>33</v>
      </c>
      <c r="G1382" s="2" t="s">
        <v>50</v>
      </c>
      <c r="H1382" s="23">
        <v>14000</v>
      </c>
      <c r="I1382" s="2">
        <v>4</v>
      </c>
      <c r="J1382" s="31">
        <v>15</v>
      </c>
      <c r="K1382" s="7">
        <f t="shared" si="84"/>
        <v>56000</v>
      </c>
      <c r="L1382" s="7">
        <f t="shared" si="85"/>
        <v>8400</v>
      </c>
      <c r="M1382" s="7">
        <f t="shared" si="86"/>
        <v>47600</v>
      </c>
      <c r="N1382" s="23">
        <v>76000</v>
      </c>
      <c r="O1382" s="7">
        <f t="shared" si="87"/>
        <v>123600</v>
      </c>
      <c r="P1382" s="2" t="s">
        <v>35</v>
      </c>
      <c r="Q1382" t="str">
        <f>_xlfn.XLOOKUP(B1382,Status!$A$2:$A$1867,Status!$B$2:$B$1867)</f>
        <v>Completed</v>
      </c>
      <c r="R1382" s="2" t="s">
        <v>23</v>
      </c>
      <c r="S1382" s="8">
        <v>5</v>
      </c>
      <c r="T1382" s="2" t="s">
        <v>24</v>
      </c>
      <c r="U1382" s="31" t="str" cm="1">
        <f t="array" ref="U1382">_xlfn.IFS(L1382&lt;=5000,$Z$3,AND(L1382&gt;5000,L1382&lt;=15000),$Z$4,AND(L1382&gt;15000,L1382&lt;=30000),$Z$5,AND(L1382&gt;30000,L1382&lt;=50000),$Z$6,L1382&gt;50000,$Z$7)</f>
        <v>Rendah</v>
      </c>
      <c r="V1382" s="2"/>
    </row>
    <row r="1383" spans="1:22" ht="15.75" customHeight="1" x14ac:dyDescent="0.25">
      <c r="A1383" s="26"/>
      <c r="B1383" s="2" t="s">
        <v>1762</v>
      </c>
      <c r="C1383" s="32">
        <v>45810.617997685193</v>
      </c>
      <c r="D1383" s="53">
        <f>YEAR(Table1[[#This Row],[Order Date]])</f>
        <v>2025</v>
      </c>
      <c r="E1383" s="2" t="s">
        <v>91</v>
      </c>
      <c r="F1383" s="2" t="s">
        <v>92</v>
      </c>
      <c r="G1383" s="2" t="s">
        <v>110</v>
      </c>
      <c r="H1383" s="23">
        <v>6000</v>
      </c>
      <c r="I1383" s="2">
        <v>5</v>
      </c>
      <c r="J1383" s="31">
        <v>10</v>
      </c>
      <c r="K1383" s="7">
        <f t="shared" si="84"/>
        <v>30000</v>
      </c>
      <c r="L1383" s="7">
        <f t="shared" si="85"/>
        <v>3000</v>
      </c>
      <c r="M1383" s="7">
        <f t="shared" si="86"/>
        <v>27000</v>
      </c>
      <c r="N1383" s="23">
        <v>30000</v>
      </c>
      <c r="O1383" s="7">
        <f t="shared" si="87"/>
        <v>57000</v>
      </c>
      <c r="P1383" s="2" t="s">
        <v>22</v>
      </c>
      <c r="Q1383" t="str">
        <f>_xlfn.XLOOKUP(B1383,Status!$A$2:$A$1867,Status!$B$2:$B$1867)</f>
        <v>Cancelled</v>
      </c>
      <c r="R1383" s="2" t="s">
        <v>36</v>
      </c>
      <c r="S1383" s="8">
        <v>3</v>
      </c>
      <c r="T1383" s="2" t="s">
        <v>24</v>
      </c>
      <c r="U1383" s="31" t="str" cm="1">
        <f t="array" ref="U1383">_xlfn.IFS(L1383&lt;=5000,$Z$3,AND(L1383&gt;5000,L1383&lt;=15000),$Z$4,AND(L1383&gt;15000,L1383&lt;=30000),$Z$5,AND(L1383&gt;30000,L1383&lt;=50000),$Z$6,L1383&gt;50000,$Z$7)</f>
        <v>Sangat Rendah</v>
      </c>
      <c r="V1383" s="2"/>
    </row>
    <row r="1384" spans="1:22" ht="15.75" customHeight="1" x14ac:dyDescent="0.25">
      <c r="A1384" s="26"/>
      <c r="B1384" s="2" t="s">
        <v>1762</v>
      </c>
      <c r="C1384" s="32">
        <v>45810.617997685193</v>
      </c>
      <c r="D1384" s="53">
        <f>YEAR(Table1[[#This Row],[Order Date]])</f>
        <v>2025</v>
      </c>
      <c r="E1384" s="2" t="s">
        <v>91</v>
      </c>
      <c r="F1384" s="2" t="s">
        <v>92</v>
      </c>
      <c r="G1384" s="2" t="s">
        <v>28</v>
      </c>
      <c r="H1384" s="23">
        <v>5000</v>
      </c>
      <c r="I1384" s="2">
        <v>5</v>
      </c>
      <c r="J1384" s="31">
        <v>10</v>
      </c>
      <c r="K1384" s="7">
        <f t="shared" si="84"/>
        <v>25000</v>
      </c>
      <c r="L1384" s="7">
        <f t="shared" si="85"/>
        <v>2500</v>
      </c>
      <c r="M1384" s="7">
        <f t="shared" si="86"/>
        <v>22500</v>
      </c>
      <c r="N1384" s="23">
        <v>0</v>
      </c>
      <c r="O1384" s="7">
        <f t="shared" si="87"/>
        <v>22500</v>
      </c>
      <c r="P1384" s="2" t="s">
        <v>22</v>
      </c>
      <c r="Q1384" t="str">
        <f>_xlfn.XLOOKUP(B1384,Status!$A$2:$A$1867,Status!$B$2:$B$1867)</f>
        <v>Cancelled</v>
      </c>
      <c r="R1384" s="2" t="s">
        <v>36</v>
      </c>
      <c r="S1384" s="8">
        <v>3</v>
      </c>
      <c r="T1384" s="2" t="s">
        <v>24</v>
      </c>
      <c r="U1384" s="31" t="str" cm="1">
        <f t="array" ref="U1384">_xlfn.IFS(L1384&lt;=5000,$Z$3,AND(L1384&gt;5000,L1384&lt;=15000),$Z$4,AND(L1384&gt;15000,L1384&lt;=30000),$Z$5,AND(L1384&gt;30000,L1384&lt;=50000),$Z$6,L1384&gt;50000,$Z$7)</f>
        <v>Sangat Rendah</v>
      </c>
      <c r="V1384" s="2"/>
    </row>
    <row r="1385" spans="1:22" ht="15.75" customHeight="1" x14ac:dyDescent="0.25">
      <c r="A1385" s="26"/>
      <c r="B1385" s="2" t="s">
        <v>1763</v>
      </c>
      <c r="C1385" s="32">
        <v>45810.663715277777</v>
      </c>
      <c r="D1385" s="53">
        <f>YEAR(Table1[[#This Row],[Order Date]])</f>
        <v>2025</v>
      </c>
      <c r="E1385" s="2" t="s">
        <v>1083</v>
      </c>
      <c r="F1385" s="2" t="s">
        <v>170</v>
      </c>
      <c r="G1385" s="2" t="s">
        <v>186</v>
      </c>
      <c r="H1385" s="23">
        <v>45000</v>
      </c>
      <c r="I1385" s="2">
        <v>3</v>
      </c>
      <c r="J1385" s="31">
        <v>5</v>
      </c>
      <c r="K1385" s="7">
        <f t="shared" si="84"/>
        <v>135000</v>
      </c>
      <c r="L1385" s="7">
        <f t="shared" si="85"/>
        <v>6750</v>
      </c>
      <c r="M1385" s="7">
        <f t="shared" si="86"/>
        <v>128250</v>
      </c>
      <c r="N1385" s="23">
        <v>46000</v>
      </c>
      <c r="O1385" s="7">
        <f t="shared" si="87"/>
        <v>174250</v>
      </c>
      <c r="P1385" s="2" t="s">
        <v>63</v>
      </c>
      <c r="Q1385" t="str">
        <f>_xlfn.XLOOKUP(B1385,Status!$A$2:$A$1867,Status!$B$2:$B$1867)</f>
        <v>Returned</v>
      </c>
      <c r="R1385" s="2" t="s">
        <v>46</v>
      </c>
      <c r="S1385" s="8">
        <v>5</v>
      </c>
      <c r="T1385" s="2" t="s">
        <v>24</v>
      </c>
      <c r="U1385" s="31" t="str" cm="1">
        <f t="array" ref="U1385">_xlfn.IFS(L1385&lt;=5000,$Z$3,AND(L1385&gt;5000,L1385&lt;=15000),$Z$4,AND(L1385&gt;15000,L1385&lt;=30000),$Z$5,AND(L1385&gt;30000,L1385&lt;=50000),$Z$6,L1385&gt;50000,$Z$7)</f>
        <v>Rendah</v>
      </c>
      <c r="V1385" s="2"/>
    </row>
    <row r="1386" spans="1:22" ht="15.75" customHeight="1" x14ac:dyDescent="0.25">
      <c r="A1386" s="26"/>
      <c r="B1386" s="2" t="s">
        <v>1764</v>
      </c>
      <c r="C1386" s="32">
        <v>45810.887094907397</v>
      </c>
      <c r="D1386" s="53">
        <f>YEAR(Table1[[#This Row],[Order Date]])</f>
        <v>2025</v>
      </c>
      <c r="E1386" s="2" t="s">
        <v>359</v>
      </c>
      <c r="F1386" s="2" t="s">
        <v>70</v>
      </c>
      <c r="G1386" s="2" t="s">
        <v>93</v>
      </c>
      <c r="H1386" s="23">
        <v>25000</v>
      </c>
      <c r="I1386" s="2">
        <v>2</v>
      </c>
      <c r="J1386" s="31">
        <v>10</v>
      </c>
      <c r="K1386" s="7">
        <f t="shared" si="84"/>
        <v>50000</v>
      </c>
      <c r="L1386" s="7">
        <f t="shared" si="85"/>
        <v>5000</v>
      </c>
      <c r="M1386" s="7">
        <f t="shared" si="86"/>
        <v>45000</v>
      </c>
      <c r="N1386" s="23">
        <v>89000</v>
      </c>
      <c r="O1386" s="7">
        <f t="shared" si="87"/>
        <v>134000</v>
      </c>
      <c r="P1386" s="2" t="s">
        <v>63</v>
      </c>
      <c r="Q1386" t="str">
        <f>_xlfn.XLOOKUP(B1386,Status!$A$2:$A$1867,Status!$B$2:$B$1867)</f>
        <v>Returned</v>
      </c>
      <c r="R1386" s="2" t="s">
        <v>23</v>
      </c>
      <c r="S1386" s="8">
        <v>2</v>
      </c>
      <c r="T1386" s="2" t="s">
        <v>24</v>
      </c>
      <c r="U1386" s="31" t="str" cm="1">
        <f t="array" ref="U1386">_xlfn.IFS(L1386&lt;=5000,$Z$3,AND(L1386&gt;5000,L1386&lt;=15000),$Z$4,AND(L1386&gt;15000,L1386&lt;=30000),$Z$5,AND(L1386&gt;30000,L1386&lt;=50000),$Z$6,L1386&gt;50000,$Z$7)</f>
        <v>Sangat Rendah</v>
      </c>
      <c r="V1386" s="2"/>
    </row>
    <row r="1387" spans="1:22" ht="15.75" customHeight="1" x14ac:dyDescent="0.25">
      <c r="A1387" s="26"/>
      <c r="B1387" s="2" t="s">
        <v>1765</v>
      </c>
      <c r="C1387" s="32">
        <v>45810.92324074074</v>
      </c>
      <c r="D1387" s="53">
        <f>YEAR(Table1[[#This Row],[Order Date]])</f>
        <v>2025</v>
      </c>
      <c r="E1387" s="2" t="s">
        <v>340</v>
      </c>
      <c r="F1387" s="2" t="s">
        <v>126</v>
      </c>
      <c r="G1387" s="2" t="s">
        <v>45</v>
      </c>
      <c r="H1387" s="23">
        <v>40000</v>
      </c>
      <c r="I1387" s="2">
        <v>2</v>
      </c>
      <c r="J1387" s="31">
        <v>0</v>
      </c>
      <c r="K1387" s="7">
        <f t="shared" si="84"/>
        <v>80000</v>
      </c>
      <c r="L1387" s="7">
        <f t="shared" si="85"/>
        <v>0</v>
      </c>
      <c r="M1387" s="7">
        <f t="shared" si="86"/>
        <v>80000</v>
      </c>
      <c r="N1387" s="23">
        <v>84000</v>
      </c>
      <c r="O1387" s="7">
        <f t="shared" si="87"/>
        <v>164000</v>
      </c>
      <c r="P1387" s="2" t="s">
        <v>29</v>
      </c>
      <c r="Q1387" t="str">
        <f>_xlfn.XLOOKUP(B1387,Status!$A$2:$A$1867,Status!$B$2:$B$1867)</f>
        <v>Completed</v>
      </c>
      <c r="R1387" s="2" t="s">
        <v>82</v>
      </c>
      <c r="S1387" s="8">
        <v>1</v>
      </c>
      <c r="T1387" s="2" t="s">
        <v>37</v>
      </c>
      <c r="U1387" s="31" t="str" cm="1">
        <f t="array" ref="U1387">_xlfn.IFS(L1387&lt;=5000,$Z$3,AND(L1387&gt;5000,L1387&lt;=15000),$Z$4,AND(L1387&gt;15000,L1387&lt;=30000),$Z$5,AND(L1387&gt;30000,L1387&lt;=50000),$Z$6,L1387&gt;50000,$Z$7)</f>
        <v>Sangat Rendah</v>
      </c>
      <c r="V1387" s="2"/>
    </row>
    <row r="1388" spans="1:22" ht="15.75" customHeight="1" x14ac:dyDescent="0.25">
      <c r="A1388" s="26"/>
      <c r="B1388" s="2" t="s">
        <v>1766</v>
      </c>
      <c r="C1388" s="32">
        <v>45810.987210648149</v>
      </c>
      <c r="D1388" s="53">
        <f>YEAR(Table1[[#This Row],[Order Date]])</f>
        <v>2025</v>
      </c>
      <c r="E1388" s="2" t="s">
        <v>504</v>
      </c>
      <c r="F1388" s="2" t="s">
        <v>195</v>
      </c>
      <c r="G1388" s="2" t="s">
        <v>174</v>
      </c>
      <c r="H1388" s="23">
        <v>10000</v>
      </c>
      <c r="I1388" s="2">
        <v>1</v>
      </c>
      <c r="J1388" s="31">
        <v>0</v>
      </c>
      <c r="K1388" s="7">
        <f t="shared" si="84"/>
        <v>10000</v>
      </c>
      <c r="L1388" s="7">
        <f t="shared" si="85"/>
        <v>0</v>
      </c>
      <c r="M1388" s="7">
        <f t="shared" si="86"/>
        <v>10000</v>
      </c>
      <c r="N1388" s="23">
        <v>87000</v>
      </c>
      <c r="O1388" s="7">
        <f t="shared" si="87"/>
        <v>97000</v>
      </c>
      <c r="P1388" s="2" t="s">
        <v>29</v>
      </c>
      <c r="Q1388" t="str">
        <f>_xlfn.XLOOKUP(B1388,Status!$A$2:$A$1867,Status!$B$2:$B$1867)</f>
        <v>Completed</v>
      </c>
      <c r="R1388" s="2" t="s">
        <v>23</v>
      </c>
      <c r="S1388" s="8">
        <v>5</v>
      </c>
      <c r="T1388" s="2" t="s">
        <v>24</v>
      </c>
      <c r="U1388" s="31" t="str" cm="1">
        <f t="array" ref="U1388">_xlfn.IFS(L1388&lt;=5000,$Z$3,AND(L1388&gt;5000,L1388&lt;=15000),$Z$4,AND(L1388&gt;15000,L1388&lt;=30000),$Z$5,AND(L1388&gt;30000,L1388&lt;=50000),$Z$6,L1388&gt;50000,$Z$7)</f>
        <v>Sangat Rendah</v>
      </c>
      <c r="V1388" s="2"/>
    </row>
    <row r="1389" spans="1:22" ht="15.75" customHeight="1" x14ac:dyDescent="0.25">
      <c r="A1389" s="26"/>
      <c r="B1389" s="2" t="s">
        <v>1767</v>
      </c>
      <c r="C1389" s="32">
        <v>45811.243773148148</v>
      </c>
      <c r="D1389" s="53">
        <f>YEAR(Table1[[#This Row],[Order Date]])</f>
        <v>2025</v>
      </c>
      <c r="E1389" s="2" t="s">
        <v>784</v>
      </c>
      <c r="F1389" s="2" t="s">
        <v>116</v>
      </c>
      <c r="G1389" s="2" t="s">
        <v>81</v>
      </c>
      <c r="H1389" s="23">
        <v>17000</v>
      </c>
      <c r="I1389" s="2">
        <v>5</v>
      </c>
      <c r="J1389" s="31">
        <v>0</v>
      </c>
      <c r="K1389" s="7">
        <f t="shared" si="84"/>
        <v>85000</v>
      </c>
      <c r="L1389" s="7">
        <f t="shared" si="85"/>
        <v>0</v>
      </c>
      <c r="M1389" s="7">
        <f t="shared" si="86"/>
        <v>85000</v>
      </c>
      <c r="N1389" s="23">
        <v>72000</v>
      </c>
      <c r="O1389" s="7">
        <f t="shared" si="87"/>
        <v>157000</v>
      </c>
      <c r="P1389" s="2" t="s">
        <v>22</v>
      </c>
      <c r="Q1389" t="str">
        <f>_xlfn.XLOOKUP(B1389,Status!$A$2:$A$1867,Status!$B$2:$B$1867)</f>
        <v>Completed</v>
      </c>
      <c r="R1389" s="2" t="s">
        <v>30</v>
      </c>
      <c r="S1389" s="8">
        <v>1</v>
      </c>
      <c r="T1389" s="2" t="s">
        <v>24</v>
      </c>
      <c r="U1389" s="31" t="str" cm="1">
        <f t="array" ref="U1389">_xlfn.IFS(L1389&lt;=5000,$Z$3,AND(L1389&gt;5000,L1389&lt;=15000),$Z$4,AND(L1389&gt;15000,L1389&lt;=30000),$Z$5,AND(L1389&gt;30000,L1389&lt;=50000),$Z$6,L1389&gt;50000,$Z$7)</f>
        <v>Sangat Rendah</v>
      </c>
      <c r="V1389" s="2"/>
    </row>
    <row r="1390" spans="1:22" ht="15.75" customHeight="1" x14ac:dyDescent="0.25">
      <c r="A1390" s="26"/>
      <c r="B1390" s="2" t="s">
        <v>1768</v>
      </c>
      <c r="C1390" s="32">
        <v>45811.304328703707</v>
      </c>
      <c r="D1390" s="53">
        <f>YEAR(Table1[[#This Row],[Order Date]])</f>
        <v>2025</v>
      </c>
      <c r="E1390" s="2" t="s">
        <v>812</v>
      </c>
      <c r="F1390" s="2" t="s">
        <v>33</v>
      </c>
      <c r="G1390" s="2" t="s">
        <v>110</v>
      </c>
      <c r="H1390" s="23">
        <v>6000</v>
      </c>
      <c r="I1390" s="2">
        <v>5</v>
      </c>
      <c r="J1390" s="31">
        <v>5</v>
      </c>
      <c r="K1390" s="7">
        <f t="shared" si="84"/>
        <v>30000</v>
      </c>
      <c r="L1390" s="7">
        <f t="shared" si="85"/>
        <v>1500</v>
      </c>
      <c r="M1390" s="7">
        <f t="shared" si="86"/>
        <v>28500</v>
      </c>
      <c r="N1390" s="23">
        <v>76000</v>
      </c>
      <c r="O1390" s="7">
        <f t="shared" si="87"/>
        <v>104500</v>
      </c>
      <c r="P1390" s="2" t="s">
        <v>63</v>
      </c>
      <c r="Q1390" t="str">
        <f>_xlfn.XLOOKUP(B1390,Status!$A$2:$A$1867,Status!$B$2:$B$1867)</f>
        <v>Completed</v>
      </c>
      <c r="R1390" s="2" t="s">
        <v>36</v>
      </c>
      <c r="S1390" s="8">
        <v>1</v>
      </c>
      <c r="T1390" s="2" t="s">
        <v>24</v>
      </c>
      <c r="U1390" s="31" t="str" cm="1">
        <f t="array" ref="U1390">_xlfn.IFS(L1390&lt;=5000,$Z$3,AND(L1390&gt;5000,L1390&lt;=15000),$Z$4,AND(L1390&gt;15000,L1390&lt;=30000),$Z$5,AND(L1390&gt;30000,L1390&lt;=50000),$Z$6,L1390&gt;50000,$Z$7)</f>
        <v>Sangat Rendah</v>
      </c>
      <c r="V1390" s="2"/>
    </row>
    <row r="1391" spans="1:22" ht="15.75" customHeight="1" x14ac:dyDescent="0.25">
      <c r="A1391" s="26"/>
      <c r="B1391" s="2" t="s">
        <v>1768</v>
      </c>
      <c r="C1391" s="32">
        <v>45811.304328703707</v>
      </c>
      <c r="D1391" s="53">
        <f>YEAR(Table1[[#This Row],[Order Date]])</f>
        <v>2025</v>
      </c>
      <c r="E1391" s="2" t="s">
        <v>812</v>
      </c>
      <c r="F1391" s="2" t="s">
        <v>33</v>
      </c>
      <c r="G1391" s="2" t="s">
        <v>34</v>
      </c>
      <c r="H1391" s="23">
        <v>16000</v>
      </c>
      <c r="I1391" s="2">
        <v>3</v>
      </c>
      <c r="J1391" s="31">
        <v>15</v>
      </c>
      <c r="K1391" s="7">
        <f t="shared" si="84"/>
        <v>48000</v>
      </c>
      <c r="L1391" s="7">
        <f t="shared" si="85"/>
        <v>7200</v>
      </c>
      <c r="M1391" s="7">
        <f t="shared" si="86"/>
        <v>40800</v>
      </c>
      <c r="N1391" s="23">
        <v>0</v>
      </c>
      <c r="O1391" s="7">
        <f t="shared" si="87"/>
        <v>40800</v>
      </c>
      <c r="P1391" s="2" t="s">
        <v>63</v>
      </c>
      <c r="Q1391" t="str">
        <f>_xlfn.XLOOKUP(B1391,Status!$A$2:$A$1867,Status!$B$2:$B$1867)</f>
        <v>Completed</v>
      </c>
      <c r="R1391" s="2" t="s">
        <v>36</v>
      </c>
      <c r="S1391" s="8">
        <v>1</v>
      </c>
      <c r="T1391" s="2" t="s">
        <v>24</v>
      </c>
      <c r="U1391" s="31" t="str" cm="1">
        <f t="array" ref="U1391">_xlfn.IFS(L1391&lt;=5000,$Z$3,AND(L1391&gt;5000,L1391&lt;=15000),$Z$4,AND(L1391&gt;15000,L1391&lt;=30000),$Z$5,AND(L1391&gt;30000,L1391&lt;=50000),$Z$6,L1391&gt;50000,$Z$7)</f>
        <v>Rendah</v>
      </c>
      <c r="V1391" s="2"/>
    </row>
    <row r="1392" spans="1:22" ht="15.75" customHeight="1" x14ac:dyDescent="0.25">
      <c r="A1392" s="26"/>
      <c r="B1392" s="2" t="s">
        <v>1769</v>
      </c>
      <c r="C1392" s="32">
        <v>45812.047696759262</v>
      </c>
      <c r="D1392" s="53">
        <f>YEAR(Table1[[#This Row],[Order Date]])</f>
        <v>2025</v>
      </c>
      <c r="E1392" s="2" t="s">
        <v>455</v>
      </c>
      <c r="F1392" s="2" t="s">
        <v>33</v>
      </c>
      <c r="G1392" s="2" t="s">
        <v>104</v>
      </c>
      <c r="H1392" s="23">
        <v>30000</v>
      </c>
      <c r="I1392" s="2">
        <v>4</v>
      </c>
      <c r="J1392" s="31">
        <v>10</v>
      </c>
      <c r="K1392" s="7">
        <f t="shared" si="84"/>
        <v>120000</v>
      </c>
      <c r="L1392" s="7">
        <f t="shared" si="85"/>
        <v>12000</v>
      </c>
      <c r="M1392" s="7">
        <f t="shared" si="86"/>
        <v>108000</v>
      </c>
      <c r="N1392" s="23">
        <v>76000</v>
      </c>
      <c r="O1392" s="7">
        <f t="shared" si="87"/>
        <v>184000</v>
      </c>
      <c r="P1392" s="2" t="s">
        <v>63</v>
      </c>
      <c r="Q1392" t="str">
        <f>_xlfn.XLOOKUP(B1392,Status!$A$2:$A$1867,Status!$B$2:$B$1867)</f>
        <v>Completed</v>
      </c>
      <c r="R1392" s="2" t="s">
        <v>46</v>
      </c>
      <c r="S1392" s="8">
        <v>5</v>
      </c>
      <c r="T1392" s="2" t="s">
        <v>24</v>
      </c>
      <c r="U1392" s="31" t="str" cm="1">
        <f t="array" ref="U1392">_xlfn.IFS(L1392&lt;=5000,$Z$3,AND(L1392&gt;5000,L1392&lt;=15000),$Z$4,AND(L1392&gt;15000,L1392&lt;=30000),$Z$5,AND(L1392&gt;30000,L1392&lt;=50000),$Z$6,L1392&gt;50000,$Z$7)</f>
        <v>Rendah</v>
      </c>
      <c r="V1392" s="2"/>
    </row>
    <row r="1393" spans="1:22" ht="15.75" customHeight="1" x14ac:dyDescent="0.25">
      <c r="A1393" s="26"/>
      <c r="B1393" s="2" t="s">
        <v>1770</v>
      </c>
      <c r="C1393" s="32">
        <v>45812.250324074077</v>
      </c>
      <c r="D1393" s="53">
        <f>YEAR(Table1[[#This Row],[Order Date]])</f>
        <v>2025</v>
      </c>
      <c r="E1393" s="2" t="s">
        <v>412</v>
      </c>
      <c r="F1393" s="2" t="s">
        <v>70</v>
      </c>
      <c r="G1393" s="2" t="s">
        <v>54</v>
      </c>
      <c r="H1393" s="23">
        <v>16000</v>
      </c>
      <c r="I1393" s="2">
        <v>3</v>
      </c>
      <c r="J1393" s="31">
        <v>10</v>
      </c>
      <c r="K1393" s="7">
        <f t="shared" si="84"/>
        <v>48000</v>
      </c>
      <c r="L1393" s="7">
        <f t="shared" si="85"/>
        <v>4800</v>
      </c>
      <c r="M1393" s="7">
        <f t="shared" si="86"/>
        <v>43200</v>
      </c>
      <c r="N1393" s="23">
        <v>89000</v>
      </c>
      <c r="O1393" s="7">
        <f t="shared" si="87"/>
        <v>132200</v>
      </c>
      <c r="P1393" s="2" t="s">
        <v>63</v>
      </c>
      <c r="Q1393" t="str">
        <f>_xlfn.XLOOKUP(B1393,Status!$A$2:$A$1867,Status!$B$2:$B$1867)</f>
        <v>Completed</v>
      </c>
      <c r="R1393" s="2" t="s">
        <v>36</v>
      </c>
      <c r="S1393" s="8">
        <v>1</v>
      </c>
      <c r="T1393" s="2" t="s">
        <v>24</v>
      </c>
      <c r="U1393" s="31" t="str" cm="1">
        <f t="array" ref="U1393">_xlfn.IFS(L1393&lt;=5000,$Z$3,AND(L1393&gt;5000,L1393&lt;=15000),$Z$4,AND(L1393&gt;15000,L1393&lt;=30000),$Z$5,AND(L1393&gt;30000,L1393&lt;=50000),$Z$6,L1393&gt;50000,$Z$7)</f>
        <v>Sangat Rendah</v>
      </c>
      <c r="V1393" s="2"/>
    </row>
    <row r="1394" spans="1:22" ht="15.75" customHeight="1" x14ac:dyDescent="0.25">
      <c r="A1394" s="26"/>
      <c r="B1394" s="2" t="s">
        <v>1771</v>
      </c>
      <c r="C1394" s="32">
        <v>45812.405717592592</v>
      </c>
      <c r="D1394" s="53">
        <f>YEAR(Table1[[#This Row],[Order Date]])</f>
        <v>2025</v>
      </c>
      <c r="E1394" s="2" t="s">
        <v>333</v>
      </c>
      <c r="F1394" s="2" t="s">
        <v>107</v>
      </c>
      <c r="G1394" s="2" t="s">
        <v>75</v>
      </c>
      <c r="H1394" s="23">
        <v>55000</v>
      </c>
      <c r="I1394" s="2">
        <v>1</v>
      </c>
      <c r="J1394" s="31">
        <v>20</v>
      </c>
      <c r="K1394" s="7">
        <f t="shared" si="84"/>
        <v>55000</v>
      </c>
      <c r="L1394" s="7">
        <f t="shared" si="85"/>
        <v>11000</v>
      </c>
      <c r="M1394" s="7">
        <f t="shared" si="86"/>
        <v>44000</v>
      </c>
      <c r="N1394" s="23">
        <v>97000</v>
      </c>
      <c r="O1394" s="7">
        <f t="shared" si="87"/>
        <v>141000</v>
      </c>
      <c r="P1394" s="2" t="s">
        <v>35</v>
      </c>
      <c r="Q1394" t="str">
        <f>_xlfn.XLOOKUP(B1394,Status!$A$2:$A$1867,Status!$B$2:$B$1867)</f>
        <v>Completed</v>
      </c>
      <c r="R1394" s="2" t="s">
        <v>30</v>
      </c>
      <c r="S1394" s="8">
        <v>1</v>
      </c>
      <c r="T1394" s="2" t="s">
        <v>37</v>
      </c>
      <c r="U1394" s="31" t="str" cm="1">
        <f t="array" ref="U1394">_xlfn.IFS(L1394&lt;=5000,$Z$3,AND(L1394&gt;5000,L1394&lt;=15000),$Z$4,AND(L1394&gt;15000,L1394&lt;=30000),$Z$5,AND(L1394&gt;30000,L1394&lt;=50000),$Z$6,L1394&gt;50000,$Z$7)</f>
        <v>Rendah</v>
      </c>
      <c r="V1394" s="2"/>
    </row>
    <row r="1395" spans="1:22" ht="15.75" customHeight="1" x14ac:dyDescent="0.25">
      <c r="A1395" s="26"/>
      <c r="B1395" s="2" t="s">
        <v>1772</v>
      </c>
      <c r="C1395" s="32">
        <v>45812.512685185182</v>
      </c>
      <c r="D1395" s="53">
        <f>YEAR(Table1[[#This Row],[Order Date]])</f>
        <v>2025</v>
      </c>
      <c r="E1395" s="2" t="s">
        <v>699</v>
      </c>
      <c r="F1395" s="2" t="s">
        <v>238</v>
      </c>
      <c r="G1395" s="2" t="s">
        <v>58</v>
      </c>
      <c r="H1395" s="23">
        <v>16000</v>
      </c>
      <c r="I1395" s="2">
        <v>1</v>
      </c>
      <c r="J1395" s="31">
        <v>10</v>
      </c>
      <c r="K1395" s="7">
        <f t="shared" si="84"/>
        <v>16000</v>
      </c>
      <c r="L1395" s="7">
        <f t="shared" si="85"/>
        <v>1600</v>
      </c>
      <c r="M1395" s="7">
        <f t="shared" si="86"/>
        <v>14400</v>
      </c>
      <c r="N1395" s="23">
        <v>28000</v>
      </c>
      <c r="O1395" s="7">
        <f t="shared" si="87"/>
        <v>42400</v>
      </c>
      <c r="P1395" s="2" t="s">
        <v>35</v>
      </c>
      <c r="Q1395" t="str">
        <f>_xlfn.XLOOKUP(B1395,Status!$A$2:$A$1867,Status!$B$2:$B$1867)</f>
        <v>Completed</v>
      </c>
      <c r="R1395" s="2" t="s">
        <v>30</v>
      </c>
      <c r="S1395" s="8">
        <v>3</v>
      </c>
      <c r="T1395" s="2" t="s">
        <v>37</v>
      </c>
      <c r="U1395" s="31" t="str" cm="1">
        <f t="array" ref="U1395">_xlfn.IFS(L1395&lt;=5000,$Z$3,AND(L1395&gt;5000,L1395&lt;=15000),$Z$4,AND(L1395&gt;15000,L1395&lt;=30000),$Z$5,AND(L1395&gt;30000,L1395&lt;=50000),$Z$6,L1395&gt;50000,$Z$7)</f>
        <v>Sangat Rendah</v>
      </c>
      <c r="V1395" s="2"/>
    </row>
    <row r="1396" spans="1:22" ht="15.75" customHeight="1" x14ac:dyDescent="0.25">
      <c r="A1396" s="26"/>
      <c r="B1396" s="2" t="s">
        <v>1773</v>
      </c>
      <c r="C1396" s="32">
        <v>45812.691886574074</v>
      </c>
      <c r="D1396" s="53">
        <f>YEAR(Table1[[#This Row],[Order Date]])</f>
        <v>2025</v>
      </c>
      <c r="E1396" s="2" t="s">
        <v>84</v>
      </c>
      <c r="F1396" s="2" t="s">
        <v>57</v>
      </c>
      <c r="G1396" s="2" t="s">
        <v>54</v>
      </c>
      <c r="H1396" s="23">
        <v>16000</v>
      </c>
      <c r="I1396" s="2">
        <v>2</v>
      </c>
      <c r="J1396" s="31">
        <v>0</v>
      </c>
      <c r="K1396" s="7">
        <f t="shared" si="84"/>
        <v>32000</v>
      </c>
      <c r="L1396" s="7">
        <f t="shared" si="85"/>
        <v>0</v>
      </c>
      <c r="M1396" s="7">
        <f t="shared" si="86"/>
        <v>32000</v>
      </c>
      <c r="N1396" s="23">
        <v>80000</v>
      </c>
      <c r="O1396" s="7">
        <f t="shared" si="87"/>
        <v>112000</v>
      </c>
      <c r="P1396" s="2" t="s">
        <v>22</v>
      </c>
      <c r="Q1396" t="str">
        <f>_xlfn.XLOOKUP(B1396,Status!$A$2:$A$1867,Status!$B$2:$B$1867)</f>
        <v>Completed</v>
      </c>
      <c r="R1396" s="2" t="s">
        <v>46</v>
      </c>
      <c r="S1396" s="8">
        <v>4</v>
      </c>
      <c r="T1396" s="2" t="s">
        <v>37</v>
      </c>
      <c r="U1396" s="31" t="str" cm="1">
        <f t="array" ref="U1396">_xlfn.IFS(L1396&lt;=5000,$Z$3,AND(L1396&gt;5000,L1396&lt;=15000),$Z$4,AND(L1396&gt;15000,L1396&lt;=30000),$Z$5,AND(L1396&gt;30000,L1396&lt;=50000),$Z$6,L1396&gt;50000,$Z$7)</f>
        <v>Sangat Rendah</v>
      </c>
      <c r="V1396" s="2"/>
    </row>
    <row r="1397" spans="1:22" ht="15.75" customHeight="1" x14ac:dyDescent="0.25">
      <c r="A1397" s="26"/>
      <c r="B1397" s="2" t="s">
        <v>1774</v>
      </c>
      <c r="C1397" s="32">
        <v>45813.03224537037</v>
      </c>
      <c r="D1397" s="53">
        <f>YEAR(Table1[[#This Row],[Order Date]])</f>
        <v>2025</v>
      </c>
      <c r="E1397" s="2" t="s">
        <v>258</v>
      </c>
      <c r="F1397" s="2" t="s">
        <v>44</v>
      </c>
      <c r="G1397" s="2" t="s">
        <v>34</v>
      </c>
      <c r="H1397" s="23">
        <v>16000</v>
      </c>
      <c r="I1397" s="2">
        <v>1</v>
      </c>
      <c r="J1397" s="31">
        <v>0</v>
      </c>
      <c r="K1397" s="7">
        <f t="shared" si="84"/>
        <v>16000</v>
      </c>
      <c r="L1397" s="7">
        <f t="shared" si="85"/>
        <v>0</v>
      </c>
      <c r="M1397" s="7">
        <f t="shared" si="86"/>
        <v>16000</v>
      </c>
      <c r="N1397" s="23">
        <v>93000</v>
      </c>
      <c r="O1397" s="7">
        <f t="shared" si="87"/>
        <v>109000</v>
      </c>
      <c r="P1397" s="2" t="s">
        <v>22</v>
      </c>
      <c r="Q1397" t="str">
        <f>_xlfn.XLOOKUP(B1397,Status!$A$2:$A$1867,Status!$B$2:$B$1867)</f>
        <v>Cancelled</v>
      </c>
      <c r="R1397" s="2" t="s">
        <v>82</v>
      </c>
      <c r="S1397" s="8">
        <v>4</v>
      </c>
      <c r="T1397" s="2" t="s">
        <v>24</v>
      </c>
      <c r="U1397" s="31" t="str" cm="1">
        <f t="array" ref="U1397">_xlfn.IFS(L1397&lt;=5000,$Z$3,AND(L1397&gt;5000,L1397&lt;=15000),$Z$4,AND(L1397&gt;15000,L1397&lt;=30000),$Z$5,AND(L1397&gt;30000,L1397&lt;=50000),$Z$6,L1397&gt;50000,$Z$7)</f>
        <v>Sangat Rendah</v>
      </c>
      <c r="V1397" s="2"/>
    </row>
    <row r="1398" spans="1:22" ht="15.75" customHeight="1" x14ac:dyDescent="0.25">
      <c r="A1398" s="26"/>
      <c r="B1398" s="2" t="s">
        <v>1774</v>
      </c>
      <c r="C1398" s="32">
        <v>45813.03224537037</v>
      </c>
      <c r="D1398" s="53">
        <f>YEAR(Table1[[#This Row],[Order Date]])</f>
        <v>2025</v>
      </c>
      <c r="E1398" s="2" t="s">
        <v>258</v>
      </c>
      <c r="F1398" s="2" t="s">
        <v>44</v>
      </c>
      <c r="G1398" s="2" t="s">
        <v>186</v>
      </c>
      <c r="H1398" s="23">
        <v>45000</v>
      </c>
      <c r="I1398" s="2">
        <v>4</v>
      </c>
      <c r="J1398" s="31">
        <v>20</v>
      </c>
      <c r="K1398" s="7">
        <f t="shared" si="84"/>
        <v>180000</v>
      </c>
      <c r="L1398" s="7">
        <f t="shared" si="85"/>
        <v>36000</v>
      </c>
      <c r="M1398" s="7">
        <f t="shared" si="86"/>
        <v>144000</v>
      </c>
      <c r="N1398" s="23">
        <v>0</v>
      </c>
      <c r="O1398" s="7">
        <f t="shared" si="87"/>
        <v>144000</v>
      </c>
      <c r="P1398" s="2" t="s">
        <v>22</v>
      </c>
      <c r="Q1398" t="str">
        <f>_xlfn.XLOOKUP(B1398,Status!$A$2:$A$1867,Status!$B$2:$B$1867)</f>
        <v>Cancelled</v>
      </c>
      <c r="R1398" s="2" t="s">
        <v>82</v>
      </c>
      <c r="S1398" s="8">
        <v>4</v>
      </c>
      <c r="T1398" s="2" t="s">
        <v>24</v>
      </c>
      <c r="U1398" s="31" t="str" cm="1">
        <f t="array" ref="U1398">_xlfn.IFS(L1398&lt;=5000,$Z$3,AND(L1398&gt;5000,L1398&lt;=15000),$Z$4,AND(L1398&gt;15000,L1398&lt;=30000),$Z$5,AND(L1398&gt;30000,L1398&lt;=50000),$Z$6,L1398&gt;50000,$Z$7)</f>
        <v>Tinggi</v>
      </c>
      <c r="V1398" s="2"/>
    </row>
    <row r="1399" spans="1:22" ht="15.75" customHeight="1" x14ac:dyDescent="0.25">
      <c r="A1399" s="26"/>
      <c r="B1399" s="2" t="s">
        <v>1775</v>
      </c>
      <c r="C1399" s="32">
        <v>45813.291944444441</v>
      </c>
      <c r="D1399" s="53">
        <f>YEAR(Table1[[#This Row],[Order Date]])</f>
        <v>2025</v>
      </c>
      <c r="E1399" s="2" t="s">
        <v>449</v>
      </c>
      <c r="F1399" s="2" t="s">
        <v>151</v>
      </c>
      <c r="G1399" s="2" t="s">
        <v>58</v>
      </c>
      <c r="H1399" s="23">
        <v>16000</v>
      </c>
      <c r="I1399" s="2">
        <v>4</v>
      </c>
      <c r="J1399" s="31">
        <v>5</v>
      </c>
      <c r="K1399" s="7">
        <f t="shared" si="84"/>
        <v>64000</v>
      </c>
      <c r="L1399" s="7">
        <f t="shared" si="85"/>
        <v>3200</v>
      </c>
      <c r="M1399" s="7">
        <f t="shared" si="86"/>
        <v>60800</v>
      </c>
      <c r="N1399" s="23">
        <v>55000</v>
      </c>
      <c r="O1399" s="7">
        <f t="shared" si="87"/>
        <v>115800</v>
      </c>
      <c r="P1399" s="2" t="s">
        <v>63</v>
      </c>
      <c r="Q1399" t="str">
        <f>_xlfn.XLOOKUP(B1399,Status!$A$2:$A$1867,Status!$B$2:$B$1867)</f>
        <v>Completed</v>
      </c>
      <c r="R1399" s="2" t="s">
        <v>82</v>
      </c>
      <c r="S1399" s="8">
        <v>1</v>
      </c>
      <c r="T1399" s="2" t="s">
        <v>24</v>
      </c>
      <c r="U1399" s="31" t="str" cm="1">
        <f t="array" ref="U1399">_xlfn.IFS(L1399&lt;=5000,$Z$3,AND(L1399&gt;5000,L1399&lt;=15000),$Z$4,AND(L1399&gt;15000,L1399&lt;=30000),$Z$5,AND(L1399&gt;30000,L1399&lt;=50000),$Z$6,L1399&gt;50000,$Z$7)</f>
        <v>Sangat Rendah</v>
      </c>
      <c r="V1399" s="2"/>
    </row>
    <row r="1400" spans="1:22" ht="15.75" customHeight="1" x14ac:dyDescent="0.25">
      <c r="A1400" s="26"/>
      <c r="B1400" s="2" t="s">
        <v>1776</v>
      </c>
      <c r="C1400" s="32">
        <v>45813.315138888887</v>
      </c>
      <c r="D1400" s="53">
        <f>YEAR(Table1[[#This Row],[Order Date]])</f>
        <v>2025</v>
      </c>
      <c r="E1400" s="2" t="s">
        <v>697</v>
      </c>
      <c r="F1400" s="2" t="s">
        <v>143</v>
      </c>
      <c r="G1400" s="2" t="s">
        <v>190</v>
      </c>
      <c r="H1400" s="23">
        <v>35000</v>
      </c>
      <c r="I1400" s="2">
        <v>4</v>
      </c>
      <c r="J1400" s="31">
        <v>10</v>
      </c>
      <c r="K1400" s="7">
        <f t="shared" si="84"/>
        <v>140000</v>
      </c>
      <c r="L1400" s="7">
        <f t="shared" si="85"/>
        <v>14000</v>
      </c>
      <c r="M1400" s="7">
        <f t="shared" si="86"/>
        <v>126000</v>
      </c>
      <c r="N1400" s="23">
        <v>50000</v>
      </c>
      <c r="O1400" s="7">
        <f t="shared" si="87"/>
        <v>176000</v>
      </c>
      <c r="P1400" s="2" t="s">
        <v>29</v>
      </c>
      <c r="Q1400" t="str">
        <f>_xlfn.XLOOKUP(B1400,Status!$A$2:$A$1867,Status!$B$2:$B$1867)</f>
        <v>Completed</v>
      </c>
      <c r="R1400" s="2" t="s">
        <v>30</v>
      </c>
      <c r="S1400" s="8">
        <v>5</v>
      </c>
      <c r="T1400" s="2" t="s">
        <v>37</v>
      </c>
      <c r="U1400" s="31" t="str" cm="1">
        <f t="array" ref="U1400">_xlfn.IFS(L1400&lt;=5000,$Z$3,AND(L1400&gt;5000,L1400&lt;=15000),$Z$4,AND(L1400&gt;15000,L1400&lt;=30000),$Z$5,AND(L1400&gt;30000,L1400&lt;=50000),$Z$6,L1400&gt;50000,$Z$7)</f>
        <v>Rendah</v>
      </c>
      <c r="V1400" s="2"/>
    </row>
    <row r="1401" spans="1:22" ht="15.75" customHeight="1" x14ac:dyDescent="0.25">
      <c r="A1401" s="26"/>
      <c r="B1401" s="2" t="s">
        <v>1777</v>
      </c>
      <c r="C1401" s="32">
        <v>45813.554722222223</v>
      </c>
      <c r="D1401" s="53">
        <f>YEAR(Table1[[#This Row],[Order Date]])</f>
        <v>2025</v>
      </c>
      <c r="E1401" s="2" t="s">
        <v>976</v>
      </c>
      <c r="F1401" s="2" t="s">
        <v>182</v>
      </c>
      <c r="G1401" s="2" t="s">
        <v>144</v>
      </c>
      <c r="H1401" s="23">
        <v>18000</v>
      </c>
      <c r="I1401" s="2">
        <v>5</v>
      </c>
      <c r="J1401" s="31">
        <v>0</v>
      </c>
      <c r="K1401" s="7">
        <f t="shared" si="84"/>
        <v>90000</v>
      </c>
      <c r="L1401" s="7">
        <f t="shared" si="85"/>
        <v>0</v>
      </c>
      <c r="M1401" s="7">
        <f t="shared" si="86"/>
        <v>90000</v>
      </c>
      <c r="N1401" s="23">
        <v>48000</v>
      </c>
      <c r="O1401" s="7">
        <f t="shared" si="87"/>
        <v>138000</v>
      </c>
      <c r="P1401" s="2" t="s">
        <v>22</v>
      </c>
      <c r="Q1401" t="str">
        <f>_xlfn.XLOOKUP(B1401,Status!$A$2:$A$1867,Status!$B$2:$B$1867)</f>
        <v>Returned</v>
      </c>
      <c r="R1401" s="2" t="s">
        <v>30</v>
      </c>
      <c r="S1401" s="8">
        <v>4</v>
      </c>
      <c r="T1401" s="2" t="s">
        <v>24</v>
      </c>
      <c r="U1401" s="31" t="str" cm="1">
        <f t="array" ref="U1401">_xlfn.IFS(L1401&lt;=5000,$Z$3,AND(L1401&gt;5000,L1401&lt;=15000),$Z$4,AND(L1401&gt;15000,L1401&lt;=30000),$Z$5,AND(L1401&gt;30000,L1401&lt;=50000),$Z$6,L1401&gt;50000,$Z$7)</f>
        <v>Sangat Rendah</v>
      </c>
      <c r="V1401" s="2"/>
    </row>
    <row r="1402" spans="1:22" ht="15.75" customHeight="1" x14ac:dyDescent="0.25">
      <c r="A1402" s="26"/>
      <c r="B1402" s="2" t="s">
        <v>1778</v>
      </c>
      <c r="C1402" s="32">
        <v>45814.017523148148</v>
      </c>
      <c r="D1402" s="53">
        <f>YEAR(Table1[[#This Row],[Order Date]])</f>
        <v>2025</v>
      </c>
      <c r="E1402" s="2" t="s">
        <v>525</v>
      </c>
      <c r="F1402" s="2" t="s">
        <v>96</v>
      </c>
      <c r="G1402" s="2" t="s">
        <v>38</v>
      </c>
      <c r="H1402" s="23">
        <v>28000</v>
      </c>
      <c r="I1402" s="2">
        <v>1</v>
      </c>
      <c r="J1402" s="31">
        <v>5</v>
      </c>
      <c r="K1402" s="7">
        <f t="shared" si="84"/>
        <v>28000</v>
      </c>
      <c r="L1402" s="7">
        <f t="shared" si="85"/>
        <v>1400</v>
      </c>
      <c r="M1402" s="7">
        <f t="shared" si="86"/>
        <v>26600</v>
      </c>
      <c r="N1402" s="23">
        <v>49000</v>
      </c>
      <c r="O1402" s="7">
        <f t="shared" si="87"/>
        <v>75600</v>
      </c>
      <c r="P1402" s="2" t="s">
        <v>29</v>
      </c>
      <c r="Q1402" t="str">
        <f>_xlfn.XLOOKUP(B1402,Status!$A$2:$A$1867,Status!$B$2:$B$1867)</f>
        <v>Completed</v>
      </c>
      <c r="R1402" s="2" t="s">
        <v>46</v>
      </c>
      <c r="S1402" s="8">
        <v>1</v>
      </c>
      <c r="T1402" s="2" t="s">
        <v>24</v>
      </c>
      <c r="U1402" s="31" t="str" cm="1">
        <f t="array" ref="U1402">_xlfn.IFS(L1402&lt;=5000,$Z$3,AND(L1402&gt;5000,L1402&lt;=15000),$Z$4,AND(L1402&gt;15000,L1402&lt;=30000),$Z$5,AND(L1402&gt;30000,L1402&lt;=50000),$Z$6,L1402&gt;50000,$Z$7)</f>
        <v>Sangat Rendah</v>
      </c>
      <c r="V1402" s="2"/>
    </row>
    <row r="1403" spans="1:22" ht="15.75" customHeight="1" x14ac:dyDescent="0.25">
      <c r="A1403" s="26"/>
      <c r="B1403" s="2" t="s">
        <v>1779</v>
      </c>
      <c r="C1403" s="32">
        <v>45814.048356481479</v>
      </c>
      <c r="D1403" s="53">
        <f>YEAR(Table1[[#This Row],[Order Date]])</f>
        <v>2025</v>
      </c>
      <c r="E1403" s="2" t="s">
        <v>271</v>
      </c>
      <c r="F1403" s="2" t="s">
        <v>49</v>
      </c>
      <c r="G1403" s="2" t="s">
        <v>81</v>
      </c>
      <c r="H1403" s="23">
        <v>17000</v>
      </c>
      <c r="I1403" s="2">
        <v>4</v>
      </c>
      <c r="J1403" s="31">
        <v>5</v>
      </c>
      <c r="K1403" s="7">
        <f t="shared" si="84"/>
        <v>68000</v>
      </c>
      <c r="L1403" s="7">
        <f t="shared" si="85"/>
        <v>3400</v>
      </c>
      <c r="M1403" s="7">
        <f t="shared" si="86"/>
        <v>64600</v>
      </c>
      <c r="N1403" s="23">
        <v>43000</v>
      </c>
      <c r="O1403" s="7">
        <f t="shared" si="87"/>
        <v>107600</v>
      </c>
      <c r="P1403" s="2" t="s">
        <v>29</v>
      </c>
      <c r="Q1403" t="str">
        <f>_xlfn.XLOOKUP(B1403,Status!$A$2:$A$1867,Status!$B$2:$B$1867)</f>
        <v>Completed</v>
      </c>
      <c r="R1403" s="2" t="s">
        <v>23</v>
      </c>
      <c r="S1403" s="8">
        <v>3</v>
      </c>
      <c r="T1403" s="2" t="s">
        <v>24</v>
      </c>
      <c r="U1403" s="31" t="str" cm="1">
        <f t="array" ref="U1403">_xlfn.IFS(L1403&lt;=5000,$Z$3,AND(L1403&gt;5000,L1403&lt;=15000),$Z$4,AND(L1403&gt;15000,L1403&lt;=30000),$Z$5,AND(L1403&gt;30000,L1403&lt;=50000),$Z$6,L1403&gt;50000,$Z$7)</f>
        <v>Sangat Rendah</v>
      </c>
      <c r="V1403" s="2"/>
    </row>
    <row r="1404" spans="1:22" ht="15.75" customHeight="1" x14ac:dyDescent="0.25">
      <c r="A1404" s="26"/>
      <c r="B1404" s="2" t="s">
        <v>1780</v>
      </c>
      <c r="C1404" s="32">
        <v>45814.414872685193</v>
      </c>
      <c r="D1404" s="53">
        <f>YEAR(Table1[[#This Row],[Order Date]])</f>
        <v>2025</v>
      </c>
      <c r="E1404" s="2" t="s">
        <v>549</v>
      </c>
      <c r="F1404" s="2" t="s">
        <v>107</v>
      </c>
      <c r="G1404" s="2" t="s">
        <v>54</v>
      </c>
      <c r="H1404" s="23">
        <v>16000</v>
      </c>
      <c r="I1404" s="2">
        <v>4</v>
      </c>
      <c r="J1404" s="31">
        <v>20</v>
      </c>
      <c r="K1404" s="7">
        <f t="shared" si="84"/>
        <v>64000</v>
      </c>
      <c r="L1404" s="7">
        <f t="shared" si="85"/>
        <v>12800</v>
      </c>
      <c r="M1404" s="7">
        <f t="shared" si="86"/>
        <v>51200</v>
      </c>
      <c r="N1404" s="23">
        <v>97000</v>
      </c>
      <c r="O1404" s="7">
        <f t="shared" si="87"/>
        <v>148200</v>
      </c>
      <c r="P1404" s="2" t="s">
        <v>29</v>
      </c>
      <c r="Q1404" t="str">
        <f>_xlfn.XLOOKUP(B1404,Status!$A$2:$A$1867,Status!$B$2:$B$1867)</f>
        <v>Completed</v>
      </c>
      <c r="R1404" s="2" t="s">
        <v>46</v>
      </c>
      <c r="S1404" s="8">
        <v>4</v>
      </c>
      <c r="T1404" s="2" t="s">
        <v>24</v>
      </c>
      <c r="U1404" s="31" t="str" cm="1">
        <f t="array" ref="U1404">_xlfn.IFS(L1404&lt;=5000,$Z$3,AND(L1404&gt;5000,L1404&lt;=15000),$Z$4,AND(L1404&gt;15000,L1404&lt;=30000),$Z$5,AND(L1404&gt;30000,L1404&lt;=50000),$Z$6,L1404&gt;50000,$Z$7)</f>
        <v>Rendah</v>
      </c>
      <c r="V1404" s="2"/>
    </row>
    <row r="1405" spans="1:22" ht="15.75" customHeight="1" x14ac:dyDescent="0.25">
      <c r="A1405" s="26"/>
      <c r="B1405" s="2" t="s">
        <v>1781</v>
      </c>
      <c r="C1405" s="32">
        <v>45814.436238425929</v>
      </c>
      <c r="D1405" s="53">
        <f>YEAR(Table1[[#This Row],[Order Date]])</f>
        <v>2025</v>
      </c>
      <c r="E1405" s="2" t="s">
        <v>48</v>
      </c>
      <c r="F1405" s="2" t="s">
        <v>49</v>
      </c>
      <c r="G1405" s="2" t="s">
        <v>144</v>
      </c>
      <c r="H1405" s="23">
        <v>18000</v>
      </c>
      <c r="I1405" s="2">
        <v>4</v>
      </c>
      <c r="J1405" s="31">
        <v>5</v>
      </c>
      <c r="K1405" s="7">
        <f t="shared" si="84"/>
        <v>72000</v>
      </c>
      <c r="L1405" s="7">
        <f t="shared" si="85"/>
        <v>3600</v>
      </c>
      <c r="M1405" s="7">
        <f t="shared" si="86"/>
        <v>68400</v>
      </c>
      <c r="N1405" s="23">
        <v>43000</v>
      </c>
      <c r="O1405" s="7">
        <f t="shared" si="87"/>
        <v>111400</v>
      </c>
      <c r="P1405" s="2" t="s">
        <v>22</v>
      </c>
      <c r="Q1405" t="str">
        <f>_xlfn.XLOOKUP(B1405,Status!$A$2:$A$1867,Status!$B$2:$B$1867)</f>
        <v>Completed</v>
      </c>
      <c r="R1405" s="2" t="s">
        <v>23</v>
      </c>
      <c r="S1405" s="8">
        <v>2</v>
      </c>
      <c r="T1405" s="2" t="s">
        <v>24</v>
      </c>
      <c r="U1405" s="31" t="str" cm="1">
        <f t="array" ref="U1405">_xlfn.IFS(L1405&lt;=5000,$Z$3,AND(L1405&gt;5000,L1405&lt;=15000),$Z$4,AND(L1405&gt;15000,L1405&lt;=30000),$Z$5,AND(L1405&gt;30000,L1405&lt;=50000),$Z$6,L1405&gt;50000,$Z$7)</f>
        <v>Sangat Rendah</v>
      </c>
      <c r="V1405" s="2"/>
    </row>
    <row r="1406" spans="1:22" ht="15.75" customHeight="1" x14ac:dyDescent="0.25">
      <c r="A1406" s="26"/>
      <c r="B1406" s="2" t="s">
        <v>1782</v>
      </c>
      <c r="C1406" s="32">
        <v>45814.713622685187</v>
      </c>
      <c r="D1406" s="53">
        <f>YEAR(Table1[[#This Row],[Order Date]])</f>
        <v>2025</v>
      </c>
      <c r="E1406" s="2" t="s">
        <v>381</v>
      </c>
      <c r="F1406" s="2" t="s">
        <v>103</v>
      </c>
      <c r="G1406" s="2" t="s">
        <v>34</v>
      </c>
      <c r="H1406" s="23">
        <v>16000</v>
      </c>
      <c r="I1406" s="2">
        <v>5</v>
      </c>
      <c r="J1406" s="31">
        <v>20</v>
      </c>
      <c r="K1406" s="7">
        <f t="shared" si="84"/>
        <v>80000</v>
      </c>
      <c r="L1406" s="7">
        <f t="shared" si="85"/>
        <v>16000</v>
      </c>
      <c r="M1406" s="7">
        <f t="shared" si="86"/>
        <v>64000</v>
      </c>
      <c r="N1406" s="23">
        <v>85000</v>
      </c>
      <c r="O1406" s="7">
        <f t="shared" si="87"/>
        <v>149000</v>
      </c>
      <c r="P1406" s="2" t="s">
        <v>63</v>
      </c>
      <c r="Q1406" t="str">
        <f>_xlfn.XLOOKUP(B1406,Status!$A$2:$A$1867,Status!$B$2:$B$1867)</f>
        <v>Completed</v>
      </c>
      <c r="R1406" s="2" t="s">
        <v>23</v>
      </c>
      <c r="S1406" s="8">
        <v>2</v>
      </c>
      <c r="T1406" s="2" t="s">
        <v>24</v>
      </c>
      <c r="U1406" s="31" t="str" cm="1">
        <f t="array" ref="U1406">_xlfn.IFS(L1406&lt;=5000,$Z$3,AND(L1406&gt;5000,L1406&lt;=15000),$Z$4,AND(L1406&gt;15000,L1406&lt;=30000),$Z$5,AND(L1406&gt;30000,L1406&lt;=50000),$Z$6,L1406&gt;50000,$Z$7)</f>
        <v>Normal</v>
      </c>
      <c r="V1406" s="2"/>
    </row>
    <row r="1407" spans="1:22" ht="15.75" customHeight="1" x14ac:dyDescent="0.25">
      <c r="A1407" s="26"/>
      <c r="B1407" s="2" t="s">
        <v>1783</v>
      </c>
      <c r="C1407" s="32">
        <v>45815.187141203707</v>
      </c>
      <c r="D1407" s="53">
        <f>YEAR(Table1[[#This Row],[Order Date]])</f>
        <v>2025</v>
      </c>
      <c r="E1407" s="2" t="s">
        <v>802</v>
      </c>
      <c r="F1407" s="2" t="s">
        <v>126</v>
      </c>
      <c r="G1407" s="2" t="s">
        <v>34</v>
      </c>
      <c r="H1407" s="23">
        <v>16000</v>
      </c>
      <c r="I1407" s="2">
        <v>1</v>
      </c>
      <c r="J1407" s="31">
        <v>20</v>
      </c>
      <c r="K1407" s="7">
        <f t="shared" si="84"/>
        <v>16000</v>
      </c>
      <c r="L1407" s="7">
        <f t="shared" si="85"/>
        <v>3200</v>
      </c>
      <c r="M1407" s="7">
        <f t="shared" si="86"/>
        <v>12800</v>
      </c>
      <c r="N1407" s="23">
        <v>84000</v>
      </c>
      <c r="O1407" s="7">
        <f t="shared" si="87"/>
        <v>96800</v>
      </c>
      <c r="P1407" s="2" t="s">
        <v>29</v>
      </c>
      <c r="Q1407" t="str">
        <f>_xlfn.XLOOKUP(B1407,Status!$A$2:$A$1867,Status!$B$2:$B$1867)</f>
        <v>Completed</v>
      </c>
      <c r="R1407" s="2" t="s">
        <v>46</v>
      </c>
      <c r="S1407" s="8">
        <v>1</v>
      </c>
      <c r="T1407" s="2" t="s">
        <v>24</v>
      </c>
      <c r="U1407" s="31" t="str" cm="1">
        <f t="array" ref="U1407">_xlfn.IFS(L1407&lt;=5000,$Z$3,AND(L1407&gt;5000,L1407&lt;=15000),$Z$4,AND(L1407&gt;15000,L1407&lt;=30000),$Z$5,AND(L1407&gt;30000,L1407&lt;=50000),$Z$6,L1407&gt;50000,$Z$7)</f>
        <v>Sangat Rendah</v>
      </c>
      <c r="V1407" s="2"/>
    </row>
    <row r="1408" spans="1:22" ht="15.75" customHeight="1" x14ac:dyDescent="0.25">
      <c r="A1408" s="26"/>
      <c r="B1408" s="2" t="s">
        <v>1784</v>
      </c>
      <c r="C1408" s="32">
        <v>45815.30265046296</v>
      </c>
      <c r="D1408" s="53">
        <f>YEAR(Table1[[#This Row],[Order Date]])</f>
        <v>2025</v>
      </c>
      <c r="E1408" s="2" t="s">
        <v>283</v>
      </c>
      <c r="F1408" s="2" t="s">
        <v>92</v>
      </c>
      <c r="G1408" s="2" t="s">
        <v>144</v>
      </c>
      <c r="H1408" s="23">
        <v>18000</v>
      </c>
      <c r="I1408" s="2">
        <v>3</v>
      </c>
      <c r="J1408" s="31">
        <v>10</v>
      </c>
      <c r="K1408" s="7">
        <f t="shared" si="84"/>
        <v>54000</v>
      </c>
      <c r="L1408" s="7">
        <f t="shared" si="85"/>
        <v>5400</v>
      </c>
      <c r="M1408" s="7">
        <f t="shared" si="86"/>
        <v>48600</v>
      </c>
      <c r="N1408" s="23">
        <v>30000</v>
      </c>
      <c r="O1408" s="7">
        <f t="shared" si="87"/>
        <v>78600</v>
      </c>
      <c r="P1408" s="2" t="s">
        <v>29</v>
      </c>
      <c r="Q1408" t="str">
        <f>_xlfn.XLOOKUP(B1408,Status!$A$2:$A$1867,Status!$B$2:$B$1867)</f>
        <v>Completed</v>
      </c>
      <c r="R1408" s="2" t="s">
        <v>23</v>
      </c>
      <c r="S1408" s="8">
        <v>1</v>
      </c>
      <c r="T1408" s="2" t="s">
        <v>24</v>
      </c>
      <c r="U1408" s="31" t="str" cm="1">
        <f t="array" ref="U1408">_xlfn.IFS(L1408&lt;=5000,$Z$3,AND(L1408&gt;5000,L1408&lt;=15000),$Z$4,AND(L1408&gt;15000,L1408&lt;=30000),$Z$5,AND(L1408&gt;30000,L1408&lt;=50000),$Z$6,L1408&gt;50000,$Z$7)</f>
        <v>Rendah</v>
      </c>
      <c r="V1408" s="2"/>
    </row>
    <row r="1409" spans="1:22" ht="15.75" customHeight="1" x14ac:dyDescent="0.25">
      <c r="A1409" s="26"/>
      <c r="B1409" s="2" t="s">
        <v>1785</v>
      </c>
      <c r="C1409" s="32">
        <v>45815.65730324074</v>
      </c>
      <c r="D1409" s="53">
        <f>YEAR(Table1[[#This Row],[Order Date]])</f>
        <v>2025</v>
      </c>
      <c r="E1409" s="2" t="s">
        <v>739</v>
      </c>
      <c r="F1409" s="2" t="s">
        <v>177</v>
      </c>
      <c r="G1409" s="2" t="s">
        <v>138</v>
      </c>
      <c r="H1409" s="23">
        <v>17000</v>
      </c>
      <c r="I1409" s="2">
        <v>4</v>
      </c>
      <c r="J1409" s="31">
        <v>20</v>
      </c>
      <c r="K1409" s="7">
        <f t="shared" si="84"/>
        <v>68000</v>
      </c>
      <c r="L1409" s="7">
        <f t="shared" si="85"/>
        <v>13600</v>
      </c>
      <c r="M1409" s="7">
        <f t="shared" si="86"/>
        <v>54400</v>
      </c>
      <c r="N1409" s="23">
        <v>56000</v>
      </c>
      <c r="O1409" s="7">
        <f t="shared" si="87"/>
        <v>110400</v>
      </c>
      <c r="P1409" s="2" t="s">
        <v>63</v>
      </c>
      <c r="Q1409" t="str">
        <f>_xlfn.XLOOKUP(B1409,Status!$A$2:$A$1867,Status!$B$2:$B$1867)</f>
        <v>Completed</v>
      </c>
      <c r="R1409" s="2" t="s">
        <v>30</v>
      </c>
      <c r="S1409" s="8">
        <v>3</v>
      </c>
      <c r="T1409" s="2" t="s">
        <v>24</v>
      </c>
      <c r="U1409" s="31" t="str" cm="1">
        <f t="array" ref="U1409">_xlfn.IFS(L1409&lt;=5000,$Z$3,AND(L1409&gt;5000,L1409&lt;=15000),$Z$4,AND(L1409&gt;15000,L1409&lt;=30000),$Z$5,AND(L1409&gt;30000,L1409&lt;=50000),$Z$6,L1409&gt;50000,$Z$7)</f>
        <v>Rendah</v>
      </c>
      <c r="V1409" s="2"/>
    </row>
    <row r="1410" spans="1:22" ht="15.75" customHeight="1" x14ac:dyDescent="0.25">
      <c r="A1410" s="26"/>
      <c r="B1410" s="2" t="s">
        <v>1786</v>
      </c>
      <c r="C1410" s="32">
        <v>45815.708148148151</v>
      </c>
      <c r="D1410" s="53">
        <f>YEAR(Table1[[#This Row],[Order Date]])</f>
        <v>2025</v>
      </c>
      <c r="E1410" s="2" t="s">
        <v>615</v>
      </c>
      <c r="F1410" s="2" t="s">
        <v>92</v>
      </c>
      <c r="G1410" s="2" t="s">
        <v>50</v>
      </c>
      <c r="H1410" s="23">
        <v>14000</v>
      </c>
      <c r="I1410" s="2">
        <v>3</v>
      </c>
      <c r="J1410" s="31">
        <v>5</v>
      </c>
      <c r="K1410" s="7">
        <f t="shared" si="84"/>
        <v>42000</v>
      </c>
      <c r="L1410" s="7">
        <f t="shared" si="85"/>
        <v>2100</v>
      </c>
      <c r="M1410" s="7">
        <f t="shared" si="86"/>
        <v>39900</v>
      </c>
      <c r="N1410" s="23">
        <v>30000</v>
      </c>
      <c r="O1410" s="7">
        <f t="shared" si="87"/>
        <v>69900</v>
      </c>
      <c r="P1410" s="2" t="s">
        <v>22</v>
      </c>
      <c r="Q1410" t="str">
        <f>_xlfn.XLOOKUP(B1410,Status!$A$2:$A$1867,Status!$B$2:$B$1867)</f>
        <v>Completed</v>
      </c>
      <c r="R1410" s="2" t="s">
        <v>30</v>
      </c>
      <c r="S1410" s="8">
        <v>5</v>
      </c>
      <c r="T1410" s="2" t="s">
        <v>24</v>
      </c>
      <c r="U1410" s="31" t="str" cm="1">
        <f t="array" ref="U1410">_xlfn.IFS(L1410&lt;=5000,$Z$3,AND(L1410&gt;5000,L1410&lt;=15000),$Z$4,AND(L1410&gt;15000,L1410&lt;=30000),$Z$5,AND(L1410&gt;30000,L1410&lt;=50000),$Z$6,L1410&gt;50000,$Z$7)</f>
        <v>Sangat Rendah</v>
      </c>
      <c r="V1410" s="2"/>
    </row>
    <row r="1411" spans="1:22" ht="15.75" customHeight="1" x14ac:dyDescent="0.25">
      <c r="A1411" s="26"/>
      <c r="B1411" s="2" t="s">
        <v>1787</v>
      </c>
      <c r="C1411" s="32">
        <v>45815.729583333326</v>
      </c>
      <c r="D1411" s="53">
        <f>YEAR(Table1[[#This Row],[Order Date]])</f>
        <v>2025</v>
      </c>
      <c r="E1411" s="2" t="s">
        <v>254</v>
      </c>
      <c r="F1411" s="2" t="s">
        <v>61</v>
      </c>
      <c r="G1411" s="2" t="s">
        <v>38</v>
      </c>
      <c r="H1411" s="23">
        <v>28000</v>
      </c>
      <c r="I1411" s="2">
        <v>1</v>
      </c>
      <c r="J1411" s="31">
        <v>20</v>
      </c>
      <c r="K1411" s="7">
        <f t="shared" si="84"/>
        <v>28000</v>
      </c>
      <c r="L1411" s="7">
        <f t="shared" si="85"/>
        <v>5600</v>
      </c>
      <c r="M1411" s="7">
        <f t="shared" si="86"/>
        <v>22400</v>
      </c>
      <c r="N1411" s="23">
        <v>26000</v>
      </c>
      <c r="O1411" s="7">
        <f t="shared" si="87"/>
        <v>48400</v>
      </c>
      <c r="P1411" s="2" t="s">
        <v>29</v>
      </c>
      <c r="Q1411" t="str">
        <f>_xlfn.XLOOKUP(B1411,Status!$A$2:$A$1867,Status!$B$2:$B$1867)</f>
        <v>Completed</v>
      </c>
      <c r="R1411" s="2" t="s">
        <v>82</v>
      </c>
      <c r="S1411" s="8">
        <v>4</v>
      </c>
      <c r="T1411" s="2" t="s">
        <v>24</v>
      </c>
      <c r="U1411" s="31" t="str" cm="1">
        <f t="array" ref="U1411">_xlfn.IFS(L1411&lt;=5000,$Z$3,AND(L1411&gt;5000,L1411&lt;=15000),$Z$4,AND(L1411&gt;15000,L1411&lt;=30000),$Z$5,AND(L1411&gt;30000,L1411&lt;=50000),$Z$6,L1411&gt;50000,$Z$7)</f>
        <v>Rendah</v>
      </c>
      <c r="V1411" s="2"/>
    </row>
    <row r="1412" spans="1:22" ht="15.75" customHeight="1" x14ac:dyDescent="0.25">
      <c r="A1412" s="26"/>
      <c r="B1412" s="2" t="s">
        <v>1788</v>
      </c>
      <c r="C1412" s="32">
        <v>45816.723530092589</v>
      </c>
      <c r="D1412" s="53">
        <f>YEAR(Table1[[#This Row],[Order Date]])</f>
        <v>2025</v>
      </c>
      <c r="E1412" s="2" t="s">
        <v>1120</v>
      </c>
      <c r="F1412" s="2" t="s">
        <v>173</v>
      </c>
      <c r="G1412" s="2" t="s">
        <v>45</v>
      </c>
      <c r="H1412" s="23">
        <v>40000</v>
      </c>
      <c r="I1412" s="2">
        <v>1</v>
      </c>
      <c r="J1412" s="31">
        <v>15</v>
      </c>
      <c r="K1412" s="7">
        <f t="shared" ref="K1412:K1475" si="88">H1412*I1412</f>
        <v>40000</v>
      </c>
      <c r="L1412" s="7">
        <f t="shared" ref="L1412:L1475" si="89">K1412*(J1412/100)</f>
        <v>6000</v>
      </c>
      <c r="M1412" s="7">
        <f t="shared" ref="M1412:M1475" si="90">K1412-L1412</f>
        <v>34000</v>
      </c>
      <c r="N1412" s="23">
        <v>49000</v>
      </c>
      <c r="O1412" s="7">
        <f t="shared" ref="O1412:O1475" si="91">SUM(M1412:N1412)</f>
        <v>83000</v>
      </c>
      <c r="P1412" s="2" t="s">
        <v>63</v>
      </c>
      <c r="Q1412" t="str">
        <f>_xlfn.XLOOKUP(B1412,Status!$A$2:$A$1867,Status!$B$2:$B$1867)</f>
        <v>Completed</v>
      </c>
      <c r="R1412" s="2" t="s">
        <v>30</v>
      </c>
      <c r="S1412" s="8">
        <v>4</v>
      </c>
      <c r="T1412" s="2" t="s">
        <v>24</v>
      </c>
      <c r="U1412" s="31" t="str" cm="1">
        <f t="array" ref="U1412">_xlfn.IFS(L1412&lt;=5000,$Z$3,AND(L1412&gt;5000,L1412&lt;=15000),$Z$4,AND(L1412&gt;15000,L1412&lt;=30000),$Z$5,AND(L1412&gt;30000,L1412&lt;=50000),$Z$6,L1412&gt;50000,$Z$7)</f>
        <v>Rendah</v>
      </c>
      <c r="V1412" s="2"/>
    </row>
    <row r="1413" spans="1:22" ht="15.75" customHeight="1" x14ac:dyDescent="0.25">
      <c r="A1413" s="26"/>
      <c r="B1413" s="2" t="s">
        <v>1789</v>
      </c>
      <c r="C1413" s="32">
        <v>45816.769236111111</v>
      </c>
      <c r="D1413" s="53">
        <f>YEAR(Table1[[#This Row],[Order Date]])</f>
        <v>2025</v>
      </c>
      <c r="E1413" s="2" t="s">
        <v>959</v>
      </c>
      <c r="F1413" s="2" t="s">
        <v>182</v>
      </c>
      <c r="G1413" s="2" t="s">
        <v>62</v>
      </c>
      <c r="H1413" s="23">
        <v>50000</v>
      </c>
      <c r="I1413" s="2">
        <v>3</v>
      </c>
      <c r="J1413" s="31">
        <v>0</v>
      </c>
      <c r="K1413" s="7">
        <f t="shared" si="88"/>
        <v>150000</v>
      </c>
      <c r="L1413" s="7">
        <f t="shared" si="89"/>
        <v>0</v>
      </c>
      <c r="M1413" s="7">
        <f t="shared" si="90"/>
        <v>150000</v>
      </c>
      <c r="N1413" s="23">
        <v>48000</v>
      </c>
      <c r="O1413" s="7">
        <f t="shared" si="91"/>
        <v>198000</v>
      </c>
      <c r="P1413" s="2" t="s">
        <v>35</v>
      </c>
      <c r="Q1413" t="str">
        <f>_xlfn.XLOOKUP(B1413,Status!$A$2:$A$1867,Status!$B$2:$B$1867)</f>
        <v>Completed</v>
      </c>
      <c r="R1413" s="2" t="s">
        <v>36</v>
      </c>
      <c r="S1413" s="8">
        <v>1</v>
      </c>
      <c r="T1413" s="2" t="s">
        <v>24</v>
      </c>
      <c r="U1413" s="31" t="str" cm="1">
        <f t="array" ref="U1413">_xlfn.IFS(L1413&lt;=5000,$Z$3,AND(L1413&gt;5000,L1413&lt;=15000),$Z$4,AND(L1413&gt;15000,L1413&lt;=30000),$Z$5,AND(L1413&gt;30000,L1413&lt;=50000),$Z$6,L1413&gt;50000,$Z$7)</f>
        <v>Sangat Rendah</v>
      </c>
      <c r="V1413" s="2"/>
    </row>
    <row r="1414" spans="1:22" ht="15.75" customHeight="1" x14ac:dyDescent="0.25">
      <c r="A1414" s="26"/>
      <c r="B1414" s="2" t="s">
        <v>1790</v>
      </c>
      <c r="C1414" s="32">
        <v>45816.932210648149</v>
      </c>
      <c r="D1414" s="53">
        <f>YEAR(Table1[[#This Row],[Order Date]])</f>
        <v>2025</v>
      </c>
      <c r="E1414" s="2" t="s">
        <v>155</v>
      </c>
      <c r="F1414" s="2" t="s">
        <v>92</v>
      </c>
      <c r="G1414" s="2" t="s">
        <v>50</v>
      </c>
      <c r="H1414" s="23">
        <v>14000</v>
      </c>
      <c r="I1414" s="2">
        <v>1</v>
      </c>
      <c r="J1414" s="31">
        <v>10</v>
      </c>
      <c r="K1414" s="7">
        <f t="shared" si="88"/>
        <v>14000</v>
      </c>
      <c r="L1414" s="7">
        <f t="shared" si="89"/>
        <v>1400</v>
      </c>
      <c r="M1414" s="7">
        <f t="shared" si="90"/>
        <v>12600</v>
      </c>
      <c r="N1414" s="23">
        <v>30000</v>
      </c>
      <c r="O1414" s="7">
        <f t="shared" si="91"/>
        <v>42600</v>
      </c>
      <c r="P1414" s="2" t="s">
        <v>63</v>
      </c>
      <c r="Q1414" t="str">
        <f>_xlfn.XLOOKUP(B1414,Status!$A$2:$A$1867,Status!$B$2:$B$1867)</f>
        <v>Completed</v>
      </c>
      <c r="R1414" s="2" t="s">
        <v>30</v>
      </c>
      <c r="S1414" s="8">
        <v>3</v>
      </c>
      <c r="T1414" s="2" t="s">
        <v>24</v>
      </c>
      <c r="U1414" s="31" t="str" cm="1">
        <f t="array" ref="U1414">_xlfn.IFS(L1414&lt;=5000,$Z$3,AND(L1414&gt;5000,L1414&lt;=15000),$Z$4,AND(L1414&gt;15000,L1414&lt;=30000),$Z$5,AND(L1414&gt;30000,L1414&lt;=50000),$Z$6,L1414&gt;50000,$Z$7)</f>
        <v>Sangat Rendah</v>
      </c>
      <c r="V1414" s="2"/>
    </row>
    <row r="1415" spans="1:22" ht="15.75" customHeight="1" x14ac:dyDescent="0.25">
      <c r="A1415" s="26"/>
      <c r="B1415" s="2" t="s">
        <v>1791</v>
      </c>
      <c r="C1415" s="32">
        <v>45816.956643518519</v>
      </c>
      <c r="D1415" s="53">
        <f>YEAR(Table1[[#This Row],[Order Date]])</f>
        <v>2025</v>
      </c>
      <c r="E1415" s="2" t="s">
        <v>1792</v>
      </c>
      <c r="F1415" s="2" t="s">
        <v>49</v>
      </c>
      <c r="G1415" s="2" t="s">
        <v>75</v>
      </c>
      <c r="H1415" s="23">
        <v>55000</v>
      </c>
      <c r="I1415" s="2">
        <v>5</v>
      </c>
      <c r="J1415" s="31">
        <v>5</v>
      </c>
      <c r="K1415" s="7">
        <f t="shared" si="88"/>
        <v>275000</v>
      </c>
      <c r="L1415" s="7">
        <f t="shared" si="89"/>
        <v>13750</v>
      </c>
      <c r="M1415" s="7">
        <f t="shared" si="90"/>
        <v>261250</v>
      </c>
      <c r="N1415" s="23">
        <v>43000</v>
      </c>
      <c r="O1415" s="7">
        <f t="shared" si="91"/>
        <v>304250</v>
      </c>
      <c r="P1415" s="2" t="s">
        <v>22</v>
      </c>
      <c r="Q1415" t="str">
        <f>_xlfn.XLOOKUP(B1415,Status!$A$2:$A$1867,Status!$B$2:$B$1867)</f>
        <v>Completed</v>
      </c>
      <c r="R1415" s="2" t="s">
        <v>36</v>
      </c>
      <c r="S1415" s="8">
        <v>2</v>
      </c>
      <c r="T1415" s="2" t="s">
        <v>37</v>
      </c>
      <c r="U1415" s="31" t="str" cm="1">
        <f t="array" ref="U1415">_xlfn.IFS(L1415&lt;=5000,$Z$3,AND(L1415&gt;5000,L1415&lt;=15000),$Z$4,AND(L1415&gt;15000,L1415&lt;=30000),$Z$5,AND(L1415&gt;30000,L1415&lt;=50000),$Z$6,L1415&gt;50000,$Z$7)</f>
        <v>Rendah</v>
      </c>
      <c r="V1415" s="2"/>
    </row>
    <row r="1416" spans="1:22" ht="15.75" customHeight="1" x14ac:dyDescent="0.25">
      <c r="A1416" s="26"/>
      <c r="B1416" s="2" t="s">
        <v>1793</v>
      </c>
      <c r="C1416" s="32">
        <v>45817.117569444446</v>
      </c>
      <c r="D1416" s="53">
        <f>YEAR(Table1[[#This Row],[Order Date]])</f>
        <v>2025</v>
      </c>
      <c r="E1416" s="2" t="s">
        <v>1794</v>
      </c>
      <c r="F1416" s="2" t="s">
        <v>195</v>
      </c>
      <c r="G1416" s="2" t="s">
        <v>38</v>
      </c>
      <c r="H1416" s="23">
        <v>28000</v>
      </c>
      <c r="I1416" s="2">
        <v>4</v>
      </c>
      <c r="J1416" s="31">
        <v>5</v>
      </c>
      <c r="K1416" s="7">
        <f t="shared" si="88"/>
        <v>112000</v>
      </c>
      <c r="L1416" s="7">
        <f t="shared" si="89"/>
        <v>5600</v>
      </c>
      <c r="M1416" s="7">
        <f t="shared" si="90"/>
        <v>106400</v>
      </c>
      <c r="N1416" s="23">
        <v>87000</v>
      </c>
      <c r="O1416" s="7">
        <f t="shared" si="91"/>
        <v>193400</v>
      </c>
      <c r="P1416" s="2" t="s">
        <v>35</v>
      </c>
      <c r="Q1416" t="str">
        <f>_xlfn.XLOOKUP(B1416,Status!$A$2:$A$1867,Status!$B$2:$B$1867)</f>
        <v>Completed</v>
      </c>
      <c r="R1416" s="2" t="s">
        <v>23</v>
      </c>
      <c r="S1416" s="8">
        <v>5</v>
      </c>
      <c r="T1416" s="2" t="s">
        <v>37</v>
      </c>
      <c r="U1416" s="31" t="str" cm="1">
        <f t="array" ref="U1416">_xlfn.IFS(L1416&lt;=5000,$Z$3,AND(L1416&gt;5000,L1416&lt;=15000),$Z$4,AND(L1416&gt;15000,L1416&lt;=30000),$Z$5,AND(L1416&gt;30000,L1416&lt;=50000),$Z$6,L1416&gt;50000,$Z$7)</f>
        <v>Rendah</v>
      </c>
      <c r="V1416" s="2"/>
    </row>
    <row r="1417" spans="1:22" ht="15.75" customHeight="1" x14ac:dyDescent="0.25">
      <c r="A1417" s="26"/>
      <c r="B1417" s="2" t="s">
        <v>1793</v>
      </c>
      <c r="C1417" s="32">
        <v>45817.117569444446</v>
      </c>
      <c r="D1417" s="53">
        <f>YEAR(Table1[[#This Row],[Order Date]])</f>
        <v>2025</v>
      </c>
      <c r="E1417" s="2" t="s">
        <v>1794</v>
      </c>
      <c r="F1417" s="2" t="s">
        <v>195</v>
      </c>
      <c r="G1417" s="2" t="s">
        <v>110</v>
      </c>
      <c r="H1417" s="23">
        <v>6000</v>
      </c>
      <c r="I1417" s="2">
        <v>5</v>
      </c>
      <c r="J1417" s="31">
        <v>5</v>
      </c>
      <c r="K1417" s="7">
        <f t="shared" si="88"/>
        <v>30000</v>
      </c>
      <c r="L1417" s="7">
        <f t="shared" si="89"/>
        <v>1500</v>
      </c>
      <c r="M1417" s="7">
        <f t="shared" si="90"/>
        <v>28500</v>
      </c>
      <c r="N1417" s="23">
        <v>0</v>
      </c>
      <c r="O1417" s="7">
        <f t="shared" si="91"/>
        <v>28500</v>
      </c>
      <c r="P1417" s="2" t="s">
        <v>35</v>
      </c>
      <c r="Q1417" t="str">
        <f>_xlfn.XLOOKUP(B1417,Status!$A$2:$A$1867,Status!$B$2:$B$1867)</f>
        <v>Completed</v>
      </c>
      <c r="R1417" s="2" t="s">
        <v>23</v>
      </c>
      <c r="S1417" s="8">
        <v>5</v>
      </c>
      <c r="T1417" s="2" t="s">
        <v>37</v>
      </c>
      <c r="U1417" s="31" t="str" cm="1">
        <f t="array" ref="U1417">_xlfn.IFS(L1417&lt;=5000,$Z$3,AND(L1417&gt;5000,L1417&lt;=15000),$Z$4,AND(L1417&gt;15000,L1417&lt;=30000),$Z$5,AND(L1417&gt;30000,L1417&lt;=50000),$Z$6,L1417&gt;50000,$Z$7)</f>
        <v>Sangat Rendah</v>
      </c>
      <c r="V1417" s="2"/>
    </row>
    <row r="1418" spans="1:22" ht="15.75" customHeight="1" x14ac:dyDescent="0.25">
      <c r="A1418" s="26"/>
      <c r="B1418" s="2" t="s">
        <v>1795</v>
      </c>
      <c r="C1418" s="32">
        <v>45817.224178240736</v>
      </c>
      <c r="D1418" s="53">
        <f>YEAR(Table1[[#This Row],[Order Date]])</f>
        <v>2025</v>
      </c>
      <c r="E1418" s="2" t="s">
        <v>1341</v>
      </c>
      <c r="F1418" s="2" t="s">
        <v>107</v>
      </c>
      <c r="G1418" s="2" t="s">
        <v>144</v>
      </c>
      <c r="H1418" s="23">
        <v>18000</v>
      </c>
      <c r="I1418" s="2">
        <v>3</v>
      </c>
      <c r="J1418" s="31">
        <v>20</v>
      </c>
      <c r="K1418" s="7">
        <f t="shared" si="88"/>
        <v>54000</v>
      </c>
      <c r="L1418" s="7">
        <f t="shared" si="89"/>
        <v>10800</v>
      </c>
      <c r="M1418" s="7">
        <f t="shared" si="90"/>
        <v>43200</v>
      </c>
      <c r="N1418" s="23">
        <v>97000</v>
      </c>
      <c r="O1418" s="7">
        <f t="shared" si="91"/>
        <v>140200</v>
      </c>
      <c r="P1418" s="2" t="s">
        <v>22</v>
      </c>
      <c r="Q1418" t="str">
        <f>_xlfn.XLOOKUP(B1418,Status!$A$2:$A$1867,Status!$B$2:$B$1867)</f>
        <v>Cancelled</v>
      </c>
      <c r="R1418" s="2" t="s">
        <v>23</v>
      </c>
      <c r="S1418" s="8">
        <v>2</v>
      </c>
      <c r="T1418" s="2" t="s">
        <v>37</v>
      </c>
      <c r="U1418" s="31" t="str" cm="1">
        <f t="array" ref="U1418">_xlfn.IFS(L1418&lt;=5000,$Z$3,AND(L1418&gt;5000,L1418&lt;=15000),$Z$4,AND(L1418&gt;15000,L1418&lt;=30000),$Z$5,AND(L1418&gt;30000,L1418&lt;=50000),$Z$6,L1418&gt;50000,$Z$7)</f>
        <v>Rendah</v>
      </c>
      <c r="V1418" s="2"/>
    </row>
    <row r="1419" spans="1:22" ht="15.75" customHeight="1" x14ac:dyDescent="0.25">
      <c r="A1419" s="26"/>
      <c r="B1419" s="2" t="s">
        <v>1796</v>
      </c>
      <c r="C1419" s="32">
        <v>45817.542569444442</v>
      </c>
      <c r="D1419" s="53">
        <f>YEAR(Table1[[#This Row],[Order Date]])</f>
        <v>2025</v>
      </c>
      <c r="E1419" s="2" t="s">
        <v>488</v>
      </c>
      <c r="F1419" s="2" t="s">
        <v>49</v>
      </c>
      <c r="G1419" s="2" t="s">
        <v>85</v>
      </c>
      <c r="H1419" s="23">
        <v>35000</v>
      </c>
      <c r="I1419" s="2">
        <v>4</v>
      </c>
      <c r="J1419" s="31">
        <v>20</v>
      </c>
      <c r="K1419" s="7">
        <f t="shared" si="88"/>
        <v>140000</v>
      </c>
      <c r="L1419" s="7">
        <f t="shared" si="89"/>
        <v>28000</v>
      </c>
      <c r="M1419" s="7">
        <f t="shared" si="90"/>
        <v>112000</v>
      </c>
      <c r="N1419" s="23">
        <v>43000</v>
      </c>
      <c r="O1419" s="7">
        <f t="shared" si="91"/>
        <v>155000</v>
      </c>
      <c r="P1419" s="2" t="s">
        <v>35</v>
      </c>
      <c r="Q1419" t="str">
        <f>_xlfn.XLOOKUP(B1419,Status!$A$2:$A$1867,Status!$B$2:$B$1867)</f>
        <v>Returned</v>
      </c>
      <c r="R1419" s="2" t="s">
        <v>30</v>
      </c>
      <c r="S1419" s="8">
        <v>4</v>
      </c>
      <c r="T1419" s="2" t="s">
        <v>24</v>
      </c>
      <c r="U1419" s="31" t="str" cm="1">
        <f t="array" ref="U1419">_xlfn.IFS(L1419&lt;=5000,$Z$3,AND(L1419&gt;5000,L1419&lt;=15000),$Z$4,AND(L1419&gt;15000,L1419&lt;=30000),$Z$5,AND(L1419&gt;30000,L1419&lt;=50000),$Z$6,L1419&gt;50000,$Z$7)</f>
        <v>Normal</v>
      </c>
      <c r="V1419" s="2"/>
    </row>
    <row r="1420" spans="1:22" ht="15.75" customHeight="1" x14ac:dyDescent="0.25">
      <c r="A1420" s="26"/>
      <c r="B1420" s="2" t="s">
        <v>1797</v>
      </c>
      <c r="C1420" s="32">
        <v>45817.726168981477</v>
      </c>
      <c r="D1420" s="53">
        <f>YEAR(Table1[[#This Row],[Order Date]])</f>
        <v>2025</v>
      </c>
      <c r="E1420" s="2" t="s">
        <v>497</v>
      </c>
      <c r="F1420" s="2" t="s">
        <v>173</v>
      </c>
      <c r="G1420" s="2" t="s">
        <v>136</v>
      </c>
      <c r="H1420" s="23">
        <v>12000</v>
      </c>
      <c r="I1420" s="2">
        <v>1</v>
      </c>
      <c r="J1420" s="31">
        <v>15</v>
      </c>
      <c r="K1420" s="7">
        <f t="shared" si="88"/>
        <v>12000</v>
      </c>
      <c r="L1420" s="7">
        <f t="shared" si="89"/>
        <v>1800</v>
      </c>
      <c r="M1420" s="7">
        <f t="shared" si="90"/>
        <v>10200</v>
      </c>
      <c r="N1420" s="23">
        <v>49000</v>
      </c>
      <c r="O1420" s="7">
        <f t="shared" si="91"/>
        <v>59200</v>
      </c>
      <c r="P1420" s="2" t="s">
        <v>35</v>
      </c>
      <c r="Q1420" t="str">
        <f>_xlfn.XLOOKUP(B1420,Status!$A$2:$A$1867,Status!$B$2:$B$1867)</f>
        <v>Returned</v>
      </c>
      <c r="R1420" s="2" t="s">
        <v>23</v>
      </c>
      <c r="S1420" s="8">
        <v>1</v>
      </c>
      <c r="T1420" s="2" t="s">
        <v>37</v>
      </c>
      <c r="U1420" s="31" t="str" cm="1">
        <f t="array" ref="U1420">_xlfn.IFS(L1420&lt;=5000,$Z$3,AND(L1420&gt;5000,L1420&lt;=15000),$Z$4,AND(L1420&gt;15000,L1420&lt;=30000),$Z$5,AND(L1420&gt;30000,L1420&lt;=50000),$Z$6,L1420&gt;50000,$Z$7)</f>
        <v>Sangat Rendah</v>
      </c>
      <c r="V1420" s="2"/>
    </row>
    <row r="1421" spans="1:22" ht="15.75" customHeight="1" x14ac:dyDescent="0.25">
      <c r="A1421" s="26"/>
      <c r="B1421" s="2" t="s">
        <v>1798</v>
      </c>
      <c r="C1421" s="32">
        <v>45817.732604166667</v>
      </c>
      <c r="D1421" s="53">
        <f>YEAR(Table1[[#This Row],[Order Date]])</f>
        <v>2025</v>
      </c>
      <c r="E1421" s="2" t="s">
        <v>782</v>
      </c>
      <c r="F1421" s="2" t="s">
        <v>177</v>
      </c>
      <c r="G1421" s="2" t="s">
        <v>104</v>
      </c>
      <c r="H1421" s="23">
        <v>30000</v>
      </c>
      <c r="I1421" s="2">
        <v>5</v>
      </c>
      <c r="J1421" s="31">
        <v>20</v>
      </c>
      <c r="K1421" s="7">
        <f t="shared" si="88"/>
        <v>150000</v>
      </c>
      <c r="L1421" s="7">
        <f t="shared" si="89"/>
        <v>30000</v>
      </c>
      <c r="M1421" s="7">
        <f t="shared" si="90"/>
        <v>120000</v>
      </c>
      <c r="N1421" s="23">
        <v>56000</v>
      </c>
      <c r="O1421" s="7">
        <f t="shared" si="91"/>
        <v>176000</v>
      </c>
      <c r="P1421" s="2" t="s">
        <v>35</v>
      </c>
      <c r="Q1421" t="str">
        <f>_xlfn.XLOOKUP(B1421,Status!$A$2:$A$1867,Status!$B$2:$B$1867)</f>
        <v>Completed</v>
      </c>
      <c r="R1421" s="2" t="s">
        <v>82</v>
      </c>
      <c r="S1421" s="8">
        <v>2</v>
      </c>
      <c r="T1421" s="2" t="s">
        <v>24</v>
      </c>
      <c r="U1421" s="31" t="str" cm="1">
        <f t="array" ref="U1421">_xlfn.IFS(L1421&lt;=5000,$Z$3,AND(L1421&gt;5000,L1421&lt;=15000),$Z$4,AND(L1421&gt;15000,L1421&lt;=30000),$Z$5,AND(L1421&gt;30000,L1421&lt;=50000),$Z$6,L1421&gt;50000,$Z$7)</f>
        <v>Normal</v>
      </c>
      <c r="V1421" s="2"/>
    </row>
    <row r="1422" spans="1:22" ht="15.75" customHeight="1" x14ac:dyDescent="0.25">
      <c r="A1422" s="26"/>
      <c r="B1422" s="2" t="s">
        <v>1799</v>
      </c>
      <c r="C1422" s="32">
        <v>45817.784768518519</v>
      </c>
      <c r="D1422" s="53">
        <f>YEAR(Table1[[#This Row],[Order Date]])</f>
        <v>2025</v>
      </c>
      <c r="E1422" s="2" t="s">
        <v>1396</v>
      </c>
      <c r="F1422" s="2" t="s">
        <v>435</v>
      </c>
      <c r="G1422" s="2" t="s">
        <v>67</v>
      </c>
      <c r="H1422" s="23">
        <v>15000</v>
      </c>
      <c r="I1422" s="2">
        <v>2</v>
      </c>
      <c r="J1422" s="31">
        <v>15</v>
      </c>
      <c r="K1422" s="7">
        <f t="shared" si="88"/>
        <v>30000</v>
      </c>
      <c r="L1422" s="7">
        <f t="shared" si="89"/>
        <v>4500</v>
      </c>
      <c r="M1422" s="7">
        <f t="shared" si="90"/>
        <v>25500</v>
      </c>
      <c r="N1422" s="23">
        <v>67000</v>
      </c>
      <c r="O1422" s="7">
        <f t="shared" si="91"/>
        <v>92500</v>
      </c>
      <c r="P1422" s="2" t="s">
        <v>22</v>
      </c>
      <c r="Q1422" t="str">
        <f>_xlfn.XLOOKUP(B1422,Status!$A$2:$A$1867,Status!$B$2:$B$1867)</f>
        <v>Completed</v>
      </c>
      <c r="R1422" s="2" t="s">
        <v>36</v>
      </c>
      <c r="S1422" s="8">
        <v>4</v>
      </c>
      <c r="T1422" s="2" t="s">
        <v>24</v>
      </c>
      <c r="U1422" s="31" t="str" cm="1">
        <f t="array" ref="U1422">_xlfn.IFS(L1422&lt;=5000,$Z$3,AND(L1422&gt;5000,L1422&lt;=15000),$Z$4,AND(L1422&gt;15000,L1422&lt;=30000),$Z$5,AND(L1422&gt;30000,L1422&lt;=50000),$Z$6,L1422&gt;50000,$Z$7)</f>
        <v>Sangat Rendah</v>
      </c>
      <c r="V1422" s="2"/>
    </row>
    <row r="1423" spans="1:22" ht="15.75" customHeight="1" x14ac:dyDescent="0.25">
      <c r="A1423" s="26"/>
      <c r="B1423" s="2" t="s">
        <v>1800</v>
      </c>
      <c r="C1423" s="32">
        <v>45818.309340277781</v>
      </c>
      <c r="D1423" s="53">
        <f>YEAR(Table1[[#This Row],[Order Date]])</f>
        <v>2025</v>
      </c>
      <c r="E1423" s="2" t="s">
        <v>576</v>
      </c>
      <c r="F1423" s="2" t="s">
        <v>57</v>
      </c>
      <c r="G1423" s="2" t="s">
        <v>50</v>
      </c>
      <c r="H1423" s="23">
        <v>14000</v>
      </c>
      <c r="I1423" s="2">
        <v>1</v>
      </c>
      <c r="J1423" s="31">
        <v>15</v>
      </c>
      <c r="K1423" s="7">
        <f t="shared" si="88"/>
        <v>14000</v>
      </c>
      <c r="L1423" s="7">
        <f t="shared" si="89"/>
        <v>2100</v>
      </c>
      <c r="M1423" s="7">
        <f t="shared" si="90"/>
        <v>11900</v>
      </c>
      <c r="N1423" s="23">
        <v>80000</v>
      </c>
      <c r="O1423" s="7">
        <f t="shared" si="91"/>
        <v>91900</v>
      </c>
      <c r="P1423" s="2" t="s">
        <v>29</v>
      </c>
      <c r="Q1423" t="str">
        <f>_xlfn.XLOOKUP(B1423,Status!$A$2:$A$1867,Status!$B$2:$B$1867)</f>
        <v>Completed</v>
      </c>
      <c r="R1423" s="2" t="s">
        <v>23</v>
      </c>
      <c r="S1423" s="8">
        <v>1</v>
      </c>
      <c r="T1423" s="2" t="s">
        <v>37</v>
      </c>
      <c r="U1423" s="31" t="str" cm="1">
        <f t="array" ref="U1423">_xlfn.IFS(L1423&lt;=5000,$Z$3,AND(L1423&gt;5000,L1423&lt;=15000),$Z$4,AND(L1423&gt;15000,L1423&lt;=30000),$Z$5,AND(L1423&gt;30000,L1423&lt;=50000),$Z$6,L1423&gt;50000,$Z$7)</f>
        <v>Sangat Rendah</v>
      </c>
      <c r="V1423" s="2"/>
    </row>
    <row r="1424" spans="1:22" ht="15.75" customHeight="1" x14ac:dyDescent="0.25">
      <c r="A1424" s="26"/>
      <c r="B1424" s="2" t="s">
        <v>1801</v>
      </c>
      <c r="C1424" s="32">
        <v>45818.31212962963</v>
      </c>
      <c r="D1424" s="53">
        <f>YEAR(Table1[[#This Row],[Order Date]])</f>
        <v>2025</v>
      </c>
      <c r="E1424" s="2" t="s">
        <v>796</v>
      </c>
      <c r="F1424" s="2" t="s">
        <v>119</v>
      </c>
      <c r="G1424" s="2" t="s">
        <v>123</v>
      </c>
      <c r="H1424" s="23">
        <v>22000</v>
      </c>
      <c r="I1424" s="2">
        <v>1</v>
      </c>
      <c r="J1424" s="31">
        <v>15</v>
      </c>
      <c r="K1424" s="7">
        <f t="shared" si="88"/>
        <v>22000</v>
      </c>
      <c r="L1424" s="7">
        <f t="shared" si="89"/>
        <v>3300</v>
      </c>
      <c r="M1424" s="7">
        <f t="shared" si="90"/>
        <v>18700</v>
      </c>
      <c r="N1424" s="23">
        <v>0</v>
      </c>
      <c r="O1424" s="7">
        <f t="shared" si="91"/>
        <v>18700</v>
      </c>
      <c r="P1424" s="2" t="s">
        <v>22</v>
      </c>
      <c r="Q1424" t="str">
        <f>_xlfn.XLOOKUP(B1424,Status!$A$2:$A$1867,Status!$B$2:$B$1867)</f>
        <v>Completed</v>
      </c>
      <c r="R1424" s="2" t="s">
        <v>82</v>
      </c>
      <c r="S1424" s="8">
        <v>3</v>
      </c>
      <c r="T1424" s="2" t="s">
        <v>24</v>
      </c>
      <c r="U1424" s="31" t="str" cm="1">
        <f t="array" ref="U1424">_xlfn.IFS(L1424&lt;=5000,$Z$3,AND(L1424&gt;5000,L1424&lt;=15000),$Z$4,AND(L1424&gt;15000,L1424&lt;=30000),$Z$5,AND(L1424&gt;30000,L1424&lt;=50000),$Z$6,L1424&gt;50000,$Z$7)</f>
        <v>Sangat Rendah</v>
      </c>
      <c r="V1424" s="2"/>
    </row>
    <row r="1425" spans="1:22" ht="15.75" customHeight="1" x14ac:dyDescent="0.25">
      <c r="A1425" s="26"/>
      <c r="B1425" s="2" t="s">
        <v>1802</v>
      </c>
      <c r="C1425" s="32">
        <v>45818.331041666657</v>
      </c>
      <c r="D1425" s="53">
        <f>YEAR(Table1[[#This Row],[Order Date]])</f>
        <v>2025</v>
      </c>
      <c r="E1425" s="2" t="s">
        <v>596</v>
      </c>
      <c r="F1425" s="2" t="s">
        <v>70</v>
      </c>
      <c r="G1425" s="2" t="s">
        <v>58</v>
      </c>
      <c r="H1425" s="23">
        <v>16000</v>
      </c>
      <c r="I1425" s="2">
        <v>1</v>
      </c>
      <c r="J1425" s="31">
        <v>20</v>
      </c>
      <c r="K1425" s="7">
        <f t="shared" si="88"/>
        <v>16000</v>
      </c>
      <c r="L1425" s="7">
        <f t="shared" si="89"/>
        <v>3200</v>
      </c>
      <c r="M1425" s="7">
        <f t="shared" si="90"/>
        <v>12800</v>
      </c>
      <c r="N1425" s="23">
        <v>89000</v>
      </c>
      <c r="O1425" s="7">
        <f t="shared" si="91"/>
        <v>101800</v>
      </c>
      <c r="P1425" s="2" t="s">
        <v>35</v>
      </c>
      <c r="Q1425" t="str">
        <f>_xlfn.XLOOKUP(B1425,Status!$A$2:$A$1867,Status!$B$2:$B$1867)</f>
        <v>Completed</v>
      </c>
      <c r="R1425" s="2" t="s">
        <v>46</v>
      </c>
      <c r="S1425" s="8">
        <v>5</v>
      </c>
      <c r="T1425" s="2" t="s">
        <v>24</v>
      </c>
      <c r="U1425" s="31" t="str" cm="1">
        <f t="array" ref="U1425">_xlfn.IFS(L1425&lt;=5000,$Z$3,AND(L1425&gt;5000,L1425&lt;=15000),$Z$4,AND(L1425&gt;15000,L1425&lt;=30000),$Z$5,AND(L1425&gt;30000,L1425&lt;=50000),$Z$6,L1425&gt;50000,$Z$7)</f>
        <v>Sangat Rendah</v>
      </c>
      <c r="V1425" s="2"/>
    </row>
    <row r="1426" spans="1:22" ht="15.75" customHeight="1" x14ac:dyDescent="0.25">
      <c r="A1426" s="26"/>
      <c r="B1426" s="2" t="s">
        <v>1803</v>
      </c>
      <c r="C1426" s="32">
        <v>45818.379444444443</v>
      </c>
      <c r="D1426" s="53">
        <f>YEAR(Table1[[#This Row],[Order Date]])</f>
        <v>2025</v>
      </c>
      <c r="E1426" s="2" t="s">
        <v>1792</v>
      </c>
      <c r="F1426" s="2" t="s">
        <v>49</v>
      </c>
      <c r="G1426" s="2" t="s">
        <v>62</v>
      </c>
      <c r="H1426" s="23">
        <v>50000</v>
      </c>
      <c r="I1426" s="2">
        <v>1</v>
      </c>
      <c r="J1426" s="31">
        <v>0</v>
      </c>
      <c r="K1426" s="7">
        <f t="shared" si="88"/>
        <v>50000</v>
      </c>
      <c r="L1426" s="7">
        <f t="shared" si="89"/>
        <v>0</v>
      </c>
      <c r="M1426" s="7">
        <f t="shared" si="90"/>
        <v>50000</v>
      </c>
      <c r="N1426" s="23">
        <v>43000</v>
      </c>
      <c r="O1426" s="7">
        <f t="shared" si="91"/>
        <v>93000</v>
      </c>
      <c r="P1426" s="2" t="s">
        <v>29</v>
      </c>
      <c r="Q1426" t="str">
        <f>_xlfn.XLOOKUP(B1426,Status!$A$2:$A$1867,Status!$B$2:$B$1867)</f>
        <v>Completed</v>
      </c>
      <c r="R1426" s="2" t="s">
        <v>23</v>
      </c>
      <c r="S1426" s="8">
        <v>3</v>
      </c>
      <c r="T1426" s="2" t="s">
        <v>37</v>
      </c>
      <c r="U1426" s="31" t="str" cm="1">
        <f t="array" ref="U1426">_xlfn.IFS(L1426&lt;=5000,$Z$3,AND(L1426&gt;5000,L1426&lt;=15000),$Z$4,AND(L1426&gt;15000,L1426&lt;=30000),$Z$5,AND(L1426&gt;30000,L1426&lt;=50000),$Z$6,L1426&gt;50000,$Z$7)</f>
        <v>Sangat Rendah</v>
      </c>
      <c r="V1426" s="2"/>
    </row>
    <row r="1427" spans="1:22" ht="15.75" customHeight="1" x14ac:dyDescent="0.25">
      <c r="A1427" s="26"/>
      <c r="B1427" s="2" t="s">
        <v>1804</v>
      </c>
      <c r="C1427" s="32">
        <v>45818.464212962957</v>
      </c>
      <c r="D1427" s="53">
        <f>YEAR(Table1[[#This Row],[Order Date]])</f>
        <v>2025</v>
      </c>
      <c r="E1427" s="2" t="s">
        <v>649</v>
      </c>
      <c r="F1427" s="2" t="s">
        <v>177</v>
      </c>
      <c r="G1427" s="2" t="s">
        <v>81</v>
      </c>
      <c r="H1427" s="23">
        <v>17000</v>
      </c>
      <c r="I1427" s="2">
        <v>2</v>
      </c>
      <c r="J1427" s="31">
        <v>0</v>
      </c>
      <c r="K1427" s="7">
        <f t="shared" si="88"/>
        <v>34000</v>
      </c>
      <c r="L1427" s="7">
        <f t="shared" si="89"/>
        <v>0</v>
      </c>
      <c r="M1427" s="7">
        <f t="shared" si="90"/>
        <v>34000</v>
      </c>
      <c r="N1427" s="23">
        <v>56000</v>
      </c>
      <c r="O1427" s="7">
        <f t="shared" si="91"/>
        <v>90000</v>
      </c>
      <c r="P1427" s="2" t="s">
        <v>29</v>
      </c>
      <c r="Q1427" t="str">
        <f>_xlfn.XLOOKUP(B1427,Status!$A$2:$A$1867,Status!$B$2:$B$1867)</f>
        <v>Completed</v>
      </c>
      <c r="R1427" s="2" t="s">
        <v>36</v>
      </c>
      <c r="S1427" s="8">
        <v>2</v>
      </c>
      <c r="T1427" s="2" t="s">
        <v>24</v>
      </c>
      <c r="U1427" s="31" t="str" cm="1">
        <f t="array" ref="U1427">_xlfn.IFS(L1427&lt;=5000,$Z$3,AND(L1427&gt;5000,L1427&lt;=15000),$Z$4,AND(L1427&gt;15000,L1427&lt;=30000),$Z$5,AND(L1427&gt;30000,L1427&lt;=50000),$Z$6,L1427&gt;50000,$Z$7)</f>
        <v>Sangat Rendah</v>
      </c>
      <c r="V1427" s="2"/>
    </row>
    <row r="1428" spans="1:22" ht="15.75" customHeight="1" x14ac:dyDescent="0.25">
      <c r="A1428" s="26"/>
      <c r="B1428" s="2" t="s">
        <v>1805</v>
      </c>
      <c r="C1428" s="32">
        <v>45818.487604166658</v>
      </c>
      <c r="D1428" s="53">
        <f>YEAR(Table1[[#This Row],[Order Date]])</f>
        <v>2025</v>
      </c>
      <c r="E1428" s="2" t="s">
        <v>1382</v>
      </c>
      <c r="F1428" s="2" t="s">
        <v>74</v>
      </c>
      <c r="G1428" s="2" t="s">
        <v>93</v>
      </c>
      <c r="H1428" s="23">
        <v>25000</v>
      </c>
      <c r="I1428" s="2">
        <v>4</v>
      </c>
      <c r="J1428" s="31">
        <v>5</v>
      </c>
      <c r="K1428" s="7">
        <f t="shared" si="88"/>
        <v>100000</v>
      </c>
      <c r="L1428" s="7">
        <f t="shared" si="89"/>
        <v>5000</v>
      </c>
      <c r="M1428" s="7">
        <f t="shared" si="90"/>
        <v>95000</v>
      </c>
      <c r="N1428" s="23">
        <v>87000</v>
      </c>
      <c r="O1428" s="7">
        <f t="shared" si="91"/>
        <v>182000</v>
      </c>
      <c r="P1428" s="2" t="s">
        <v>29</v>
      </c>
      <c r="Q1428" t="str">
        <f>_xlfn.XLOOKUP(B1428,Status!$A$2:$A$1867,Status!$B$2:$B$1867)</f>
        <v>Completed</v>
      </c>
      <c r="R1428" s="2" t="s">
        <v>30</v>
      </c>
      <c r="S1428" s="8">
        <v>3</v>
      </c>
      <c r="T1428" s="2" t="s">
        <v>24</v>
      </c>
      <c r="U1428" s="31" t="str" cm="1">
        <f t="array" ref="U1428">_xlfn.IFS(L1428&lt;=5000,$Z$3,AND(L1428&gt;5000,L1428&lt;=15000),$Z$4,AND(L1428&gt;15000,L1428&lt;=30000),$Z$5,AND(L1428&gt;30000,L1428&lt;=50000),$Z$6,L1428&gt;50000,$Z$7)</f>
        <v>Sangat Rendah</v>
      </c>
      <c r="V1428" s="2"/>
    </row>
    <row r="1429" spans="1:22" ht="15.75" customHeight="1" x14ac:dyDescent="0.25">
      <c r="A1429" s="26"/>
      <c r="B1429" s="2" t="s">
        <v>1806</v>
      </c>
      <c r="C1429" s="32">
        <v>45818.517754629633</v>
      </c>
      <c r="D1429" s="53">
        <f>YEAR(Table1[[#This Row],[Order Date]])</f>
        <v>2025</v>
      </c>
      <c r="E1429" s="2" t="s">
        <v>1317</v>
      </c>
      <c r="F1429" s="2" t="s">
        <v>113</v>
      </c>
      <c r="G1429" s="2" t="s">
        <v>85</v>
      </c>
      <c r="H1429" s="23">
        <v>35000</v>
      </c>
      <c r="I1429" s="2">
        <v>1</v>
      </c>
      <c r="J1429" s="31">
        <v>10</v>
      </c>
      <c r="K1429" s="7">
        <f t="shared" si="88"/>
        <v>35000</v>
      </c>
      <c r="L1429" s="7">
        <f t="shared" si="89"/>
        <v>3500</v>
      </c>
      <c r="M1429" s="7">
        <f t="shared" si="90"/>
        <v>31500</v>
      </c>
      <c r="N1429" s="23">
        <v>18000</v>
      </c>
      <c r="O1429" s="7">
        <f t="shared" si="91"/>
        <v>49500</v>
      </c>
      <c r="P1429" s="2" t="s">
        <v>29</v>
      </c>
      <c r="Q1429" t="str">
        <f>_xlfn.XLOOKUP(B1429,Status!$A$2:$A$1867,Status!$B$2:$B$1867)</f>
        <v>Completed</v>
      </c>
      <c r="R1429" s="2" t="s">
        <v>36</v>
      </c>
      <c r="S1429" s="8">
        <v>5</v>
      </c>
      <c r="T1429" s="2" t="s">
        <v>37</v>
      </c>
      <c r="U1429" s="31" t="str" cm="1">
        <f t="array" ref="U1429">_xlfn.IFS(L1429&lt;=5000,$Z$3,AND(L1429&gt;5000,L1429&lt;=15000),$Z$4,AND(L1429&gt;15000,L1429&lt;=30000),$Z$5,AND(L1429&gt;30000,L1429&lt;=50000),$Z$6,L1429&gt;50000,$Z$7)</f>
        <v>Sangat Rendah</v>
      </c>
      <c r="V1429" s="2"/>
    </row>
    <row r="1430" spans="1:22" ht="15.75" customHeight="1" x14ac:dyDescent="0.25">
      <c r="A1430" s="26"/>
      <c r="B1430" s="2" t="s">
        <v>1807</v>
      </c>
      <c r="C1430" s="32">
        <v>45818.542754629627</v>
      </c>
      <c r="D1430" s="53">
        <f>YEAR(Table1[[#This Row],[Order Date]])</f>
        <v>2025</v>
      </c>
      <c r="E1430" s="2" t="s">
        <v>1808</v>
      </c>
      <c r="F1430" s="2" t="s">
        <v>80</v>
      </c>
      <c r="G1430" s="2" t="s">
        <v>67</v>
      </c>
      <c r="H1430" s="23">
        <v>15000</v>
      </c>
      <c r="I1430" s="2">
        <v>5</v>
      </c>
      <c r="J1430" s="31">
        <v>10</v>
      </c>
      <c r="K1430" s="7">
        <f t="shared" si="88"/>
        <v>75000</v>
      </c>
      <c r="L1430" s="7">
        <f t="shared" si="89"/>
        <v>7500</v>
      </c>
      <c r="M1430" s="7">
        <f t="shared" si="90"/>
        <v>67500</v>
      </c>
      <c r="N1430" s="23">
        <v>74000</v>
      </c>
      <c r="O1430" s="7">
        <f t="shared" si="91"/>
        <v>141500</v>
      </c>
      <c r="P1430" s="2" t="s">
        <v>22</v>
      </c>
      <c r="Q1430" t="str">
        <f>_xlfn.XLOOKUP(B1430,Status!$A$2:$A$1867,Status!$B$2:$B$1867)</f>
        <v>Completed</v>
      </c>
      <c r="R1430" s="2" t="s">
        <v>23</v>
      </c>
      <c r="S1430" s="8">
        <v>3</v>
      </c>
      <c r="T1430" s="2" t="s">
        <v>24</v>
      </c>
      <c r="U1430" s="31" t="str" cm="1">
        <f t="array" ref="U1430">_xlfn.IFS(L1430&lt;=5000,$Z$3,AND(L1430&gt;5000,L1430&lt;=15000),$Z$4,AND(L1430&gt;15000,L1430&lt;=30000),$Z$5,AND(L1430&gt;30000,L1430&lt;=50000),$Z$6,L1430&gt;50000,$Z$7)</f>
        <v>Rendah</v>
      </c>
      <c r="V1430" s="2"/>
    </row>
    <row r="1431" spans="1:22" ht="15.75" customHeight="1" x14ac:dyDescent="0.25">
      <c r="A1431" s="26"/>
      <c r="B1431" s="2" t="s">
        <v>1807</v>
      </c>
      <c r="C1431" s="32">
        <v>45818.542754629627</v>
      </c>
      <c r="D1431" s="53">
        <f>YEAR(Table1[[#This Row],[Order Date]])</f>
        <v>2025</v>
      </c>
      <c r="E1431" s="2" t="s">
        <v>1808</v>
      </c>
      <c r="F1431" s="2" t="s">
        <v>80</v>
      </c>
      <c r="G1431" s="2" t="s">
        <v>93</v>
      </c>
      <c r="H1431" s="23">
        <v>25000</v>
      </c>
      <c r="I1431" s="2">
        <v>4</v>
      </c>
      <c r="J1431" s="31">
        <v>20</v>
      </c>
      <c r="K1431" s="7">
        <f t="shared" si="88"/>
        <v>100000</v>
      </c>
      <c r="L1431" s="7">
        <f t="shared" si="89"/>
        <v>20000</v>
      </c>
      <c r="M1431" s="7">
        <f t="shared" si="90"/>
        <v>80000</v>
      </c>
      <c r="N1431" s="23">
        <v>0</v>
      </c>
      <c r="O1431" s="7">
        <f t="shared" si="91"/>
        <v>80000</v>
      </c>
      <c r="P1431" s="2" t="s">
        <v>22</v>
      </c>
      <c r="Q1431" t="str">
        <f>_xlfn.XLOOKUP(B1431,Status!$A$2:$A$1867,Status!$B$2:$B$1867)</f>
        <v>Completed</v>
      </c>
      <c r="R1431" s="2" t="s">
        <v>23</v>
      </c>
      <c r="S1431" s="8">
        <v>3</v>
      </c>
      <c r="T1431" s="2" t="s">
        <v>24</v>
      </c>
      <c r="U1431" s="31" t="str" cm="1">
        <f t="array" ref="U1431">_xlfn.IFS(L1431&lt;=5000,$Z$3,AND(L1431&gt;5000,L1431&lt;=15000),$Z$4,AND(L1431&gt;15000,L1431&lt;=30000),$Z$5,AND(L1431&gt;30000,L1431&lt;=50000),$Z$6,L1431&gt;50000,$Z$7)</f>
        <v>Normal</v>
      </c>
      <c r="V1431" s="2"/>
    </row>
    <row r="1432" spans="1:22" ht="15.75" customHeight="1" x14ac:dyDescent="0.25">
      <c r="A1432" s="26"/>
      <c r="B1432" s="2" t="s">
        <v>1809</v>
      </c>
      <c r="C1432" s="32">
        <v>45819.572233796287</v>
      </c>
      <c r="D1432" s="53">
        <f>YEAR(Table1[[#This Row],[Order Date]])</f>
        <v>2025</v>
      </c>
      <c r="E1432" s="2" t="s">
        <v>513</v>
      </c>
      <c r="F1432" s="2" t="s">
        <v>182</v>
      </c>
      <c r="G1432" s="2" t="s">
        <v>138</v>
      </c>
      <c r="H1432" s="23">
        <v>17000</v>
      </c>
      <c r="I1432" s="2">
        <v>5</v>
      </c>
      <c r="J1432" s="31">
        <v>5</v>
      </c>
      <c r="K1432" s="7">
        <f t="shared" si="88"/>
        <v>85000</v>
      </c>
      <c r="L1432" s="7">
        <f t="shared" si="89"/>
        <v>4250</v>
      </c>
      <c r="M1432" s="7">
        <f t="shared" si="90"/>
        <v>80750</v>
      </c>
      <c r="N1432" s="23">
        <v>48000</v>
      </c>
      <c r="O1432" s="7">
        <f t="shared" si="91"/>
        <v>128750</v>
      </c>
      <c r="P1432" s="2" t="s">
        <v>63</v>
      </c>
      <c r="Q1432" t="str">
        <f>_xlfn.XLOOKUP(B1432,Status!$A$2:$A$1867,Status!$B$2:$B$1867)</f>
        <v>Returned</v>
      </c>
      <c r="R1432" s="2" t="s">
        <v>46</v>
      </c>
      <c r="S1432" s="8">
        <v>2</v>
      </c>
      <c r="T1432" s="2" t="s">
        <v>24</v>
      </c>
      <c r="U1432" s="31" t="str" cm="1">
        <f t="array" ref="U1432">_xlfn.IFS(L1432&lt;=5000,$Z$3,AND(L1432&gt;5000,L1432&lt;=15000),$Z$4,AND(L1432&gt;15000,L1432&lt;=30000),$Z$5,AND(L1432&gt;30000,L1432&lt;=50000),$Z$6,L1432&gt;50000,$Z$7)</f>
        <v>Sangat Rendah</v>
      </c>
      <c r="V1432" s="2"/>
    </row>
    <row r="1433" spans="1:22" ht="15.75" customHeight="1" x14ac:dyDescent="0.25">
      <c r="A1433" s="26"/>
      <c r="B1433" s="2" t="s">
        <v>1810</v>
      </c>
      <c r="C1433" s="32">
        <v>45819.749537037038</v>
      </c>
      <c r="D1433" s="53">
        <f>YEAR(Table1[[#This Row],[Order Date]])</f>
        <v>2025</v>
      </c>
      <c r="E1433" s="2" t="s">
        <v>121</v>
      </c>
      <c r="F1433" s="2" t="s">
        <v>122</v>
      </c>
      <c r="G1433" s="2" t="s">
        <v>88</v>
      </c>
      <c r="H1433" s="23">
        <v>14000</v>
      </c>
      <c r="I1433" s="2">
        <v>2</v>
      </c>
      <c r="J1433" s="31">
        <v>10</v>
      </c>
      <c r="K1433" s="7">
        <f t="shared" si="88"/>
        <v>28000</v>
      </c>
      <c r="L1433" s="7">
        <f t="shared" si="89"/>
        <v>2800</v>
      </c>
      <c r="M1433" s="7">
        <f t="shared" si="90"/>
        <v>25200</v>
      </c>
      <c r="N1433" s="23">
        <v>78000</v>
      </c>
      <c r="O1433" s="7">
        <f t="shared" si="91"/>
        <v>103200</v>
      </c>
      <c r="P1433" s="2" t="s">
        <v>63</v>
      </c>
      <c r="Q1433" t="str">
        <f>_xlfn.XLOOKUP(B1433,Status!$A$2:$A$1867,Status!$B$2:$B$1867)</f>
        <v>Completed</v>
      </c>
      <c r="R1433" s="2" t="s">
        <v>46</v>
      </c>
      <c r="S1433" s="8">
        <v>4</v>
      </c>
      <c r="T1433" s="2" t="s">
        <v>24</v>
      </c>
      <c r="U1433" s="31" t="str" cm="1">
        <f t="array" ref="U1433">_xlfn.IFS(L1433&lt;=5000,$Z$3,AND(L1433&gt;5000,L1433&lt;=15000),$Z$4,AND(L1433&gt;15000,L1433&lt;=30000),$Z$5,AND(L1433&gt;30000,L1433&lt;=50000),$Z$6,L1433&gt;50000,$Z$7)</f>
        <v>Sangat Rendah</v>
      </c>
      <c r="V1433" s="2"/>
    </row>
    <row r="1434" spans="1:22" ht="15.75" customHeight="1" x14ac:dyDescent="0.25">
      <c r="A1434" s="26"/>
      <c r="B1434" s="2" t="s">
        <v>1811</v>
      </c>
      <c r="C1434" s="32">
        <v>45819.857245370367</v>
      </c>
      <c r="D1434" s="53">
        <f>YEAR(Table1[[#This Row],[Order Date]])</f>
        <v>2025</v>
      </c>
      <c r="E1434" s="2" t="s">
        <v>1530</v>
      </c>
      <c r="F1434" s="2" t="s">
        <v>122</v>
      </c>
      <c r="G1434" s="2" t="s">
        <v>62</v>
      </c>
      <c r="H1434" s="23">
        <v>50000</v>
      </c>
      <c r="I1434" s="2">
        <v>3</v>
      </c>
      <c r="J1434" s="31">
        <v>20</v>
      </c>
      <c r="K1434" s="7">
        <f t="shared" si="88"/>
        <v>150000</v>
      </c>
      <c r="L1434" s="7">
        <f t="shared" si="89"/>
        <v>30000</v>
      </c>
      <c r="M1434" s="7">
        <f t="shared" si="90"/>
        <v>120000</v>
      </c>
      <c r="N1434" s="23">
        <v>78000</v>
      </c>
      <c r="O1434" s="7">
        <f t="shared" si="91"/>
        <v>198000</v>
      </c>
      <c r="P1434" s="2" t="s">
        <v>22</v>
      </c>
      <c r="Q1434" t="str">
        <f>_xlfn.XLOOKUP(B1434,Status!$A$2:$A$1867,Status!$B$2:$B$1867)</f>
        <v>Completed</v>
      </c>
      <c r="R1434" s="2" t="s">
        <v>46</v>
      </c>
      <c r="S1434" s="8">
        <v>4</v>
      </c>
      <c r="T1434" s="2" t="s">
        <v>24</v>
      </c>
      <c r="U1434" s="31" t="str" cm="1">
        <f t="array" ref="U1434">_xlfn.IFS(L1434&lt;=5000,$Z$3,AND(L1434&gt;5000,L1434&lt;=15000),$Z$4,AND(L1434&gt;15000,L1434&lt;=30000),$Z$5,AND(L1434&gt;30000,L1434&lt;=50000),$Z$6,L1434&gt;50000,$Z$7)</f>
        <v>Normal</v>
      </c>
      <c r="V1434" s="2"/>
    </row>
    <row r="1435" spans="1:22" ht="15.75" customHeight="1" x14ac:dyDescent="0.25">
      <c r="A1435" s="26"/>
      <c r="B1435" s="2" t="s">
        <v>1812</v>
      </c>
      <c r="C1435" s="32">
        <v>45820.31050925926</v>
      </c>
      <c r="D1435" s="53">
        <f>YEAR(Table1[[#This Row],[Order Date]])</f>
        <v>2025</v>
      </c>
      <c r="E1435" s="2" t="s">
        <v>271</v>
      </c>
      <c r="F1435" s="2" t="s">
        <v>49</v>
      </c>
      <c r="G1435" s="2" t="s">
        <v>81</v>
      </c>
      <c r="H1435" s="23">
        <v>17000</v>
      </c>
      <c r="I1435" s="2">
        <v>1</v>
      </c>
      <c r="J1435" s="31">
        <v>5</v>
      </c>
      <c r="K1435" s="7">
        <f t="shared" si="88"/>
        <v>17000</v>
      </c>
      <c r="L1435" s="7">
        <f t="shared" si="89"/>
        <v>850</v>
      </c>
      <c r="M1435" s="7">
        <f t="shared" si="90"/>
        <v>16150</v>
      </c>
      <c r="N1435" s="23">
        <v>43000</v>
      </c>
      <c r="O1435" s="7">
        <f t="shared" si="91"/>
        <v>59150</v>
      </c>
      <c r="P1435" s="2" t="s">
        <v>22</v>
      </c>
      <c r="Q1435" t="str">
        <f>_xlfn.XLOOKUP(B1435,Status!$A$2:$A$1867,Status!$B$2:$B$1867)</f>
        <v>Completed</v>
      </c>
      <c r="R1435" s="2" t="s">
        <v>36</v>
      </c>
      <c r="S1435" s="8">
        <v>5</v>
      </c>
      <c r="T1435" s="2" t="s">
        <v>24</v>
      </c>
      <c r="U1435" s="31" t="str" cm="1">
        <f t="array" ref="U1435">_xlfn.IFS(L1435&lt;=5000,$Z$3,AND(L1435&gt;5000,L1435&lt;=15000),$Z$4,AND(L1435&gt;15000,L1435&lt;=30000),$Z$5,AND(L1435&gt;30000,L1435&lt;=50000),$Z$6,L1435&gt;50000,$Z$7)</f>
        <v>Sangat Rendah</v>
      </c>
      <c r="V1435" s="2"/>
    </row>
    <row r="1436" spans="1:22" ht="15.75" customHeight="1" x14ac:dyDescent="0.25">
      <c r="A1436" s="26"/>
      <c r="B1436" s="2" t="s">
        <v>1813</v>
      </c>
      <c r="C1436" s="32">
        <v>45820.340925925928</v>
      </c>
      <c r="D1436" s="53">
        <f>YEAR(Table1[[#This Row],[Order Date]])</f>
        <v>2025</v>
      </c>
      <c r="E1436" s="2" t="s">
        <v>381</v>
      </c>
      <c r="F1436" s="2" t="s">
        <v>103</v>
      </c>
      <c r="G1436" s="2" t="s">
        <v>34</v>
      </c>
      <c r="H1436" s="23">
        <v>16000</v>
      </c>
      <c r="I1436" s="2">
        <v>3</v>
      </c>
      <c r="J1436" s="31">
        <v>5</v>
      </c>
      <c r="K1436" s="7">
        <f t="shared" si="88"/>
        <v>48000</v>
      </c>
      <c r="L1436" s="7">
        <f t="shared" si="89"/>
        <v>2400</v>
      </c>
      <c r="M1436" s="7">
        <f t="shared" si="90"/>
        <v>45600</v>
      </c>
      <c r="N1436" s="23">
        <v>85000</v>
      </c>
      <c r="O1436" s="7">
        <f t="shared" si="91"/>
        <v>130600</v>
      </c>
      <c r="P1436" s="2" t="s">
        <v>22</v>
      </c>
      <c r="Q1436" t="str">
        <f>_xlfn.XLOOKUP(B1436,Status!$A$2:$A$1867,Status!$B$2:$B$1867)</f>
        <v>Cancelled</v>
      </c>
      <c r="R1436" s="2" t="s">
        <v>36</v>
      </c>
      <c r="S1436" s="8">
        <v>4</v>
      </c>
      <c r="T1436" s="2" t="s">
        <v>24</v>
      </c>
      <c r="U1436" s="31" t="str" cm="1">
        <f t="array" ref="U1436">_xlfn.IFS(L1436&lt;=5000,$Z$3,AND(L1436&gt;5000,L1436&lt;=15000),$Z$4,AND(L1436&gt;15000,L1436&lt;=30000),$Z$5,AND(L1436&gt;30000,L1436&lt;=50000),$Z$6,L1436&gt;50000,$Z$7)</f>
        <v>Sangat Rendah</v>
      </c>
      <c r="V1436" s="2"/>
    </row>
    <row r="1437" spans="1:22" ht="15.75" customHeight="1" x14ac:dyDescent="0.25">
      <c r="A1437" s="26"/>
      <c r="B1437" s="2" t="s">
        <v>1814</v>
      </c>
      <c r="C1437" s="32">
        <v>45820.356620370367</v>
      </c>
      <c r="D1437" s="53">
        <f>YEAR(Table1[[#This Row],[Order Date]])</f>
        <v>2025</v>
      </c>
      <c r="E1437" s="2" t="s">
        <v>48</v>
      </c>
      <c r="F1437" s="2" t="s">
        <v>49</v>
      </c>
      <c r="G1437" s="2" t="s">
        <v>34</v>
      </c>
      <c r="H1437" s="23">
        <v>16000</v>
      </c>
      <c r="I1437" s="2">
        <v>4</v>
      </c>
      <c r="J1437" s="31">
        <v>10</v>
      </c>
      <c r="K1437" s="7">
        <f t="shared" si="88"/>
        <v>64000</v>
      </c>
      <c r="L1437" s="7">
        <f t="shared" si="89"/>
        <v>6400</v>
      </c>
      <c r="M1437" s="7">
        <f t="shared" si="90"/>
        <v>57600</v>
      </c>
      <c r="N1437" s="23">
        <v>43000</v>
      </c>
      <c r="O1437" s="7">
        <f t="shared" si="91"/>
        <v>100600</v>
      </c>
      <c r="P1437" s="2" t="s">
        <v>35</v>
      </c>
      <c r="Q1437" t="str">
        <f>_xlfn.XLOOKUP(B1437,Status!$A$2:$A$1867,Status!$B$2:$B$1867)</f>
        <v>Completed</v>
      </c>
      <c r="R1437" s="2" t="s">
        <v>36</v>
      </c>
      <c r="S1437" s="8">
        <v>3</v>
      </c>
      <c r="T1437" s="2" t="s">
        <v>24</v>
      </c>
      <c r="U1437" s="31" t="str" cm="1">
        <f t="array" ref="U1437">_xlfn.IFS(L1437&lt;=5000,$Z$3,AND(L1437&gt;5000,L1437&lt;=15000),$Z$4,AND(L1437&gt;15000,L1437&lt;=30000),$Z$5,AND(L1437&gt;30000,L1437&lt;=50000),$Z$6,L1437&gt;50000,$Z$7)</f>
        <v>Rendah</v>
      </c>
      <c r="V1437" s="2"/>
    </row>
    <row r="1438" spans="1:22" ht="15.75" customHeight="1" x14ac:dyDescent="0.25">
      <c r="A1438" s="26"/>
      <c r="B1438" s="2" t="s">
        <v>1815</v>
      </c>
      <c r="C1438" s="32">
        <v>45820.480416666673</v>
      </c>
      <c r="D1438" s="53">
        <f>YEAR(Table1[[#This Row],[Order Date]])</f>
        <v>2025</v>
      </c>
      <c r="E1438" s="2" t="s">
        <v>394</v>
      </c>
      <c r="F1438" s="2" t="s">
        <v>53</v>
      </c>
      <c r="G1438" s="2" t="s">
        <v>190</v>
      </c>
      <c r="H1438" s="23">
        <v>35000</v>
      </c>
      <c r="I1438" s="2">
        <v>2</v>
      </c>
      <c r="J1438" s="31">
        <v>20</v>
      </c>
      <c r="K1438" s="7">
        <f t="shared" si="88"/>
        <v>70000</v>
      </c>
      <c r="L1438" s="7">
        <f t="shared" si="89"/>
        <v>14000</v>
      </c>
      <c r="M1438" s="7">
        <f t="shared" si="90"/>
        <v>56000</v>
      </c>
      <c r="N1438" s="23">
        <v>18000</v>
      </c>
      <c r="O1438" s="7">
        <f t="shared" si="91"/>
        <v>74000</v>
      </c>
      <c r="P1438" s="2" t="s">
        <v>29</v>
      </c>
      <c r="Q1438" t="str">
        <f>_xlfn.XLOOKUP(B1438,Status!$A$2:$A$1867,Status!$B$2:$B$1867)</f>
        <v>Completed</v>
      </c>
      <c r="R1438" s="2" t="s">
        <v>23</v>
      </c>
      <c r="S1438" s="8">
        <v>2</v>
      </c>
      <c r="T1438" s="2" t="s">
        <v>24</v>
      </c>
      <c r="U1438" s="31" t="str" cm="1">
        <f t="array" ref="U1438">_xlfn.IFS(L1438&lt;=5000,$Z$3,AND(L1438&gt;5000,L1438&lt;=15000),$Z$4,AND(L1438&gt;15000,L1438&lt;=30000),$Z$5,AND(L1438&gt;30000,L1438&lt;=50000),$Z$6,L1438&gt;50000,$Z$7)</f>
        <v>Rendah</v>
      </c>
      <c r="V1438" s="2"/>
    </row>
    <row r="1439" spans="1:22" ht="15.75" customHeight="1" x14ac:dyDescent="0.25">
      <c r="A1439" s="26"/>
      <c r="B1439" s="2" t="s">
        <v>1816</v>
      </c>
      <c r="C1439" s="32">
        <v>45820.572245370371</v>
      </c>
      <c r="D1439" s="53">
        <f>YEAR(Table1[[#This Row],[Order Date]])</f>
        <v>2025</v>
      </c>
      <c r="E1439" s="2" t="s">
        <v>851</v>
      </c>
      <c r="F1439" s="2" t="s">
        <v>66</v>
      </c>
      <c r="G1439" s="2" t="s">
        <v>38</v>
      </c>
      <c r="H1439" s="23">
        <v>28000</v>
      </c>
      <c r="I1439" s="2">
        <v>5</v>
      </c>
      <c r="J1439" s="31">
        <v>20</v>
      </c>
      <c r="K1439" s="7">
        <f t="shared" si="88"/>
        <v>140000</v>
      </c>
      <c r="L1439" s="7">
        <f t="shared" si="89"/>
        <v>28000</v>
      </c>
      <c r="M1439" s="7">
        <f t="shared" si="90"/>
        <v>112000</v>
      </c>
      <c r="N1439" s="23">
        <v>59000</v>
      </c>
      <c r="O1439" s="7">
        <f t="shared" si="91"/>
        <v>171000</v>
      </c>
      <c r="P1439" s="2" t="s">
        <v>29</v>
      </c>
      <c r="Q1439" t="str">
        <f>_xlfn.XLOOKUP(B1439,Status!$A$2:$A$1867,Status!$B$2:$B$1867)</f>
        <v>Completed</v>
      </c>
      <c r="R1439" s="2" t="s">
        <v>30</v>
      </c>
      <c r="S1439" s="8">
        <v>3</v>
      </c>
      <c r="T1439" s="2" t="s">
        <v>37</v>
      </c>
      <c r="U1439" s="31" t="str" cm="1">
        <f t="array" ref="U1439">_xlfn.IFS(L1439&lt;=5000,$Z$3,AND(L1439&gt;5000,L1439&lt;=15000),$Z$4,AND(L1439&gt;15000,L1439&lt;=30000),$Z$5,AND(L1439&gt;30000,L1439&lt;=50000),$Z$6,L1439&gt;50000,$Z$7)</f>
        <v>Normal</v>
      </c>
      <c r="V1439" s="2"/>
    </row>
    <row r="1440" spans="1:22" ht="15.75" customHeight="1" x14ac:dyDescent="0.25">
      <c r="A1440" s="26"/>
      <c r="B1440" s="2" t="s">
        <v>1817</v>
      </c>
      <c r="C1440" s="32">
        <v>45820.794479166667</v>
      </c>
      <c r="D1440" s="53">
        <f>YEAR(Table1[[#This Row],[Order Date]])</f>
        <v>2025</v>
      </c>
      <c r="E1440" s="2" t="s">
        <v>729</v>
      </c>
      <c r="F1440" s="2" t="s">
        <v>74</v>
      </c>
      <c r="G1440" s="2" t="s">
        <v>186</v>
      </c>
      <c r="H1440" s="23">
        <v>45000</v>
      </c>
      <c r="I1440" s="2">
        <v>1</v>
      </c>
      <c r="J1440" s="31">
        <v>15</v>
      </c>
      <c r="K1440" s="7">
        <f t="shared" si="88"/>
        <v>45000</v>
      </c>
      <c r="L1440" s="7">
        <f t="shared" si="89"/>
        <v>6750</v>
      </c>
      <c r="M1440" s="7">
        <f t="shared" si="90"/>
        <v>38250</v>
      </c>
      <c r="N1440" s="23">
        <v>87000</v>
      </c>
      <c r="O1440" s="7">
        <f t="shared" si="91"/>
        <v>125250</v>
      </c>
      <c r="P1440" s="2" t="s">
        <v>29</v>
      </c>
      <c r="Q1440" t="str">
        <f>_xlfn.XLOOKUP(B1440,Status!$A$2:$A$1867,Status!$B$2:$B$1867)</f>
        <v>Completed</v>
      </c>
      <c r="R1440" s="2" t="s">
        <v>23</v>
      </c>
      <c r="S1440" s="8">
        <v>5</v>
      </c>
      <c r="T1440" s="2" t="s">
        <v>24</v>
      </c>
      <c r="U1440" s="31" t="str" cm="1">
        <f t="array" ref="U1440">_xlfn.IFS(L1440&lt;=5000,$Z$3,AND(L1440&gt;5000,L1440&lt;=15000),$Z$4,AND(L1440&gt;15000,L1440&lt;=30000),$Z$5,AND(L1440&gt;30000,L1440&lt;=50000),$Z$6,L1440&gt;50000,$Z$7)</f>
        <v>Rendah</v>
      </c>
      <c r="V1440" s="2"/>
    </row>
    <row r="1441" spans="1:22" ht="15.75" customHeight="1" x14ac:dyDescent="0.25">
      <c r="A1441" s="26"/>
      <c r="B1441" s="2" t="s">
        <v>1818</v>
      </c>
      <c r="C1441" s="32">
        <v>45820.796851851846</v>
      </c>
      <c r="D1441" s="53">
        <f>YEAR(Table1[[#This Row],[Order Date]])</f>
        <v>2025</v>
      </c>
      <c r="E1441" s="2" t="s">
        <v>157</v>
      </c>
      <c r="F1441" s="2" t="s">
        <v>20</v>
      </c>
      <c r="G1441" s="2" t="s">
        <v>41</v>
      </c>
      <c r="H1441" s="23">
        <v>4000</v>
      </c>
      <c r="I1441" s="2">
        <v>1</v>
      </c>
      <c r="J1441" s="31">
        <v>10</v>
      </c>
      <c r="K1441" s="7">
        <f t="shared" si="88"/>
        <v>4000</v>
      </c>
      <c r="L1441" s="7">
        <f t="shared" si="89"/>
        <v>400</v>
      </c>
      <c r="M1441" s="7">
        <f t="shared" si="90"/>
        <v>3600</v>
      </c>
      <c r="N1441" s="23">
        <v>15000</v>
      </c>
      <c r="O1441" s="7">
        <f t="shared" si="91"/>
        <v>18600</v>
      </c>
      <c r="P1441" s="2" t="s">
        <v>22</v>
      </c>
      <c r="Q1441" t="str">
        <f>_xlfn.XLOOKUP(B1441,Status!$A$2:$A$1867,Status!$B$2:$B$1867)</f>
        <v>Completed</v>
      </c>
      <c r="R1441" s="2" t="s">
        <v>82</v>
      </c>
      <c r="S1441" s="8">
        <v>1</v>
      </c>
      <c r="T1441" s="2" t="s">
        <v>24</v>
      </c>
      <c r="U1441" s="31" t="str" cm="1">
        <f t="array" ref="U1441">_xlfn.IFS(L1441&lt;=5000,$Z$3,AND(L1441&gt;5000,L1441&lt;=15000),$Z$4,AND(L1441&gt;15000,L1441&lt;=30000),$Z$5,AND(L1441&gt;30000,L1441&lt;=50000),$Z$6,L1441&gt;50000,$Z$7)</f>
        <v>Sangat Rendah</v>
      </c>
      <c r="V1441" s="2"/>
    </row>
    <row r="1442" spans="1:22" ht="15.75" customHeight="1" x14ac:dyDescent="0.25">
      <c r="A1442" s="26"/>
      <c r="B1442" s="2" t="s">
        <v>1819</v>
      </c>
      <c r="C1442" s="32">
        <v>45820.921006944453</v>
      </c>
      <c r="D1442" s="53">
        <f>YEAR(Table1[[#This Row],[Order Date]])</f>
        <v>2025</v>
      </c>
      <c r="E1442" s="2" t="s">
        <v>1050</v>
      </c>
      <c r="F1442" s="2" t="s">
        <v>92</v>
      </c>
      <c r="G1442" s="2" t="s">
        <v>136</v>
      </c>
      <c r="H1442" s="23">
        <v>12000</v>
      </c>
      <c r="I1442" s="2">
        <v>3</v>
      </c>
      <c r="J1442" s="31">
        <v>20</v>
      </c>
      <c r="K1442" s="7">
        <f t="shared" si="88"/>
        <v>36000</v>
      </c>
      <c r="L1442" s="7">
        <f t="shared" si="89"/>
        <v>7200</v>
      </c>
      <c r="M1442" s="7">
        <f t="shared" si="90"/>
        <v>28800</v>
      </c>
      <c r="N1442" s="23">
        <v>30000</v>
      </c>
      <c r="O1442" s="7">
        <f t="shared" si="91"/>
        <v>58800</v>
      </c>
      <c r="P1442" s="2" t="s">
        <v>22</v>
      </c>
      <c r="Q1442" t="str">
        <f>_xlfn.XLOOKUP(B1442,Status!$A$2:$A$1867,Status!$B$2:$B$1867)</f>
        <v>Completed</v>
      </c>
      <c r="R1442" s="2" t="s">
        <v>36</v>
      </c>
      <c r="S1442" s="8">
        <v>5</v>
      </c>
      <c r="T1442" s="2" t="s">
        <v>24</v>
      </c>
      <c r="U1442" s="31" t="str" cm="1">
        <f t="array" ref="U1442">_xlfn.IFS(L1442&lt;=5000,$Z$3,AND(L1442&gt;5000,L1442&lt;=15000),$Z$4,AND(L1442&gt;15000,L1442&lt;=30000),$Z$5,AND(L1442&gt;30000,L1442&lt;=50000),$Z$6,L1442&gt;50000,$Z$7)</f>
        <v>Rendah</v>
      </c>
      <c r="V1442" s="2"/>
    </row>
    <row r="1443" spans="1:22" ht="15.75" customHeight="1" x14ac:dyDescent="0.25">
      <c r="A1443" s="26"/>
      <c r="B1443" s="2" t="s">
        <v>1820</v>
      </c>
      <c r="C1443" s="32">
        <v>45820.929259259261</v>
      </c>
      <c r="D1443" s="53">
        <f>YEAR(Table1[[#This Row],[Order Date]])</f>
        <v>2025</v>
      </c>
      <c r="E1443" s="2" t="s">
        <v>1317</v>
      </c>
      <c r="F1443" s="2" t="s">
        <v>113</v>
      </c>
      <c r="G1443" s="2" t="s">
        <v>38</v>
      </c>
      <c r="H1443" s="23">
        <v>28000</v>
      </c>
      <c r="I1443" s="2">
        <v>4</v>
      </c>
      <c r="J1443" s="31">
        <v>5</v>
      </c>
      <c r="K1443" s="7">
        <f t="shared" si="88"/>
        <v>112000</v>
      </c>
      <c r="L1443" s="7">
        <f t="shared" si="89"/>
        <v>5600</v>
      </c>
      <c r="M1443" s="7">
        <f t="shared" si="90"/>
        <v>106400</v>
      </c>
      <c r="N1443" s="23">
        <v>18000</v>
      </c>
      <c r="O1443" s="7">
        <f t="shared" si="91"/>
        <v>124400</v>
      </c>
      <c r="P1443" s="2" t="s">
        <v>63</v>
      </c>
      <c r="Q1443" t="str">
        <f>_xlfn.XLOOKUP(B1443,Status!$A$2:$A$1867,Status!$B$2:$B$1867)</f>
        <v>Completed</v>
      </c>
      <c r="R1443" s="2" t="s">
        <v>46</v>
      </c>
      <c r="S1443" s="8">
        <v>2</v>
      </c>
      <c r="T1443" s="2" t="s">
        <v>37</v>
      </c>
      <c r="U1443" s="31" t="str" cm="1">
        <f t="array" ref="U1443">_xlfn.IFS(L1443&lt;=5000,$Z$3,AND(L1443&gt;5000,L1443&lt;=15000),$Z$4,AND(L1443&gt;15000,L1443&lt;=30000),$Z$5,AND(L1443&gt;30000,L1443&lt;=50000),$Z$6,L1443&gt;50000,$Z$7)</f>
        <v>Rendah</v>
      </c>
      <c r="V1443" s="2"/>
    </row>
    <row r="1444" spans="1:22" ht="15.75" customHeight="1" x14ac:dyDescent="0.25">
      <c r="A1444" s="26"/>
      <c r="B1444" s="2" t="s">
        <v>1821</v>
      </c>
      <c r="C1444" s="32">
        <v>45821.155428240738</v>
      </c>
      <c r="D1444" s="53">
        <f>YEAR(Table1[[#This Row],[Order Date]])</f>
        <v>2025</v>
      </c>
      <c r="E1444" s="2" t="s">
        <v>1130</v>
      </c>
      <c r="F1444" s="2" t="s">
        <v>122</v>
      </c>
      <c r="G1444" s="2" t="s">
        <v>38</v>
      </c>
      <c r="H1444" s="23">
        <v>28000</v>
      </c>
      <c r="I1444" s="2">
        <v>5</v>
      </c>
      <c r="J1444" s="31">
        <v>5</v>
      </c>
      <c r="K1444" s="7">
        <f t="shared" si="88"/>
        <v>140000</v>
      </c>
      <c r="L1444" s="7">
        <f t="shared" si="89"/>
        <v>7000</v>
      </c>
      <c r="M1444" s="7">
        <f t="shared" si="90"/>
        <v>133000</v>
      </c>
      <c r="N1444" s="23">
        <v>78000</v>
      </c>
      <c r="O1444" s="7">
        <f t="shared" si="91"/>
        <v>211000</v>
      </c>
      <c r="P1444" s="2" t="s">
        <v>29</v>
      </c>
      <c r="Q1444" t="str">
        <f>_xlfn.XLOOKUP(B1444,Status!$A$2:$A$1867,Status!$B$2:$B$1867)</f>
        <v>Completed</v>
      </c>
      <c r="R1444" s="2" t="s">
        <v>30</v>
      </c>
      <c r="S1444" s="8">
        <v>2</v>
      </c>
      <c r="T1444" s="2" t="s">
        <v>24</v>
      </c>
      <c r="U1444" s="31" t="str" cm="1">
        <f t="array" ref="U1444">_xlfn.IFS(L1444&lt;=5000,$Z$3,AND(L1444&gt;5000,L1444&lt;=15000),$Z$4,AND(L1444&gt;15000,L1444&lt;=30000),$Z$5,AND(L1444&gt;30000,L1444&lt;=50000),$Z$6,L1444&gt;50000,$Z$7)</f>
        <v>Rendah</v>
      </c>
      <c r="V1444" s="2"/>
    </row>
    <row r="1445" spans="1:22" ht="15.75" customHeight="1" x14ac:dyDescent="0.25">
      <c r="A1445" s="26"/>
      <c r="B1445" s="2" t="s">
        <v>1821</v>
      </c>
      <c r="C1445" s="32">
        <v>45821.155428240738</v>
      </c>
      <c r="D1445" s="53">
        <f>YEAR(Table1[[#This Row],[Order Date]])</f>
        <v>2025</v>
      </c>
      <c r="E1445" s="2" t="s">
        <v>1130</v>
      </c>
      <c r="F1445" s="2" t="s">
        <v>122</v>
      </c>
      <c r="G1445" s="2" t="s">
        <v>38</v>
      </c>
      <c r="H1445" s="23">
        <v>28000</v>
      </c>
      <c r="I1445" s="2">
        <v>4</v>
      </c>
      <c r="J1445" s="31">
        <v>20</v>
      </c>
      <c r="K1445" s="7">
        <f t="shared" si="88"/>
        <v>112000</v>
      </c>
      <c r="L1445" s="7">
        <f t="shared" si="89"/>
        <v>22400</v>
      </c>
      <c r="M1445" s="7">
        <f t="shared" si="90"/>
        <v>89600</v>
      </c>
      <c r="N1445" s="23">
        <v>0</v>
      </c>
      <c r="O1445" s="7">
        <f t="shared" si="91"/>
        <v>89600</v>
      </c>
      <c r="P1445" s="2" t="s">
        <v>29</v>
      </c>
      <c r="Q1445" t="str">
        <f>_xlfn.XLOOKUP(B1445,Status!$A$2:$A$1867,Status!$B$2:$B$1867)</f>
        <v>Completed</v>
      </c>
      <c r="R1445" s="2" t="s">
        <v>30</v>
      </c>
      <c r="S1445" s="8">
        <v>2</v>
      </c>
      <c r="T1445" s="2" t="s">
        <v>24</v>
      </c>
      <c r="U1445" s="31" t="str" cm="1">
        <f t="array" ref="U1445">_xlfn.IFS(L1445&lt;=5000,$Z$3,AND(L1445&gt;5000,L1445&lt;=15000),$Z$4,AND(L1445&gt;15000,L1445&lt;=30000),$Z$5,AND(L1445&gt;30000,L1445&lt;=50000),$Z$6,L1445&gt;50000,$Z$7)</f>
        <v>Normal</v>
      </c>
      <c r="V1445" s="2"/>
    </row>
    <row r="1446" spans="1:22" ht="15.75" customHeight="1" x14ac:dyDescent="0.25">
      <c r="A1446" s="26"/>
      <c r="B1446" s="2" t="s">
        <v>1822</v>
      </c>
      <c r="C1446" s="32">
        <v>45821.395208333342</v>
      </c>
      <c r="D1446" s="53">
        <f>YEAR(Table1[[#This Row],[Order Date]])</f>
        <v>2025</v>
      </c>
      <c r="E1446" s="2" t="s">
        <v>1237</v>
      </c>
      <c r="F1446" s="2" t="s">
        <v>92</v>
      </c>
      <c r="G1446" s="2" t="s">
        <v>190</v>
      </c>
      <c r="H1446" s="23">
        <v>35000</v>
      </c>
      <c r="I1446" s="2">
        <v>2</v>
      </c>
      <c r="J1446" s="31">
        <v>10</v>
      </c>
      <c r="K1446" s="7">
        <f t="shared" si="88"/>
        <v>70000</v>
      </c>
      <c r="L1446" s="7">
        <f t="shared" si="89"/>
        <v>7000</v>
      </c>
      <c r="M1446" s="7">
        <f t="shared" si="90"/>
        <v>63000</v>
      </c>
      <c r="N1446" s="23">
        <v>30000</v>
      </c>
      <c r="O1446" s="7">
        <f t="shared" si="91"/>
        <v>93000</v>
      </c>
      <c r="P1446" s="2" t="s">
        <v>22</v>
      </c>
      <c r="Q1446" t="str">
        <f>_xlfn.XLOOKUP(B1446,Status!$A$2:$A$1867,Status!$B$2:$B$1867)</f>
        <v>Returned</v>
      </c>
      <c r="R1446" s="2" t="s">
        <v>82</v>
      </c>
      <c r="S1446" s="8">
        <v>2</v>
      </c>
      <c r="T1446" s="2" t="s">
        <v>24</v>
      </c>
      <c r="U1446" s="31" t="str" cm="1">
        <f t="array" ref="U1446">_xlfn.IFS(L1446&lt;=5000,$Z$3,AND(L1446&gt;5000,L1446&lt;=15000),$Z$4,AND(L1446&gt;15000,L1446&lt;=30000),$Z$5,AND(L1446&gt;30000,L1446&lt;=50000),$Z$6,L1446&gt;50000,$Z$7)</f>
        <v>Rendah</v>
      </c>
      <c r="V1446" s="2"/>
    </row>
    <row r="1447" spans="1:22" ht="15.75" customHeight="1" x14ac:dyDescent="0.25">
      <c r="A1447" s="26"/>
      <c r="B1447" s="2" t="s">
        <v>1823</v>
      </c>
      <c r="C1447" s="32">
        <v>45821.481944444437</v>
      </c>
      <c r="D1447" s="53">
        <f>YEAR(Table1[[#This Row],[Order Date]])</f>
        <v>2025</v>
      </c>
      <c r="E1447" s="2" t="s">
        <v>1561</v>
      </c>
      <c r="F1447" s="2" t="s">
        <v>160</v>
      </c>
      <c r="G1447" s="2" t="s">
        <v>50</v>
      </c>
      <c r="H1447" s="23">
        <v>14000</v>
      </c>
      <c r="I1447" s="2">
        <v>4</v>
      </c>
      <c r="J1447" s="31">
        <v>0</v>
      </c>
      <c r="K1447" s="7">
        <f t="shared" si="88"/>
        <v>56000</v>
      </c>
      <c r="L1447" s="7">
        <f t="shared" si="89"/>
        <v>0</v>
      </c>
      <c r="M1447" s="7">
        <f t="shared" si="90"/>
        <v>56000</v>
      </c>
      <c r="N1447" s="23">
        <v>68000</v>
      </c>
      <c r="O1447" s="7">
        <f t="shared" si="91"/>
        <v>124000</v>
      </c>
      <c r="P1447" s="2" t="s">
        <v>35</v>
      </c>
      <c r="Q1447" t="str">
        <f>_xlfn.XLOOKUP(B1447,Status!$A$2:$A$1867,Status!$B$2:$B$1867)</f>
        <v>Completed</v>
      </c>
      <c r="R1447" s="2" t="s">
        <v>82</v>
      </c>
      <c r="S1447" s="8">
        <v>1</v>
      </c>
      <c r="T1447" s="2" t="s">
        <v>24</v>
      </c>
      <c r="U1447" s="31" t="str" cm="1">
        <f t="array" ref="U1447">_xlfn.IFS(L1447&lt;=5000,$Z$3,AND(L1447&gt;5000,L1447&lt;=15000),$Z$4,AND(L1447&gt;15000,L1447&lt;=30000),$Z$5,AND(L1447&gt;30000,L1447&lt;=50000),$Z$6,L1447&gt;50000,$Z$7)</f>
        <v>Sangat Rendah</v>
      </c>
      <c r="V1447" s="2"/>
    </row>
    <row r="1448" spans="1:22" ht="15.75" customHeight="1" x14ac:dyDescent="0.25">
      <c r="A1448" s="26"/>
      <c r="B1448" s="2" t="s">
        <v>1824</v>
      </c>
      <c r="C1448" s="32">
        <v>45821.530115740738</v>
      </c>
      <c r="D1448" s="53">
        <f>YEAR(Table1[[#This Row],[Order Date]])</f>
        <v>2025</v>
      </c>
      <c r="E1448" s="2" t="s">
        <v>1228</v>
      </c>
      <c r="F1448" s="2" t="s">
        <v>33</v>
      </c>
      <c r="G1448" s="2" t="s">
        <v>38</v>
      </c>
      <c r="H1448" s="23">
        <v>28000</v>
      </c>
      <c r="I1448" s="2">
        <v>2</v>
      </c>
      <c r="J1448" s="31">
        <v>20</v>
      </c>
      <c r="K1448" s="7">
        <f t="shared" si="88"/>
        <v>56000</v>
      </c>
      <c r="L1448" s="7">
        <f t="shared" si="89"/>
        <v>11200</v>
      </c>
      <c r="M1448" s="7">
        <f t="shared" si="90"/>
        <v>44800</v>
      </c>
      <c r="N1448" s="23">
        <v>76000</v>
      </c>
      <c r="O1448" s="7">
        <f t="shared" si="91"/>
        <v>120800</v>
      </c>
      <c r="P1448" s="2" t="s">
        <v>29</v>
      </c>
      <c r="Q1448" t="str">
        <f>_xlfn.XLOOKUP(B1448,Status!$A$2:$A$1867,Status!$B$2:$B$1867)</f>
        <v>Completed</v>
      </c>
      <c r="R1448" s="2" t="s">
        <v>36</v>
      </c>
      <c r="S1448" s="8">
        <v>2</v>
      </c>
      <c r="T1448" s="2" t="s">
        <v>24</v>
      </c>
      <c r="U1448" s="31" t="str" cm="1">
        <f t="array" ref="U1448">_xlfn.IFS(L1448&lt;=5000,$Z$3,AND(L1448&gt;5000,L1448&lt;=15000),$Z$4,AND(L1448&gt;15000,L1448&lt;=30000),$Z$5,AND(L1448&gt;30000,L1448&lt;=50000),$Z$6,L1448&gt;50000,$Z$7)</f>
        <v>Rendah</v>
      </c>
      <c r="V1448" s="2"/>
    </row>
    <row r="1449" spans="1:22" ht="15.75" customHeight="1" x14ac:dyDescent="0.25">
      <c r="A1449" s="26"/>
      <c r="B1449" s="2" t="s">
        <v>1824</v>
      </c>
      <c r="C1449" s="32">
        <v>45821.530115740738</v>
      </c>
      <c r="D1449" s="53">
        <f>YEAR(Table1[[#This Row],[Order Date]])</f>
        <v>2025</v>
      </c>
      <c r="E1449" s="2" t="s">
        <v>1228</v>
      </c>
      <c r="F1449" s="2" t="s">
        <v>33</v>
      </c>
      <c r="G1449" s="2" t="s">
        <v>174</v>
      </c>
      <c r="H1449" s="23">
        <v>10000</v>
      </c>
      <c r="I1449" s="2">
        <v>5</v>
      </c>
      <c r="J1449" s="31">
        <v>10</v>
      </c>
      <c r="K1449" s="7">
        <f t="shared" si="88"/>
        <v>50000</v>
      </c>
      <c r="L1449" s="7">
        <f t="shared" si="89"/>
        <v>5000</v>
      </c>
      <c r="M1449" s="7">
        <f t="shared" si="90"/>
        <v>45000</v>
      </c>
      <c r="N1449" s="23">
        <v>0</v>
      </c>
      <c r="O1449" s="7">
        <f t="shared" si="91"/>
        <v>45000</v>
      </c>
      <c r="P1449" s="2" t="s">
        <v>29</v>
      </c>
      <c r="Q1449" t="str">
        <f>_xlfn.XLOOKUP(B1449,Status!$A$2:$A$1867,Status!$B$2:$B$1867)</f>
        <v>Completed</v>
      </c>
      <c r="R1449" s="2" t="s">
        <v>36</v>
      </c>
      <c r="S1449" s="8">
        <v>2</v>
      </c>
      <c r="T1449" s="2" t="s">
        <v>24</v>
      </c>
      <c r="U1449" s="31" t="str" cm="1">
        <f t="array" ref="U1449">_xlfn.IFS(L1449&lt;=5000,$Z$3,AND(L1449&gt;5000,L1449&lt;=15000),$Z$4,AND(L1449&gt;15000,L1449&lt;=30000),$Z$5,AND(L1449&gt;30000,L1449&lt;=50000),$Z$6,L1449&gt;50000,$Z$7)</f>
        <v>Sangat Rendah</v>
      </c>
      <c r="V1449" s="2"/>
    </row>
    <row r="1450" spans="1:22" ht="15.75" customHeight="1" x14ac:dyDescent="0.25">
      <c r="A1450" s="26"/>
      <c r="B1450" s="2" t="s">
        <v>1825</v>
      </c>
      <c r="C1450" s="32">
        <v>45821.599606481483</v>
      </c>
      <c r="D1450" s="53">
        <f>YEAR(Table1[[#This Row],[Order Date]])</f>
        <v>2025</v>
      </c>
      <c r="E1450" s="2" t="s">
        <v>150</v>
      </c>
      <c r="F1450" s="2" t="s">
        <v>151</v>
      </c>
      <c r="G1450" s="2" t="s">
        <v>250</v>
      </c>
      <c r="H1450" s="23">
        <v>18000</v>
      </c>
      <c r="I1450" s="2">
        <v>5</v>
      </c>
      <c r="J1450" s="31">
        <v>10</v>
      </c>
      <c r="K1450" s="7">
        <f t="shared" si="88"/>
        <v>90000</v>
      </c>
      <c r="L1450" s="7">
        <f t="shared" si="89"/>
        <v>9000</v>
      </c>
      <c r="M1450" s="7">
        <f t="shared" si="90"/>
        <v>81000</v>
      </c>
      <c r="N1450" s="23">
        <v>55000</v>
      </c>
      <c r="O1450" s="7">
        <f t="shared" si="91"/>
        <v>136000</v>
      </c>
      <c r="P1450" s="2" t="s">
        <v>22</v>
      </c>
      <c r="Q1450" t="str">
        <f>_xlfn.XLOOKUP(B1450,Status!$A$2:$A$1867,Status!$B$2:$B$1867)</f>
        <v>Returned</v>
      </c>
      <c r="R1450" s="2" t="s">
        <v>36</v>
      </c>
      <c r="S1450" s="8">
        <v>5</v>
      </c>
      <c r="T1450" s="2" t="s">
        <v>37</v>
      </c>
      <c r="U1450" s="31" t="str" cm="1">
        <f t="array" ref="U1450">_xlfn.IFS(L1450&lt;=5000,$Z$3,AND(L1450&gt;5000,L1450&lt;=15000),$Z$4,AND(L1450&gt;15000,L1450&lt;=30000),$Z$5,AND(L1450&gt;30000,L1450&lt;=50000),$Z$6,L1450&gt;50000,$Z$7)</f>
        <v>Rendah</v>
      </c>
      <c r="V1450" s="2"/>
    </row>
    <row r="1451" spans="1:22" ht="15.75" customHeight="1" x14ac:dyDescent="0.25">
      <c r="A1451" s="26"/>
      <c r="B1451" s="2" t="s">
        <v>1826</v>
      </c>
      <c r="C1451" s="32">
        <v>45821.869247685187</v>
      </c>
      <c r="D1451" s="53">
        <f>YEAR(Table1[[#This Row],[Order Date]])</f>
        <v>2025</v>
      </c>
      <c r="E1451" s="2" t="s">
        <v>165</v>
      </c>
      <c r="F1451" s="2" t="s">
        <v>143</v>
      </c>
      <c r="G1451" s="2" t="s">
        <v>41</v>
      </c>
      <c r="H1451" s="23">
        <v>4000</v>
      </c>
      <c r="I1451" s="2">
        <v>2</v>
      </c>
      <c r="J1451" s="31">
        <v>15</v>
      </c>
      <c r="K1451" s="7">
        <f t="shared" si="88"/>
        <v>8000</v>
      </c>
      <c r="L1451" s="7">
        <f t="shared" si="89"/>
        <v>1200</v>
      </c>
      <c r="M1451" s="7">
        <f t="shared" si="90"/>
        <v>6800</v>
      </c>
      <c r="N1451" s="23">
        <v>50000</v>
      </c>
      <c r="O1451" s="7">
        <f t="shared" si="91"/>
        <v>56800</v>
      </c>
      <c r="P1451" s="2" t="s">
        <v>35</v>
      </c>
      <c r="Q1451" t="str">
        <f>_xlfn.XLOOKUP(B1451,Status!$A$2:$A$1867,Status!$B$2:$B$1867)</f>
        <v>Completed</v>
      </c>
      <c r="R1451" s="2" t="s">
        <v>30</v>
      </c>
      <c r="S1451" s="8">
        <v>4</v>
      </c>
      <c r="T1451" s="2" t="s">
        <v>24</v>
      </c>
      <c r="U1451" s="31" t="str" cm="1">
        <f t="array" ref="U1451">_xlfn.IFS(L1451&lt;=5000,$Z$3,AND(L1451&gt;5000,L1451&lt;=15000),$Z$4,AND(L1451&gt;15000,L1451&lt;=30000),$Z$5,AND(L1451&gt;30000,L1451&lt;=50000),$Z$6,L1451&gt;50000,$Z$7)</f>
        <v>Sangat Rendah</v>
      </c>
      <c r="V1451" s="2"/>
    </row>
    <row r="1452" spans="1:22" ht="15.75" customHeight="1" x14ac:dyDescent="0.25">
      <c r="A1452" s="26"/>
      <c r="B1452" s="2" t="s">
        <v>1827</v>
      </c>
      <c r="C1452" s="32">
        <v>45821.971087962957</v>
      </c>
      <c r="D1452" s="53">
        <f>YEAR(Table1[[#This Row],[Order Date]])</f>
        <v>2025</v>
      </c>
      <c r="E1452" s="2" t="s">
        <v>387</v>
      </c>
      <c r="F1452" s="2" t="s">
        <v>49</v>
      </c>
      <c r="G1452" s="2" t="s">
        <v>21</v>
      </c>
      <c r="H1452" s="23">
        <v>45000</v>
      </c>
      <c r="I1452" s="2">
        <v>5</v>
      </c>
      <c r="J1452" s="31">
        <v>10</v>
      </c>
      <c r="K1452" s="7">
        <f t="shared" si="88"/>
        <v>225000</v>
      </c>
      <c r="L1452" s="7">
        <f t="shared" si="89"/>
        <v>22500</v>
      </c>
      <c r="M1452" s="7">
        <f t="shared" si="90"/>
        <v>202500</v>
      </c>
      <c r="N1452" s="23">
        <v>43000</v>
      </c>
      <c r="O1452" s="7">
        <f t="shared" si="91"/>
        <v>245500</v>
      </c>
      <c r="P1452" s="2" t="s">
        <v>22</v>
      </c>
      <c r="Q1452" t="str">
        <f>_xlfn.XLOOKUP(B1452,Status!$A$2:$A$1867,Status!$B$2:$B$1867)</f>
        <v>Completed</v>
      </c>
      <c r="R1452" s="2" t="s">
        <v>23</v>
      </c>
      <c r="S1452" s="8">
        <v>2</v>
      </c>
      <c r="T1452" s="2" t="s">
        <v>37</v>
      </c>
      <c r="U1452" s="31" t="str" cm="1">
        <f t="array" ref="U1452">_xlfn.IFS(L1452&lt;=5000,$Z$3,AND(L1452&gt;5000,L1452&lt;=15000),$Z$4,AND(L1452&gt;15000,L1452&lt;=30000),$Z$5,AND(L1452&gt;30000,L1452&lt;=50000),$Z$6,L1452&gt;50000,$Z$7)</f>
        <v>Normal</v>
      </c>
      <c r="V1452" s="2"/>
    </row>
    <row r="1453" spans="1:22" ht="15.75" customHeight="1" x14ac:dyDescent="0.25">
      <c r="A1453" s="26"/>
      <c r="B1453" s="2" t="s">
        <v>1828</v>
      </c>
      <c r="C1453" s="32">
        <v>45822.033310185187</v>
      </c>
      <c r="D1453" s="53">
        <f>YEAR(Table1[[#This Row],[Order Date]])</f>
        <v>2025</v>
      </c>
      <c r="E1453" s="2" t="s">
        <v>381</v>
      </c>
      <c r="F1453" s="2" t="s">
        <v>103</v>
      </c>
      <c r="G1453" s="2" t="s">
        <v>93</v>
      </c>
      <c r="H1453" s="23">
        <v>25000</v>
      </c>
      <c r="I1453" s="2">
        <v>1</v>
      </c>
      <c r="J1453" s="31">
        <v>15</v>
      </c>
      <c r="K1453" s="7">
        <f t="shared" si="88"/>
        <v>25000</v>
      </c>
      <c r="L1453" s="7">
        <f t="shared" si="89"/>
        <v>3750</v>
      </c>
      <c r="M1453" s="7">
        <f t="shared" si="90"/>
        <v>21250</v>
      </c>
      <c r="N1453" s="23">
        <v>85000</v>
      </c>
      <c r="O1453" s="7">
        <f t="shared" si="91"/>
        <v>106250</v>
      </c>
      <c r="P1453" s="2" t="s">
        <v>35</v>
      </c>
      <c r="Q1453" t="str">
        <f>_xlfn.XLOOKUP(B1453,Status!$A$2:$A$1867,Status!$B$2:$B$1867)</f>
        <v>Completed</v>
      </c>
      <c r="R1453" s="2" t="s">
        <v>46</v>
      </c>
      <c r="S1453" s="8">
        <v>1</v>
      </c>
      <c r="T1453" s="2" t="s">
        <v>24</v>
      </c>
      <c r="U1453" s="31" t="str" cm="1">
        <f t="array" ref="U1453">_xlfn.IFS(L1453&lt;=5000,$Z$3,AND(L1453&gt;5000,L1453&lt;=15000),$Z$4,AND(L1453&gt;15000,L1453&lt;=30000),$Z$5,AND(L1453&gt;30000,L1453&lt;=50000),$Z$6,L1453&gt;50000,$Z$7)</f>
        <v>Sangat Rendah</v>
      </c>
      <c r="V1453" s="2"/>
    </row>
    <row r="1454" spans="1:22" ht="15.75" customHeight="1" x14ac:dyDescent="0.25">
      <c r="A1454" s="26"/>
      <c r="B1454" s="2" t="s">
        <v>1829</v>
      </c>
      <c r="C1454" s="32">
        <v>45822.203634259262</v>
      </c>
      <c r="D1454" s="53">
        <f>YEAR(Table1[[#This Row],[Order Date]])</f>
        <v>2025</v>
      </c>
      <c r="E1454" s="2" t="s">
        <v>140</v>
      </c>
      <c r="F1454" s="2" t="s">
        <v>92</v>
      </c>
      <c r="G1454" s="2" t="s">
        <v>144</v>
      </c>
      <c r="H1454" s="23">
        <v>18000</v>
      </c>
      <c r="I1454" s="2">
        <v>4</v>
      </c>
      <c r="J1454" s="31">
        <v>5</v>
      </c>
      <c r="K1454" s="7">
        <f t="shared" si="88"/>
        <v>72000</v>
      </c>
      <c r="L1454" s="7">
        <f t="shared" si="89"/>
        <v>3600</v>
      </c>
      <c r="M1454" s="7">
        <f t="shared" si="90"/>
        <v>68400</v>
      </c>
      <c r="N1454" s="23">
        <v>30000</v>
      </c>
      <c r="O1454" s="7">
        <f t="shared" si="91"/>
        <v>98400</v>
      </c>
      <c r="P1454" s="2" t="s">
        <v>63</v>
      </c>
      <c r="Q1454" t="str">
        <f>_xlfn.XLOOKUP(B1454,Status!$A$2:$A$1867,Status!$B$2:$B$1867)</f>
        <v>Cancelled</v>
      </c>
      <c r="R1454" s="2" t="s">
        <v>36</v>
      </c>
      <c r="S1454" s="8">
        <v>4</v>
      </c>
      <c r="T1454" s="2" t="s">
        <v>24</v>
      </c>
      <c r="U1454" s="31" t="str" cm="1">
        <f t="array" ref="U1454">_xlfn.IFS(L1454&lt;=5000,$Z$3,AND(L1454&gt;5000,L1454&lt;=15000),$Z$4,AND(L1454&gt;15000,L1454&lt;=30000),$Z$5,AND(L1454&gt;30000,L1454&lt;=50000),$Z$6,L1454&gt;50000,$Z$7)</f>
        <v>Sangat Rendah</v>
      </c>
      <c r="V1454" s="2"/>
    </row>
    <row r="1455" spans="1:22" ht="15.75" customHeight="1" x14ac:dyDescent="0.25">
      <c r="A1455" s="26"/>
      <c r="B1455" s="2" t="s">
        <v>1830</v>
      </c>
      <c r="C1455" s="32">
        <v>45822.294039351851</v>
      </c>
      <c r="D1455" s="53">
        <f>YEAR(Table1[[#This Row],[Order Date]])</f>
        <v>2025</v>
      </c>
      <c r="E1455" s="2" t="s">
        <v>508</v>
      </c>
      <c r="F1455" s="2" t="s">
        <v>20</v>
      </c>
      <c r="G1455" s="2" t="s">
        <v>81</v>
      </c>
      <c r="H1455" s="23">
        <v>17000</v>
      </c>
      <c r="I1455" s="2">
        <v>2</v>
      </c>
      <c r="J1455" s="31">
        <v>5</v>
      </c>
      <c r="K1455" s="7">
        <f t="shared" si="88"/>
        <v>34000</v>
      </c>
      <c r="L1455" s="7">
        <f t="shared" si="89"/>
        <v>1700</v>
      </c>
      <c r="M1455" s="7">
        <f t="shared" si="90"/>
        <v>32300</v>
      </c>
      <c r="N1455" s="23">
        <v>15000</v>
      </c>
      <c r="O1455" s="7">
        <f t="shared" si="91"/>
        <v>47300</v>
      </c>
      <c r="P1455" s="2" t="s">
        <v>29</v>
      </c>
      <c r="Q1455" t="str">
        <f>_xlfn.XLOOKUP(B1455,Status!$A$2:$A$1867,Status!$B$2:$B$1867)</f>
        <v>Completed</v>
      </c>
      <c r="R1455" s="2" t="s">
        <v>30</v>
      </c>
      <c r="S1455" s="8">
        <v>4</v>
      </c>
      <c r="T1455" s="2" t="s">
        <v>37</v>
      </c>
      <c r="U1455" s="31" t="str" cm="1">
        <f t="array" ref="U1455">_xlfn.IFS(L1455&lt;=5000,$Z$3,AND(L1455&gt;5000,L1455&lt;=15000),$Z$4,AND(L1455&gt;15000,L1455&lt;=30000),$Z$5,AND(L1455&gt;30000,L1455&lt;=50000),$Z$6,L1455&gt;50000,$Z$7)</f>
        <v>Sangat Rendah</v>
      </c>
      <c r="V1455" s="2"/>
    </row>
    <row r="1456" spans="1:22" ht="15.75" customHeight="1" x14ac:dyDescent="0.25">
      <c r="A1456" s="26"/>
      <c r="B1456" s="2" t="s">
        <v>1830</v>
      </c>
      <c r="C1456" s="32">
        <v>45822.294039351851</v>
      </c>
      <c r="D1456" s="53">
        <f>YEAR(Table1[[#This Row],[Order Date]])</f>
        <v>2025</v>
      </c>
      <c r="E1456" s="2" t="s">
        <v>508</v>
      </c>
      <c r="F1456" s="2" t="s">
        <v>20</v>
      </c>
      <c r="G1456" s="2" t="s">
        <v>186</v>
      </c>
      <c r="H1456" s="23">
        <v>45000</v>
      </c>
      <c r="I1456" s="2">
        <v>3</v>
      </c>
      <c r="J1456" s="31">
        <v>15</v>
      </c>
      <c r="K1456" s="7">
        <f t="shared" si="88"/>
        <v>135000</v>
      </c>
      <c r="L1456" s="7">
        <f t="shared" si="89"/>
        <v>20250</v>
      </c>
      <c r="M1456" s="7">
        <f t="shared" si="90"/>
        <v>114750</v>
      </c>
      <c r="N1456" s="23">
        <v>0</v>
      </c>
      <c r="O1456" s="7">
        <f t="shared" si="91"/>
        <v>114750</v>
      </c>
      <c r="P1456" s="2" t="s">
        <v>29</v>
      </c>
      <c r="Q1456" t="str">
        <f>_xlfn.XLOOKUP(B1456,Status!$A$2:$A$1867,Status!$B$2:$B$1867)</f>
        <v>Completed</v>
      </c>
      <c r="R1456" s="2" t="s">
        <v>30</v>
      </c>
      <c r="S1456" s="8">
        <v>4</v>
      </c>
      <c r="T1456" s="2" t="s">
        <v>37</v>
      </c>
      <c r="U1456" s="31" t="str" cm="1">
        <f t="array" ref="U1456">_xlfn.IFS(L1456&lt;=5000,$Z$3,AND(L1456&gt;5000,L1456&lt;=15000),$Z$4,AND(L1456&gt;15000,L1456&lt;=30000),$Z$5,AND(L1456&gt;30000,L1456&lt;=50000),$Z$6,L1456&gt;50000,$Z$7)</f>
        <v>Normal</v>
      </c>
      <c r="V1456" s="2"/>
    </row>
    <row r="1457" spans="1:22" ht="15.75" customHeight="1" x14ac:dyDescent="0.25">
      <c r="A1457" s="26"/>
      <c r="B1457" s="2" t="s">
        <v>1831</v>
      </c>
      <c r="C1457" s="32">
        <v>45822.71671296296</v>
      </c>
      <c r="D1457" s="53">
        <f>YEAR(Table1[[#This Row],[Order Date]])</f>
        <v>2025</v>
      </c>
      <c r="E1457" s="2" t="s">
        <v>416</v>
      </c>
      <c r="F1457" s="2" t="s">
        <v>131</v>
      </c>
      <c r="G1457" s="2" t="s">
        <v>93</v>
      </c>
      <c r="H1457" s="23">
        <v>25000</v>
      </c>
      <c r="I1457" s="2">
        <v>5</v>
      </c>
      <c r="J1457" s="31">
        <v>10</v>
      </c>
      <c r="K1457" s="7">
        <f t="shared" si="88"/>
        <v>125000</v>
      </c>
      <c r="L1457" s="7">
        <f t="shared" si="89"/>
        <v>12500</v>
      </c>
      <c r="M1457" s="7">
        <f t="shared" si="90"/>
        <v>112500</v>
      </c>
      <c r="N1457" s="23">
        <v>59000</v>
      </c>
      <c r="O1457" s="7">
        <f t="shared" si="91"/>
        <v>171500</v>
      </c>
      <c r="P1457" s="2" t="s">
        <v>63</v>
      </c>
      <c r="Q1457" t="str">
        <f>_xlfn.XLOOKUP(B1457,Status!$A$2:$A$1867,Status!$B$2:$B$1867)</f>
        <v>Returned</v>
      </c>
      <c r="R1457" s="2" t="s">
        <v>36</v>
      </c>
      <c r="S1457" s="8">
        <v>5</v>
      </c>
      <c r="T1457" s="2" t="s">
        <v>24</v>
      </c>
      <c r="U1457" s="31" t="str" cm="1">
        <f t="array" ref="U1457">_xlfn.IFS(L1457&lt;=5000,$Z$3,AND(L1457&gt;5000,L1457&lt;=15000),$Z$4,AND(L1457&gt;15000,L1457&lt;=30000),$Z$5,AND(L1457&gt;30000,L1457&lt;=50000),$Z$6,L1457&gt;50000,$Z$7)</f>
        <v>Rendah</v>
      </c>
      <c r="V1457" s="2"/>
    </row>
    <row r="1458" spans="1:22" ht="15.75" customHeight="1" x14ac:dyDescent="0.25">
      <c r="A1458" s="26"/>
      <c r="B1458" s="2" t="s">
        <v>1832</v>
      </c>
      <c r="C1458" s="32">
        <v>45823.010370370372</v>
      </c>
      <c r="D1458" s="53">
        <f>YEAR(Table1[[#This Row],[Order Date]])</f>
        <v>2025</v>
      </c>
      <c r="E1458" s="2" t="s">
        <v>194</v>
      </c>
      <c r="F1458" s="2" t="s">
        <v>195</v>
      </c>
      <c r="G1458" s="2" t="s">
        <v>93</v>
      </c>
      <c r="H1458" s="23">
        <v>25000</v>
      </c>
      <c r="I1458" s="2">
        <v>1</v>
      </c>
      <c r="J1458" s="31">
        <v>0</v>
      </c>
      <c r="K1458" s="7">
        <f t="shared" si="88"/>
        <v>25000</v>
      </c>
      <c r="L1458" s="7">
        <f t="shared" si="89"/>
        <v>0</v>
      </c>
      <c r="M1458" s="7">
        <f t="shared" si="90"/>
        <v>25000</v>
      </c>
      <c r="N1458" s="23">
        <v>87000</v>
      </c>
      <c r="O1458" s="7">
        <f t="shared" si="91"/>
        <v>112000</v>
      </c>
      <c r="P1458" s="2" t="s">
        <v>22</v>
      </c>
      <c r="Q1458" t="str">
        <f>_xlfn.XLOOKUP(B1458,Status!$A$2:$A$1867,Status!$B$2:$B$1867)</f>
        <v>Completed</v>
      </c>
      <c r="R1458" s="2" t="s">
        <v>46</v>
      </c>
      <c r="S1458" s="8">
        <v>1</v>
      </c>
      <c r="T1458" s="2" t="s">
        <v>24</v>
      </c>
      <c r="U1458" s="31" t="str" cm="1">
        <f t="array" ref="U1458">_xlfn.IFS(L1458&lt;=5000,$Z$3,AND(L1458&gt;5000,L1458&lt;=15000),$Z$4,AND(L1458&gt;15000,L1458&lt;=30000),$Z$5,AND(L1458&gt;30000,L1458&lt;=50000),$Z$6,L1458&gt;50000,$Z$7)</f>
        <v>Sangat Rendah</v>
      </c>
      <c r="V1458" s="2"/>
    </row>
    <row r="1459" spans="1:22" ht="15.75" customHeight="1" x14ac:dyDescent="0.25">
      <c r="A1459" s="26"/>
      <c r="B1459" s="2" t="s">
        <v>1833</v>
      </c>
      <c r="C1459" s="32">
        <v>45823.082731481481</v>
      </c>
      <c r="D1459" s="53">
        <f>YEAR(Table1[[#This Row],[Order Date]])</f>
        <v>2025</v>
      </c>
      <c r="E1459" s="2" t="s">
        <v>398</v>
      </c>
      <c r="F1459" s="2" t="s">
        <v>182</v>
      </c>
      <c r="G1459" s="2" t="s">
        <v>190</v>
      </c>
      <c r="H1459" s="23">
        <v>35000</v>
      </c>
      <c r="I1459" s="2">
        <v>3</v>
      </c>
      <c r="J1459" s="31">
        <v>10</v>
      </c>
      <c r="K1459" s="7">
        <f t="shared" si="88"/>
        <v>105000</v>
      </c>
      <c r="L1459" s="7">
        <f t="shared" si="89"/>
        <v>10500</v>
      </c>
      <c r="M1459" s="7">
        <f t="shared" si="90"/>
        <v>94500</v>
      </c>
      <c r="N1459" s="23">
        <v>48000</v>
      </c>
      <c r="O1459" s="7">
        <f t="shared" si="91"/>
        <v>142500</v>
      </c>
      <c r="P1459" s="2" t="s">
        <v>22</v>
      </c>
      <c r="Q1459" t="str">
        <f>_xlfn.XLOOKUP(B1459,Status!$A$2:$A$1867,Status!$B$2:$B$1867)</f>
        <v>Completed</v>
      </c>
      <c r="R1459" s="2" t="s">
        <v>30</v>
      </c>
      <c r="S1459" s="8">
        <v>4</v>
      </c>
      <c r="T1459" s="2" t="s">
        <v>24</v>
      </c>
      <c r="U1459" s="31" t="str" cm="1">
        <f t="array" ref="U1459">_xlfn.IFS(L1459&lt;=5000,$Z$3,AND(L1459&gt;5000,L1459&lt;=15000),$Z$4,AND(L1459&gt;15000,L1459&lt;=30000),$Z$5,AND(L1459&gt;30000,L1459&lt;=50000),$Z$6,L1459&gt;50000,$Z$7)</f>
        <v>Rendah</v>
      </c>
      <c r="V1459" s="2"/>
    </row>
    <row r="1460" spans="1:22" ht="15.75" customHeight="1" x14ac:dyDescent="0.25">
      <c r="A1460" s="26"/>
      <c r="B1460" s="2" t="s">
        <v>1834</v>
      </c>
      <c r="C1460" s="32">
        <v>45823.111273148148</v>
      </c>
      <c r="D1460" s="53">
        <f>YEAR(Table1[[#This Row],[Order Date]])</f>
        <v>2025</v>
      </c>
      <c r="E1460" s="2" t="s">
        <v>446</v>
      </c>
      <c r="F1460" s="2" t="s">
        <v>296</v>
      </c>
      <c r="G1460" s="2" t="s">
        <v>144</v>
      </c>
      <c r="H1460" s="23">
        <v>18000</v>
      </c>
      <c r="I1460" s="2">
        <v>1</v>
      </c>
      <c r="J1460" s="31">
        <v>0</v>
      </c>
      <c r="K1460" s="7">
        <f t="shared" si="88"/>
        <v>18000</v>
      </c>
      <c r="L1460" s="7">
        <f t="shared" si="89"/>
        <v>0</v>
      </c>
      <c r="M1460" s="7">
        <f t="shared" si="90"/>
        <v>18000</v>
      </c>
      <c r="N1460" s="23">
        <v>79000</v>
      </c>
      <c r="O1460" s="7">
        <f t="shared" si="91"/>
        <v>97000</v>
      </c>
      <c r="P1460" s="2" t="s">
        <v>63</v>
      </c>
      <c r="Q1460" t="str">
        <f>_xlfn.XLOOKUP(B1460,Status!$A$2:$A$1867,Status!$B$2:$B$1867)</f>
        <v>Completed</v>
      </c>
      <c r="R1460" s="2" t="s">
        <v>23</v>
      </c>
      <c r="S1460" s="8">
        <v>3</v>
      </c>
      <c r="T1460" s="2" t="s">
        <v>37</v>
      </c>
      <c r="U1460" s="31" t="str" cm="1">
        <f t="array" ref="U1460">_xlfn.IFS(L1460&lt;=5000,$Z$3,AND(L1460&gt;5000,L1460&lt;=15000),$Z$4,AND(L1460&gt;15000,L1460&lt;=30000),$Z$5,AND(L1460&gt;30000,L1460&lt;=50000),$Z$6,L1460&gt;50000,$Z$7)</f>
        <v>Sangat Rendah</v>
      </c>
      <c r="V1460" s="2"/>
    </row>
    <row r="1461" spans="1:22" ht="15.75" customHeight="1" x14ac:dyDescent="0.25">
      <c r="A1461" s="26"/>
      <c r="B1461" s="2" t="s">
        <v>1835</v>
      </c>
      <c r="C1461" s="32">
        <v>45823.283379629633</v>
      </c>
      <c r="D1461" s="53">
        <f>YEAR(Table1[[#This Row],[Order Date]])</f>
        <v>2025</v>
      </c>
      <c r="E1461" s="2" t="s">
        <v>437</v>
      </c>
      <c r="F1461" s="2" t="s">
        <v>375</v>
      </c>
      <c r="G1461" s="2" t="s">
        <v>136</v>
      </c>
      <c r="H1461" s="23">
        <v>12000</v>
      </c>
      <c r="I1461" s="2">
        <v>3</v>
      </c>
      <c r="J1461" s="31">
        <v>10</v>
      </c>
      <c r="K1461" s="7">
        <f t="shared" si="88"/>
        <v>36000</v>
      </c>
      <c r="L1461" s="7">
        <f t="shared" si="89"/>
        <v>3600</v>
      </c>
      <c r="M1461" s="7">
        <f t="shared" si="90"/>
        <v>32400</v>
      </c>
      <c r="N1461" s="23">
        <v>21000</v>
      </c>
      <c r="O1461" s="7">
        <f t="shared" si="91"/>
        <v>53400</v>
      </c>
      <c r="P1461" s="2" t="s">
        <v>63</v>
      </c>
      <c r="Q1461" t="str">
        <f>_xlfn.XLOOKUP(B1461,Status!$A$2:$A$1867,Status!$B$2:$B$1867)</f>
        <v>Completed</v>
      </c>
      <c r="R1461" s="2" t="s">
        <v>82</v>
      </c>
      <c r="S1461" s="8">
        <v>5</v>
      </c>
      <c r="T1461" s="2" t="s">
        <v>24</v>
      </c>
      <c r="U1461" s="31" t="str" cm="1">
        <f t="array" ref="U1461">_xlfn.IFS(L1461&lt;=5000,$Z$3,AND(L1461&gt;5000,L1461&lt;=15000),$Z$4,AND(L1461&gt;15000,L1461&lt;=30000),$Z$5,AND(L1461&gt;30000,L1461&lt;=50000),$Z$6,L1461&gt;50000,$Z$7)</f>
        <v>Sangat Rendah</v>
      </c>
      <c r="V1461" s="2"/>
    </row>
    <row r="1462" spans="1:22" ht="15.75" customHeight="1" x14ac:dyDescent="0.25">
      <c r="A1462" s="26"/>
      <c r="B1462" s="2" t="s">
        <v>1836</v>
      </c>
      <c r="C1462" s="32">
        <v>45823.440046296288</v>
      </c>
      <c r="D1462" s="53">
        <f>YEAR(Table1[[#This Row],[Order Date]])</f>
        <v>2025</v>
      </c>
      <c r="E1462" s="2" t="s">
        <v>1311</v>
      </c>
      <c r="F1462" s="2" t="s">
        <v>49</v>
      </c>
      <c r="G1462" s="2" t="s">
        <v>136</v>
      </c>
      <c r="H1462" s="23">
        <v>12000</v>
      </c>
      <c r="I1462" s="2">
        <v>3</v>
      </c>
      <c r="J1462" s="31">
        <v>10</v>
      </c>
      <c r="K1462" s="7">
        <f t="shared" si="88"/>
        <v>36000</v>
      </c>
      <c r="L1462" s="7">
        <f t="shared" si="89"/>
        <v>3600</v>
      </c>
      <c r="M1462" s="7">
        <f t="shared" si="90"/>
        <v>32400</v>
      </c>
      <c r="N1462" s="23">
        <v>43000</v>
      </c>
      <c r="O1462" s="7">
        <f t="shared" si="91"/>
        <v>75400</v>
      </c>
      <c r="P1462" s="2" t="s">
        <v>35</v>
      </c>
      <c r="Q1462" t="str">
        <f>_xlfn.XLOOKUP(B1462,Status!$A$2:$A$1867,Status!$B$2:$B$1867)</f>
        <v>Completed</v>
      </c>
      <c r="R1462" s="2" t="s">
        <v>82</v>
      </c>
      <c r="S1462" s="8">
        <v>4</v>
      </c>
      <c r="T1462" s="2" t="s">
        <v>24</v>
      </c>
      <c r="U1462" s="31" t="str" cm="1">
        <f t="array" ref="U1462">_xlfn.IFS(L1462&lt;=5000,$Z$3,AND(L1462&gt;5000,L1462&lt;=15000),$Z$4,AND(L1462&gt;15000,L1462&lt;=30000),$Z$5,AND(L1462&gt;30000,L1462&lt;=50000),$Z$6,L1462&gt;50000,$Z$7)</f>
        <v>Sangat Rendah</v>
      </c>
      <c r="V1462" s="2"/>
    </row>
    <row r="1463" spans="1:22" ht="15.75" customHeight="1" x14ac:dyDescent="0.25">
      <c r="A1463" s="26"/>
      <c r="B1463" s="2" t="s">
        <v>1837</v>
      </c>
      <c r="C1463" s="32">
        <v>45823.496724537043</v>
      </c>
      <c r="D1463" s="53">
        <f>YEAR(Table1[[#This Row],[Order Date]])</f>
        <v>2025</v>
      </c>
      <c r="E1463" s="2" t="s">
        <v>851</v>
      </c>
      <c r="F1463" s="2" t="s">
        <v>66</v>
      </c>
      <c r="G1463" s="2" t="s">
        <v>75</v>
      </c>
      <c r="H1463" s="23">
        <v>55000</v>
      </c>
      <c r="I1463" s="2">
        <v>4</v>
      </c>
      <c r="J1463" s="31">
        <v>5</v>
      </c>
      <c r="K1463" s="7">
        <f t="shared" si="88"/>
        <v>220000</v>
      </c>
      <c r="L1463" s="7">
        <f t="shared" si="89"/>
        <v>11000</v>
      </c>
      <c r="M1463" s="7">
        <f t="shared" si="90"/>
        <v>209000</v>
      </c>
      <c r="N1463" s="23">
        <v>59000</v>
      </c>
      <c r="O1463" s="7">
        <f t="shared" si="91"/>
        <v>268000</v>
      </c>
      <c r="P1463" s="2" t="s">
        <v>63</v>
      </c>
      <c r="Q1463" t="str">
        <f>_xlfn.XLOOKUP(B1463,Status!$A$2:$A$1867,Status!$B$2:$B$1867)</f>
        <v>Cancelled</v>
      </c>
      <c r="R1463" s="2" t="s">
        <v>46</v>
      </c>
      <c r="S1463" s="8">
        <v>4</v>
      </c>
      <c r="T1463" s="2" t="s">
        <v>37</v>
      </c>
      <c r="U1463" s="31" t="str" cm="1">
        <f t="array" ref="U1463">_xlfn.IFS(L1463&lt;=5000,$Z$3,AND(L1463&gt;5000,L1463&lt;=15000),$Z$4,AND(L1463&gt;15000,L1463&lt;=30000),$Z$5,AND(L1463&gt;30000,L1463&lt;=50000),$Z$6,L1463&gt;50000,$Z$7)</f>
        <v>Rendah</v>
      </c>
      <c r="V1463" s="2"/>
    </row>
    <row r="1464" spans="1:22" ht="15.75" customHeight="1" x14ac:dyDescent="0.25">
      <c r="A1464" s="26"/>
      <c r="B1464" s="2" t="s">
        <v>1838</v>
      </c>
      <c r="C1464" s="32">
        <v>45823.572916666657</v>
      </c>
      <c r="D1464" s="53">
        <f>YEAR(Table1[[#This Row],[Order Date]])</f>
        <v>2025</v>
      </c>
      <c r="E1464" s="2" t="s">
        <v>488</v>
      </c>
      <c r="F1464" s="2" t="s">
        <v>49</v>
      </c>
      <c r="G1464" s="2" t="s">
        <v>58</v>
      </c>
      <c r="H1464" s="23">
        <v>16000</v>
      </c>
      <c r="I1464" s="2">
        <v>5</v>
      </c>
      <c r="J1464" s="31">
        <v>15</v>
      </c>
      <c r="K1464" s="7">
        <f t="shared" si="88"/>
        <v>80000</v>
      </c>
      <c r="L1464" s="7">
        <f t="shared" si="89"/>
        <v>12000</v>
      </c>
      <c r="M1464" s="7">
        <f t="shared" si="90"/>
        <v>68000</v>
      </c>
      <c r="N1464" s="23">
        <v>43000</v>
      </c>
      <c r="O1464" s="7">
        <f t="shared" si="91"/>
        <v>111000</v>
      </c>
      <c r="P1464" s="2" t="s">
        <v>35</v>
      </c>
      <c r="Q1464" t="str">
        <f>_xlfn.XLOOKUP(B1464,Status!$A$2:$A$1867,Status!$B$2:$B$1867)</f>
        <v>Returned</v>
      </c>
      <c r="R1464" s="2" t="s">
        <v>46</v>
      </c>
      <c r="S1464" s="8">
        <v>4</v>
      </c>
      <c r="T1464" s="2" t="s">
        <v>24</v>
      </c>
      <c r="U1464" s="31" t="str" cm="1">
        <f t="array" ref="U1464">_xlfn.IFS(L1464&lt;=5000,$Z$3,AND(L1464&gt;5000,L1464&lt;=15000),$Z$4,AND(L1464&gt;15000,L1464&lt;=30000),$Z$5,AND(L1464&gt;30000,L1464&lt;=50000),$Z$6,L1464&gt;50000,$Z$7)</f>
        <v>Rendah</v>
      </c>
      <c r="V1464" s="2"/>
    </row>
    <row r="1465" spans="1:22" ht="15.75" customHeight="1" x14ac:dyDescent="0.25">
      <c r="A1465" s="26"/>
      <c r="B1465" s="2" t="s">
        <v>1839</v>
      </c>
      <c r="C1465" s="32">
        <v>45823.580659722233</v>
      </c>
      <c r="D1465" s="53">
        <f>YEAR(Table1[[#This Row],[Order Date]])</f>
        <v>2025</v>
      </c>
      <c r="E1465" s="2" t="s">
        <v>644</v>
      </c>
      <c r="F1465" s="2" t="s">
        <v>244</v>
      </c>
      <c r="G1465" s="2" t="s">
        <v>38</v>
      </c>
      <c r="H1465" s="23">
        <v>28000</v>
      </c>
      <c r="I1465" s="2">
        <v>2</v>
      </c>
      <c r="J1465" s="31">
        <v>15</v>
      </c>
      <c r="K1465" s="7">
        <f t="shared" si="88"/>
        <v>56000</v>
      </c>
      <c r="L1465" s="7">
        <f t="shared" si="89"/>
        <v>8400</v>
      </c>
      <c r="M1465" s="7">
        <f t="shared" si="90"/>
        <v>47600</v>
      </c>
      <c r="N1465" s="23">
        <v>80000</v>
      </c>
      <c r="O1465" s="7">
        <f t="shared" si="91"/>
        <v>127600</v>
      </c>
      <c r="P1465" s="2" t="s">
        <v>63</v>
      </c>
      <c r="Q1465" t="str">
        <f>_xlfn.XLOOKUP(B1465,Status!$A$2:$A$1867,Status!$B$2:$B$1867)</f>
        <v>Completed</v>
      </c>
      <c r="R1465" s="2" t="s">
        <v>23</v>
      </c>
      <c r="S1465" s="8">
        <v>1</v>
      </c>
      <c r="T1465" s="2" t="s">
        <v>24</v>
      </c>
      <c r="U1465" s="31" t="str" cm="1">
        <f t="array" ref="U1465">_xlfn.IFS(L1465&lt;=5000,$Z$3,AND(L1465&gt;5000,L1465&lt;=15000),$Z$4,AND(L1465&gt;15000,L1465&lt;=30000),$Z$5,AND(L1465&gt;30000,L1465&lt;=50000),$Z$6,L1465&gt;50000,$Z$7)</f>
        <v>Rendah</v>
      </c>
      <c r="V1465" s="2"/>
    </row>
    <row r="1466" spans="1:22" ht="15.75" customHeight="1" x14ac:dyDescent="0.25">
      <c r="A1466" s="26"/>
      <c r="B1466" s="2" t="s">
        <v>1840</v>
      </c>
      <c r="C1466" s="32">
        <v>45824.059537037043</v>
      </c>
      <c r="D1466" s="53">
        <f>YEAR(Table1[[#This Row],[Order Date]])</f>
        <v>2025</v>
      </c>
      <c r="E1466" s="2" t="s">
        <v>121</v>
      </c>
      <c r="F1466" s="2" t="s">
        <v>122</v>
      </c>
      <c r="G1466" s="2" t="s">
        <v>28</v>
      </c>
      <c r="H1466" s="23">
        <v>5000</v>
      </c>
      <c r="I1466" s="2">
        <v>1</v>
      </c>
      <c r="J1466" s="31">
        <v>20</v>
      </c>
      <c r="K1466" s="7">
        <f t="shared" si="88"/>
        <v>5000</v>
      </c>
      <c r="L1466" s="7">
        <f t="shared" si="89"/>
        <v>1000</v>
      </c>
      <c r="M1466" s="7">
        <f t="shared" si="90"/>
        <v>4000</v>
      </c>
      <c r="N1466" s="23">
        <v>78000</v>
      </c>
      <c r="O1466" s="7">
        <f t="shared" si="91"/>
        <v>82000</v>
      </c>
      <c r="P1466" s="2" t="s">
        <v>29</v>
      </c>
      <c r="Q1466" t="str">
        <f>_xlfn.XLOOKUP(B1466,Status!$A$2:$A$1867,Status!$B$2:$B$1867)</f>
        <v>Completed</v>
      </c>
      <c r="R1466" s="2" t="s">
        <v>36</v>
      </c>
      <c r="S1466" s="8">
        <v>1</v>
      </c>
      <c r="T1466" s="2" t="s">
        <v>24</v>
      </c>
      <c r="U1466" s="31" t="str" cm="1">
        <f t="array" ref="U1466">_xlfn.IFS(L1466&lt;=5000,$Z$3,AND(L1466&gt;5000,L1466&lt;=15000),$Z$4,AND(L1466&gt;15000,L1466&lt;=30000),$Z$5,AND(L1466&gt;30000,L1466&lt;=50000),$Z$6,L1466&gt;50000,$Z$7)</f>
        <v>Sangat Rendah</v>
      </c>
      <c r="V1466" s="2"/>
    </row>
    <row r="1467" spans="1:22" ht="15.75" customHeight="1" x14ac:dyDescent="0.25">
      <c r="A1467" s="26"/>
      <c r="B1467" s="2" t="s">
        <v>1841</v>
      </c>
      <c r="C1467" s="32">
        <v>45824.182256944441</v>
      </c>
      <c r="D1467" s="53">
        <f>YEAR(Table1[[#This Row],[Order Date]])</f>
        <v>2025</v>
      </c>
      <c r="E1467" s="2" t="s">
        <v>220</v>
      </c>
      <c r="F1467" s="2" t="s">
        <v>53</v>
      </c>
      <c r="G1467" s="2" t="s">
        <v>88</v>
      </c>
      <c r="H1467" s="23">
        <v>14000</v>
      </c>
      <c r="I1467" s="2">
        <v>2</v>
      </c>
      <c r="J1467" s="31">
        <v>5</v>
      </c>
      <c r="K1467" s="7">
        <f t="shared" si="88"/>
        <v>28000</v>
      </c>
      <c r="L1467" s="7">
        <f t="shared" si="89"/>
        <v>1400</v>
      </c>
      <c r="M1467" s="7">
        <f t="shared" si="90"/>
        <v>26600</v>
      </c>
      <c r="N1467" s="23">
        <v>18000</v>
      </c>
      <c r="O1467" s="7">
        <f t="shared" si="91"/>
        <v>44600</v>
      </c>
      <c r="P1467" s="2" t="s">
        <v>22</v>
      </c>
      <c r="Q1467" t="str">
        <f>_xlfn.XLOOKUP(B1467,Status!$A$2:$A$1867,Status!$B$2:$B$1867)</f>
        <v>Completed</v>
      </c>
      <c r="R1467" s="2" t="s">
        <v>23</v>
      </c>
      <c r="S1467" s="8">
        <v>1</v>
      </c>
      <c r="T1467" s="2" t="s">
        <v>24</v>
      </c>
      <c r="U1467" s="31" t="str" cm="1">
        <f t="array" ref="U1467">_xlfn.IFS(L1467&lt;=5000,$Z$3,AND(L1467&gt;5000,L1467&lt;=15000),$Z$4,AND(L1467&gt;15000,L1467&lt;=30000),$Z$5,AND(L1467&gt;30000,L1467&lt;=50000),$Z$6,L1467&gt;50000,$Z$7)</f>
        <v>Sangat Rendah</v>
      </c>
      <c r="V1467" s="2"/>
    </row>
    <row r="1468" spans="1:22" ht="15.75" customHeight="1" x14ac:dyDescent="0.25">
      <c r="A1468" s="26"/>
      <c r="B1468" s="2" t="s">
        <v>1842</v>
      </c>
      <c r="C1468" s="32">
        <v>45824.325555555559</v>
      </c>
      <c r="D1468" s="53">
        <f>YEAR(Table1[[#This Row],[Order Date]])</f>
        <v>2025</v>
      </c>
      <c r="E1468" s="2" t="s">
        <v>416</v>
      </c>
      <c r="F1468" s="2" t="s">
        <v>131</v>
      </c>
      <c r="G1468" s="2" t="s">
        <v>138</v>
      </c>
      <c r="H1468" s="23">
        <v>17000</v>
      </c>
      <c r="I1468" s="2">
        <v>2</v>
      </c>
      <c r="J1468" s="31">
        <v>20</v>
      </c>
      <c r="K1468" s="7">
        <f t="shared" si="88"/>
        <v>34000</v>
      </c>
      <c r="L1468" s="7">
        <f t="shared" si="89"/>
        <v>6800</v>
      </c>
      <c r="M1468" s="7">
        <f t="shared" si="90"/>
        <v>27200</v>
      </c>
      <c r="N1468" s="23">
        <v>59000</v>
      </c>
      <c r="O1468" s="7">
        <f t="shared" si="91"/>
        <v>86200</v>
      </c>
      <c r="P1468" s="2" t="s">
        <v>63</v>
      </c>
      <c r="Q1468" t="str">
        <f>_xlfn.XLOOKUP(B1468,Status!$A$2:$A$1867,Status!$B$2:$B$1867)</f>
        <v>Completed</v>
      </c>
      <c r="R1468" s="2" t="s">
        <v>36</v>
      </c>
      <c r="S1468" s="8">
        <v>5</v>
      </c>
      <c r="T1468" s="2" t="s">
        <v>24</v>
      </c>
      <c r="U1468" s="31" t="str" cm="1">
        <f t="array" ref="U1468">_xlfn.IFS(L1468&lt;=5000,$Z$3,AND(L1468&gt;5000,L1468&lt;=15000),$Z$4,AND(L1468&gt;15000,L1468&lt;=30000),$Z$5,AND(L1468&gt;30000,L1468&lt;=50000),$Z$6,L1468&gt;50000,$Z$7)</f>
        <v>Rendah</v>
      </c>
      <c r="V1468" s="2"/>
    </row>
    <row r="1469" spans="1:22" ht="15.75" customHeight="1" x14ac:dyDescent="0.25">
      <c r="A1469" s="26"/>
      <c r="B1469" s="2" t="s">
        <v>1843</v>
      </c>
      <c r="C1469" s="32">
        <v>45824.400405092587</v>
      </c>
      <c r="D1469" s="53">
        <f>YEAR(Table1[[#This Row],[Order Date]])</f>
        <v>2025</v>
      </c>
      <c r="E1469" s="2" t="s">
        <v>412</v>
      </c>
      <c r="F1469" s="2" t="s">
        <v>70</v>
      </c>
      <c r="G1469" s="2" t="s">
        <v>75</v>
      </c>
      <c r="H1469" s="23">
        <v>55000</v>
      </c>
      <c r="I1469" s="2">
        <v>3</v>
      </c>
      <c r="J1469" s="31">
        <v>5</v>
      </c>
      <c r="K1469" s="7">
        <f t="shared" si="88"/>
        <v>165000</v>
      </c>
      <c r="L1469" s="7">
        <f t="shared" si="89"/>
        <v>8250</v>
      </c>
      <c r="M1469" s="7">
        <f t="shared" si="90"/>
        <v>156750</v>
      </c>
      <c r="N1469" s="23">
        <v>89000</v>
      </c>
      <c r="O1469" s="7">
        <f t="shared" si="91"/>
        <v>245750</v>
      </c>
      <c r="P1469" s="2" t="s">
        <v>35</v>
      </c>
      <c r="Q1469" t="str">
        <f>_xlfn.XLOOKUP(B1469,Status!$A$2:$A$1867,Status!$B$2:$B$1867)</f>
        <v>Completed</v>
      </c>
      <c r="R1469" s="2" t="s">
        <v>30</v>
      </c>
      <c r="S1469" s="8">
        <v>3</v>
      </c>
      <c r="T1469" s="2" t="s">
        <v>24</v>
      </c>
      <c r="U1469" s="31" t="str" cm="1">
        <f t="array" ref="U1469">_xlfn.IFS(L1469&lt;=5000,$Z$3,AND(L1469&gt;5000,L1469&lt;=15000),$Z$4,AND(L1469&gt;15000,L1469&lt;=30000),$Z$5,AND(L1469&gt;30000,L1469&lt;=50000),$Z$6,L1469&gt;50000,$Z$7)</f>
        <v>Rendah</v>
      </c>
      <c r="V1469" s="2"/>
    </row>
    <row r="1470" spans="1:22" ht="15.75" customHeight="1" x14ac:dyDescent="0.25">
      <c r="A1470" s="26"/>
      <c r="B1470" s="2" t="s">
        <v>1844</v>
      </c>
      <c r="C1470" s="32">
        <v>45824.791226851848</v>
      </c>
      <c r="D1470" s="53">
        <f>YEAR(Table1[[#This Row],[Order Date]])</f>
        <v>2025</v>
      </c>
      <c r="E1470" s="2" t="s">
        <v>1321</v>
      </c>
      <c r="F1470" s="2" t="s">
        <v>113</v>
      </c>
      <c r="G1470" s="2" t="s">
        <v>93</v>
      </c>
      <c r="H1470" s="23">
        <v>25000</v>
      </c>
      <c r="I1470" s="2">
        <v>4</v>
      </c>
      <c r="J1470" s="31">
        <v>10</v>
      </c>
      <c r="K1470" s="7">
        <f t="shared" si="88"/>
        <v>100000</v>
      </c>
      <c r="L1470" s="7">
        <f t="shared" si="89"/>
        <v>10000</v>
      </c>
      <c r="M1470" s="7">
        <f t="shared" si="90"/>
        <v>90000</v>
      </c>
      <c r="N1470" s="23">
        <v>18000</v>
      </c>
      <c r="O1470" s="7">
        <f t="shared" si="91"/>
        <v>108000</v>
      </c>
      <c r="P1470" s="2" t="s">
        <v>29</v>
      </c>
      <c r="Q1470" t="str">
        <f>_xlfn.XLOOKUP(B1470,Status!$A$2:$A$1867,Status!$B$2:$B$1867)</f>
        <v>Completed</v>
      </c>
      <c r="R1470" s="2" t="s">
        <v>46</v>
      </c>
      <c r="S1470" s="8">
        <v>5</v>
      </c>
      <c r="T1470" s="2" t="s">
        <v>24</v>
      </c>
      <c r="U1470" s="31" t="str" cm="1">
        <f t="array" ref="U1470">_xlfn.IFS(L1470&lt;=5000,$Z$3,AND(L1470&gt;5000,L1470&lt;=15000),$Z$4,AND(L1470&gt;15000,L1470&lt;=30000),$Z$5,AND(L1470&gt;30000,L1470&lt;=50000),$Z$6,L1470&gt;50000,$Z$7)</f>
        <v>Rendah</v>
      </c>
      <c r="V1470" s="2"/>
    </row>
    <row r="1471" spans="1:22" ht="15.75" customHeight="1" x14ac:dyDescent="0.25">
      <c r="A1471" s="26"/>
      <c r="B1471" s="2" t="s">
        <v>1845</v>
      </c>
      <c r="C1471" s="32">
        <v>45824.819444444453</v>
      </c>
      <c r="D1471" s="53">
        <f>YEAR(Table1[[#This Row],[Order Date]])</f>
        <v>2025</v>
      </c>
      <c r="E1471" s="2" t="s">
        <v>410</v>
      </c>
      <c r="F1471" s="2" t="s">
        <v>151</v>
      </c>
      <c r="G1471" s="2" t="s">
        <v>186</v>
      </c>
      <c r="H1471" s="23">
        <v>45000</v>
      </c>
      <c r="I1471" s="2">
        <v>3</v>
      </c>
      <c r="J1471" s="31">
        <v>10</v>
      </c>
      <c r="K1471" s="7">
        <f t="shared" si="88"/>
        <v>135000</v>
      </c>
      <c r="L1471" s="7">
        <f t="shared" si="89"/>
        <v>13500</v>
      </c>
      <c r="M1471" s="7">
        <f t="shared" si="90"/>
        <v>121500</v>
      </c>
      <c r="N1471" s="23">
        <v>55000</v>
      </c>
      <c r="O1471" s="7">
        <f t="shared" si="91"/>
        <v>176500</v>
      </c>
      <c r="P1471" s="2" t="s">
        <v>35</v>
      </c>
      <c r="Q1471" t="str">
        <f>_xlfn.XLOOKUP(B1471,Status!$A$2:$A$1867,Status!$B$2:$B$1867)</f>
        <v>Completed</v>
      </c>
      <c r="R1471" s="2" t="s">
        <v>36</v>
      </c>
      <c r="S1471" s="8">
        <v>1</v>
      </c>
      <c r="T1471" s="2" t="s">
        <v>24</v>
      </c>
      <c r="U1471" s="31" t="str" cm="1">
        <f t="array" ref="U1471">_xlfn.IFS(L1471&lt;=5000,$Z$3,AND(L1471&gt;5000,L1471&lt;=15000),$Z$4,AND(L1471&gt;15000,L1471&lt;=30000),$Z$5,AND(L1471&gt;30000,L1471&lt;=50000),$Z$6,L1471&gt;50000,$Z$7)</f>
        <v>Rendah</v>
      </c>
      <c r="V1471" s="2"/>
    </row>
    <row r="1472" spans="1:22" ht="15.75" customHeight="1" x14ac:dyDescent="0.25">
      <c r="A1472" s="26"/>
      <c r="B1472" s="2" t="s">
        <v>1846</v>
      </c>
      <c r="C1472" s="32">
        <v>45824.867627314823</v>
      </c>
      <c r="D1472" s="53">
        <f>YEAR(Table1[[#This Row],[Order Date]])</f>
        <v>2025</v>
      </c>
      <c r="E1472" s="2" t="s">
        <v>252</v>
      </c>
      <c r="F1472" s="2" t="s">
        <v>131</v>
      </c>
      <c r="G1472" s="2" t="s">
        <v>110</v>
      </c>
      <c r="H1472" s="23">
        <v>6000</v>
      </c>
      <c r="I1472" s="2">
        <v>4</v>
      </c>
      <c r="J1472" s="31">
        <v>10</v>
      </c>
      <c r="K1472" s="7">
        <f t="shared" si="88"/>
        <v>24000</v>
      </c>
      <c r="L1472" s="7">
        <f t="shared" si="89"/>
        <v>2400</v>
      </c>
      <c r="M1472" s="7">
        <f t="shared" si="90"/>
        <v>21600</v>
      </c>
      <c r="N1472" s="23">
        <v>59000</v>
      </c>
      <c r="O1472" s="7">
        <f t="shared" si="91"/>
        <v>80600</v>
      </c>
      <c r="P1472" s="2" t="s">
        <v>63</v>
      </c>
      <c r="Q1472" t="str">
        <f>_xlfn.XLOOKUP(B1472,Status!$A$2:$A$1867,Status!$B$2:$B$1867)</f>
        <v>Returned</v>
      </c>
      <c r="R1472" s="2" t="s">
        <v>36</v>
      </c>
      <c r="S1472" s="8">
        <v>4</v>
      </c>
      <c r="T1472" s="2" t="s">
        <v>24</v>
      </c>
      <c r="U1472" s="31" t="str" cm="1">
        <f t="array" ref="U1472">_xlfn.IFS(L1472&lt;=5000,$Z$3,AND(L1472&gt;5000,L1472&lt;=15000),$Z$4,AND(L1472&gt;15000,L1472&lt;=30000),$Z$5,AND(L1472&gt;30000,L1472&lt;=50000),$Z$6,L1472&gt;50000,$Z$7)</f>
        <v>Sangat Rendah</v>
      </c>
      <c r="V1472" s="2"/>
    </row>
    <row r="1473" spans="1:22" ht="15.75" customHeight="1" x14ac:dyDescent="0.25">
      <c r="A1473" s="26"/>
      <c r="B1473" s="2" t="s">
        <v>1847</v>
      </c>
      <c r="C1473" s="32">
        <v>45824.869571759264</v>
      </c>
      <c r="D1473" s="53">
        <f>YEAR(Table1[[#This Row],[Order Date]])</f>
        <v>2025</v>
      </c>
      <c r="E1473" s="2" t="s">
        <v>87</v>
      </c>
      <c r="F1473" s="2" t="s">
        <v>80</v>
      </c>
      <c r="G1473" s="2" t="s">
        <v>250</v>
      </c>
      <c r="H1473" s="23">
        <v>18000</v>
      </c>
      <c r="I1473" s="2">
        <v>1</v>
      </c>
      <c r="J1473" s="31">
        <v>15</v>
      </c>
      <c r="K1473" s="7">
        <f t="shared" si="88"/>
        <v>18000</v>
      </c>
      <c r="L1473" s="7">
        <f t="shared" si="89"/>
        <v>2700</v>
      </c>
      <c r="M1473" s="7">
        <f t="shared" si="90"/>
        <v>15300</v>
      </c>
      <c r="N1473" s="23">
        <v>74000</v>
      </c>
      <c r="O1473" s="7">
        <f t="shared" si="91"/>
        <v>89300</v>
      </c>
      <c r="P1473" s="2" t="s">
        <v>29</v>
      </c>
      <c r="Q1473" t="str">
        <f>_xlfn.XLOOKUP(B1473,Status!$A$2:$A$1867,Status!$B$2:$B$1867)</f>
        <v>Returned</v>
      </c>
      <c r="R1473" s="2" t="s">
        <v>46</v>
      </c>
      <c r="S1473" s="8">
        <v>2</v>
      </c>
      <c r="T1473" s="2" t="s">
        <v>24</v>
      </c>
      <c r="U1473" s="31" t="str" cm="1">
        <f t="array" ref="U1473">_xlfn.IFS(L1473&lt;=5000,$Z$3,AND(L1473&gt;5000,L1473&lt;=15000),$Z$4,AND(L1473&gt;15000,L1473&lt;=30000),$Z$5,AND(L1473&gt;30000,L1473&lt;=50000),$Z$6,L1473&gt;50000,$Z$7)</f>
        <v>Sangat Rendah</v>
      </c>
      <c r="V1473" s="2"/>
    </row>
    <row r="1474" spans="1:22" ht="15.75" customHeight="1" x14ac:dyDescent="0.25">
      <c r="A1474" s="26"/>
      <c r="B1474" s="2" t="s">
        <v>1848</v>
      </c>
      <c r="C1474" s="32">
        <v>45824.939189814817</v>
      </c>
      <c r="D1474" s="53">
        <f>YEAR(Table1[[#This Row],[Order Date]])</f>
        <v>2025</v>
      </c>
      <c r="E1474" s="2" t="s">
        <v>1849</v>
      </c>
      <c r="F1474" s="2" t="s">
        <v>238</v>
      </c>
      <c r="G1474" s="2" t="s">
        <v>85</v>
      </c>
      <c r="H1474" s="23">
        <v>35000</v>
      </c>
      <c r="I1474" s="2">
        <v>5</v>
      </c>
      <c r="J1474" s="31">
        <v>5</v>
      </c>
      <c r="K1474" s="7">
        <f t="shared" si="88"/>
        <v>175000</v>
      </c>
      <c r="L1474" s="7">
        <f t="shared" si="89"/>
        <v>8750</v>
      </c>
      <c r="M1474" s="7">
        <f t="shared" si="90"/>
        <v>166250</v>
      </c>
      <c r="N1474" s="23">
        <v>28000</v>
      </c>
      <c r="O1474" s="7">
        <f t="shared" si="91"/>
        <v>194250</v>
      </c>
      <c r="P1474" s="2" t="s">
        <v>63</v>
      </c>
      <c r="Q1474" t="str">
        <f>_xlfn.XLOOKUP(B1474,Status!$A$2:$A$1867,Status!$B$2:$B$1867)</f>
        <v>Completed</v>
      </c>
      <c r="R1474" s="2" t="s">
        <v>30</v>
      </c>
      <c r="S1474" s="8">
        <v>5</v>
      </c>
      <c r="T1474" s="2" t="s">
        <v>24</v>
      </c>
      <c r="U1474" s="31" t="str" cm="1">
        <f t="array" ref="U1474">_xlfn.IFS(L1474&lt;=5000,$Z$3,AND(L1474&gt;5000,L1474&lt;=15000),$Z$4,AND(L1474&gt;15000,L1474&lt;=30000),$Z$5,AND(L1474&gt;30000,L1474&lt;=50000),$Z$6,L1474&gt;50000,$Z$7)</f>
        <v>Rendah</v>
      </c>
      <c r="V1474" s="2"/>
    </row>
    <row r="1475" spans="1:22" ht="15.75" customHeight="1" x14ac:dyDescent="0.25">
      <c r="A1475" s="26"/>
      <c r="B1475" s="2" t="s">
        <v>1850</v>
      </c>
      <c r="C1475" s="32">
        <v>45825.124027777783</v>
      </c>
      <c r="D1475" s="53">
        <f>YEAR(Table1[[#This Row],[Order Date]])</f>
        <v>2025</v>
      </c>
      <c r="E1475" s="2" t="s">
        <v>431</v>
      </c>
      <c r="F1475" s="2" t="s">
        <v>33</v>
      </c>
      <c r="G1475" s="2" t="s">
        <v>67</v>
      </c>
      <c r="H1475" s="23">
        <v>15000</v>
      </c>
      <c r="I1475" s="2">
        <v>4</v>
      </c>
      <c r="J1475" s="31">
        <v>5</v>
      </c>
      <c r="K1475" s="7">
        <f t="shared" si="88"/>
        <v>60000</v>
      </c>
      <c r="L1475" s="7">
        <f t="shared" si="89"/>
        <v>3000</v>
      </c>
      <c r="M1475" s="7">
        <f t="shared" si="90"/>
        <v>57000</v>
      </c>
      <c r="N1475" s="23">
        <v>76000</v>
      </c>
      <c r="O1475" s="7">
        <f t="shared" si="91"/>
        <v>133000</v>
      </c>
      <c r="P1475" s="2" t="s">
        <v>22</v>
      </c>
      <c r="Q1475" t="str">
        <f>_xlfn.XLOOKUP(B1475,Status!$A$2:$A$1867,Status!$B$2:$B$1867)</f>
        <v>Completed</v>
      </c>
      <c r="R1475" s="2" t="s">
        <v>82</v>
      </c>
      <c r="S1475" s="8">
        <v>5</v>
      </c>
      <c r="T1475" s="2" t="s">
        <v>24</v>
      </c>
      <c r="U1475" s="31" t="str" cm="1">
        <f t="array" ref="U1475">_xlfn.IFS(L1475&lt;=5000,$Z$3,AND(L1475&gt;5000,L1475&lt;=15000),$Z$4,AND(L1475&gt;15000,L1475&lt;=30000),$Z$5,AND(L1475&gt;30000,L1475&lt;=50000),$Z$6,L1475&gt;50000,$Z$7)</f>
        <v>Sangat Rendah</v>
      </c>
      <c r="V1475" s="2"/>
    </row>
    <row r="1476" spans="1:22" ht="15.75" customHeight="1" x14ac:dyDescent="0.25">
      <c r="A1476" s="26"/>
      <c r="B1476" s="2" t="s">
        <v>1850</v>
      </c>
      <c r="C1476" s="32">
        <v>45825.124027777783</v>
      </c>
      <c r="D1476" s="53">
        <f>YEAR(Table1[[#This Row],[Order Date]])</f>
        <v>2025</v>
      </c>
      <c r="E1476" s="2" t="s">
        <v>431</v>
      </c>
      <c r="F1476" s="2" t="s">
        <v>33</v>
      </c>
      <c r="G1476" s="2" t="s">
        <v>45</v>
      </c>
      <c r="H1476" s="23">
        <v>40000</v>
      </c>
      <c r="I1476" s="2">
        <v>5</v>
      </c>
      <c r="J1476" s="31">
        <v>10</v>
      </c>
      <c r="K1476" s="7">
        <f t="shared" ref="K1476:K1539" si="92">H1476*I1476</f>
        <v>200000</v>
      </c>
      <c r="L1476" s="7">
        <f t="shared" ref="L1476:L1539" si="93">K1476*(J1476/100)</f>
        <v>20000</v>
      </c>
      <c r="M1476" s="7">
        <f t="shared" ref="M1476:M1539" si="94">K1476-L1476</f>
        <v>180000</v>
      </c>
      <c r="N1476" s="23">
        <v>0</v>
      </c>
      <c r="O1476" s="7">
        <f t="shared" ref="O1476:O1539" si="95">SUM(M1476:N1476)</f>
        <v>180000</v>
      </c>
      <c r="P1476" s="2" t="s">
        <v>22</v>
      </c>
      <c r="Q1476" t="str">
        <f>_xlfn.XLOOKUP(B1476,Status!$A$2:$A$1867,Status!$B$2:$B$1867)</f>
        <v>Completed</v>
      </c>
      <c r="R1476" s="2" t="s">
        <v>82</v>
      </c>
      <c r="S1476" s="8">
        <v>5</v>
      </c>
      <c r="T1476" s="2" t="s">
        <v>24</v>
      </c>
      <c r="U1476" s="31" t="str" cm="1">
        <f t="array" ref="U1476">_xlfn.IFS(L1476&lt;=5000,$Z$3,AND(L1476&gt;5000,L1476&lt;=15000),$Z$4,AND(L1476&gt;15000,L1476&lt;=30000),$Z$5,AND(L1476&gt;30000,L1476&lt;=50000),$Z$6,L1476&gt;50000,$Z$7)</f>
        <v>Normal</v>
      </c>
      <c r="V1476" s="2"/>
    </row>
    <row r="1477" spans="1:22" ht="15.75" customHeight="1" x14ac:dyDescent="0.25">
      <c r="A1477" s="26"/>
      <c r="B1477" s="2" t="s">
        <v>1851</v>
      </c>
      <c r="C1477" s="32">
        <v>45825.14534722222</v>
      </c>
      <c r="D1477" s="53">
        <f>YEAR(Table1[[#This Row],[Order Date]])</f>
        <v>2025</v>
      </c>
      <c r="E1477" s="2" t="s">
        <v>827</v>
      </c>
      <c r="F1477" s="2" t="s">
        <v>20</v>
      </c>
      <c r="G1477" s="2" t="s">
        <v>136</v>
      </c>
      <c r="H1477" s="23">
        <v>12000</v>
      </c>
      <c r="I1477" s="2">
        <v>5</v>
      </c>
      <c r="J1477" s="31">
        <v>20</v>
      </c>
      <c r="K1477" s="7">
        <f t="shared" si="92"/>
        <v>60000</v>
      </c>
      <c r="L1477" s="7">
        <f t="shared" si="93"/>
        <v>12000</v>
      </c>
      <c r="M1477" s="7">
        <f t="shared" si="94"/>
        <v>48000</v>
      </c>
      <c r="N1477" s="23">
        <v>15000</v>
      </c>
      <c r="O1477" s="7">
        <f t="shared" si="95"/>
        <v>63000</v>
      </c>
      <c r="P1477" s="2" t="s">
        <v>35</v>
      </c>
      <c r="Q1477" t="str">
        <f>_xlfn.XLOOKUP(B1477,Status!$A$2:$A$1867,Status!$B$2:$B$1867)</f>
        <v>Completed</v>
      </c>
      <c r="R1477" s="2" t="s">
        <v>36</v>
      </c>
      <c r="S1477" s="8">
        <v>3</v>
      </c>
      <c r="T1477" s="2" t="s">
        <v>24</v>
      </c>
      <c r="U1477" s="31" t="str" cm="1">
        <f t="array" ref="U1477">_xlfn.IFS(L1477&lt;=5000,$Z$3,AND(L1477&gt;5000,L1477&lt;=15000),$Z$4,AND(L1477&gt;15000,L1477&lt;=30000),$Z$5,AND(L1477&gt;30000,L1477&lt;=50000),$Z$6,L1477&gt;50000,$Z$7)</f>
        <v>Rendah</v>
      </c>
      <c r="V1477" s="2"/>
    </row>
    <row r="1478" spans="1:22" ht="15.75" customHeight="1" x14ac:dyDescent="0.25">
      <c r="A1478" s="26"/>
      <c r="B1478" s="2" t="s">
        <v>1852</v>
      </c>
      <c r="C1478" s="32">
        <v>45825.189467592587</v>
      </c>
      <c r="D1478" s="53">
        <f>YEAR(Table1[[#This Row],[Order Date]])</f>
        <v>2025</v>
      </c>
      <c r="E1478" s="2" t="s">
        <v>455</v>
      </c>
      <c r="F1478" s="2" t="s">
        <v>33</v>
      </c>
      <c r="G1478" s="2" t="s">
        <v>54</v>
      </c>
      <c r="H1478" s="23">
        <v>16000</v>
      </c>
      <c r="I1478" s="2">
        <v>5</v>
      </c>
      <c r="J1478" s="31">
        <v>20</v>
      </c>
      <c r="K1478" s="7">
        <f t="shared" si="92"/>
        <v>80000</v>
      </c>
      <c r="L1478" s="7">
        <f t="shared" si="93"/>
        <v>16000</v>
      </c>
      <c r="M1478" s="7">
        <f t="shared" si="94"/>
        <v>64000</v>
      </c>
      <c r="N1478" s="23">
        <v>76000</v>
      </c>
      <c r="O1478" s="7">
        <f t="shared" si="95"/>
        <v>140000</v>
      </c>
      <c r="P1478" s="2" t="s">
        <v>29</v>
      </c>
      <c r="Q1478" t="str">
        <f>_xlfn.XLOOKUP(B1478,Status!$A$2:$A$1867,Status!$B$2:$B$1867)</f>
        <v>Completed</v>
      </c>
      <c r="R1478" s="2" t="s">
        <v>23</v>
      </c>
      <c r="S1478" s="8">
        <v>5</v>
      </c>
      <c r="T1478" s="2" t="s">
        <v>24</v>
      </c>
      <c r="U1478" s="31" t="str" cm="1">
        <f t="array" ref="U1478">_xlfn.IFS(L1478&lt;=5000,$Z$3,AND(L1478&gt;5000,L1478&lt;=15000),$Z$4,AND(L1478&gt;15000,L1478&lt;=30000),$Z$5,AND(L1478&gt;30000,L1478&lt;=50000),$Z$6,L1478&gt;50000,$Z$7)</f>
        <v>Normal</v>
      </c>
      <c r="V1478" s="2"/>
    </row>
    <row r="1479" spans="1:22" ht="15.75" customHeight="1" x14ac:dyDescent="0.25">
      <c r="A1479" s="26"/>
      <c r="B1479" s="2" t="s">
        <v>1853</v>
      </c>
      <c r="C1479" s="32">
        <v>45825.263229166667</v>
      </c>
      <c r="D1479" s="53">
        <f>YEAR(Table1[[#This Row],[Order Date]])</f>
        <v>2025</v>
      </c>
      <c r="E1479" s="2" t="s">
        <v>1130</v>
      </c>
      <c r="F1479" s="2" t="s">
        <v>122</v>
      </c>
      <c r="G1479" s="2" t="s">
        <v>71</v>
      </c>
      <c r="H1479" s="23">
        <v>40000</v>
      </c>
      <c r="I1479" s="2">
        <v>5</v>
      </c>
      <c r="J1479" s="31">
        <v>20</v>
      </c>
      <c r="K1479" s="7">
        <f t="shared" si="92"/>
        <v>200000</v>
      </c>
      <c r="L1479" s="7">
        <f t="shared" si="93"/>
        <v>40000</v>
      </c>
      <c r="M1479" s="7">
        <f t="shared" si="94"/>
        <v>160000</v>
      </c>
      <c r="N1479" s="23">
        <v>78000</v>
      </c>
      <c r="O1479" s="7">
        <f t="shared" si="95"/>
        <v>238000</v>
      </c>
      <c r="P1479" s="2" t="s">
        <v>63</v>
      </c>
      <c r="Q1479" t="str">
        <f>_xlfn.XLOOKUP(B1479,Status!$A$2:$A$1867,Status!$B$2:$B$1867)</f>
        <v>Completed</v>
      </c>
      <c r="R1479" s="2" t="s">
        <v>46</v>
      </c>
      <c r="S1479" s="8">
        <v>3</v>
      </c>
      <c r="T1479" s="2" t="s">
        <v>24</v>
      </c>
      <c r="U1479" s="31" t="str" cm="1">
        <f t="array" ref="U1479">_xlfn.IFS(L1479&lt;=5000,$Z$3,AND(L1479&gt;5000,L1479&lt;=15000),$Z$4,AND(L1479&gt;15000,L1479&lt;=30000),$Z$5,AND(L1479&gt;30000,L1479&lt;=50000),$Z$6,L1479&gt;50000,$Z$7)</f>
        <v>Tinggi</v>
      </c>
      <c r="V1479" s="2"/>
    </row>
    <row r="1480" spans="1:22" ht="15.75" customHeight="1" x14ac:dyDescent="0.25">
      <c r="A1480" s="26"/>
      <c r="B1480" s="2" t="s">
        <v>1854</v>
      </c>
      <c r="C1480" s="32">
        <v>45825.270729166667</v>
      </c>
      <c r="D1480" s="53">
        <f>YEAR(Table1[[#This Row],[Order Date]])</f>
        <v>2025</v>
      </c>
      <c r="E1480" s="2" t="s">
        <v>377</v>
      </c>
      <c r="F1480" s="2" t="s">
        <v>182</v>
      </c>
      <c r="G1480" s="2" t="s">
        <v>93</v>
      </c>
      <c r="H1480" s="23">
        <v>25000</v>
      </c>
      <c r="I1480" s="2">
        <v>5</v>
      </c>
      <c r="J1480" s="31">
        <v>0</v>
      </c>
      <c r="K1480" s="7">
        <f t="shared" si="92"/>
        <v>125000</v>
      </c>
      <c r="L1480" s="7">
        <f t="shared" si="93"/>
        <v>0</v>
      </c>
      <c r="M1480" s="7">
        <f t="shared" si="94"/>
        <v>125000</v>
      </c>
      <c r="N1480" s="23">
        <v>48000</v>
      </c>
      <c r="O1480" s="7">
        <f t="shared" si="95"/>
        <v>173000</v>
      </c>
      <c r="P1480" s="2" t="s">
        <v>63</v>
      </c>
      <c r="Q1480" t="str">
        <f>_xlfn.XLOOKUP(B1480,Status!$A$2:$A$1867,Status!$B$2:$B$1867)</f>
        <v>Completed</v>
      </c>
      <c r="R1480" s="2" t="s">
        <v>23</v>
      </c>
      <c r="S1480" s="8">
        <v>4</v>
      </c>
      <c r="T1480" s="2" t="s">
        <v>24</v>
      </c>
      <c r="U1480" s="31" t="str" cm="1">
        <f t="array" ref="U1480">_xlfn.IFS(L1480&lt;=5000,$Z$3,AND(L1480&gt;5000,L1480&lt;=15000),$Z$4,AND(L1480&gt;15000,L1480&lt;=30000),$Z$5,AND(L1480&gt;30000,L1480&lt;=50000),$Z$6,L1480&gt;50000,$Z$7)</f>
        <v>Sangat Rendah</v>
      </c>
      <c r="V1480" s="2"/>
    </row>
    <row r="1481" spans="1:22" ht="15.75" customHeight="1" x14ac:dyDescent="0.25">
      <c r="A1481" s="26"/>
      <c r="B1481" s="2" t="s">
        <v>1855</v>
      </c>
      <c r="C1481" s="32">
        <v>45825.375011574077</v>
      </c>
      <c r="D1481" s="53">
        <f>YEAR(Table1[[#This Row],[Order Date]])</f>
        <v>2025</v>
      </c>
      <c r="E1481" s="2" t="s">
        <v>1038</v>
      </c>
      <c r="F1481" s="2" t="s">
        <v>53</v>
      </c>
      <c r="G1481" s="2" t="s">
        <v>186</v>
      </c>
      <c r="H1481" s="23">
        <v>45000</v>
      </c>
      <c r="I1481" s="2">
        <v>2</v>
      </c>
      <c r="J1481" s="31">
        <v>10</v>
      </c>
      <c r="K1481" s="7">
        <f t="shared" si="92"/>
        <v>90000</v>
      </c>
      <c r="L1481" s="7">
        <f t="shared" si="93"/>
        <v>9000</v>
      </c>
      <c r="M1481" s="7">
        <f t="shared" si="94"/>
        <v>81000</v>
      </c>
      <c r="N1481" s="23">
        <v>18000</v>
      </c>
      <c r="O1481" s="7">
        <f t="shared" si="95"/>
        <v>99000</v>
      </c>
      <c r="P1481" s="2" t="s">
        <v>35</v>
      </c>
      <c r="Q1481" t="str">
        <f>_xlfn.XLOOKUP(B1481,Status!$A$2:$A$1867,Status!$B$2:$B$1867)</f>
        <v>Completed</v>
      </c>
      <c r="R1481" s="2" t="s">
        <v>46</v>
      </c>
      <c r="S1481" s="8">
        <v>3</v>
      </c>
      <c r="T1481" s="2" t="s">
        <v>24</v>
      </c>
      <c r="U1481" s="31" t="str" cm="1">
        <f t="array" ref="U1481">_xlfn.IFS(L1481&lt;=5000,$Z$3,AND(L1481&gt;5000,L1481&lt;=15000),$Z$4,AND(L1481&gt;15000,L1481&lt;=30000),$Z$5,AND(L1481&gt;30000,L1481&lt;=50000),$Z$6,L1481&gt;50000,$Z$7)</f>
        <v>Rendah</v>
      </c>
      <c r="V1481" s="2"/>
    </row>
    <row r="1482" spans="1:22" ht="15.75" customHeight="1" x14ac:dyDescent="0.25">
      <c r="A1482" s="26"/>
      <c r="B1482" s="2" t="s">
        <v>1856</v>
      </c>
      <c r="C1482" s="32">
        <v>45825.424328703702</v>
      </c>
      <c r="D1482" s="53">
        <f>YEAR(Table1[[#This Row],[Order Date]])</f>
        <v>2025</v>
      </c>
      <c r="E1482" s="2" t="s">
        <v>468</v>
      </c>
      <c r="F1482" s="2" t="s">
        <v>163</v>
      </c>
      <c r="G1482" s="2" t="s">
        <v>58</v>
      </c>
      <c r="H1482" s="23">
        <v>16000</v>
      </c>
      <c r="I1482" s="2">
        <v>5</v>
      </c>
      <c r="J1482" s="31">
        <v>20</v>
      </c>
      <c r="K1482" s="7">
        <f t="shared" si="92"/>
        <v>80000</v>
      </c>
      <c r="L1482" s="7">
        <f t="shared" si="93"/>
        <v>16000</v>
      </c>
      <c r="M1482" s="7">
        <f t="shared" si="94"/>
        <v>64000</v>
      </c>
      <c r="N1482" s="23">
        <v>50000</v>
      </c>
      <c r="O1482" s="7">
        <f t="shared" si="95"/>
        <v>114000</v>
      </c>
      <c r="P1482" s="2" t="s">
        <v>22</v>
      </c>
      <c r="Q1482" t="str">
        <f>_xlfn.XLOOKUP(B1482,Status!$A$2:$A$1867,Status!$B$2:$B$1867)</f>
        <v>Completed</v>
      </c>
      <c r="R1482" s="2" t="s">
        <v>30</v>
      </c>
      <c r="S1482" s="8">
        <v>4</v>
      </c>
      <c r="T1482" s="2" t="s">
        <v>24</v>
      </c>
      <c r="U1482" s="31" t="str" cm="1">
        <f t="array" ref="U1482">_xlfn.IFS(L1482&lt;=5000,$Z$3,AND(L1482&gt;5000,L1482&lt;=15000),$Z$4,AND(L1482&gt;15000,L1482&lt;=30000),$Z$5,AND(L1482&gt;30000,L1482&lt;=50000),$Z$6,L1482&gt;50000,$Z$7)</f>
        <v>Normal</v>
      </c>
      <c r="V1482" s="2"/>
    </row>
    <row r="1483" spans="1:22" ht="15.75" customHeight="1" x14ac:dyDescent="0.25">
      <c r="A1483" s="26"/>
      <c r="B1483" s="2" t="s">
        <v>1857</v>
      </c>
      <c r="C1483" s="32">
        <v>45825.580231481479</v>
      </c>
      <c r="D1483" s="53">
        <f>YEAR(Table1[[#This Row],[Order Date]])</f>
        <v>2025</v>
      </c>
      <c r="E1483" s="2" t="s">
        <v>128</v>
      </c>
      <c r="F1483" s="2" t="s">
        <v>103</v>
      </c>
      <c r="G1483" s="2" t="s">
        <v>144</v>
      </c>
      <c r="H1483" s="23">
        <v>18000</v>
      </c>
      <c r="I1483" s="2">
        <v>5</v>
      </c>
      <c r="J1483" s="31">
        <v>5</v>
      </c>
      <c r="K1483" s="7">
        <f t="shared" si="92"/>
        <v>90000</v>
      </c>
      <c r="L1483" s="7">
        <f t="shared" si="93"/>
        <v>4500</v>
      </c>
      <c r="M1483" s="7">
        <f t="shared" si="94"/>
        <v>85500</v>
      </c>
      <c r="N1483" s="23">
        <v>85000</v>
      </c>
      <c r="O1483" s="7">
        <f t="shared" si="95"/>
        <v>170500</v>
      </c>
      <c r="P1483" s="2" t="s">
        <v>29</v>
      </c>
      <c r="Q1483" t="str">
        <f>_xlfn.XLOOKUP(B1483,Status!$A$2:$A$1867,Status!$B$2:$B$1867)</f>
        <v>Returned</v>
      </c>
      <c r="R1483" s="2" t="s">
        <v>23</v>
      </c>
      <c r="S1483" s="8">
        <v>5</v>
      </c>
      <c r="T1483" s="2" t="s">
        <v>37</v>
      </c>
      <c r="U1483" s="31" t="str" cm="1">
        <f t="array" ref="U1483">_xlfn.IFS(L1483&lt;=5000,$Z$3,AND(L1483&gt;5000,L1483&lt;=15000),$Z$4,AND(L1483&gt;15000,L1483&lt;=30000),$Z$5,AND(L1483&gt;30000,L1483&lt;=50000),$Z$6,L1483&gt;50000,$Z$7)</f>
        <v>Sangat Rendah</v>
      </c>
      <c r="V1483" s="2"/>
    </row>
    <row r="1484" spans="1:22" ht="15.75" customHeight="1" x14ac:dyDescent="0.25">
      <c r="A1484" s="26"/>
      <c r="B1484" s="2" t="s">
        <v>1858</v>
      </c>
      <c r="C1484" s="32">
        <v>45825.66238425926</v>
      </c>
      <c r="D1484" s="53">
        <f>YEAR(Table1[[#This Row],[Order Date]])</f>
        <v>2025</v>
      </c>
      <c r="E1484" s="2" t="s">
        <v>631</v>
      </c>
      <c r="F1484" s="2" t="s">
        <v>20</v>
      </c>
      <c r="G1484" s="2" t="s">
        <v>93</v>
      </c>
      <c r="H1484" s="23">
        <v>25000</v>
      </c>
      <c r="I1484" s="2">
        <v>4</v>
      </c>
      <c r="J1484" s="31">
        <v>15</v>
      </c>
      <c r="K1484" s="7">
        <f t="shared" si="92"/>
        <v>100000</v>
      </c>
      <c r="L1484" s="7">
        <f t="shared" si="93"/>
        <v>15000</v>
      </c>
      <c r="M1484" s="7">
        <f t="shared" si="94"/>
        <v>85000</v>
      </c>
      <c r="N1484" s="23">
        <v>15000</v>
      </c>
      <c r="O1484" s="7">
        <f t="shared" si="95"/>
        <v>100000</v>
      </c>
      <c r="P1484" s="2" t="s">
        <v>22</v>
      </c>
      <c r="Q1484" t="str">
        <f>_xlfn.XLOOKUP(B1484,Status!$A$2:$A$1867,Status!$B$2:$B$1867)</f>
        <v>Completed</v>
      </c>
      <c r="R1484" s="2" t="s">
        <v>23</v>
      </c>
      <c r="S1484" s="8">
        <v>2</v>
      </c>
      <c r="T1484" s="2" t="s">
        <v>37</v>
      </c>
      <c r="U1484" s="31" t="str" cm="1">
        <f t="array" ref="U1484">_xlfn.IFS(L1484&lt;=5000,$Z$3,AND(L1484&gt;5000,L1484&lt;=15000),$Z$4,AND(L1484&gt;15000,L1484&lt;=30000),$Z$5,AND(L1484&gt;30000,L1484&lt;=50000),$Z$6,L1484&gt;50000,$Z$7)</f>
        <v>Rendah</v>
      </c>
      <c r="V1484" s="2"/>
    </row>
    <row r="1485" spans="1:22" ht="15.75" customHeight="1" x14ac:dyDescent="0.25">
      <c r="A1485" s="26"/>
      <c r="B1485" s="2" t="s">
        <v>1859</v>
      </c>
      <c r="C1485" s="32">
        <v>45826.315011574072</v>
      </c>
      <c r="D1485" s="53">
        <f>YEAR(Table1[[#This Row],[Order Date]])</f>
        <v>2025</v>
      </c>
      <c r="E1485" s="2" t="s">
        <v>148</v>
      </c>
      <c r="F1485" s="2" t="s">
        <v>74</v>
      </c>
      <c r="G1485" s="2" t="s">
        <v>104</v>
      </c>
      <c r="H1485" s="23">
        <v>30000</v>
      </c>
      <c r="I1485" s="2">
        <v>5</v>
      </c>
      <c r="J1485" s="31">
        <v>5</v>
      </c>
      <c r="K1485" s="7">
        <f t="shared" si="92"/>
        <v>150000</v>
      </c>
      <c r="L1485" s="7">
        <f t="shared" si="93"/>
        <v>7500</v>
      </c>
      <c r="M1485" s="7">
        <f t="shared" si="94"/>
        <v>142500</v>
      </c>
      <c r="N1485" s="23">
        <v>87000</v>
      </c>
      <c r="O1485" s="7">
        <f t="shared" si="95"/>
        <v>229500</v>
      </c>
      <c r="P1485" s="2" t="s">
        <v>63</v>
      </c>
      <c r="Q1485" t="str">
        <f>_xlfn.XLOOKUP(B1485,Status!$A$2:$A$1867,Status!$B$2:$B$1867)</f>
        <v>Completed</v>
      </c>
      <c r="R1485" s="2" t="s">
        <v>30</v>
      </c>
      <c r="S1485" s="8">
        <v>4</v>
      </c>
      <c r="T1485" s="2" t="s">
        <v>24</v>
      </c>
      <c r="U1485" s="31" t="str" cm="1">
        <f t="array" ref="U1485">_xlfn.IFS(L1485&lt;=5000,$Z$3,AND(L1485&gt;5000,L1485&lt;=15000),$Z$4,AND(L1485&gt;15000,L1485&lt;=30000),$Z$5,AND(L1485&gt;30000,L1485&lt;=50000),$Z$6,L1485&gt;50000,$Z$7)</f>
        <v>Rendah</v>
      </c>
      <c r="V1485" s="2"/>
    </row>
    <row r="1486" spans="1:22" ht="15.75" customHeight="1" x14ac:dyDescent="0.25">
      <c r="A1486" s="26"/>
      <c r="B1486" s="2" t="s">
        <v>1860</v>
      </c>
      <c r="C1486" s="32">
        <v>45826.42459490741</v>
      </c>
      <c r="D1486" s="53">
        <f>YEAR(Table1[[#This Row],[Order Date]])</f>
        <v>2025</v>
      </c>
      <c r="E1486" s="2" t="s">
        <v>1311</v>
      </c>
      <c r="F1486" s="2" t="s">
        <v>49</v>
      </c>
      <c r="G1486" s="2" t="s">
        <v>41</v>
      </c>
      <c r="H1486" s="23">
        <v>4000</v>
      </c>
      <c r="I1486" s="2">
        <v>5</v>
      </c>
      <c r="J1486" s="31">
        <v>5</v>
      </c>
      <c r="K1486" s="7">
        <f t="shared" si="92"/>
        <v>20000</v>
      </c>
      <c r="L1486" s="7">
        <f t="shared" si="93"/>
        <v>1000</v>
      </c>
      <c r="M1486" s="7">
        <f t="shared" si="94"/>
        <v>19000</v>
      </c>
      <c r="N1486" s="23">
        <v>43000</v>
      </c>
      <c r="O1486" s="7">
        <f t="shared" si="95"/>
        <v>62000</v>
      </c>
      <c r="P1486" s="2" t="s">
        <v>29</v>
      </c>
      <c r="Q1486" t="str">
        <f>_xlfn.XLOOKUP(B1486,Status!$A$2:$A$1867,Status!$B$2:$B$1867)</f>
        <v>Completed</v>
      </c>
      <c r="R1486" s="2" t="s">
        <v>23</v>
      </c>
      <c r="S1486" s="8">
        <v>3</v>
      </c>
      <c r="T1486" s="2" t="s">
        <v>24</v>
      </c>
      <c r="U1486" s="31" t="str" cm="1">
        <f t="array" ref="U1486">_xlfn.IFS(L1486&lt;=5000,$Z$3,AND(L1486&gt;5000,L1486&lt;=15000),$Z$4,AND(L1486&gt;15000,L1486&lt;=30000),$Z$5,AND(L1486&gt;30000,L1486&lt;=50000),$Z$6,L1486&gt;50000,$Z$7)</f>
        <v>Sangat Rendah</v>
      </c>
      <c r="V1486" s="2"/>
    </row>
    <row r="1487" spans="1:22" ht="15.75" customHeight="1" x14ac:dyDescent="0.25">
      <c r="A1487" s="26"/>
      <c r="B1487" s="2" t="s">
        <v>1861</v>
      </c>
      <c r="C1487" s="32">
        <v>45826.569467592592</v>
      </c>
      <c r="D1487" s="53">
        <f>YEAR(Table1[[#This Row],[Order Date]])</f>
        <v>2025</v>
      </c>
      <c r="E1487" s="2" t="s">
        <v>429</v>
      </c>
      <c r="F1487" s="2" t="s">
        <v>177</v>
      </c>
      <c r="G1487" s="2" t="s">
        <v>34</v>
      </c>
      <c r="H1487" s="23">
        <v>16000</v>
      </c>
      <c r="I1487" s="2">
        <v>2</v>
      </c>
      <c r="J1487" s="31">
        <v>0</v>
      </c>
      <c r="K1487" s="7">
        <f t="shared" si="92"/>
        <v>32000</v>
      </c>
      <c r="L1487" s="7">
        <f t="shared" si="93"/>
        <v>0</v>
      </c>
      <c r="M1487" s="7">
        <f t="shared" si="94"/>
        <v>32000</v>
      </c>
      <c r="N1487" s="23">
        <v>56000</v>
      </c>
      <c r="O1487" s="7">
        <f t="shared" si="95"/>
        <v>88000</v>
      </c>
      <c r="P1487" s="2" t="s">
        <v>22</v>
      </c>
      <c r="Q1487" t="str">
        <f>_xlfn.XLOOKUP(B1487,Status!$A$2:$A$1867,Status!$B$2:$B$1867)</f>
        <v>Completed</v>
      </c>
      <c r="R1487" s="2" t="s">
        <v>36</v>
      </c>
      <c r="S1487" s="8">
        <v>3</v>
      </c>
      <c r="T1487" s="2" t="s">
        <v>37</v>
      </c>
      <c r="U1487" s="31" t="str" cm="1">
        <f t="array" ref="U1487">_xlfn.IFS(L1487&lt;=5000,$Z$3,AND(L1487&gt;5000,L1487&lt;=15000),$Z$4,AND(L1487&gt;15000,L1487&lt;=30000),$Z$5,AND(L1487&gt;30000,L1487&lt;=50000),$Z$6,L1487&gt;50000,$Z$7)</f>
        <v>Sangat Rendah</v>
      </c>
      <c r="V1487" s="2"/>
    </row>
    <row r="1488" spans="1:22" ht="15.75" customHeight="1" x14ac:dyDescent="0.25">
      <c r="A1488" s="26"/>
      <c r="B1488" s="2" t="s">
        <v>1862</v>
      </c>
      <c r="C1488" s="32">
        <v>45826.58625</v>
      </c>
      <c r="D1488" s="53">
        <f>YEAR(Table1[[#This Row],[Order Date]])</f>
        <v>2025</v>
      </c>
      <c r="E1488" s="2" t="s">
        <v>65</v>
      </c>
      <c r="F1488" s="2" t="s">
        <v>66</v>
      </c>
      <c r="G1488" s="2" t="s">
        <v>93</v>
      </c>
      <c r="H1488" s="23">
        <v>25000</v>
      </c>
      <c r="I1488" s="2">
        <v>4</v>
      </c>
      <c r="J1488" s="31">
        <v>0</v>
      </c>
      <c r="K1488" s="7">
        <f t="shared" si="92"/>
        <v>100000</v>
      </c>
      <c r="L1488" s="7">
        <f t="shared" si="93"/>
        <v>0</v>
      </c>
      <c r="M1488" s="7">
        <f t="shared" si="94"/>
        <v>100000</v>
      </c>
      <c r="N1488" s="23">
        <v>59000</v>
      </c>
      <c r="O1488" s="7">
        <f t="shared" si="95"/>
        <v>159000</v>
      </c>
      <c r="P1488" s="2" t="s">
        <v>22</v>
      </c>
      <c r="Q1488" t="str">
        <f>_xlfn.XLOOKUP(B1488,Status!$A$2:$A$1867,Status!$B$2:$B$1867)</f>
        <v>Completed</v>
      </c>
      <c r="R1488" s="2" t="s">
        <v>82</v>
      </c>
      <c r="S1488" s="8">
        <v>4</v>
      </c>
      <c r="T1488" s="2" t="s">
        <v>37</v>
      </c>
      <c r="U1488" s="31" t="str" cm="1">
        <f t="array" ref="U1488">_xlfn.IFS(L1488&lt;=5000,$Z$3,AND(L1488&gt;5000,L1488&lt;=15000),$Z$4,AND(L1488&gt;15000,L1488&lt;=30000),$Z$5,AND(L1488&gt;30000,L1488&lt;=50000),$Z$6,L1488&gt;50000,$Z$7)</f>
        <v>Sangat Rendah</v>
      </c>
      <c r="V1488" s="2"/>
    </row>
    <row r="1489" spans="1:22" ht="15.75" customHeight="1" x14ac:dyDescent="0.25">
      <c r="A1489" s="26"/>
      <c r="B1489" s="2" t="s">
        <v>1863</v>
      </c>
      <c r="C1489" s="32">
        <v>45826.623067129629</v>
      </c>
      <c r="D1489" s="53">
        <f>YEAR(Table1[[#This Row],[Order Date]])</f>
        <v>2025</v>
      </c>
      <c r="E1489" s="2" t="s">
        <v>207</v>
      </c>
      <c r="F1489" s="2" t="s">
        <v>96</v>
      </c>
      <c r="G1489" s="2" t="s">
        <v>110</v>
      </c>
      <c r="H1489" s="23">
        <v>6000</v>
      </c>
      <c r="I1489" s="2">
        <v>5</v>
      </c>
      <c r="J1489" s="31">
        <v>0</v>
      </c>
      <c r="K1489" s="7">
        <f t="shared" si="92"/>
        <v>30000</v>
      </c>
      <c r="L1489" s="7">
        <f t="shared" si="93"/>
        <v>0</v>
      </c>
      <c r="M1489" s="7">
        <f t="shared" si="94"/>
        <v>30000</v>
      </c>
      <c r="N1489" s="23">
        <v>49000</v>
      </c>
      <c r="O1489" s="7">
        <f t="shared" si="95"/>
        <v>79000</v>
      </c>
      <c r="P1489" s="2" t="s">
        <v>63</v>
      </c>
      <c r="Q1489" t="str">
        <f>_xlfn.XLOOKUP(B1489,Status!$A$2:$A$1867,Status!$B$2:$B$1867)</f>
        <v>Completed</v>
      </c>
      <c r="R1489" s="2" t="s">
        <v>36</v>
      </c>
      <c r="S1489" s="8">
        <v>1</v>
      </c>
      <c r="T1489" s="2" t="s">
        <v>24</v>
      </c>
      <c r="U1489" s="31" t="str" cm="1">
        <f t="array" ref="U1489">_xlfn.IFS(L1489&lt;=5000,$Z$3,AND(L1489&gt;5000,L1489&lt;=15000),$Z$4,AND(L1489&gt;15000,L1489&lt;=30000),$Z$5,AND(L1489&gt;30000,L1489&lt;=50000),$Z$6,L1489&gt;50000,$Z$7)</f>
        <v>Sangat Rendah</v>
      </c>
      <c r="V1489" s="2"/>
    </row>
    <row r="1490" spans="1:22" ht="15.75" customHeight="1" x14ac:dyDescent="0.25">
      <c r="A1490" s="26"/>
      <c r="B1490" s="2" t="s">
        <v>1864</v>
      </c>
      <c r="C1490" s="32">
        <v>45826.692928240736</v>
      </c>
      <c r="D1490" s="53">
        <f>YEAR(Table1[[#This Row],[Order Date]])</f>
        <v>2025</v>
      </c>
      <c r="E1490" s="2" t="s">
        <v>1035</v>
      </c>
      <c r="F1490" s="2" t="s">
        <v>66</v>
      </c>
      <c r="G1490" s="2" t="s">
        <v>58</v>
      </c>
      <c r="H1490" s="23">
        <v>16000</v>
      </c>
      <c r="I1490" s="2">
        <v>5</v>
      </c>
      <c r="J1490" s="31">
        <v>20</v>
      </c>
      <c r="K1490" s="7">
        <f t="shared" si="92"/>
        <v>80000</v>
      </c>
      <c r="L1490" s="7">
        <f t="shared" si="93"/>
        <v>16000</v>
      </c>
      <c r="M1490" s="7">
        <f t="shared" si="94"/>
        <v>64000</v>
      </c>
      <c r="N1490" s="23">
        <v>59000</v>
      </c>
      <c r="O1490" s="7">
        <f t="shared" si="95"/>
        <v>123000</v>
      </c>
      <c r="P1490" s="2" t="s">
        <v>63</v>
      </c>
      <c r="Q1490" t="str">
        <f>_xlfn.XLOOKUP(B1490,Status!$A$2:$A$1867,Status!$B$2:$B$1867)</f>
        <v>Completed</v>
      </c>
      <c r="R1490" s="2" t="s">
        <v>30</v>
      </c>
      <c r="S1490" s="8">
        <v>3</v>
      </c>
      <c r="T1490" s="2" t="s">
        <v>24</v>
      </c>
      <c r="U1490" s="31" t="str" cm="1">
        <f t="array" ref="U1490">_xlfn.IFS(L1490&lt;=5000,$Z$3,AND(L1490&gt;5000,L1490&lt;=15000),$Z$4,AND(L1490&gt;15000,L1490&lt;=30000),$Z$5,AND(L1490&gt;30000,L1490&lt;=50000),$Z$6,L1490&gt;50000,$Z$7)</f>
        <v>Normal</v>
      </c>
      <c r="V1490" s="2"/>
    </row>
    <row r="1491" spans="1:22" ht="15.75" customHeight="1" x14ac:dyDescent="0.25">
      <c r="A1491" s="26"/>
      <c r="B1491" s="2" t="s">
        <v>1865</v>
      </c>
      <c r="C1491" s="32">
        <v>45826.736527777779</v>
      </c>
      <c r="D1491" s="53">
        <f>YEAR(Table1[[#This Row],[Order Date]])</f>
        <v>2025</v>
      </c>
      <c r="E1491" s="2" t="s">
        <v>1063</v>
      </c>
      <c r="F1491" s="2" t="s">
        <v>96</v>
      </c>
      <c r="G1491" s="2" t="s">
        <v>54</v>
      </c>
      <c r="H1491" s="23">
        <v>16000</v>
      </c>
      <c r="I1491" s="2">
        <v>5</v>
      </c>
      <c r="J1491" s="31">
        <v>20</v>
      </c>
      <c r="K1491" s="7">
        <f t="shared" si="92"/>
        <v>80000</v>
      </c>
      <c r="L1491" s="7">
        <f t="shared" si="93"/>
        <v>16000</v>
      </c>
      <c r="M1491" s="7">
        <f t="shared" si="94"/>
        <v>64000</v>
      </c>
      <c r="N1491" s="23">
        <v>49000</v>
      </c>
      <c r="O1491" s="7">
        <f t="shared" si="95"/>
        <v>113000</v>
      </c>
      <c r="P1491" s="2" t="s">
        <v>63</v>
      </c>
      <c r="Q1491" t="str">
        <f>_xlfn.XLOOKUP(B1491,Status!$A$2:$A$1867,Status!$B$2:$B$1867)</f>
        <v>Completed</v>
      </c>
      <c r="R1491" s="2" t="s">
        <v>30</v>
      </c>
      <c r="S1491" s="8">
        <v>3</v>
      </c>
      <c r="T1491" s="2" t="s">
        <v>24</v>
      </c>
      <c r="U1491" s="31" t="str" cm="1">
        <f t="array" ref="U1491">_xlfn.IFS(L1491&lt;=5000,$Z$3,AND(L1491&gt;5000,L1491&lt;=15000),$Z$4,AND(L1491&gt;15000,L1491&lt;=30000),$Z$5,AND(L1491&gt;30000,L1491&lt;=50000),$Z$6,L1491&gt;50000,$Z$7)</f>
        <v>Normal</v>
      </c>
      <c r="V1491" s="2"/>
    </row>
    <row r="1492" spans="1:22" ht="15.75" customHeight="1" x14ac:dyDescent="0.25">
      <c r="A1492" s="26"/>
      <c r="B1492" s="2" t="s">
        <v>1866</v>
      </c>
      <c r="C1492" s="32">
        <v>45826.87427083333</v>
      </c>
      <c r="D1492" s="53">
        <f>YEAR(Table1[[#This Row],[Order Date]])</f>
        <v>2025</v>
      </c>
      <c r="E1492" s="2" t="s">
        <v>377</v>
      </c>
      <c r="F1492" s="2" t="s">
        <v>182</v>
      </c>
      <c r="G1492" s="2" t="s">
        <v>54</v>
      </c>
      <c r="H1492" s="23">
        <v>16000</v>
      </c>
      <c r="I1492" s="2">
        <v>4</v>
      </c>
      <c r="J1492" s="31">
        <v>0</v>
      </c>
      <c r="K1492" s="7">
        <f t="shared" si="92"/>
        <v>64000</v>
      </c>
      <c r="L1492" s="7">
        <f t="shared" si="93"/>
        <v>0</v>
      </c>
      <c r="M1492" s="7">
        <f t="shared" si="94"/>
        <v>64000</v>
      </c>
      <c r="N1492" s="23">
        <v>48000</v>
      </c>
      <c r="O1492" s="7">
        <f t="shared" si="95"/>
        <v>112000</v>
      </c>
      <c r="P1492" s="2" t="s">
        <v>35</v>
      </c>
      <c r="Q1492" t="str">
        <f>_xlfn.XLOOKUP(B1492,Status!$A$2:$A$1867,Status!$B$2:$B$1867)</f>
        <v>Completed</v>
      </c>
      <c r="R1492" s="2" t="s">
        <v>36</v>
      </c>
      <c r="S1492" s="8">
        <v>4</v>
      </c>
      <c r="T1492" s="2" t="s">
        <v>24</v>
      </c>
      <c r="U1492" s="31" t="str" cm="1">
        <f t="array" ref="U1492">_xlfn.IFS(L1492&lt;=5000,$Z$3,AND(L1492&gt;5000,L1492&lt;=15000),$Z$4,AND(L1492&gt;15000,L1492&lt;=30000),$Z$5,AND(L1492&gt;30000,L1492&lt;=50000),$Z$6,L1492&gt;50000,$Z$7)</f>
        <v>Sangat Rendah</v>
      </c>
      <c r="V1492" s="2"/>
    </row>
    <row r="1493" spans="1:22" ht="15.75" customHeight="1" x14ac:dyDescent="0.25">
      <c r="A1493" s="26"/>
      <c r="B1493" s="2" t="s">
        <v>1867</v>
      </c>
      <c r="C1493" s="32">
        <v>45827.169039351851</v>
      </c>
      <c r="D1493" s="53">
        <f>YEAR(Table1[[#This Row],[Order Date]])</f>
        <v>2025</v>
      </c>
      <c r="E1493" s="2" t="s">
        <v>207</v>
      </c>
      <c r="F1493" s="2" t="s">
        <v>96</v>
      </c>
      <c r="G1493" s="2" t="s">
        <v>88</v>
      </c>
      <c r="H1493" s="23">
        <v>14000</v>
      </c>
      <c r="I1493" s="2">
        <v>5</v>
      </c>
      <c r="J1493" s="31">
        <v>20</v>
      </c>
      <c r="K1493" s="7">
        <f t="shared" si="92"/>
        <v>70000</v>
      </c>
      <c r="L1493" s="7">
        <f t="shared" si="93"/>
        <v>14000</v>
      </c>
      <c r="M1493" s="7">
        <f t="shared" si="94"/>
        <v>56000</v>
      </c>
      <c r="N1493" s="23">
        <v>49000</v>
      </c>
      <c r="O1493" s="7">
        <f t="shared" si="95"/>
        <v>105000</v>
      </c>
      <c r="P1493" s="2" t="s">
        <v>35</v>
      </c>
      <c r="Q1493" t="str">
        <f>_xlfn.XLOOKUP(B1493,Status!$A$2:$A$1867,Status!$B$2:$B$1867)</f>
        <v>Completed</v>
      </c>
      <c r="R1493" s="2" t="s">
        <v>46</v>
      </c>
      <c r="S1493" s="8">
        <v>2</v>
      </c>
      <c r="T1493" s="2" t="s">
        <v>24</v>
      </c>
      <c r="U1493" s="31" t="str" cm="1">
        <f t="array" ref="U1493">_xlfn.IFS(L1493&lt;=5000,$Z$3,AND(L1493&gt;5000,L1493&lt;=15000),$Z$4,AND(L1493&gt;15000,L1493&lt;=30000),$Z$5,AND(L1493&gt;30000,L1493&lt;=50000),$Z$6,L1493&gt;50000,$Z$7)</f>
        <v>Rendah</v>
      </c>
      <c r="V1493" s="2"/>
    </row>
    <row r="1494" spans="1:22" ht="15.75" customHeight="1" x14ac:dyDescent="0.25">
      <c r="A1494" s="26"/>
      <c r="B1494" s="2" t="s">
        <v>1867</v>
      </c>
      <c r="C1494" s="32">
        <v>45827.169039351851</v>
      </c>
      <c r="D1494" s="53">
        <f>YEAR(Table1[[#This Row],[Order Date]])</f>
        <v>2025</v>
      </c>
      <c r="E1494" s="2" t="s">
        <v>207</v>
      </c>
      <c r="F1494" s="2" t="s">
        <v>96</v>
      </c>
      <c r="G1494" s="2" t="s">
        <v>110</v>
      </c>
      <c r="H1494" s="23">
        <v>6000</v>
      </c>
      <c r="I1494" s="2">
        <v>4</v>
      </c>
      <c r="J1494" s="31">
        <v>5</v>
      </c>
      <c r="K1494" s="7">
        <f t="shared" si="92"/>
        <v>24000</v>
      </c>
      <c r="L1494" s="7">
        <f t="shared" si="93"/>
        <v>1200</v>
      </c>
      <c r="M1494" s="7">
        <f t="shared" si="94"/>
        <v>22800</v>
      </c>
      <c r="N1494" s="23">
        <v>0</v>
      </c>
      <c r="O1494" s="7">
        <f t="shared" si="95"/>
        <v>22800</v>
      </c>
      <c r="P1494" s="2" t="s">
        <v>35</v>
      </c>
      <c r="Q1494" t="str">
        <f>_xlfn.XLOOKUP(B1494,Status!$A$2:$A$1867,Status!$B$2:$B$1867)</f>
        <v>Completed</v>
      </c>
      <c r="R1494" s="2" t="s">
        <v>46</v>
      </c>
      <c r="S1494" s="8">
        <v>2</v>
      </c>
      <c r="T1494" s="2" t="s">
        <v>24</v>
      </c>
      <c r="U1494" s="31" t="str" cm="1">
        <f t="array" ref="U1494">_xlfn.IFS(L1494&lt;=5000,$Z$3,AND(L1494&gt;5000,L1494&lt;=15000),$Z$4,AND(L1494&gt;15000,L1494&lt;=30000),$Z$5,AND(L1494&gt;30000,L1494&lt;=50000),$Z$6,L1494&gt;50000,$Z$7)</f>
        <v>Sangat Rendah</v>
      </c>
      <c r="V1494" s="2"/>
    </row>
    <row r="1495" spans="1:22" ht="15.75" customHeight="1" x14ac:dyDescent="0.25">
      <c r="A1495" s="26"/>
      <c r="B1495" s="2" t="s">
        <v>1868</v>
      </c>
      <c r="C1495" s="32">
        <v>45827.70103009259</v>
      </c>
      <c r="D1495" s="53">
        <f>YEAR(Table1[[#This Row],[Order Date]])</f>
        <v>2025</v>
      </c>
      <c r="E1495" s="2" t="s">
        <v>601</v>
      </c>
      <c r="F1495" s="2" t="s">
        <v>119</v>
      </c>
      <c r="G1495" s="2" t="s">
        <v>38</v>
      </c>
      <c r="H1495" s="23">
        <v>28000</v>
      </c>
      <c r="I1495" s="2">
        <v>4</v>
      </c>
      <c r="J1495" s="31">
        <v>15</v>
      </c>
      <c r="K1495" s="7">
        <f t="shared" si="92"/>
        <v>112000</v>
      </c>
      <c r="L1495" s="7">
        <f t="shared" si="93"/>
        <v>16800</v>
      </c>
      <c r="M1495" s="7">
        <f t="shared" si="94"/>
        <v>95200</v>
      </c>
      <c r="N1495" s="23">
        <v>0</v>
      </c>
      <c r="O1495" s="7">
        <f t="shared" si="95"/>
        <v>95200</v>
      </c>
      <c r="P1495" s="2" t="s">
        <v>29</v>
      </c>
      <c r="Q1495" t="str">
        <f>_xlfn.XLOOKUP(B1495,Status!$A$2:$A$1867,Status!$B$2:$B$1867)</f>
        <v>Completed</v>
      </c>
      <c r="R1495" s="2" t="s">
        <v>36</v>
      </c>
      <c r="S1495" s="8">
        <v>3</v>
      </c>
      <c r="T1495" s="2" t="s">
        <v>24</v>
      </c>
      <c r="U1495" s="31" t="str" cm="1">
        <f t="array" ref="U1495">_xlfn.IFS(L1495&lt;=5000,$Z$3,AND(L1495&gt;5000,L1495&lt;=15000),$Z$4,AND(L1495&gt;15000,L1495&lt;=30000),$Z$5,AND(L1495&gt;30000,L1495&lt;=50000),$Z$6,L1495&gt;50000,$Z$7)</f>
        <v>Normal</v>
      </c>
      <c r="V1495" s="2"/>
    </row>
    <row r="1496" spans="1:22" ht="15.75" customHeight="1" x14ac:dyDescent="0.25">
      <c r="A1496" s="26"/>
      <c r="B1496" s="2" t="s">
        <v>1869</v>
      </c>
      <c r="C1496" s="32">
        <v>45828.014074074083</v>
      </c>
      <c r="D1496" s="53">
        <f>YEAR(Table1[[#This Row],[Order Date]])</f>
        <v>2025</v>
      </c>
      <c r="E1496" s="2" t="s">
        <v>192</v>
      </c>
      <c r="F1496" s="2" t="s">
        <v>107</v>
      </c>
      <c r="G1496" s="2" t="s">
        <v>34</v>
      </c>
      <c r="H1496" s="23">
        <v>16000</v>
      </c>
      <c r="I1496" s="2">
        <v>1</v>
      </c>
      <c r="J1496" s="31">
        <v>15</v>
      </c>
      <c r="K1496" s="7">
        <f t="shared" si="92"/>
        <v>16000</v>
      </c>
      <c r="L1496" s="7">
        <f t="shared" si="93"/>
        <v>2400</v>
      </c>
      <c r="M1496" s="7">
        <f t="shared" si="94"/>
        <v>13600</v>
      </c>
      <c r="N1496" s="23">
        <v>97000</v>
      </c>
      <c r="O1496" s="7">
        <f t="shared" si="95"/>
        <v>110600</v>
      </c>
      <c r="P1496" s="2" t="s">
        <v>63</v>
      </c>
      <c r="Q1496" t="str">
        <f>_xlfn.XLOOKUP(B1496,Status!$A$2:$A$1867,Status!$B$2:$B$1867)</f>
        <v>Completed</v>
      </c>
      <c r="R1496" s="2" t="s">
        <v>30</v>
      </c>
      <c r="S1496" s="8">
        <v>3</v>
      </c>
      <c r="T1496" s="2" t="s">
        <v>24</v>
      </c>
      <c r="U1496" s="31" t="str" cm="1">
        <f t="array" ref="U1496">_xlfn.IFS(L1496&lt;=5000,$Z$3,AND(L1496&gt;5000,L1496&lt;=15000),$Z$4,AND(L1496&gt;15000,L1496&lt;=30000),$Z$5,AND(L1496&gt;30000,L1496&lt;=50000),$Z$6,L1496&gt;50000,$Z$7)</f>
        <v>Sangat Rendah</v>
      </c>
      <c r="V1496" s="2"/>
    </row>
    <row r="1497" spans="1:22" ht="15.75" customHeight="1" x14ac:dyDescent="0.25">
      <c r="A1497" s="26"/>
      <c r="B1497" s="2" t="s">
        <v>1870</v>
      </c>
      <c r="C1497" s="32">
        <v>45828.168564814812</v>
      </c>
      <c r="D1497" s="53">
        <f>YEAR(Table1[[#This Row],[Order Date]])</f>
        <v>2025</v>
      </c>
      <c r="E1497" s="2" t="s">
        <v>261</v>
      </c>
      <c r="F1497" s="2" t="s">
        <v>262</v>
      </c>
      <c r="G1497" s="2" t="s">
        <v>123</v>
      </c>
      <c r="H1497" s="23">
        <v>22000</v>
      </c>
      <c r="I1497" s="2">
        <v>5</v>
      </c>
      <c r="J1497" s="31">
        <v>0</v>
      </c>
      <c r="K1497" s="7">
        <f t="shared" si="92"/>
        <v>110000</v>
      </c>
      <c r="L1497" s="7">
        <f t="shared" si="93"/>
        <v>0</v>
      </c>
      <c r="M1497" s="7">
        <f t="shared" si="94"/>
        <v>110000</v>
      </c>
      <c r="N1497" s="23">
        <v>18000</v>
      </c>
      <c r="O1497" s="7">
        <f t="shared" si="95"/>
        <v>128000</v>
      </c>
      <c r="P1497" s="2" t="s">
        <v>29</v>
      </c>
      <c r="Q1497" t="str">
        <f>_xlfn.XLOOKUP(B1497,Status!$A$2:$A$1867,Status!$B$2:$B$1867)</f>
        <v>Completed</v>
      </c>
      <c r="R1497" s="2" t="s">
        <v>30</v>
      </c>
      <c r="S1497" s="8">
        <v>4</v>
      </c>
      <c r="T1497" s="2" t="s">
        <v>24</v>
      </c>
      <c r="U1497" s="31" t="str" cm="1">
        <f t="array" ref="U1497">_xlfn.IFS(L1497&lt;=5000,$Z$3,AND(L1497&gt;5000,L1497&lt;=15000),$Z$4,AND(L1497&gt;15000,L1497&lt;=30000),$Z$5,AND(L1497&gt;30000,L1497&lt;=50000),$Z$6,L1497&gt;50000,$Z$7)</f>
        <v>Sangat Rendah</v>
      </c>
      <c r="V1497" s="2"/>
    </row>
    <row r="1498" spans="1:22" ht="15.75" customHeight="1" x14ac:dyDescent="0.25">
      <c r="A1498" s="26"/>
      <c r="B1498" s="2" t="s">
        <v>1871</v>
      </c>
      <c r="C1498" s="32">
        <v>45828.297627314823</v>
      </c>
      <c r="D1498" s="53">
        <f>YEAR(Table1[[#This Row],[Order Date]])</f>
        <v>2025</v>
      </c>
      <c r="E1498" s="2" t="s">
        <v>112</v>
      </c>
      <c r="F1498" s="2" t="s">
        <v>113</v>
      </c>
      <c r="G1498" s="2" t="s">
        <v>38</v>
      </c>
      <c r="H1498" s="23">
        <v>28000</v>
      </c>
      <c r="I1498" s="2">
        <v>3</v>
      </c>
      <c r="J1498" s="31">
        <v>20</v>
      </c>
      <c r="K1498" s="7">
        <f t="shared" si="92"/>
        <v>84000</v>
      </c>
      <c r="L1498" s="7">
        <f t="shared" si="93"/>
        <v>16800</v>
      </c>
      <c r="M1498" s="7">
        <f t="shared" si="94"/>
        <v>67200</v>
      </c>
      <c r="N1498" s="23">
        <v>18000</v>
      </c>
      <c r="O1498" s="7">
        <f t="shared" si="95"/>
        <v>85200</v>
      </c>
      <c r="P1498" s="2" t="s">
        <v>35</v>
      </c>
      <c r="Q1498" t="str">
        <f>_xlfn.XLOOKUP(B1498,Status!$A$2:$A$1867,Status!$B$2:$B$1867)</f>
        <v>Returned</v>
      </c>
      <c r="R1498" s="2" t="s">
        <v>46</v>
      </c>
      <c r="S1498" s="8">
        <v>3</v>
      </c>
      <c r="T1498" s="2" t="s">
        <v>24</v>
      </c>
      <c r="U1498" s="31" t="str" cm="1">
        <f t="array" ref="U1498">_xlfn.IFS(L1498&lt;=5000,$Z$3,AND(L1498&gt;5000,L1498&lt;=15000),$Z$4,AND(L1498&gt;15000,L1498&lt;=30000),$Z$5,AND(L1498&gt;30000,L1498&lt;=50000),$Z$6,L1498&gt;50000,$Z$7)</f>
        <v>Normal</v>
      </c>
      <c r="V1498" s="2"/>
    </row>
    <row r="1499" spans="1:22" ht="15.75" customHeight="1" x14ac:dyDescent="0.25">
      <c r="A1499" s="26"/>
      <c r="B1499" s="2" t="s">
        <v>1872</v>
      </c>
      <c r="C1499" s="32">
        <v>45828.358946759261</v>
      </c>
      <c r="D1499" s="53">
        <f>YEAR(Table1[[#This Row],[Order Date]])</f>
        <v>2025</v>
      </c>
      <c r="E1499" s="2" t="s">
        <v>497</v>
      </c>
      <c r="F1499" s="2" t="s">
        <v>173</v>
      </c>
      <c r="G1499" s="2" t="s">
        <v>136</v>
      </c>
      <c r="H1499" s="23">
        <v>12000</v>
      </c>
      <c r="I1499" s="2">
        <v>4</v>
      </c>
      <c r="J1499" s="31">
        <v>15</v>
      </c>
      <c r="K1499" s="7">
        <f t="shared" si="92"/>
        <v>48000</v>
      </c>
      <c r="L1499" s="7">
        <f t="shared" si="93"/>
        <v>7200</v>
      </c>
      <c r="M1499" s="7">
        <f t="shared" si="94"/>
        <v>40800</v>
      </c>
      <c r="N1499" s="23">
        <v>49000</v>
      </c>
      <c r="O1499" s="7">
        <f t="shared" si="95"/>
        <v>89800</v>
      </c>
      <c r="P1499" s="2" t="s">
        <v>29</v>
      </c>
      <c r="Q1499" t="str">
        <f>_xlfn.XLOOKUP(B1499,Status!$A$2:$A$1867,Status!$B$2:$B$1867)</f>
        <v>Completed</v>
      </c>
      <c r="R1499" s="2" t="s">
        <v>23</v>
      </c>
      <c r="S1499" s="8">
        <v>4</v>
      </c>
      <c r="T1499" s="2" t="s">
        <v>37</v>
      </c>
      <c r="U1499" s="31" t="str" cm="1">
        <f t="array" ref="U1499">_xlfn.IFS(L1499&lt;=5000,$Z$3,AND(L1499&gt;5000,L1499&lt;=15000),$Z$4,AND(L1499&gt;15000,L1499&lt;=30000),$Z$5,AND(L1499&gt;30000,L1499&lt;=50000),$Z$6,L1499&gt;50000,$Z$7)</f>
        <v>Rendah</v>
      </c>
      <c r="V1499" s="2"/>
    </row>
    <row r="1500" spans="1:22" ht="15.75" customHeight="1" x14ac:dyDescent="0.25">
      <c r="A1500" s="26"/>
      <c r="B1500" s="2" t="s">
        <v>1873</v>
      </c>
      <c r="C1500" s="32">
        <v>45828.4608912037</v>
      </c>
      <c r="D1500" s="53">
        <f>YEAR(Table1[[#This Row],[Order Date]])</f>
        <v>2025</v>
      </c>
      <c r="E1500" s="2" t="s">
        <v>860</v>
      </c>
      <c r="F1500" s="2" t="s">
        <v>44</v>
      </c>
      <c r="G1500" s="2" t="s">
        <v>88</v>
      </c>
      <c r="H1500" s="23">
        <v>14000</v>
      </c>
      <c r="I1500" s="2">
        <v>1</v>
      </c>
      <c r="J1500" s="31">
        <v>15</v>
      </c>
      <c r="K1500" s="7">
        <f t="shared" si="92"/>
        <v>14000</v>
      </c>
      <c r="L1500" s="7">
        <f t="shared" si="93"/>
        <v>2100</v>
      </c>
      <c r="M1500" s="7">
        <f t="shared" si="94"/>
        <v>11900</v>
      </c>
      <c r="N1500" s="23">
        <v>93000</v>
      </c>
      <c r="O1500" s="7">
        <f t="shared" si="95"/>
        <v>104900</v>
      </c>
      <c r="P1500" s="2" t="s">
        <v>22</v>
      </c>
      <c r="Q1500" t="str">
        <f>_xlfn.XLOOKUP(B1500,Status!$A$2:$A$1867,Status!$B$2:$B$1867)</f>
        <v>Completed</v>
      </c>
      <c r="R1500" s="2" t="s">
        <v>36</v>
      </c>
      <c r="S1500" s="8">
        <v>5</v>
      </c>
      <c r="T1500" s="2" t="s">
        <v>37</v>
      </c>
      <c r="U1500" s="31" t="str" cm="1">
        <f t="array" ref="U1500">_xlfn.IFS(L1500&lt;=5000,$Z$3,AND(L1500&gt;5000,L1500&lt;=15000),$Z$4,AND(L1500&gt;15000,L1500&lt;=30000),$Z$5,AND(L1500&gt;30000,L1500&lt;=50000),$Z$6,L1500&gt;50000,$Z$7)</f>
        <v>Sangat Rendah</v>
      </c>
      <c r="V1500" s="2"/>
    </row>
    <row r="1501" spans="1:22" ht="15.75" customHeight="1" x14ac:dyDescent="0.25">
      <c r="A1501" s="26"/>
      <c r="B1501" s="2" t="s">
        <v>1874</v>
      </c>
      <c r="C1501" s="32">
        <v>45828.640914351847</v>
      </c>
      <c r="D1501" s="53">
        <f>YEAR(Table1[[#This Row],[Order Date]])</f>
        <v>2025</v>
      </c>
      <c r="E1501" s="2" t="s">
        <v>130</v>
      </c>
      <c r="F1501" s="2" t="s">
        <v>131</v>
      </c>
      <c r="G1501" s="2" t="s">
        <v>93</v>
      </c>
      <c r="H1501" s="23">
        <v>25000</v>
      </c>
      <c r="I1501" s="2">
        <v>2</v>
      </c>
      <c r="J1501" s="31">
        <v>5</v>
      </c>
      <c r="K1501" s="7">
        <f t="shared" si="92"/>
        <v>50000</v>
      </c>
      <c r="L1501" s="7">
        <f t="shared" si="93"/>
        <v>2500</v>
      </c>
      <c r="M1501" s="7">
        <f t="shared" si="94"/>
        <v>47500</v>
      </c>
      <c r="N1501" s="23">
        <v>59000</v>
      </c>
      <c r="O1501" s="7">
        <f t="shared" si="95"/>
        <v>106500</v>
      </c>
      <c r="P1501" s="2" t="s">
        <v>29</v>
      </c>
      <c r="Q1501" t="str">
        <f>_xlfn.XLOOKUP(B1501,Status!$A$2:$A$1867,Status!$B$2:$B$1867)</f>
        <v>Cancelled</v>
      </c>
      <c r="R1501" s="2" t="s">
        <v>36</v>
      </c>
      <c r="S1501" s="8">
        <v>2</v>
      </c>
      <c r="T1501" s="2" t="s">
        <v>24</v>
      </c>
      <c r="U1501" s="31" t="str" cm="1">
        <f t="array" ref="U1501">_xlfn.IFS(L1501&lt;=5000,$Z$3,AND(L1501&gt;5000,L1501&lt;=15000),$Z$4,AND(L1501&gt;15000,L1501&lt;=30000),$Z$5,AND(L1501&gt;30000,L1501&lt;=50000),$Z$6,L1501&gt;50000,$Z$7)</f>
        <v>Sangat Rendah</v>
      </c>
      <c r="V1501" s="2"/>
    </row>
    <row r="1502" spans="1:22" ht="15.75" customHeight="1" x14ac:dyDescent="0.25">
      <c r="A1502" s="26"/>
      <c r="B1502" s="2" t="s">
        <v>1875</v>
      </c>
      <c r="C1502" s="32">
        <v>45828.7734837963</v>
      </c>
      <c r="D1502" s="53">
        <f>YEAR(Table1[[#This Row],[Order Date]])</f>
        <v>2025</v>
      </c>
      <c r="E1502" s="2" t="s">
        <v>321</v>
      </c>
      <c r="F1502" s="2" t="s">
        <v>80</v>
      </c>
      <c r="G1502" s="2" t="s">
        <v>144</v>
      </c>
      <c r="H1502" s="23">
        <v>18000</v>
      </c>
      <c r="I1502" s="2">
        <v>2</v>
      </c>
      <c r="J1502" s="31">
        <v>5</v>
      </c>
      <c r="K1502" s="7">
        <f t="shared" si="92"/>
        <v>36000</v>
      </c>
      <c r="L1502" s="7">
        <f t="shared" si="93"/>
        <v>1800</v>
      </c>
      <c r="M1502" s="7">
        <f t="shared" si="94"/>
        <v>34200</v>
      </c>
      <c r="N1502" s="23">
        <v>74000</v>
      </c>
      <c r="O1502" s="7">
        <f t="shared" si="95"/>
        <v>108200</v>
      </c>
      <c r="P1502" s="2" t="s">
        <v>63</v>
      </c>
      <c r="Q1502" t="str">
        <f>_xlfn.XLOOKUP(B1502,Status!$A$2:$A$1867,Status!$B$2:$B$1867)</f>
        <v>Completed</v>
      </c>
      <c r="R1502" s="2" t="s">
        <v>23</v>
      </c>
      <c r="S1502" s="8">
        <v>3</v>
      </c>
      <c r="T1502" s="2" t="s">
        <v>24</v>
      </c>
      <c r="U1502" s="31" t="str" cm="1">
        <f t="array" ref="U1502">_xlfn.IFS(L1502&lt;=5000,$Z$3,AND(L1502&gt;5000,L1502&lt;=15000),$Z$4,AND(L1502&gt;15000,L1502&lt;=30000),$Z$5,AND(L1502&gt;30000,L1502&lt;=50000),$Z$6,L1502&gt;50000,$Z$7)</f>
        <v>Sangat Rendah</v>
      </c>
      <c r="V1502" s="2"/>
    </row>
    <row r="1503" spans="1:22" ht="15.75" customHeight="1" x14ac:dyDescent="0.25">
      <c r="A1503" s="26"/>
      <c r="B1503" s="2" t="s">
        <v>1876</v>
      </c>
      <c r="C1503" s="32">
        <v>45829.102546296293</v>
      </c>
      <c r="D1503" s="53">
        <f>YEAR(Table1[[#This Row],[Order Date]])</f>
        <v>2025</v>
      </c>
      <c r="E1503" s="2" t="s">
        <v>681</v>
      </c>
      <c r="F1503" s="2" t="s">
        <v>262</v>
      </c>
      <c r="G1503" s="2" t="s">
        <v>21</v>
      </c>
      <c r="H1503" s="23">
        <v>45000</v>
      </c>
      <c r="I1503" s="2">
        <v>4</v>
      </c>
      <c r="J1503" s="31">
        <v>20</v>
      </c>
      <c r="K1503" s="7">
        <f t="shared" si="92"/>
        <v>180000</v>
      </c>
      <c r="L1503" s="7">
        <f t="shared" si="93"/>
        <v>36000</v>
      </c>
      <c r="M1503" s="7">
        <f t="shared" si="94"/>
        <v>144000</v>
      </c>
      <c r="N1503" s="23">
        <v>18000</v>
      </c>
      <c r="O1503" s="7">
        <f t="shared" si="95"/>
        <v>162000</v>
      </c>
      <c r="P1503" s="2" t="s">
        <v>35</v>
      </c>
      <c r="Q1503" t="str">
        <f>_xlfn.XLOOKUP(B1503,Status!$A$2:$A$1867,Status!$B$2:$B$1867)</f>
        <v>Completed</v>
      </c>
      <c r="R1503" s="2" t="s">
        <v>23</v>
      </c>
      <c r="S1503" s="8">
        <v>1</v>
      </c>
      <c r="T1503" s="2" t="s">
        <v>24</v>
      </c>
      <c r="U1503" s="31" t="str" cm="1">
        <f t="array" ref="U1503">_xlfn.IFS(L1503&lt;=5000,$Z$3,AND(L1503&gt;5000,L1503&lt;=15000),$Z$4,AND(L1503&gt;15000,L1503&lt;=30000),$Z$5,AND(L1503&gt;30000,L1503&lt;=50000),$Z$6,L1503&gt;50000,$Z$7)</f>
        <v>Tinggi</v>
      </c>
      <c r="V1503" s="2"/>
    </row>
    <row r="1504" spans="1:22" ht="15.75" customHeight="1" x14ac:dyDescent="0.25">
      <c r="A1504" s="26"/>
      <c r="B1504" s="2" t="s">
        <v>1877</v>
      </c>
      <c r="C1504" s="32">
        <v>45829.202673611107</v>
      </c>
      <c r="D1504" s="53">
        <f>YEAR(Table1[[#This Row],[Order Date]])</f>
        <v>2025</v>
      </c>
      <c r="E1504" s="2" t="s">
        <v>593</v>
      </c>
      <c r="F1504" s="2" t="s">
        <v>195</v>
      </c>
      <c r="G1504" s="2" t="s">
        <v>41</v>
      </c>
      <c r="H1504" s="23">
        <v>4000</v>
      </c>
      <c r="I1504" s="2">
        <v>3</v>
      </c>
      <c r="J1504" s="31">
        <v>5</v>
      </c>
      <c r="K1504" s="7">
        <f t="shared" si="92"/>
        <v>12000</v>
      </c>
      <c r="L1504" s="7">
        <f t="shared" si="93"/>
        <v>600</v>
      </c>
      <c r="M1504" s="7">
        <f t="shared" si="94"/>
        <v>11400</v>
      </c>
      <c r="N1504" s="23">
        <v>87000</v>
      </c>
      <c r="O1504" s="7">
        <f t="shared" si="95"/>
        <v>98400</v>
      </c>
      <c r="P1504" s="2" t="s">
        <v>22</v>
      </c>
      <c r="Q1504" t="str">
        <f>_xlfn.XLOOKUP(B1504,Status!$A$2:$A$1867,Status!$B$2:$B$1867)</f>
        <v>Completed</v>
      </c>
      <c r="R1504" s="2" t="s">
        <v>30</v>
      </c>
      <c r="S1504" s="8">
        <v>2</v>
      </c>
      <c r="T1504" s="2" t="s">
        <v>24</v>
      </c>
      <c r="U1504" s="31" t="str" cm="1">
        <f t="array" ref="U1504">_xlfn.IFS(L1504&lt;=5000,$Z$3,AND(L1504&gt;5000,L1504&lt;=15000),$Z$4,AND(L1504&gt;15000,L1504&lt;=30000),$Z$5,AND(L1504&gt;30000,L1504&lt;=50000),$Z$6,L1504&gt;50000,$Z$7)</f>
        <v>Sangat Rendah</v>
      </c>
      <c r="V1504" s="2"/>
    </row>
    <row r="1505" spans="1:22" ht="15.75" customHeight="1" x14ac:dyDescent="0.25">
      <c r="A1505" s="26"/>
      <c r="B1505" s="2" t="s">
        <v>1878</v>
      </c>
      <c r="C1505" s="32">
        <v>45829.474479166667</v>
      </c>
      <c r="D1505" s="53">
        <f>YEAR(Table1[[#This Row],[Order Date]])</f>
        <v>2025</v>
      </c>
      <c r="E1505" s="2" t="s">
        <v>593</v>
      </c>
      <c r="F1505" s="2" t="s">
        <v>195</v>
      </c>
      <c r="G1505" s="2" t="s">
        <v>41</v>
      </c>
      <c r="H1505" s="23">
        <v>4000</v>
      </c>
      <c r="I1505" s="2">
        <v>2</v>
      </c>
      <c r="J1505" s="31">
        <v>15</v>
      </c>
      <c r="K1505" s="7">
        <f t="shared" si="92"/>
        <v>8000</v>
      </c>
      <c r="L1505" s="7">
        <f t="shared" si="93"/>
        <v>1200</v>
      </c>
      <c r="M1505" s="7">
        <f t="shared" si="94"/>
        <v>6800</v>
      </c>
      <c r="N1505" s="23">
        <v>87000</v>
      </c>
      <c r="O1505" s="7">
        <f t="shared" si="95"/>
        <v>93800</v>
      </c>
      <c r="P1505" s="2" t="s">
        <v>63</v>
      </c>
      <c r="Q1505" t="str">
        <f>_xlfn.XLOOKUP(B1505,Status!$A$2:$A$1867,Status!$B$2:$B$1867)</f>
        <v>Completed</v>
      </c>
      <c r="R1505" s="2" t="s">
        <v>23</v>
      </c>
      <c r="S1505" s="8">
        <v>3</v>
      </c>
      <c r="T1505" s="2" t="s">
        <v>24</v>
      </c>
      <c r="U1505" s="31" t="str" cm="1">
        <f t="array" ref="U1505">_xlfn.IFS(L1505&lt;=5000,$Z$3,AND(L1505&gt;5000,L1505&lt;=15000),$Z$4,AND(L1505&gt;15000,L1505&lt;=30000),$Z$5,AND(L1505&gt;30000,L1505&lt;=50000),$Z$6,L1505&gt;50000,$Z$7)</f>
        <v>Sangat Rendah</v>
      </c>
      <c r="V1505" s="2"/>
    </row>
    <row r="1506" spans="1:22" ht="15.75" customHeight="1" x14ac:dyDescent="0.25">
      <c r="A1506" s="26"/>
      <c r="B1506" s="2" t="s">
        <v>1879</v>
      </c>
      <c r="C1506" s="32">
        <v>45829.580046296287</v>
      </c>
      <c r="D1506" s="53">
        <f>YEAR(Table1[[#This Row],[Order Date]])</f>
        <v>2025</v>
      </c>
      <c r="E1506" s="2" t="s">
        <v>1436</v>
      </c>
      <c r="F1506" s="2" t="s">
        <v>119</v>
      </c>
      <c r="G1506" s="2" t="s">
        <v>85</v>
      </c>
      <c r="H1506" s="23">
        <v>35000</v>
      </c>
      <c r="I1506" s="2">
        <v>1</v>
      </c>
      <c r="J1506" s="31">
        <v>0</v>
      </c>
      <c r="K1506" s="7">
        <f t="shared" si="92"/>
        <v>35000</v>
      </c>
      <c r="L1506" s="7">
        <f t="shared" si="93"/>
        <v>0</v>
      </c>
      <c r="M1506" s="7">
        <f t="shared" si="94"/>
        <v>35000</v>
      </c>
      <c r="N1506" s="23">
        <v>0</v>
      </c>
      <c r="O1506" s="7">
        <f t="shared" si="95"/>
        <v>35000</v>
      </c>
      <c r="P1506" s="2" t="s">
        <v>29</v>
      </c>
      <c r="Q1506" t="str">
        <f>_xlfn.XLOOKUP(B1506,Status!$A$2:$A$1867,Status!$B$2:$B$1867)</f>
        <v>Completed</v>
      </c>
      <c r="R1506" s="2" t="s">
        <v>36</v>
      </c>
      <c r="S1506" s="8">
        <v>2</v>
      </c>
      <c r="T1506" s="2" t="s">
        <v>24</v>
      </c>
      <c r="U1506" s="31" t="str" cm="1">
        <f t="array" ref="U1506">_xlfn.IFS(L1506&lt;=5000,$Z$3,AND(L1506&gt;5000,L1506&lt;=15000),$Z$4,AND(L1506&gt;15000,L1506&lt;=30000),$Z$5,AND(L1506&gt;30000,L1506&lt;=50000),$Z$6,L1506&gt;50000,$Z$7)</f>
        <v>Sangat Rendah</v>
      </c>
      <c r="V1506" s="2"/>
    </row>
    <row r="1507" spans="1:22" ht="15.75" customHeight="1" x14ac:dyDescent="0.25">
      <c r="A1507" s="26"/>
      <c r="B1507" s="2" t="s">
        <v>1880</v>
      </c>
      <c r="C1507" s="32">
        <v>45829.607395833344</v>
      </c>
      <c r="D1507" s="53">
        <f>YEAR(Table1[[#This Row],[Order Date]])</f>
        <v>2025</v>
      </c>
      <c r="E1507" s="2" t="s">
        <v>473</v>
      </c>
      <c r="F1507" s="2" t="s">
        <v>122</v>
      </c>
      <c r="G1507" s="2" t="s">
        <v>71</v>
      </c>
      <c r="H1507" s="23">
        <v>40000</v>
      </c>
      <c r="I1507" s="2">
        <v>1</v>
      </c>
      <c r="J1507" s="31">
        <v>0</v>
      </c>
      <c r="K1507" s="7">
        <f t="shared" si="92"/>
        <v>40000</v>
      </c>
      <c r="L1507" s="7">
        <f t="shared" si="93"/>
        <v>0</v>
      </c>
      <c r="M1507" s="7">
        <f t="shared" si="94"/>
        <v>40000</v>
      </c>
      <c r="N1507" s="23">
        <v>78000</v>
      </c>
      <c r="O1507" s="7">
        <f t="shared" si="95"/>
        <v>118000</v>
      </c>
      <c r="P1507" s="2" t="s">
        <v>22</v>
      </c>
      <c r="Q1507" t="str">
        <f>_xlfn.XLOOKUP(B1507,Status!$A$2:$A$1867,Status!$B$2:$B$1867)</f>
        <v>Completed</v>
      </c>
      <c r="R1507" s="2" t="s">
        <v>30</v>
      </c>
      <c r="S1507" s="8">
        <v>1</v>
      </c>
      <c r="T1507" s="2" t="s">
        <v>24</v>
      </c>
      <c r="U1507" s="31" t="str" cm="1">
        <f t="array" ref="U1507">_xlfn.IFS(L1507&lt;=5000,$Z$3,AND(L1507&gt;5000,L1507&lt;=15000),$Z$4,AND(L1507&gt;15000,L1507&lt;=30000),$Z$5,AND(L1507&gt;30000,L1507&lt;=50000),$Z$6,L1507&gt;50000,$Z$7)</f>
        <v>Sangat Rendah</v>
      </c>
      <c r="V1507" s="2"/>
    </row>
    <row r="1508" spans="1:22" ht="15.75" customHeight="1" x14ac:dyDescent="0.25">
      <c r="A1508" s="26"/>
      <c r="B1508" s="2" t="s">
        <v>1881</v>
      </c>
      <c r="C1508" s="32">
        <v>45829.627430555563</v>
      </c>
      <c r="D1508" s="53">
        <f>YEAR(Table1[[#This Row],[Order Date]])</f>
        <v>2025</v>
      </c>
      <c r="E1508" s="2" t="s">
        <v>688</v>
      </c>
      <c r="F1508" s="2" t="s">
        <v>92</v>
      </c>
      <c r="G1508" s="2" t="s">
        <v>250</v>
      </c>
      <c r="H1508" s="23">
        <v>18000</v>
      </c>
      <c r="I1508" s="2">
        <v>2</v>
      </c>
      <c r="J1508" s="31">
        <v>15</v>
      </c>
      <c r="K1508" s="7">
        <f t="shared" si="92"/>
        <v>36000</v>
      </c>
      <c r="L1508" s="7">
        <f t="shared" si="93"/>
        <v>5400</v>
      </c>
      <c r="M1508" s="7">
        <f t="shared" si="94"/>
        <v>30600</v>
      </c>
      <c r="N1508" s="23">
        <v>30000</v>
      </c>
      <c r="O1508" s="7">
        <f t="shared" si="95"/>
        <v>60600</v>
      </c>
      <c r="P1508" s="2" t="s">
        <v>29</v>
      </c>
      <c r="Q1508" t="str">
        <f>_xlfn.XLOOKUP(B1508,Status!$A$2:$A$1867,Status!$B$2:$B$1867)</f>
        <v>Completed</v>
      </c>
      <c r="R1508" s="2" t="s">
        <v>36</v>
      </c>
      <c r="S1508" s="8">
        <v>1</v>
      </c>
      <c r="T1508" s="2" t="s">
        <v>24</v>
      </c>
      <c r="U1508" s="31" t="str" cm="1">
        <f t="array" ref="U1508">_xlfn.IFS(L1508&lt;=5000,$Z$3,AND(L1508&gt;5000,L1508&lt;=15000),$Z$4,AND(L1508&gt;15000,L1508&lt;=30000),$Z$5,AND(L1508&gt;30000,L1508&lt;=50000),$Z$6,L1508&gt;50000,$Z$7)</f>
        <v>Rendah</v>
      </c>
      <c r="V1508" s="2"/>
    </row>
    <row r="1509" spans="1:22" ht="15.75" customHeight="1" x14ac:dyDescent="0.25">
      <c r="A1509" s="26"/>
      <c r="B1509" s="2" t="s">
        <v>1882</v>
      </c>
      <c r="C1509" s="32">
        <v>45829.718715277777</v>
      </c>
      <c r="D1509" s="53">
        <f>YEAR(Table1[[#This Row],[Order Date]])</f>
        <v>2025</v>
      </c>
      <c r="E1509" s="2" t="s">
        <v>557</v>
      </c>
      <c r="F1509" s="2" t="s">
        <v>173</v>
      </c>
      <c r="G1509" s="2" t="s">
        <v>104</v>
      </c>
      <c r="H1509" s="23">
        <v>30000</v>
      </c>
      <c r="I1509" s="2">
        <v>5</v>
      </c>
      <c r="J1509" s="31">
        <v>10</v>
      </c>
      <c r="K1509" s="7">
        <f t="shared" si="92"/>
        <v>150000</v>
      </c>
      <c r="L1509" s="7">
        <f t="shared" si="93"/>
        <v>15000</v>
      </c>
      <c r="M1509" s="7">
        <f t="shared" si="94"/>
        <v>135000</v>
      </c>
      <c r="N1509" s="23">
        <v>49000</v>
      </c>
      <c r="O1509" s="7">
        <f t="shared" si="95"/>
        <v>184000</v>
      </c>
      <c r="P1509" s="2" t="s">
        <v>29</v>
      </c>
      <c r="Q1509" t="str">
        <f>_xlfn.XLOOKUP(B1509,Status!$A$2:$A$1867,Status!$B$2:$B$1867)</f>
        <v>Cancelled</v>
      </c>
      <c r="R1509" s="2" t="s">
        <v>36</v>
      </c>
      <c r="S1509" s="8">
        <v>5</v>
      </c>
      <c r="T1509" s="2" t="s">
        <v>24</v>
      </c>
      <c r="U1509" s="31" t="str" cm="1">
        <f t="array" ref="U1509">_xlfn.IFS(L1509&lt;=5000,$Z$3,AND(L1509&gt;5000,L1509&lt;=15000),$Z$4,AND(L1509&gt;15000,L1509&lt;=30000),$Z$5,AND(L1509&gt;30000,L1509&lt;=50000),$Z$6,L1509&gt;50000,$Z$7)</f>
        <v>Rendah</v>
      </c>
      <c r="V1509" s="2"/>
    </row>
    <row r="1510" spans="1:22" ht="15.75" customHeight="1" x14ac:dyDescent="0.25">
      <c r="A1510" s="26"/>
      <c r="B1510" s="2" t="s">
        <v>1883</v>
      </c>
      <c r="C1510" s="32">
        <v>45829.995729166672</v>
      </c>
      <c r="D1510" s="53">
        <f>YEAR(Table1[[#This Row],[Order Date]])</f>
        <v>2025</v>
      </c>
      <c r="E1510" s="2" t="s">
        <v>1530</v>
      </c>
      <c r="F1510" s="2" t="s">
        <v>122</v>
      </c>
      <c r="G1510" s="2" t="s">
        <v>174</v>
      </c>
      <c r="H1510" s="23">
        <v>10000</v>
      </c>
      <c r="I1510" s="2">
        <v>3</v>
      </c>
      <c r="J1510" s="31">
        <v>5</v>
      </c>
      <c r="K1510" s="7">
        <f t="shared" si="92"/>
        <v>30000</v>
      </c>
      <c r="L1510" s="7">
        <f t="shared" si="93"/>
        <v>1500</v>
      </c>
      <c r="M1510" s="7">
        <f t="shared" si="94"/>
        <v>28500</v>
      </c>
      <c r="N1510" s="23">
        <v>78000</v>
      </c>
      <c r="O1510" s="7">
        <f t="shared" si="95"/>
        <v>106500</v>
      </c>
      <c r="P1510" s="2" t="s">
        <v>22</v>
      </c>
      <c r="Q1510" t="str">
        <f>_xlfn.XLOOKUP(B1510,Status!$A$2:$A$1867,Status!$B$2:$B$1867)</f>
        <v>Cancelled</v>
      </c>
      <c r="R1510" s="2" t="s">
        <v>82</v>
      </c>
      <c r="S1510" s="8">
        <v>3</v>
      </c>
      <c r="T1510" s="2" t="s">
        <v>24</v>
      </c>
      <c r="U1510" s="31" t="str" cm="1">
        <f t="array" ref="U1510">_xlfn.IFS(L1510&lt;=5000,$Z$3,AND(L1510&gt;5000,L1510&lt;=15000),$Z$4,AND(L1510&gt;15000,L1510&lt;=30000),$Z$5,AND(L1510&gt;30000,L1510&lt;=50000),$Z$6,L1510&gt;50000,$Z$7)</f>
        <v>Sangat Rendah</v>
      </c>
      <c r="V1510" s="2"/>
    </row>
    <row r="1511" spans="1:22" ht="15.75" customHeight="1" x14ac:dyDescent="0.25">
      <c r="A1511" s="26"/>
      <c r="B1511" s="2" t="s">
        <v>1884</v>
      </c>
      <c r="C1511" s="32">
        <v>45830.073067129633</v>
      </c>
      <c r="D1511" s="53">
        <f>YEAR(Table1[[#This Row],[Order Date]])</f>
        <v>2025</v>
      </c>
      <c r="E1511" s="2" t="s">
        <v>167</v>
      </c>
      <c r="F1511" s="2" t="s">
        <v>44</v>
      </c>
      <c r="G1511" s="2" t="s">
        <v>81</v>
      </c>
      <c r="H1511" s="23">
        <v>17000</v>
      </c>
      <c r="I1511" s="2">
        <v>3</v>
      </c>
      <c r="J1511" s="31">
        <v>20</v>
      </c>
      <c r="K1511" s="7">
        <f t="shared" si="92"/>
        <v>51000</v>
      </c>
      <c r="L1511" s="7">
        <f t="shared" si="93"/>
        <v>10200</v>
      </c>
      <c r="M1511" s="7">
        <f t="shared" si="94"/>
        <v>40800</v>
      </c>
      <c r="N1511" s="23">
        <v>93000</v>
      </c>
      <c r="O1511" s="7">
        <f t="shared" si="95"/>
        <v>133800</v>
      </c>
      <c r="P1511" s="2" t="s">
        <v>22</v>
      </c>
      <c r="Q1511" t="str">
        <f>_xlfn.XLOOKUP(B1511,Status!$A$2:$A$1867,Status!$B$2:$B$1867)</f>
        <v>Completed</v>
      </c>
      <c r="R1511" s="2" t="s">
        <v>82</v>
      </c>
      <c r="S1511" s="8">
        <v>4</v>
      </c>
      <c r="T1511" s="2" t="s">
        <v>24</v>
      </c>
      <c r="U1511" s="31" t="str" cm="1">
        <f t="array" ref="U1511">_xlfn.IFS(L1511&lt;=5000,$Z$3,AND(L1511&gt;5000,L1511&lt;=15000),$Z$4,AND(L1511&gt;15000,L1511&lt;=30000),$Z$5,AND(L1511&gt;30000,L1511&lt;=50000),$Z$6,L1511&gt;50000,$Z$7)</f>
        <v>Rendah</v>
      </c>
      <c r="V1511" s="2"/>
    </row>
    <row r="1512" spans="1:22" ht="15.75" customHeight="1" x14ac:dyDescent="0.25">
      <c r="A1512" s="26"/>
      <c r="B1512" s="2" t="s">
        <v>1885</v>
      </c>
      <c r="C1512" s="32">
        <v>45830.227199074077</v>
      </c>
      <c r="D1512" s="53">
        <f>YEAR(Table1[[#This Row],[Order Date]])</f>
        <v>2025</v>
      </c>
      <c r="E1512" s="2" t="s">
        <v>786</v>
      </c>
      <c r="F1512" s="2" t="s">
        <v>107</v>
      </c>
      <c r="G1512" s="2" t="s">
        <v>21</v>
      </c>
      <c r="H1512" s="23">
        <v>45000</v>
      </c>
      <c r="I1512" s="2">
        <v>4</v>
      </c>
      <c r="J1512" s="31">
        <v>5</v>
      </c>
      <c r="K1512" s="7">
        <f t="shared" si="92"/>
        <v>180000</v>
      </c>
      <c r="L1512" s="7">
        <f t="shared" si="93"/>
        <v>9000</v>
      </c>
      <c r="M1512" s="7">
        <f t="shared" si="94"/>
        <v>171000</v>
      </c>
      <c r="N1512" s="23">
        <v>97000</v>
      </c>
      <c r="O1512" s="7">
        <f t="shared" si="95"/>
        <v>268000</v>
      </c>
      <c r="P1512" s="2" t="s">
        <v>22</v>
      </c>
      <c r="Q1512" t="str">
        <f>_xlfn.XLOOKUP(B1512,Status!$A$2:$A$1867,Status!$B$2:$B$1867)</f>
        <v>Returned</v>
      </c>
      <c r="R1512" s="2" t="s">
        <v>30</v>
      </c>
      <c r="S1512" s="8">
        <v>3</v>
      </c>
      <c r="T1512" s="2" t="s">
        <v>24</v>
      </c>
      <c r="U1512" s="31" t="str" cm="1">
        <f t="array" ref="U1512">_xlfn.IFS(L1512&lt;=5000,$Z$3,AND(L1512&gt;5000,L1512&lt;=15000),$Z$4,AND(L1512&gt;15000,L1512&lt;=30000),$Z$5,AND(L1512&gt;30000,L1512&lt;=50000),$Z$6,L1512&gt;50000,$Z$7)</f>
        <v>Rendah</v>
      </c>
      <c r="V1512" s="2"/>
    </row>
    <row r="1513" spans="1:22" ht="15.75" customHeight="1" x14ac:dyDescent="0.25">
      <c r="A1513" s="26"/>
      <c r="B1513" s="2" t="s">
        <v>1886</v>
      </c>
      <c r="C1513" s="32">
        <v>45830.288483796299</v>
      </c>
      <c r="D1513" s="53">
        <f>YEAR(Table1[[#This Row],[Order Date]])</f>
        <v>2025</v>
      </c>
      <c r="E1513" s="2" t="s">
        <v>1887</v>
      </c>
      <c r="F1513" s="2" t="s">
        <v>238</v>
      </c>
      <c r="G1513" s="2" t="s">
        <v>123</v>
      </c>
      <c r="H1513" s="23">
        <v>22000</v>
      </c>
      <c r="I1513" s="2">
        <v>5</v>
      </c>
      <c r="J1513" s="31">
        <v>10</v>
      </c>
      <c r="K1513" s="7">
        <f t="shared" si="92"/>
        <v>110000</v>
      </c>
      <c r="L1513" s="7">
        <f t="shared" si="93"/>
        <v>11000</v>
      </c>
      <c r="M1513" s="7">
        <f t="shared" si="94"/>
        <v>99000</v>
      </c>
      <c r="N1513" s="23">
        <v>28000</v>
      </c>
      <c r="O1513" s="7">
        <f t="shared" si="95"/>
        <v>127000</v>
      </c>
      <c r="P1513" s="2" t="s">
        <v>63</v>
      </c>
      <c r="Q1513" t="str">
        <f>_xlfn.XLOOKUP(B1513,Status!$A$2:$A$1867,Status!$B$2:$B$1867)</f>
        <v>Completed</v>
      </c>
      <c r="R1513" s="2" t="s">
        <v>36</v>
      </c>
      <c r="S1513" s="8">
        <v>2</v>
      </c>
      <c r="T1513" s="2" t="s">
        <v>24</v>
      </c>
      <c r="U1513" s="31" t="str" cm="1">
        <f t="array" ref="U1513">_xlfn.IFS(L1513&lt;=5000,$Z$3,AND(L1513&gt;5000,L1513&lt;=15000),$Z$4,AND(L1513&gt;15000,L1513&lt;=30000),$Z$5,AND(L1513&gt;30000,L1513&lt;=50000),$Z$6,L1513&gt;50000,$Z$7)</f>
        <v>Rendah</v>
      </c>
      <c r="V1513" s="2"/>
    </row>
    <row r="1514" spans="1:22" ht="15.75" customHeight="1" x14ac:dyDescent="0.25">
      <c r="A1514" s="26"/>
      <c r="B1514" s="2" t="s">
        <v>1886</v>
      </c>
      <c r="C1514" s="32">
        <v>45830.288483796299</v>
      </c>
      <c r="D1514" s="53">
        <f>YEAR(Table1[[#This Row],[Order Date]])</f>
        <v>2025</v>
      </c>
      <c r="E1514" s="2" t="s">
        <v>1887</v>
      </c>
      <c r="F1514" s="2" t="s">
        <v>238</v>
      </c>
      <c r="G1514" s="2" t="s">
        <v>71</v>
      </c>
      <c r="H1514" s="23">
        <v>40000</v>
      </c>
      <c r="I1514" s="2">
        <v>2</v>
      </c>
      <c r="J1514" s="31">
        <v>10</v>
      </c>
      <c r="K1514" s="7">
        <f t="shared" si="92"/>
        <v>80000</v>
      </c>
      <c r="L1514" s="7">
        <f t="shared" si="93"/>
        <v>8000</v>
      </c>
      <c r="M1514" s="7">
        <f t="shared" si="94"/>
        <v>72000</v>
      </c>
      <c r="N1514" s="23">
        <v>0</v>
      </c>
      <c r="O1514" s="7">
        <f t="shared" si="95"/>
        <v>72000</v>
      </c>
      <c r="P1514" s="2" t="s">
        <v>63</v>
      </c>
      <c r="Q1514" t="str">
        <f>_xlfn.XLOOKUP(B1514,Status!$A$2:$A$1867,Status!$B$2:$B$1867)</f>
        <v>Completed</v>
      </c>
      <c r="R1514" s="2" t="s">
        <v>36</v>
      </c>
      <c r="S1514" s="8">
        <v>2</v>
      </c>
      <c r="T1514" s="2" t="s">
        <v>24</v>
      </c>
      <c r="U1514" s="31" t="str" cm="1">
        <f t="array" ref="U1514">_xlfn.IFS(L1514&lt;=5000,$Z$3,AND(L1514&gt;5000,L1514&lt;=15000),$Z$4,AND(L1514&gt;15000,L1514&lt;=30000),$Z$5,AND(L1514&gt;30000,L1514&lt;=50000),$Z$6,L1514&gt;50000,$Z$7)</f>
        <v>Rendah</v>
      </c>
      <c r="V1514" s="2"/>
    </row>
    <row r="1515" spans="1:22" ht="15.75" customHeight="1" x14ac:dyDescent="0.25">
      <c r="A1515" s="26"/>
      <c r="B1515" s="2" t="s">
        <v>1888</v>
      </c>
      <c r="C1515" s="32">
        <v>45830.345300925917</v>
      </c>
      <c r="D1515" s="53">
        <f>YEAR(Table1[[#This Row],[Order Date]])</f>
        <v>2025</v>
      </c>
      <c r="E1515" s="2" t="s">
        <v>222</v>
      </c>
      <c r="F1515" s="2" t="s">
        <v>49</v>
      </c>
      <c r="G1515" s="2" t="s">
        <v>38</v>
      </c>
      <c r="H1515" s="23">
        <v>28000</v>
      </c>
      <c r="I1515" s="2">
        <v>2</v>
      </c>
      <c r="J1515" s="31">
        <v>0</v>
      </c>
      <c r="K1515" s="7">
        <f t="shared" si="92"/>
        <v>56000</v>
      </c>
      <c r="L1515" s="7">
        <f t="shared" si="93"/>
        <v>0</v>
      </c>
      <c r="M1515" s="7">
        <f t="shared" si="94"/>
        <v>56000</v>
      </c>
      <c r="N1515" s="23">
        <v>43000</v>
      </c>
      <c r="O1515" s="7">
        <f t="shared" si="95"/>
        <v>99000</v>
      </c>
      <c r="P1515" s="2" t="s">
        <v>63</v>
      </c>
      <c r="Q1515" t="str">
        <f>_xlfn.XLOOKUP(B1515,Status!$A$2:$A$1867,Status!$B$2:$B$1867)</f>
        <v>Completed</v>
      </c>
      <c r="R1515" s="2" t="s">
        <v>82</v>
      </c>
      <c r="S1515" s="8">
        <v>1</v>
      </c>
      <c r="T1515" s="2" t="s">
        <v>24</v>
      </c>
      <c r="U1515" s="31" t="str" cm="1">
        <f t="array" ref="U1515">_xlfn.IFS(L1515&lt;=5000,$Z$3,AND(L1515&gt;5000,L1515&lt;=15000),$Z$4,AND(L1515&gt;15000,L1515&lt;=30000),$Z$5,AND(L1515&gt;30000,L1515&lt;=50000),$Z$6,L1515&gt;50000,$Z$7)</f>
        <v>Sangat Rendah</v>
      </c>
      <c r="V1515" s="2"/>
    </row>
    <row r="1516" spans="1:22" ht="15.75" customHeight="1" x14ac:dyDescent="0.25">
      <c r="A1516" s="26"/>
      <c r="B1516" s="2" t="s">
        <v>1889</v>
      </c>
      <c r="C1516" s="32">
        <v>45830.581990740742</v>
      </c>
      <c r="D1516" s="53">
        <f>YEAR(Table1[[#This Row],[Order Date]])</f>
        <v>2025</v>
      </c>
      <c r="E1516" s="2" t="s">
        <v>708</v>
      </c>
      <c r="F1516" s="2" t="s">
        <v>116</v>
      </c>
      <c r="G1516" s="2" t="s">
        <v>50</v>
      </c>
      <c r="H1516" s="23">
        <v>14000</v>
      </c>
      <c r="I1516" s="2">
        <v>3</v>
      </c>
      <c r="J1516" s="31">
        <v>20</v>
      </c>
      <c r="K1516" s="7">
        <f t="shared" si="92"/>
        <v>42000</v>
      </c>
      <c r="L1516" s="7">
        <f t="shared" si="93"/>
        <v>8400</v>
      </c>
      <c r="M1516" s="7">
        <f t="shared" si="94"/>
        <v>33600</v>
      </c>
      <c r="N1516" s="23">
        <v>72000</v>
      </c>
      <c r="O1516" s="7">
        <f t="shared" si="95"/>
        <v>105600</v>
      </c>
      <c r="P1516" s="2" t="s">
        <v>29</v>
      </c>
      <c r="Q1516" t="str">
        <f>_xlfn.XLOOKUP(B1516,Status!$A$2:$A$1867,Status!$B$2:$B$1867)</f>
        <v>Completed</v>
      </c>
      <c r="R1516" s="2" t="s">
        <v>30</v>
      </c>
      <c r="S1516" s="8">
        <v>1</v>
      </c>
      <c r="T1516" s="2" t="s">
        <v>24</v>
      </c>
      <c r="U1516" s="31" t="str" cm="1">
        <f t="array" ref="U1516">_xlfn.IFS(L1516&lt;=5000,$Z$3,AND(L1516&gt;5000,L1516&lt;=15000),$Z$4,AND(L1516&gt;15000,L1516&lt;=30000),$Z$5,AND(L1516&gt;30000,L1516&lt;=50000),$Z$6,L1516&gt;50000,$Z$7)</f>
        <v>Rendah</v>
      </c>
      <c r="V1516" s="2"/>
    </row>
    <row r="1517" spans="1:22" ht="15.75" customHeight="1" x14ac:dyDescent="0.25">
      <c r="A1517" s="26"/>
      <c r="B1517" s="2" t="s">
        <v>1890</v>
      </c>
      <c r="C1517" s="32">
        <v>45830.671400462961</v>
      </c>
      <c r="D1517" s="53">
        <f>YEAR(Table1[[#This Row],[Order Date]])</f>
        <v>2025</v>
      </c>
      <c r="E1517" s="2" t="s">
        <v>361</v>
      </c>
      <c r="F1517" s="2" t="s">
        <v>70</v>
      </c>
      <c r="G1517" s="2" t="s">
        <v>250</v>
      </c>
      <c r="H1517" s="23">
        <v>18000</v>
      </c>
      <c r="I1517" s="2">
        <v>5</v>
      </c>
      <c r="J1517" s="31">
        <v>0</v>
      </c>
      <c r="K1517" s="7">
        <f t="shared" si="92"/>
        <v>90000</v>
      </c>
      <c r="L1517" s="7">
        <f t="shared" si="93"/>
        <v>0</v>
      </c>
      <c r="M1517" s="7">
        <f t="shared" si="94"/>
        <v>90000</v>
      </c>
      <c r="N1517" s="23">
        <v>89000</v>
      </c>
      <c r="O1517" s="7">
        <f t="shared" si="95"/>
        <v>179000</v>
      </c>
      <c r="P1517" s="2" t="s">
        <v>63</v>
      </c>
      <c r="Q1517" t="str">
        <f>_xlfn.XLOOKUP(B1517,Status!$A$2:$A$1867,Status!$B$2:$B$1867)</f>
        <v>Completed</v>
      </c>
      <c r="R1517" s="2" t="s">
        <v>23</v>
      </c>
      <c r="S1517" s="8">
        <v>1</v>
      </c>
      <c r="T1517" s="2" t="s">
        <v>37</v>
      </c>
      <c r="U1517" s="31" t="str" cm="1">
        <f t="array" ref="U1517">_xlfn.IFS(L1517&lt;=5000,$Z$3,AND(L1517&gt;5000,L1517&lt;=15000),$Z$4,AND(L1517&gt;15000,L1517&lt;=30000),$Z$5,AND(L1517&gt;30000,L1517&lt;=50000),$Z$6,L1517&gt;50000,$Z$7)</f>
        <v>Sangat Rendah</v>
      </c>
      <c r="V1517" s="2"/>
    </row>
    <row r="1518" spans="1:22" ht="15.75" customHeight="1" x14ac:dyDescent="0.25">
      <c r="A1518" s="26"/>
      <c r="B1518" s="2" t="s">
        <v>1891</v>
      </c>
      <c r="C1518" s="32">
        <v>45830.673506944448</v>
      </c>
      <c r="D1518" s="53">
        <f>YEAR(Table1[[#This Row],[Order Date]])</f>
        <v>2025</v>
      </c>
      <c r="E1518" s="2" t="s">
        <v>246</v>
      </c>
      <c r="F1518" s="2" t="s">
        <v>238</v>
      </c>
      <c r="G1518" s="2" t="s">
        <v>54</v>
      </c>
      <c r="H1518" s="23">
        <v>16000</v>
      </c>
      <c r="I1518" s="2">
        <v>2</v>
      </c>
      <c r="J1518" s="31">
        <v>15</v>
      </c>
      <c r="K1518" s="7">
        <f t="shared" si="92"/>
        <v>32000</v>
      </c>
      <c r="L1518" s="7">
        <f t="shared" si="93"/>
        <v>4800</v>
      </c>
      <c r="M1518" s="7">
        <f t="shared" si="94"/>
        <v>27200</v>
      </c>
      <c r="N1518" s="23">
        <v>28000</v>
      </c>
      <c r="O1518" s="7">
        <f t="shared" si="95"/>
        <v>55200</v>
      </c>
      <c r="P1518" s="2" t="s">
        <v>22</v>
      </c>
      <c r="Q1518" t="str">
        <f>_xlfn.XLOOKUP(B1518,Status!$A$2:$A$1867,Status!$B$2:$B$1867)</f>
        <v>Completed</v>
      </c>
      <c r="R1518" s="2" t="s">
        <v>82</v>
      </c>
      <c r="S1518" s="8">
        <v>2</v>
      </c>
      <c r="T1518" s="2" t="s">
        <v>24</v>
      </c>
      <c r="U1518" s="31" t="str" cm="1">
        <f t="array" ref="U1518">_xlfn.IFS(L1518&lt;=5000,$Z$3,AND(L1518&gt;5000,L1518&lt;=15000),$Z$4,AND(L1518&gt;15000,L1518&lt;=30000),$Z$5,AND(L1518&gt;30000,L1518&lt;=50000),$Z$6,L1518&gt;50000,$Z$7)</f>
        <v>Sangat Rendah</v>
      </c>
      <c r="V1518" s="2"/>
    </row>
    <row r="1519" spans="1:22" ht="15.75" customHeight="1" x14ac:dyDescent="0.25">
      <c r="A1519" s="26"/>
      <c r="B1519" s="2" t="s">
        <v>1892</v>
      </c>
      <c r="C1519" s="32">
        <v>45830.705601851849</v>
      </c>
      <c r="D1519" s="53">
        <f>YEAR(Table1[[#This Row],[Order Date]])</f>
        <v>2025</v>
      </c>
      <c r="E1519" s="2" t="s">
        <v>1133</v>
      </c>
      <c r="F1519" s="2" t="s">
        <v>80</v>
      </c>
      <c r="G1519" s="2" t="s">
        <v>21</v>
      </c>
      <c r="H1519" s="23">
        <v>45000</v>
      </c>
      <c r="I1519" s="2">
        <v>3</v>
      </c>
      <c r="J1519" s="31">
        <v>15</v>
      </c>
      <c r="K1519" s="7">
        <f t="shared" si="92"/>
        <v>135000</v>
      </c>
      <c r="L1519" s="7">
        <f t="shared" si="93"/>
        <v>20250</v>
      </c>
      <c r="M1519" s="7">
        <f t="shared" si="94"/>
        <v>114750</v>
      </c>
      <c r="N1519" s="23">
        <v>74000</v>
      </c>
      <c r="O1519" s="7">
        <f t="shared" si="95"/>
        <v>188750</v>
      </c>
      <c r="P1519" s="2" t="s">
        <v>22</v>
      </c>
      <c r="Q1519" t="str">
        <f>_xlfn.XLOOKUP(B1519,Status!$A$2:$A$1867,Status!$B$2:$B$1867)</f>
        <v>Returned</v>
      </c>
      <c r="R1519" s="2" t="s">
        <v>46</v>
      </c>
      <c r="S1519" s="8">
        <v>2</v>
      </c>
      <c r="T1519" s="2" t="s">
        <v>24</v>
      </c>
      <c r="U1519" s="31" t="str" cm="1">
        <f t="array" ref="U1519">_xlfn.IFS(L1519&lt;=5000,$Z$3,AND(L1519&gt;5000,L1519&lt;=15000),$Z$4,AND(L1519&gt;15000,L1519&lt;=30000),$Z$5,AND(L1519&gt;30000,L1519&lt;=50000),$Z$6,L1519&gt;50000,$Z$7)</f>
        <v>Normal</v>
      </c>
      <c r="V1519" s="2"/>
    </row>
    <row r="1520" spans="1:22" ht="15.75" customHeight="1" x14ac:dyDescent="0.25">
      <c r="A1520" s="26"/>
      <c r="B1520" s="2" t="s">
        <v>1893</v>
      </c>
      <c r="C1520" s="32">
        <v>45830.708506944437</v>
      </c>
      <c r="D1520" s="53">
        <f>YEAR(Table1[[#This Row],[Order Date]])</f>
        <v>2025</v>
      </c>
      <c r="E1520" s="2" t="s">
        <v>1382</v>
      </c>
      <c r="F1520" s="2" t="s">
        <v>74</v>
      </c>
      <c r="G1520" s="2" t="s">
        <v>75</v>
      </c>
      <c r="H1520" s="23">
        <v>55000</v>
      </c>
      <c r="I1520" s="2">
        <v>2</v>
      </c>
      <c r="J1520" s="31">
        <v>20</v>
      </c>
      <c r="K1520" s="7">
        <f t="shared" si="92"/>
        <v>110000</v>
      </c>
      <c r="L1520" s="7">
        <f t="shared" si="93"/>
        <v>22000</v>
      </c>
      <c r="M1520" s="7">
        <f t="shared" si="94"/>
        <v>88000</v>
      </c>
      <c r="N1520" s="23">
        <v>87000</v>
      </c>
      <c r="O1520" s="7">
        <f t="shared" si="95"/>
        <v>175000</v>
      </c>
      <c r="P1520" s="2" t="s">
        <v>63</v>
      </c>
      <c r="Q1520" t="str">
        <f>_xlfn.XLOOKUP(B1520,Status!$A$2:$A$1867,Status!$B$2:$B$1867)</f>
        <v>Completed</v>
      </c>
      <c r="R1520" s="2" t="s">
        <v>46</v>
      </c>
      <c r="S1520" s="8">
        <v>3</v>
      </c>
      <c r="T1520" s="2" t="s">
        <v>24</v>
      </c>
      <c r="U1520" s="31" t="str" cm="1">
        <f t="array" ref="U1520">_xlfn.IFS(L1520&lt;=5000,$Z$3,AND(L1520&gt;5000,L1520&lt;=15000),$Z$4,AND(L1520&gt;15000,L1520&lt;=30000),$Z$5,AND(L1520&gt;30000,L1520&lt;=50000),$Z$6,L1520&gt;50000,$Z$7)</f>
        <v>Normal</v>
      </c>
      <c r="V1520" s="2"/>
    </row>
    <row r="1521" spans="1:22" ht="15.75" customHeight="1" x14ac:dyDescent="0.25">
      <c r="A1521" s="26"/>
      <c r="B1521" s="2" t="s">
        <v>1894</v>
      </c>
      <c r="C1521" s="32">
        <v>45830.878240740742</v>
      </c>
      <c r="D1521" s="53">
        <f>YEAR(Table1[[#This Row],[Order Date]])</f>
        <v>2025</v>
      </c>
      <c r="E1521" s="2" t="s">
        <v>273</v>
      </c>
      <c r="F1521" s="2" t="s">
        <v>195</v>
      </c>
      <c r="G1521" s="2" t="s">
        <v>136</v>
      </c>
      <c r="H1521" s="23">
        <v>12000</v>
      </c>
      <c r="I1521" s="2">
        <v>2</v>
      </c>
      <c r="J1521" s="31">
        <v>0</v>
      </c>
      <c r="K1521" s="7">
        <f t="shared" si="92"/>
        <v>24000</v>
      </c>
      <c r="L1521" s="7">
        <f t="shared" si="93"/>
        <v>0</v>
      </c>
      <c r="M1521" s="7">
        <f t="shared" si="94"/>
        <v>24000</v>
      </c>
      <c r="N1521" s="23">
        <v>87000</v>
      </c>
      <c r="O1521" s="7">
        <f t="shared" si="95"/>
        <v>111000</v>
      </c>
      <c r="P1521" s="2" t="s">
        <v>22</v>
      </c>
      <c r="Q1521" t="str">
        <f>_xlfn.XLOOKUP(B1521,Status!$A$2:$A$1867,Status!$B$2:$B$1867)</f>
        <v>Completed</v>
      </c>
      <c r="R1521" s="2" t="s">
        <v>30</v>
      </c>
      <c r="S1521" s="8">
        <v>5</v>
      </c>
      <c r="T1521" s="2" t="s">
        <v>24</v>
      </c>
      <c r="U1521" s="31" t="str" cm="1">
        <f t="array" ref="U1521">_xlfn.IFS(L1521&lt;=5000,$Z$3,AND(L1521&gt;5000,L1521&lt;=15000),$Z$4,AND(L1521&gt;15000,L1521&lt;=30000),$Z$5,AND(L1521&gt;30000,L1521&lt;=50000),$Z$6,L1521&gt;50000,$Z$7)</f>
        <v>Sangat Rendah</v>
      </c>
      <c r="V1521" s="2"/>
    </row>
    <row r="1522" spans="1:22" ht="15.75" customHeight="1" x14ac:dyDescent="0.25">
      <c r="A1522" s="26"/>
      <c r="B1522" s="2" t="s">
        <v>1895</v>
      </c>
      <c r="C1522" s="32">
        <v>45831.159814814811</v>
      </c>
      <c r="D1522" s="53">
        <f>YEAR(Table1[[#This Row],[Order Date]])</f>
        <v>2025</v>
      </c>
      <c r="E1522" s="2" t="s">
        <v>353</v>
      </c>
      <c r="F1522" s="2" t="s">
        <v>66</v>
      </c>
      <c r="G1522" s="2" t="s">
        <v>62</v>
      </c>
      <c r="H1522" s="23">
        <v>50000</v>
      </c>
      <c r="I1522" s="2">
        <v>2</v>
      </c>
      <c r="J1522" s="31">
        <v>15</v>
      </c>
      <c r="K1522" s="7">
        <f t="shared" si="92"/>
        <v>100000</v>
      </c>
      <c r="L1522" s="7">
        <f t="shared" si="93"/>
        <v>15000</v>
      </c>
      <c r="M1522" s="7">
        <f t="shared" si="94"/>
        <v>85000</v>
      </c>
      <c r="N1522" s="23">
        <v>59000</v>
      </c>
      <c r="O1522" s="7">
        <f t="shared" si="95"/>
        <v>144000</v>
      </c>
      <c r="P1522" s="2" t="s">
        <v>35</v>
      </c>
      <c r="Q1522" t="str">
        <f>_xlfn.XLOOKUP(B1522,Status!$A$2:$A$1867,Status!$B$2:$B$1867)</f>
        <v>Completed</v>
      </c>
      <c r="R1522" s="2" t="s">
        <v>46</v>
      </c>
      <c r="S1522" s="8">
        <v>5</v>
      </c>
      <c r="T1522" s="2" t="s">
        <v>24</v>
      </c>
      <c r="U1522" s="31" t="str" cm="1">
        <f t="array" ref="U1522">_xlfn.IFS(L1522&lt;=5000,$Z$3,AND(L1522&gt;5000,L1522&lt;=15000),$Z$4,AND(L1522&gt;15000,L1522&lt;=30000),$Z$5,AND(L1522&gt;30000,L1522&lt;=50000),$Z$6,L1522&gt;50000,$Z$7)</f>
        <v>Rendah</v>
      </c>
      <c r="V1522" s="2"/>
    </row>
    <row r="1523" spans="1:22" ht="15.75" customHeight="1" x14ac:dyDescent="0.25">
      <c r="A1523" s="26"/>
      <c r="B1523" s="2" t="s">
        <v>1896</v>
      </c>
      <c r="C1523" s="32">
        <v>45831.452824074076</v>
      </c>
      <c r="D1523" s="53">
        <f>YEAR(Table1[[#This Row],[Order Date]])</f>
        <v>2025</v>
      </c>
      <c r="E1523" s="2" t="s">
        <v>688</v>
      </c>
      <c r="F1523" s="2" t="s">
        <v>92</v>
      </c>
      <c r="G1523" s="2" t="s">
        <v>138</v>
      </c>
      <c r="H1523" s="23">
        <v>17000</v>
      </c>
      <c r="I1523" s="2">
        <v>5</v>
      </c>
      <c r="J1523" s="31">
        <v>0</v>
      </c>
      <c r="K1523" s="7">
        <f t="shared" si="92"/>
        <v>85000</v>
      </c>
      <c r="L1523" s="7">
        <f t="shared" si="93"/>
        <v>0</v>
      </c>
      <c r="M1523" s="7">
        <f t="shared" si="94"/>
        <v>85000</v>
      </c>
      <c r="N1523" s="23">
        <v>30000</v>
      </c>
      <c r="O1523" s="7">
        <f t="shared" si="95"/>
        <v>115000</v>
      </c>
      <c r="P1523" s="2" t="s">
        <v>35</v>
      </c>
      <c r="Q1523" t="str">
        <f>_xlfn.XLOOKUP(B1523,Status!$A$2:$A$1867,Status!$B$2:$B$1867)</f>
        <v>Completed</v>
      </c>
      <c r="R1523" s="2" t="s">
        <v>23</v>
      </c>
      <c r="S1523" s="8">
        <v>4</v>
      </c>
      <c r="T1523" s="2" t="s">
        <v>24</v>
      </c>
      <c r="U1523" s="31" t="str" cm="1">
        <f t="array" ref="U1523">_xlfn.IFS(L1523&lt;=5000,$Z$3,AND(L1523&gt;5000,L1523&lt;=15000),$Z$4,AND(L1523&gt;15000,L1523&lt;=30000),$Z$5,AND(L1523&gt;30000,L1523&lt;=50000),$Z$6,L1523&gt;50000,$Z$7)</f>
        <v>Sangat Rendah</v>
      </c>
      <c r="V1523" s="2"/>
    </row>
    <row r="1524" spans="1:22" ht="15.75" customHeight="1" x14ac:dyDescent="0.25">
      <c r="A1524" s="26"/>
      <c r="B1524" s="2" t="s">
        <v>1897</v>
      </c>
      <c r="C1524" s="32">
        <v>45831.528344907398</v>
      </c>
      <c r="D1524" s="53">
        <f>YEAR(Table1[[#This Row],[Order Date]])</f>
        <v>2025</v>
      </c>
      <c r="E1524" s="2" t="s">
        <v>314</v>
      </c>
      <c r="F1524" s="2" t="s">
        <v>113</v>
      </c>
      <c r="G1524" s="2" t="s">
        <v>45</v>
      </c>
      <c r="H1524" s="23">
        <v>40000</v>
      </c>
      <c r="I1524" s="2">
        <v>1</v>
      </c>
      <c r="J1524" s="31">
        <v>5</v>
      </c>
      <c r="K1524" s="7">
        <f t="shared" si="92"/>
        <v>40000</v>
      </c>
      <c r="L1524" s="7">
        <f t="shared" si="93"/>
        <v>2000</v>
      </c>
      <c r="M1524" s="7">
        <f t="shared" si="94"/>
        <v>38000</v>
      </c>
      <c r="N1524" s="23">
        <v>18000</v>
      </c>
      <c r="O1524" s="7">
        <f t="shared" si="95"/>
        <v>56000</v>
      </c>
      <c r="P1524" s="2" t="s">
        <v>63</v>
      </c>
      <c r="Q1524" t="str">
        <f>_xlfn.XLOOKUP(B1524,Status!$A$2:$A$1867,Status!$B$2:$B$1867)</f>
        <v>Completed</v>
      </c>
      <c r="R1524" s="2" t="s">
        <v>23</v>
      </c>
      <c r="S1524" s="8">
        <v>2</v>
      </c>
      <c r="T1524" s="2" t="s">
        <v>24</v>
      </c>
      <c r="U1524" s="31" t="str" cm="1">
        <f t="array" ref="U1524">_xlfn.IFS(L1524&lt;=5000,$Z$3,AND(L1524&gt;5000,L1524&lt;=15000),$Z$4,AND(L1524&gt;15000,L1524&lt;=30000),$Z$5,AND(L1524&gt;30000,L1524&lt;=50000),$Z$6,L1524&gt;50000,$Z$7)</f>
        <v>Sangat Rendah</v>
      </c>
      <c r="V1524" s="2"/>
    </row>
    <row r="1525" spans="1:22" ht="15.75" customHeight="1" x14ac:dyDescent="0.25">
      <c r="A1525" s="26"/>
      <c r="B1525" s="2" t="s">
        <v>1898</v>
      </c>
      <c r="C1525" s="32">
        <v>45831.597777777781</v>
      </c>
      <c r="D1525" s="53">
        <f>YEAR(Table1[[#This Row],[Order Date]])</f>
        <v>2025</v>
      </c>
      <c r="E1525" s="2" t="s">
        <v>326</v>
      </c>
      <c r="F1525" s="2" t="s">
        <v>262</v>
      </c>
      <c r="G1525" s="2" t="s">
        <v>28</v>
      </c>
      <c r="H1525" s="23">
        <v>5000</v>
      </c>
      <c r="I1525" s="2">
        <v>1</v>
      </c>
      <c r="J1525" s="31">
        <v>20</v>
      </c>
      <c r="K1525" s="7">
        <f t="shared" si="92"/>
        <v>5000</v>
      </c>
      <c r="L1525" s="7">
        <f t="shared" si="93"/>
        <v>1000</v>
      </c>
      <c r="M1525" s="7">
        <f t="shared" si="94"/>
        <v>4000</v>
      </c>
      <c r="N1525" s="23">
        <v>18000</v>
      </c>
      <c r="O1525" s="7">
        <f t="shared" si="95"/>
        <v>22000</v>
      </c>
      <c r="P1525" s="2" t="s">
        <v>35</v>
      </c>
      <c r="Q1525" t="str">
        <f>_xlfn.XLOOKUP(B1525,Status!$A$2:$A$1867,Status!$B$2:$B$1867)</f>
        <v>Completed</v>
      </c>
      <c r="R1525" s="2" t="s">
        <v>82</v>
      </c>
      <c r="S1525" s="8">
        <v>4</v>
      </c>
      <c r="T1525" s="2" t="s">
        <v>37</v>
      </c>
      <c r="U1525" s="31" t="str" cm="1">
        <f t="array" ref="U1525">_xlfn.IFS(L1525&lt;=5000,$Z$3,AND(L1525&gt;5000,L1525&lt;=15000),$Z$4,AND(L1525&gt;15000,L1525&lt;=30000),$Z$5,AND(L1525&gt;30000,L1525&lt;=50000),$Z$6,L1525&gt;50000,$Z$7)</f>
        <v>Sangat Rendah</v>
      </c>
      <c r="V1525" s="2"/>
    </row>
    <row r="1526" spans="1:22" ht="15.75" customHeight="1" x14ac:dyDescent="0.25">
      <c r="A1526" s="26"/>
      <c r="B1526" s="2" t="s">
        <v>1899</v>
      </c>
      <c r="C1526" s="32">
        <v>45831.82885416667</v>
      </c>
      <c r="D1526" s="53">
        <f>YEAR(Table1[[#This Row],[Order Date]])</f>
        <v>2025</v>
      </c>
      <c r="E1526" s="2" t="s">
        <v>271</v>
      </c>
      <c r="F1526" s="2" t="s">
        <v>49</v>
      </c>
      <c r="G1526" s="2" t="s">
        <v>190</v>
      </c>
      <c r="H1526" s="23">
        <v>35000</v>
      </c>
      <c r="I1526" s="2">
        <v>1</v>
      </c>
      <c r="J1526" s="31">
        <v>0</v>
      </c>
      <c r="K1526" s="7">
        <f t="shared" si="92"/>
        <v>35000</v>
      </c>
      <c r="L1526" s="7">
        <f t="shared" si="93"/>
        <v>0</v>
      </c>
      <c r="M1526" s="7">
        <f t="shared" si="94"/>
        <v>35000</v>
      </c>
      <c r="N1526" s="23">
        <v>43000</v>
      </c>
      <c r="O1526" s="7">
        <f t="shared" si="95"/>
        <v>78000</v>
      </c>
      <c r="P1526" s="2" t="s">
        <v>22</v>
      </c>
      <c r="Q1526" t="str">
        <f>_xlfn.XLOOKUP(B1526,Status!$A$2:$A$1867,Status!$B$2:$B$1867)</f>
        <v>Completed</v>
      </c>
      <c r="R1526" s="2" t="s">
        <v>23</v>
      </c>
      <c r="S1526" s="8">
        <v>1</v>
      </c>
      <c r="T1526" s="2" t="s">
        <v>24</v>
      </c>
      <c r="U1526" s="31" t="str" cm="1">
        <f t="array" ref="U1526">_xlfn.IFS(L1526&lt;=5000,$Z$3,AND(L1526&gt;5000,L1526&lt;=15000),$Z$4,AND(L1526&gt;15000,L1526&lt;=30000),$Z$5,AND(L1526&gt;30000,L1526&lt;=50000),$Z$6,L1526&gt;50000,$Z$7)</f>
        <v>Sangat Rendah</v>
      </c>
      <c r="V1526" s="2"/>
    </row>
    <row r="1527" spans="1:22" ht="15.75" customHeight="1" x14ac:dyDescent="0.25">
      <c r="A1527" s="26"/>
      <c r="B1527" s="2" t="s">
        <v>1900</v>
      </c>
      <c r="C1527" s="32">
        <v>45832.112662037027</v>
      </c>
      <c r="D1527" s="53">
        <f>YEAR(Table1[[#This Row],[Order Date]])</f>
        <v>2025</v>
      </c>
      <c r="E1527" s="2" t="s">
        <v>638</v>
      </c>
      <c r="F1527" s="2" t="s">
        <v>195</v>
      </c>
      <c r="G1527" s="2" t="s">
        <v>81</v>
      </c>
      <c r="H1527" s="23">
        <v>17000</v>
      </c>
      <c r="I1527" s="2">
        <v>2</v>
      </c>
      <c r="J1527" s="31">
        <v>15</v>
      </c>
      <c r="K1527" s="7">
        <f t="shared" si="92"/>
        <v>34000</v>
      </c>
      <c r="L1527" s="7">
        <f t="shared" si="93"/>
        <v>5100</v>
      </c>
      <c r="M1527" s="7">
        <f t="shared" si="94"/>
        <v>28900</v>
      </c>
      <c r="N1527" s="23">
        <v>87000</v>
      </c>
      <c r="O1527" s="7">
        <f t="shared" si="95"/>
        <v>115900</v>
      </c>
      <c r="P1527" s="2" t="s">
        <v>22</v>
      </c>
      <c r="Q1527" t="str">
        <f>_xlfn.XLOOKUP(B1527,Status!$A$2:$A$1867,Status!$B$2:$B$1867)</f>
        <v>Completed</v>
      </c>
      <c r="R1527" s="2" t="s">
        <v>30</v>
      </c>
      <c r="S1527" s="8">
        <v>5</v>
      </c>
      <c r="T1527" s="2" t="s">
        <v>37</v>
      </c>
      <c r="U1527" s="31" t="str" cm="1">
        <f t="array" ref="U1527">_xlfn.IFS(L1527&lt;=5000,$Z$3,AND(L1527&gt;5000,L1527&lt;=15000),$Z$4,AND(L1527&gt;15000,L1527&lt;=30000),$Z$5,AND(L1527&gt;30000,L1527&lt;=50000),$Z$6,L1527&gt;50000,$Z$7)</f>
        <v>Rendah</v>
      </c>
      <c r="V1527" s="2"/>
    </row>
    <row r="1528" spans="1:22" ht="15.75" customHeight="1" x14ac:dyDescent="0.25">
      <c r="A1528" s="26"/>
      <c r="B1528" s="2" t="s">
        <v>1901</v>
      </c>
      <c r="C1528" s="32">
        <v>45832.615891203714</v>
      </c>
      <c r="D1528" s="53">
        <f>YEAR(Table1[[#This Row],[Order Date]])</f>
        <v>2025</v>
      </c>
      <c r="E1528" s="2" t="s">
        <v>1199</v>
      </c>
      <c r="F1528" s="2" t="s">
        <v>375</v>
      </c>
      <c r="G1528" s="2" t="s">
        <v>123</v>
      </c>
      <c r="H1528" s="23">
        <v>22000</v>
      </c>
      <c r="I1528" s="2">
        <v>2</v>
      </c>
      <c r="J1528" s="31">
        <v>20</v>
      </c>
      <c r="K1528" s="7">
        <f t="shared" si="92"/>
        <v>44000</v>
      </c>
      <c r="L1528" s="7">
        <f t="shared" si="93"/>
        <v>8800</v>
      </c>
      <c r="M1528" s="7">
        <f t="shared" si="94"/>
        <v>35200</v>
      </c>
      <c r="N1528" s="23">
        <v>21000</v>
      </c>
      <c r="O1528" s="7">
        <f t="shared" si="95"/>
        <v>56200</v>
      </c>
      <c r="P1528" s="2" t="s">
        <v>35</v>
      </c>
      <c r="Q1528" t="str">
        <f>_xlfn.XLOOKUP(B1528,Status!$A$2:$A$1867,Status!$B$2:$B$1867)</f>
        <v>Completed</v>
      </c>
      <c r="R1528" s="2" t="s">
        <v>36</v>
      </c>
      <c r="S1528" s="8">
        <v>1</v>
      </c>
      <c r="T1528" s="2" t="s">
        <v>24</v>
      </c>
      <c r="U1528" s="31" t="str" cm="1">
        <f t="array" ref="U1528">_xlfn.IFS(L1528&lt;=5000,$Z$3,AND(L1528&gt;5000,L1528&lt;=15000),$Z$4,AND(L1528&gt;15000,L1528&lt;=30000),$Z$5,AND(L1528&gt;30000,L1528&lt;=50000),$Z$6,L1528&gt;50000,$Z$7)</f>
        <v>Rendah</v>
      </c>
      <c r="V1528" s="2"/>
    </row>
    <row r="1529" spans="1:22" ht="15.75" customHeight="1" x14ac:dyDescent="0.25">
      <c r="A1529" s="26"/>
      <c r="B1529" s="2" t="s">
        <v>1902</v>
      </c>
      <c r="C1529" s="32">
        <v>45832.70207175926</v>
      </c>
      <c r="D1529" s="53">
        <f>YEAR(Table1[[#This Row],[Order Date]])</f>
        <v>2025</v>
      </c>
      <c r="E1529" s="2" t="s">
        <v>1047</v>
      </c>
      <c r="F1529" s="2" t="s">
        <v>160</v>
      </c>
      <c r="G1529" s="2" t="s">
        <v>38</v>
      </c>
      <c r="H1529" s="23">
        <v>28000</v>
      </c>
      <c r="I1529" s="2">
        <v>3</v>
      </c>
      <c r="J1529" s="31">
        <v>5</v>
      </c>
      <c r="K1529" s="7">
        <f t="shared" si="92"/>
        <v>84000</v>
      </c>
      <c r="L1529" s="7">
        <f t="shared" si="93"/>
        <v>4200</v>
      </c>
      <c r="M1529" s="7">
        <f t="shared" si="94"/>
        <v>79800</v>
      </c>
      <c r="N1529" s="23">
        <v>68000</v>
      </c>
      <c r="O1529" s="7">
        <f t="shared" si="95"/>
        <v>147800</v>
      </c>
      <c r="P1529" s="2" t="s">
        <v>22</v>
      </c>
      <c r="Q1529" t="str">
        <f>_xlfn.XLOOKUP(B1529,Status!$A$2:$A$1867,Status!$B$2:$B$1867)</f>
        <v>Completed</v>
      </c>
      <c r="R1529" s="2" t="s">
        <v>82</v>
      </c>
      <c r="S1529" s="8">
        <v>3</v>
      </c>
      <c r="T1529" s="2" t="s">
        <v>24</v>
      </c>
      <c r="U1529" s="31" t="str" cm="1">
        <f t="array" ref="U1529">_xlfn.IFS(L1529&lt;=5000,$Z$3,AND(L1529&gt;5000,L1529&lt;=15000),$Z$4,AND(L1529&gt;15000,L1529&lt;=30000),$Z$5,AND(L1529&gt;30000,L1529&lt;=50000),$Z$6,L1529&gt;50000,$Z$7)</f>
        <v>Sangat Rendah</v>
      </c>
      <c r="V1529" s="2"/>
    </row>
    <row r="1530" spans="1:22" ht="15.75" customHeight="1" x14ac:dyDescent="0.25">
      <c r="A1530" s="26"/>
      <c r="B1530" s="2" t="s">
        <v>1903</v>
      </c>
      <c r="C1530" s="32">
        <v>45832.955671296288</v>
      </c>
      <c r="D1530" s="53">
        <f>YEAR(Table1[[#This Row],[Order Date]])</f>
        <v>2025</v>
      </c>
      <c r="E1530" s="2" t="s">
        <v>337</v>
      </c>
      <c r="F1530" s="2" t="s">
        <v>131</v>
      </c>
      <c r="G1530" s="2" t="s">
        <v>144</v>
      </c>
      <c r="H1530" s="23">
        <v>18000</v>
      </c>
      <c r="I1530" s="2">
        <v>5</v>
      </c>
      <c r="J1530" s="31">
        <v>0</v>
      </c>
      <c r="K1530" s="7">
        <f t="shared" si="92"/>
        <v>90000</v>
      </c>
      <c r="L1530" s="7">
        <f t="shared" si="93"/>
        <v>0</v>
      </c>
      <c r="M1530" s="7">
        <f t="shared" si="94"/>
        <v>90000</v>
      </c>
      <c r="N1530" s="23">
        <v>59000</v>
      </c>
      <c r="O1530" s="7">
        <f t="shared" si="95"/>
        <v>149000</v>
      </c>
      <c r="P1530" s="2" t="s">
        <v>29</v>
      </c>
      <c r="Q1530" t="str">
        <f>_xlfn.XLOOKUP(B1530,Status!$A$2:$A$1867,Status!$B$2:$B$1867)</f>
        <v>Completed</v>
      </c>
      <c r="R1530" s="2" t="s">
        <v>23</v>
      </c>
      <c r="S1530" s="8">
        <v>5</v>
      </c>
      <c r="T1530" s="2" t="s">
        <v>24</v>
      </c>
      <c r="U1530" s="31" t="str" cm="1">
        <f t="array" ref="U1530">_xlfn.IFS(L1530&lt;=5000,$Z$3,AND(L1530&gt;5000,L1530&lt;=15000),$Z$4,AND(L1530&gt;15000,L1530&lt;=30000),$Z$5,AND(L1530&gt;30000,L1530&lt;=50000),$Z$6,L1530&gt;50000,$Z$7)</f>
        <v>Sangat Rendah</v>
      </c>
      <c r="V1530" s="2"/>
    </row>
    <row r="1531" spans="1:22" ht="15.75" customHeight="1" x14ac:dyDescent="0.25">
      <c r="A1531" s="26"/>
      <c r="B1531" s="2" t="s">
        <v>1904</v>
      </c>
      <c r="C1531" s="32">
        <v>45833.024351851847</v>
      </c>
      <c r="D1531" s="53">
        <f>YEAR(Table1[[#This Row],[Order Date]])</f>
        <v>2025</v>
      </c>
      <c r="E1531" s="2" t="s">
        <v>267</v>
      </c>
      <c r="F1531" s="2" t="s">
        <v>131</v>
      </c>
      <c r="G1531" s="2" t="s">
        <v>190</v>
      </c>
      <c r="H1531" s="23">
        <v>35000</v>
      </c>
      <c r="I1531" s="2">
        <v>4</v>
      </c>
      <c r="J1531" s="31">
        <v>15</v>
      </c>
      <c r="K1531" s="7">
        <f t="shared" si="92"/>
        <v>140000</v>
      </c>
      <c r="L1531" s="7">
        <f t="shared" si="93"/>
        <v>21000</v>
      </c>
      <c r="M1531" s="7">
        <f t="shared" si="94"/>
        <v>119000</v>
      </c>
      <c r="N1531" s="23">
        <v>59000</v>
      </c>
      <c r="O1531" s="7">
        <f t="shared" si="95"/>
        <v>178000</v>
      </c>
      <c r="P1531" s="2" t="s">
        <v>63</v>
      </c>
      <c r="Q1531" t="str">
        <f>_xlfn.XLOOKUP(B1531,Status!$A$2:$A$1867,Status!$B$2:$B$1867)</f>
        <v>Completed</v>
      </c>
      <c r="R1531" s="2" t="s">
        <v>23</v>
      </c>
      <c r="S1531" s="8">
        <v>4</v>
      </c>
      <c r="T1531" s="2" t="s">
        <v>24</v>
      </c>
      <c r="U1531" s="31" t="str" cm="1">
        <f t="array" ref="U1531">_xlfn.IFS(L1531&lt;=5000,$Z$3,AND(L1531&gt;5000,L1531&lt;=15000),$Z$4,AND(L1531&gt;15000,L1531&lt;=30000),$Z$5,AND(L1531&gt;30000,L1531&lt;=50000),$Z$6,L1531&gt;50000,$Z$7)</f>
        <v>Normal</v>
      </c>
      <c r="V1531" s="2"/>
    </row>
    <row r="1532" spans="1:22" ht="15.75" customHeight="1" x14ac:dyDescent="0.25">
      <c r="A1532" s="26"/>
      <c r="B1532" s="2" t="s">
        <v>1905</v>
      </c>
      <c r="C1532" s="32">
        <v>45833.297638888893</v>
      </c>
      <c r="D1532" s="53">
        <f>YEAR(Table1[[#This Row],[Order Date]])</f>
        <v>2025</v>
      </c>
      <c r="E1532" s="2" t="s">
        <v>985</v>
      </c>
      <c r="F1532" s="2" t="s">
        <v>53</v>
      </c>
      <c r="G1532" s="2" t="s">
        <v>54</v>
      </c>
      <c r="H1532" s="23">
        <v>16000</v>
      </c>
      <c r="I1532" s="2">
        <v>2</v>
      </c>
      <c r="J1532" s="31">
        <v>10</v>
      </c>
      <c r="K1532" s="7">
        <f t="shared" si="92"/>
        <v>32000</v>
      </c>
      <c r="L1532" s="7">
        <f t="shared" si="93"/>
        <v>3200</v>
      </c>
      <c r="M1532" s="7">
        <f t="shared" si="94"/>
        <v>28800</v>
      </c>
      <c r="N1532" s="23">
        <v>18000</v>
      </c>
      <c r="O1532" s="7">
        <f t="shared" si="95"/>
        <v>46800</v>
      </c>
      <c r="P1532" s="2" t="s">
        <v>63</v>
      </c>
      <c r="Q1532" t="str">
        <f>_xlfn.XLOOKUP(B1532,Status!$A$2:$A$1867,Status!$B$2:$B$1867)</f>
        <v>Returned</v>
      </c>
      <c r="R1532" s="2" t="s">
        <v>23</v>
      </c>
      <c r="S1532" s="8">
        <v>5</v>
      </c>
      <c r="T1532" s="2" t="s">
        <v>24</v>
      </c>
      <c r="U1532" s="31" t="str" cm="1">
        <f t="array" ref="U1532">_xlfn.IFS(L1532&lt;=5000,$Z$3,AND(L1532&gt;5000,L1532&lt;=15000),$Z$4,AND(L1532&gt;15000,L1532&lt;=30000),$Z$5,AND(L1532&gt;30000,L1532&lt;=50000),$Z$6,L1532&gt;50000,$Z$7)</f>
        <v>Sangat Rendah</v>
      </c>
      <c r="V1532" s="2"/>
    </row>
    <row r="1533" spans="1:22" ht="15.75" customHeight="1" x14ac:dyDescent="0.25">
      <c r="A1533" s="26"/>
      <c r="B1533" s="2" t="s">
        <v>1906</v>
      </c>
      <c r="C1533" s="32">
        <v>45833.859907407408</v>
      </c>
      <c r="D1533" s="53">
        <f>YEAR(Table1[[#This Row],[Order Date]])</f>
        <v>2025</v>
      </c>
      <c r="E1533" s="2" t="s">
        <v>1654</v>
      </c>
      <c r="F1533" s="2" t="s">
        <v>74</v>
      </c>
      <c r="G1533" s="2" t="s">
        <v>28</v>
      </c>
      <c r="H1533" s="23">
        <v>5000</v>
      </c>
      <c r="I1533" s="2">
        <v>3</v>
      </c>
      <c r="J1533" s="31">
        <v>0</v>
      </c>
      <c r="K1533" s="7">
        <f t="shared" si="92"/>
        <v>15000</v>
      </c>
      <c r="L1533" s="7">
        <f t="shared" si="93"/>
        <v>0</v>
      </c>
      <c r="M1533" s="7">
        <f t="shared" si="94"/>
        <v>15000</v>
      </c>
      <c r="N1533" s="23">
        <v>87000</v>
      </c>
      <c r="O1533" s="7">
        <f t="shared" si="95"/>
        <v>102000</v>
      </c>
      <c r="P1533" s="2" t="s">
        <v>35</v>
      </c>
      <c r="Q1533" t="str">
        <f>_xlfn.XLOOKUP(B1533,Status!$A$2:$A$1867,Status!$B$2:$B$1867)</f>
        <v>Completed</v>
      </c>
      <c r="R1533" s="2" t="s">
        <v>36</v>
      </c>
      <c r="S1533" s="8">
        <v>2</v>
      </c>
      <c r="T1533" s="2" t="s">
        <v>37</v>
      </c>
      <c r="U1533" s="31" t="str" cm="1">
        <f t="array" ref="U1533">_xlfn.IFS(L1533&lt;=5000,$Z$3,AND(L1533&gt;5000,L1533&lt;=15000),$Z$4,AND(L1533&gt;15000,L1533&lt;=30000),$Z$5,AND(L1533&gt;30000,L1533&lt;=50000),$Z$6,L1533&gt;50000,$Z$7)</f>
        <v>Sangat Rendah</v>
      </c>
      <c r="V1533" s="2"/>
    </row>
    <row r="1534" spans="1:22" ht="15.75" customHeight="1" x14ac:dyDescent="0.25">
      <c r="A1534" s="26"/>
      <c r="B1534" s="2" t="s">
        <v>1907</v>
      </c>
      <c r="C1534" s="32">
        <v>45834.059502314813</v>
      </c>
      <c r="D1534" s="53">
        <f>YEAR(Table1[[#This Row],[Order Date]])</f>
        <v>2025</v>
      </c>
      <c r="E1534" s="2" t="s">
        <v>222</v>
      </c>
      <c r="F1534" s="2" t="s">
        <v>49</v>
      </c>
      <c r="G1534" s="2" t="s">
        <v>190</v>
      </c>
      <c r="H1534" s="23">
        <v>35000</v>
      </c>
      <c r="I1534" s="2">
        <v>3</v>
      </c>
      <c r="J1534" s="31">
        <v>10</v>
      </c>
      <c r="K1534" s="7">
        <f t="shared" si="92"/>
        <v>105000</v>
      </c>
      <c r="L1534" s="7">
        <f t="shared" si="93"/>
        <v>10500</v>
      </c>
      <c r="M1534" s="7">
        <f t="shared" si="94"/>
        <v>94500</v>
      </c>
      <c r="N1534" s="23">
        <v>43000</v>
      </c>
      <c r="O1534" s="7">
        <f t="shared" si="95"/>
        <v>137500</v>
      </c>
      <c r="P1534" s="2" t="s">
        <v>29</v>
      </c>
      <c r="Q1534" t="str">
        <f>_xlfn.XLOOKUP(B1534,Status!$A$2:$A$1867,Status!$B$2:$B$1867)</f>
        <v>Completed</v>
      </c>
      <c r="R1534" s="2" t="s">
        <v>46</v>
      </c>
      <c r="S1534" s="8">
        <v>3</v>
      </c>
      <c r="T1534" s="2" t="s">
        <v>24</v>
      </c>
      <c r="U1534" s="31" t="str" cm="1">
        <f t="array" ref="U1534">_xlfn.IFS(L1534&lt;=5000,$Z$3,AND(L1534&gt;5000,L1534&lt;=15000),$Z$4,AND(L1534&gt;15000,L1534&lt;=30000),$Z$5,AND(L1534&gt;30000,L1534&lt;=50000),$Z$6,L1534&gt;50000,$Z$7)</f>
        <v>Rendah</v>
      </c>
      <c r="V1534" s="2"/>
    </row>
    <row r="1535" spans="1:22" ht="15.75" customHeight="1" x14ac:dyDescent="0.25">
      <c r="A1535" s="26"/>
      <c r="B1535" s="2" t="s">
        <v>1908</v>
      </c>
      <c r="C1535" s="32">
        <v>45834.124675925923</v>
      </c>
      <c r="D1535" s="53">
        <f>YEAR(Table1[[#This Row],[Order Date]])</f>
        <v>2025</v>
      </c>
      <c r="E1535" s="2" t="s">
        <v>891</v>
      </c>
      <c r="F1535" s="2" t="s">
        <v>126</v>
      </c>
      <c r="G1535" s="2" t="s">
        <v>75</v>
      </c>
      <c r="H1535" s="23">
        <v>55000</v>
      </c>
      <c r="I1535" s="2">
        <v>1</v>
      </c>
      <c r="J1535" s="31">
        <v>10</v>
      </c>
      <c r="K1535" s="7">
        <f t="shared" si="92"/>
        <v>55000</v>
      </c>
      <c r="L1535" s="7">
        <f t="shared" si="93"/>
        <v>5500</v>
      </c>
      <c r="M1535" s="7">
        <f t="shared" si="94"/>
        <v>49500</v>
      </c>
      <c r="N1535" s="23">
        <v>84000</v>
      </c>
      <c r="O1535" s="7">
        <f t="shared" si="95"/>
        <v>133500</v>
      </c>
      <c r="P1535" s="2" t="s">
        <v>22</v>
      </c>
      <c r="Q1535" t="str">
        <f>_xlfn.XLOOKUP(B1535,Status!$A$2:$A$1867,Status!$B$2:$B$1867)</f>
        <v>Completed</v>
      </c>
      <c r="R1535" s="2" t="s">
        <v>82</v>
      </c>
      <c r="S1535" s="8">
        <v>3</v>
      </c>
      <c r="T1535" s="2" t="s">
        <v>37</v>
      </c>
      <c r="U1535" s="31" t="str" cm="1">
        <f t="array" ref="U1535">_xlfn.IFS(L1535&lt;=5000,$Z$3,AND(L1535&gt;5000,L1535&lt;=15000),$Z$4,AND(L1535&gt;15000,L1535&lt;=30000),$Z$5,AND(L1535&gt;30000,L1535&lt;=50000),$Z$6,L1535&gt;50000,$Z$7)</f>
        <v>Rendah</v>
      </c>
      <c r="V1535" s="2"/>
    </row>
    <row r="1536" spans="1:22" ht="15.75" customHeight="1" x14ac:dyDescent="0.25">
      <c r="A1536" s="26"/>
      <c r="B1536" s="2" t="s">
        <v>1909</v>
      </c>
      <c r="C1536" s="32">
        <v>45834.260358796288</v>
      </c>
      <c r="D1536" s="53">
        <f>YEAR(Table1[[#This Row],[Order Date]])</f>
        <v>2025</v>
      </c>
      <c r="E1536" s="2" t="s">
        <v>1040</v>
      </c>
      <c r="F1536" s="2" t="s">
        <v>61</v>
      </c>
      <c r="G1536" s="2" t="s">
        <v>138</v>
      </c>
      <c r="H1536" s="23">
        <v>17000</v>
      </c>
      <c r="I1536" s="2">
        <v>4</v>
      </c>
      <c r="J1536" s="31">
        <v>15</v>
      </c>
      <c r="K1536" s="7">
        <f t="shared" si="92"/>
        <v>68000</v>
      </c>
      <c r="L1536" s="7">
        <f t="shared" si="93"/>
        <v>10200</v>
      </c>
      <c r="M1536" s="7">
        <f t="shared" si="94"/>
        <v>57800</v>
      </c>
      <c r="N1536" s="23">
        <v>26000</v>
      </c>
      <c r="O1536" s="7">
        <f t="shared" si="95"/>
        <v>83800</v>
      </c>
      <c r="P1536" s="2" t="s">
        <v>63</v>
      </c>
      <c r="Q1536" t="str">
        <f>_xlfn.XLOOKUP(B1536,Status!$A$2:$A$1867,Status!$B$2:$B$1867)</f>
        <v>Completed</v>
      </c>
      <c r="R1536" s="2" t="s">
        <v>46</v>
      </c>
      <c r="S1536" s="8">
        <v>2</v>
      </c>
      <c r="T1536" s="2" t="s">
        <v>24</v>
      </c>
      <c r="U1536" s="31" t="str" cm="1">
        <f t="array" ref="U1536">_xlfn.IFS(L1536&lt;=5000,$Z$3,AND(L1536&gt;5000,L1536&lt;=15000),$Z$4,AND(L1536&gt;15000,L1536&lt;=30000),$Z$5,AND(L1536&gt;30000,L1536&lt;=50000),$Z$6,L1536&gt;50000,$Z$7)</f>
        <v>Rendah</v>
      </c>
      <c r="V1536" s="2"/>
    </row>
    <row r="1537" spans="1:22" ht="15.75" customHeight="1" x14ac:dyDescent="0.25">
      <c r="A1537" s="26"/>
      <c r="B1537" s="2" t="s">
        <v>1910</v>
      </c>
      <c r="C1537" s="32">
        <v>45834.40934027778</v>
      </c>
      <c r="D1537" s="53">
        <f>YEAR(Table1[[#This Row],[Order Date]])</f>
        <v>2025</v>
      </c>
      <c r="E1537" s="2" t="s">
        <v>118</v>
      </c>
      <c r="F1537" s="2" t="s">
        <v>119</v>
      </c>
      <c r="G1537" s="2" t="s">
        <v>75</v>
      </c>
      <c r="H1537" s="23">
        <v>55000</v>
      </c>
      <c r="I1537" s="2">
        <v>3</v>
      </c>
      <c r="J1537" s="31">
        <v>5</v>
      </c>
      <c r="K1537" s="7">
        <f t="shared" si="92"/>
        <v>165000</v>
      </c>
      <c r="L1537" s="7">
        <f t="shared" si="93"/>
        <v>8250</v>
      </c>
      <c r="M1537" s="7">
        <f t="shared" si="94"/>
        <v>156750</v>
      </c>
      <c r="N1537" s="23">
        <v>0</v>
      </c>
      <c r="O1537" s="7">
        <f t="shared" si="95"/>
        <v>156750</v>
      </c>
      <c r="P1537" s="2" t="s">
        <v>22</v>
      </c>
      <c r="Q1537" t="str">
        <f>_xlfn.XLOOKUP(B1537,Status!$A$2:$A$1867,Status!$B$2:$B$1867)</f>
        <v>Cancelled</v>
      </c>
      <c r="R1537" s="2" t="s">
        <v>23</v>
      </c>
      <c r="S1537" s="8">
        <v>1</v>
      </c>
      <c r="T1537" s="2" t="s">
        <v>24</v>
      </c>
      <c r="U1537" s="31" t="str" cm="1">
        <f t="array" ref="U1537">_xlfn.IFS(L1537&lt;=5000,$Z$3,AND(L1537&gt;5000,L1537&lt;=15000),$Z$4,AND(L1537&gt;15000,L1537&lt;=30000),$Z$5,AND(L1537&gt;30000,L1537&lt;=50000),$Z$6,L1537&gt;50000,$Z$7)</f>
        <v>Rendah</v>
      </c>
      <c r="V1537" s="2"/>
    </row>
    <row r="1538" spans="1:22" ht="15.75" customHeight="1" x14ac:dyDescent="0.25">
      <c r="A1538" s="26"/>
      <c r="B1538" s="2" t="s">
        <v>1911</v>
      </c>
      <c r="C1538" s="32">
        <v>45834.511157407411</v>
      </c>
      <c r="D1538" s="53">
        <f>YEAR(Table1[[#This Row],[Order Date]])</f>
        <v>2025</v>
      </c>
      <c r="E1538" s="2" t="s">
        <v>106</v>
      </c>
      <c r="F1538" s="2" t="s">
        <v>107</v>
      </c>
      <c r="G1538" s="2" t="s">
        <v>136</v>
      </c>
      <c r="H1538" s="23">
        <v>12000</v>
      </c>
      <c r="I1538" s="2">
        <v>1</v>
      </c>
      <c r="J1538" s="31">
        <v>10</v>
      </c>
      <c r="K1538" s="7">
        <f t="shared" si="92"/>
        <v>12000</v>
      </c>
      <c r="L1538" s="7">
        <f t="shared" si="93"/>
        <v>1200</v>
      </c>
      <c r="M1538" s="7">
        <f t="shared" si="94"/>
        <v>10800</v>
      </c>
      <c r="N1538" s="23">
        <v>97000</v>
      </c>
      <c r="O1538" s="7">
        <f t="shared" si="95"/>
        <v>107800</v>
      </c>
      <c r="P1538" s="2" t="s">
        <v>63</v>
      </c>
      <c r="Q1538" t="str">
        <f>_xlfn.XLOOKUP(B1538,Status!$A$2:$A$1867,Status!$B$2:$B$1867)</f>
        <v>Completed</v>
      </c>
      <c r="R1538" s="2" t="s">
        <v>82</v>
      </c>
      <c r="S1538" s="8">
        <v>2</v>
      </c>
      <c r="T1538" s="2" t="s">
        <v>24</v>
      </c>
      <c r="U1538" s="31" t="str" cm="1">
        <f t="array" ref="U1538">_xlfn.IFS(L1538&lt;=5000,$Z$3,AND(L1538&gt;5000,L1538&lt;=15000),$Z$4,AND(L1538&gt;15000,L1538&lt;=30000),$Z$5,AND(L1538&gt;30000,L1538&lt;=50000),$Z$6,L1538&gt;50000,$Z$7)</f>
        <v>Sangat Rendah</v>
      </c>
      <c r="V1538" s="2"/>
    </row>
    <row r="1539" spans="1:22" ht="15.75" customHeight="1" x14ac:dyDescent="0.25">
      <c r="A1539" s="26"/>
      <c r="B1539" s="2" t="s">
        <v>1912</v>
      </c>
      <c r="C1539" s="32">
        <v>45834.859282407408</v>
      </c>
      <c r="D1539" s="53">
        <f>YEAR(Table1[[#This Row],[Order Date]])</f>
        <v>2025</v>
      </c>
      <c r="E1539" s="2" t="s">
        <v>243</v>
      </c>
      <c r="F1539" s="2" t="s">
        <v>244</v>
      </c>
      <c r="G1539" s="2" t="s">
        <v>250</v>
      </c>
      <c r="H1539" s="23">
        <v>18000</v>
      </c>
      <c r="I1539" s="2">
        <v>5</v>
      </c>
      <c r="J1539" s="31">
        <v>0</v>
      </c>
      <c r="K1539" s="7">
        <f t="shared" si="92"/>
        <v>90000</v>
      </c>
      <c r="L1539" s="7">
        <f t="shared" si="93"/>
        <v>0</v>
      </c>
      <c r="M1539" s="7">
        <f t="shared" si="94"/>
        <v>90000</v>
      </c>
      <c r="N1539" s="23">
        <v>80000</v>
      </c>
      <c r="O1539" s="7">
        <f t="shared" si="95"/>
        <v>170000</v>
      </c>
      <c r="P1539" s="2" t="s">
        <v>22</v>
      </c>
      <c r="Q1539" t="str">
        <f>_xlfn.XLOOKUP(B1539,Status!$A$2:$A$1867,Status!$B$2:$B$1867)</f>
        <v>Returned</v>
      </c>
      <c r="R1539" s="2" t="s">
        <v>82</v>
      </c>
      <c r="S1539" s="8">
        <v>4</v>
      </c>
      <c r="T1539" s="2" t="s">
        <v>37</v>
      </c>
      <c r="U1539" s="31" t="str" cm="1">
        <f t="array" ref="U1539">_xlfn.IFS(L1539&lt;=5000,$Z$3,AND(L1539&gt;5000,L1539&lt;=15000),$Z$4,AND(L1539&gt;15000,L1539&lt;=30000),$Z$5,AND(L1539&gt;30000,L1539&lt;=50000),$Z$6,L1539&gt;50000,$Z$7)</f>
        <v>Sangat Rendah</v>
      </c>
      <c r="V1539" s="2"/>
    </row>
    <row r="1540" spans="1:22" ht="15.75" customHeight="1" x14ac:dyDescent="0.25">
      <c r="A1540" s="26"/>
      <c r="B1540" s="2" t="s">
        <v>1913</v>
      </c>
      <c r="C1540" s="32">
        <v>45834.879988425928</v>
      </c>
      <c r="D1540" s="53">
        <f>YEAR(Table1[[#This Row],[Order Date]])</f>
        <v>2025</v>
      </c>
      <c r="E1540" s="2" t="s">
        <v>515</v>
      </c>
      <c r="F1540" s="2" t="s">
        <v>182</v>
      </c>
      <c r="G1540" s="2" t="s">
        <v>88</v>
      </c>
      <c r="H1540" s="23">
        <v>14000</v>
      </c>
      <c r="I1540" s="2">
        <v>2</v>
      </c>
      <c r="J1540" s="31">
        <v>5</v>
      </c>
      <c r="K1540" s="7">
        <f t="shared" ref="K1540:K1603" si="96">H1540*I1540</f>
        <v>28000</v>
      </c>
      <c r="L1540" s="7">
        <f t="shared" ref="L1540:L1603" si="97">K1540*(J1540/100)</f>
        <v>1400</v>
      </c>
      <c r="M1540" s="7">
        <f t="shared" ref="M1540:M1603" si="98">K1540-L1540</f>
        <v>26600</v>
      </c>
      <c r="N1540" s="23">
        <v>48000</v>
      </c>
      <c r="O1540" s="7">
        <f t="shared" ref="O1540:O1603" si="99">SUM(M1540:N1540)</f>
        <v>74600</v>
      </c>
      <c r="P1540" s="2" t="s">
        <v>63</v>
      </c>
      <c r="Q1540" t="str">
        <f>_xlfn.XLOOKUP(B1540,Status!$A$2:$A$1867,Status!$B$2:$B$1867)</f>
        <v>Completed</v>
      </c>
      <c r="R1540" s="2" t="s">
        <v>46</v>
      </c>
      <c r="S1540" s="8">
        <v>1</v>
      </c>
      <c r="T1540" s="2" t="s">
        <v>24</v>
      </c>
      <c r="U1540" s="31" t="str" cm="1">
        <f t="array" ref="U1540">_xlfn.IFS(L1540&lt;=5000,$Z$3,AND(L1540&gt;5000,L1540&lt;=15000),$Z$4,AND(L1540&gt;15000,L1540&lt;=30000),$Z$5,AND(L1540&gt;30000,L1540&lt;=50000),$Z$6,L1540&gt;50000,$Z$7)</f>
        <v>Sangat Rendah</v>
      </c>
      <c r="V1540" s="2"/>
    </row>
    <row r="1541" spans="1:22" ht="15.75" customHeight="1" x14ac:dyDescent="0.25">
      <c r="A1541" s="26"/>
      <c r="B1541" s="2" t="s">
        <v>1914</v>
      </c>
      <c r="C1541" s="32">
        <v>45835.018020833333</v>
      </c>
      <c r="D1541" s="53">
        <f>YEAR(Table1[[#This Row],[Order Date]])</f>
        <v>2025</v>
      </c>
      <c r="E1541" s="2" t="s">
        <v>774</v>
      </c>
      <c r="F1541" s="2" t="s">
        <v>262</v>
      </c>
      <c r="G1541" s="2" t="s">
        <v>250</v>
      </c>
      <c r="H1541" s="23">
        <v>18000</v>
      </c>
      <c r="I1541" s="2">
        <v>1</v>
      </c>
      <c r="J1541" s="31">
        <v>10</v>
      </c>
      <c r="K1541" s="7">
        <f t="shared" si="96"/>
        <v>18000</v>
      </c>
      <c r="L1541" s="7">
        <f t="shared" si="97"/>
        <v>1800</v>
      </c>
      <c r="M1541" s="7">
        <f t="shared" si="98"/>
        <v>16200</v>
      </c>
      <c r="N1541" s="23">
        <v>18000</v>
      </c>
      <c r="O1541" s="7">
        <f t="shared" si="99"/>
        <v>34200</v>
      </c>
      <c r="P1541" s="2" t="s">
        <v>29</v>
      </c>
      <c r="Q1541" t="str">
        <f>_xlfn.XLOOKUP(B1541,Status!$A$2:$A$1867,Status!$B$2:$B$1867)</f>
        <v>Completed</v>
      </c>
      <c r="R1541" s="2" t="s">
        <v>36</v>
      </c>
      <c r="S1541" s="8">
        <v>2</v>
      </c>
      <c r="T1541" s="2" t="s">
        <v>24</v>
      </c>
      <c r="U1541" s="31" t="str" cm="1">
        <f t="array" ref="U1541">_xlfn.IFS(L1541&lt;=5000,$Z$3,AND(L1541&gt;5000,L1541&lt;=15000),$Z$4,AND(L1541&gt;15000,L1541&lt;=30000),$Z$5,AND(L1541&gt;30000,L1541&lt;=50000),$Z$6,L1541&gt;50000,$Z$7)</f>
        <v>Sangat Rendah</v>
      </c>
      <c r="V1541" s="2"/>
    </row>
    <row r="1542" spans="1:22" ht="15.75" customHeight="1" x14ac:dyDescent="0.25">
      <c r="A1542" s="26"/>
      <c r="B1542" s="2" t="s">
        <v>1915</v>
      </c>
      <c r="C1542" s="32">
        <v>45835.074872685182</v>
      </c>
      <c r="D1542" s="53">
        <f>YEAR(Table1[[#This Row],[Order Date]])</f>
        <v>2025</v>
      </c>
      <c r="E1542" s="2" t="s">
        <v>473</v>
      </c>
      <c r="F1542" s="2" t="s">
        <v>122</v>
      </c>
      <c r="G1542" s="2" t="s">
        <v>21</v>
      </c>
      <c r="H1542" s="23">
        <v>45000</v>
      </c>
      <c r="I1542" s="2">
        <v>3</v>
      </c>
      <c r="J1542" s="31">
        <v>0</v>
      </c>
      <c r="K1542" s="7">
        <f t="shared" si="96"/>
        <v>135000</v>
      </c>
      <c r="L1542" s="7">
        <f t="shared" si="97"/>
        <v>0</v>
      </c>
      <c r="M1542" s="7">
        <f t="shared" si="98"/>
        <v>135000</v>
      </c>
      <c r="N1542" s="23">
        <v>78000</v>
      </c>
      <c r="O1542" s="7">
        <f t="shared" si="99"/>
        <v>213000</v>
      </c>
      <c r="P1542" s="2" t="s">
        <v>29</v>
      </c>
      <c r="Q1542" t="str">
        <f>_xlfn.XLOOKUP(B1542,Status!$A$2:$A$1867,Status!$B$2:$B$1867)</f>
        <v>Completed</v>
      </c>
      <c r="R1542" s="2" t="s">
        <v>36</v>
      </c>
      <c r="S1542" s="8">
        <v>4</v>
      </c>
      <c r="T1542" s="2" t="s">
        <v>24</v>
      </c>
      <c r="U1542" s="31" t="str" cm="1">
        <f t="array" ref="U1542">_xlfn.IFS(L1542&lt;=5000,$Z$3,AND(L1542&gt;5000,L1542&lt;=15000),$Z$4,AND(L1542&gt;15000,L1542&lt;=30000),$Z$5,AND(L1542&gt;30000,L1542&lt;=50000),$Z$6,L1542&gt;50000,$Z$7)</f>
        <v>Sangat Rendah</v>
      </c>
      <c r="V1542" s="2"/>
    </row>
    <row r="1543" spans="1:22" ht="15.75" customHeight="1" x14ac:dyDescent="0.25">
      <c r="A1543" s="26"/>
      <c r="B1543" s="2" t="s">
        <v>1916</v>
      </c>
      <c r="C1543" s="32">
        <v>45835.552071759259</v>
      </c>
      <c r="D1543" s="53">
        <f>YEAR(Table1[[#This Row],[Order Date]])</f>
        <v>2025</v>
      </c>
      <c r="E1543" s="2" t="s">
        <v>112</v>
      </c>
      <c r="F1543" s="2" t="s">
        <v>113</v>
      </c>
      <c r="G1543" s="2" t="s">
        <v>50</v>
      </c>
      <c r="H1543" s="23">
        <v>14000</v>
      </c>
      <c r="I1543" s="2">
        <v>1</v>
      </c>
      <c r="J1543" s="31">
        <v>10</v>
      </c>
      <c r="K1543" s="7">
        <f t="shared" si="96"/>
        <v>14000</v>
      </c>
      <c r="L1543" s="7">
        <f t="shared" si="97"/>
        <v>1400</v>
      </c>
      <c r="M1543" s="7">
        <f t="shared" si="98"/>
        <v>12600</v>
      </c>
      <c r="N1543" s="23">
        <v>18000</v>
      </c>
      <c r="O1543" s="7">
        <f t="shared" si="99"/>
        <v>30600</v>
      </c>
      <c r="P1543" s="2" t="s">
        <v>63</v>
      </c>
      <c r="Q1543" t="str">
        <f>_xlfn.XLOOKUP(B1543,Status!$A$2:$A$1867,Status!$B$2:$B$1867)</f>
        <v>Completed</v>
      </c>
      <c r="R1543" s="2" t="s">
        <v>36</v>
      </c>
      <c r="S1543" s="8">
        <v>5</v>
      </c>
      <c r="T1543" s="2" t="s">
        <v>24</v>
      </c>
      <c r="U1543" s="31" t="str" cm="1">
        <f t="array" ref="U1543">_xlfn.IFS(L1543&lt;=5000,$Z$3,AND(L1543&gt;5000,L1543&lt;=15000),$Z$4,AND(L1543&gt;15000,L1543&lt;=30000),$Z$5,AND(L1543&gt;30000,L1543&lt;=50000),$Z$6,L1543&gt;50000,$Z$7)</f>
        <v>Sangat Rendah</v>
      </c>
      <c r="V1543" s="2"/>
    </row>
    <row r="1544" spans="1:22" ht="15.75" customHeight="1" x14ac:dyDescent="0.25">
      <c r="A1544" s="26"/>
      <c r="B1544" s="2" t="s">
        <v>1917</v>
      </c>
      <c r="C1544" s="32">
        <v>45835.804826388892</v>
      </c>
      <c r="D1544" s="53">
        <f>YEAR(Table1[[#This Row],[Order Date]])</f>
        <v>2025</v>
      </c>
      <c r="E1544" s="2" t="s">
        <v>184</v>
      </c>
      <c r="F1544" s="2" t="s">
        <v>103</v>
      </c>
      <c r="G1544" s="2" t="s">
        <v>41</v>
      </c>
      <c r="H1544" s="23">
        <v>4000</v>
      </c>
      <c r="I1544" s="2">
        <v>3</v>
      </c>
      <c r="J1544" s="31">
        <v>0</v>
      </c>
      <c r="K1544" s="7">
        <f t="shared" si="96"/>
        <v>12000</v>
      </c>
      <c r="L1544" s="7">
        <f t="shared" si="97"/>
        <v>0</v>
      </c>
      <c r="M1544" s="7">
        <f t="shared" si="98"/>
        <v>12000</v>
      </c>
      <c r="N1544" s="23">
        <v>85000</v>
      </c>
      <c r="O1544" s="7">
        <f t="shared" si="99"/>
        <v>97000</v>
      </c>
      <c r="P1544" s="2" t="s">
        <v>22</v>
      </c>
      <c r="Q1544" t="str">
        <f>_xlfn.XLOOKUP(B1544,Status!$A$2:$A$1867,Status!$B$2:$B$1867)</f>
        <v>Returned</v>
      </c>
      <c r="R1544" s="2" t="s">
        <v>46</v>
      </c>
      <c r="S1544" s="8">
        <v>2</v>
      </c>
      <c r="T1544" s="2" t="s">
        <v>24</v>
      </c>
      <c r="U1544" s="31" t="str" cm="1">
        <f t="array" ref="U1544">_xlfn.IFS(L1544&lt;=5000,$Z$3,AND(L1544&gt;5000,L1544&lt;=15000),$Z$4,AND(L1544&gt;15000,L1544&lt;=30000),$Z$5,AND(L1544&gt;30000,L1544&lt;=50000),$Z$6,L1544&gt;50000,$Z$7)</f>
        <v>Sangat Rendah</v>
      </c>
      <c r="V1544" s="2"/>
    </row>
    <row r="1545" spans="1:22" ht="15.75" customHeight="1" x14ac:dyDescent="0.25">
      <c r="A1545" s="26"/>
      <c r="B1545" s="2" t="s">
        <v>1918</v>
      </c>
      <c r="C1545" s="32">
        <v>45835.8749537037</v>
      </c>
      <c r="D1545" s="53">
        <f>YEAR(Table1[[#This Row],[Order Date]])</f>
        <v>2025</v>
      </c>
      <c r="E1545" s="2" t="s">
        <v>40</v>
      </c>
      <c r="F1545" s="2" t="s">
        <v>27</v>
      </c>
      <c r="G1545" s="2" t="s">
        <v>75</v>
      </c>
      <c r="H1545" s="23">
        <v>55000</v>
      </c>
      <c r="I1545" s="2">
        <v>2</v>
      </c>
      <c r="J1545" s="31">
        <v>20</v>
      </c>
      <c r="K1545" s="7">
        <f t="shared" si="96"/>
        <v>110000</v>
      </c>
      <c r="L1545" s="7">
        <f t="shared" si="97"/>
        <v>22000</v>
      </c>
      <c r="M1545" s="7">
        <f t="shared" si="98"/>
        <v>88000</v>
      </c>
      <c r="N1545" s="23">
        <v>17000</v>
      </c>
      <c r="O1545" s="7">
        <f t="shared" si="99"/>
        <v>105000</v>
      </c>
      <c r="P1545" s="2" t="s">
        <v>63</v>
      </c>
      <c r="Q1545" t="str">
        <f>_xlfn.XLOOKUP(B1545,Status!$A$2:$A$1867,Status!$B$2:$B$1867)</f>
        <v>Completed</v>
      </c>
      <c r="R1545" s="2" t="s">
        <v>30</v>
      </c>
      <c r="S1545" s="8">
        <v>1</v>
      </c>
      <c r="T1545" s="2" t="s">
        <v>24</v>
      </c>
      <c r="U1545" s="31" t="str" cm="1">
        <f t="array" ref="U1545">_xlfn.IFS(L1545&lt;=5000,$Z$3,AND(L1545&gt;5000,L1545&lt;=15000),$Z$4,AND(L1545&gt;15000,L1545&lt;=30000),$Z$5,AND(L1545&gt;30000,L1545&lt;=50000),$Z$6,L1545&gt;50000,$Z$7)</f>
        <v>Normal</v>
      </c>
      <c r="V1545" s="2"/>
    </row>
    <row r="1546" spans="1:22" ht="15.75" customHeight="1" x14ac:dyDescent="0.25">
      <c r="A1546" s="26"/>
      <c r="B1546" s="2" t="s">
        <v>1919</v>
      </c>
      <c r="C1546" s="32">
        <v>45836.165405092594</v>
      </c>
      <c r="D1546" s="53">
        <f>YEAR(Table1[[#This Row],[Order Date]])</f>
        <v>2025</v>
      </c>
      <c r="E1546" s="2" t="s">
        <v>1317</v>
      </c>
      <c r="F1546" s="2" t="s">
        <v>113</v>
      </c>
      <c r="G1546" s="2" t="s">
        <v>54</v>
      </c>
      <c r="H1546" s="23">
        <v>16000</v>
      </c>
      <c r="I1546" s="2">
        <v>3</v>
      </c>
      <c r="J1546" s="31">
        <v>5</v>
      </c>
      <c r="K1546" s="7">
        <f t="shared" si="96"/>
        <v>48000</v>
      </c>
      <c r="L1546" s="7">
        <f t="shared" si="97"/>
        <v>2400</v>
      </c>
      <c r="M1546" s="7">
        <f t="shared" si="98"/>
        <v>45600</v>
      </c>
      <c r="N1546" s="23">
        <v>18000</v>
      </c>
      <c r="O1546" s="7">
        <f t="shared" si="99"/>
        <v>63600</v>
      </c>
      <c r="P1546" s="2" t="s">
        <v>35</v>
      </c>
      <c r="Q1546" t="str">
        <f>_xlfn.XLOOKUP(B1546,Status!$A$2:$A$1867,Status!$B$2:$B$1867)</f>
        <v>Completed</v>
      </c>
      <c r="R1546" s="2" t="s">
        <v>46</v>
      </c>
      <c r="S1546" s="8">
        <v>2</v>
      </c>
      <c r="T1546" s="2" t="s">
        <v>37</v>
      </c>
      <c r="U1546" s="31" t="str" cm="1">
        <f t="array" ref="U1546">_xlfn.IFS(L1546&lt;=5000,$Z$3,AND(L1546&gt;5000,L1546&lt;=15000),$Z$4,AND(L1546&gt;15000,L1546&lt;=30000),$Z$5,AND(L1546&gt;30000,L1546&lt;=50000),$Z$6,L1546&gt;50000,$Z$7)</f>
        <v>Sangat Rendah</v>
      </c>
      <c r="V1546" s="2"/>
    </row>
    <row r="1547" spans="1:22" ht="15.75" customHeight="1" x14ac:dyDescent="0.25">
      <c r="A1547" s="26"/>
      <c r="B1547" s="2" t="s">
        <v>1920</v>
      </c>
      <c r="C1547" s="32">
        <v>45836.346585648149</v>
      </c>
      <c r="D1547" s="53">
        <f>YEAR(Table1[[#This Row],[Order Date]])</f>
        <v>2025</v>
      </c>
      <c r="E1547" s="2" t="s">
        <v>146</v>
      </c>
      <c r="F1547" s="2" t="s">
        <v>92</v>
      </c>
      <c r="G1547" s="2" t="s">
        <v>85</v>
      </c>
      <c r="H1547" s="23">
        <v>35000</v>
      </c>
      <c r="I1547" s="2">
        <v>3</v>
      </c>
      <c r="J1547" s="31">
        <v>5</v>
      </c>
      <c r="K1547" s="7">
        <f t="shared" si="96"/>
        <v>105000</v>
      </c>
      <c r="L1547" s="7">
        <f t="shared" si="97"/>
        <v>5250</v>
      </c>
      <c r="M1547" s="7">
        <f t="shared" si="98"/>
        <v>99750</v>
      </c>
      <c r="N1547" s="23">
        <v>30000</v>
      </c>
      <c r="O1547" s="7">
        <f t="shared" si="99"/>
        <v>129750</v>
      </c>
      <c r="P1547" s="2" t="s">
        <v>35</v>
      </c>
      <c r="Q1547" t="str">
        <f>_xlfn.XLOOKUP(B1547,Status!$A$2:$A$1867,Status!$B$2:$B$1867)</f>
        <v>Completed</v>
      </c>
      <c r="R1547" s="2" t="s">
        <v>82</v>
      </c>
      <c r="S1547" s="8">
        <v>1</v>
      </c>
      <c r="T1547" s="2" t="s">
        <v>37</v>
      </c>
      <c r="U1547" s="31" t="str" cm="1">
        <f t="array" ref="U1547">_xlfn.IFS(L1547&lt;=5000,$Z$3,AND(L1547&gt;5000,L1547&lt;=15000),$Z$4,AND(L1547&gt;15000,L1547&lt;=30000),$Z$5,AND(L1547&gt;30000,L1547&lt;=50000),$Z$6,L1547&gt;50000,$Z$7)</f>
        <v>Rendah</v>
      </c>
      <c r="V1547" s="2"/>
    </row>
    <row r="1548" spans="1:22" ht="15.75" customHeight="1" x14ac:dyDescent="0.25">
      <c r="A1548" s="26"/>
      <c r="B1548" s="2" t="s">
        <v>1921</v>
      </c>
      <c r="C1548" s="32">
        <v>45836.484502314823</v>
      </c>
      <c r="D1548" s="53">
        <f>YEAR(Table1[[#This Row],[Order Date]])</f>
        <v>2025</v>
      </c>
      <c r="E1548" s="2" t="s">
        <v>603</v>
      </c>
      <c r="F1548" s="2" t="s">
        <v>53</v>
      </c>
      <c r="G1548" s="2" t="s">
        <v>88</v>
      </c>
      <c r="H1548" s="23">
        <v>14000</v>
      </c>
      <c r="I1548" s="2">
        <v>2</v>
      </c>
      <c r="J1548" s="31">
        <v>15</v>
      </c>
      <c r="K1548" s="7">
        <f t="shared" si="96"/>
        <v>28000</v>
      </c>
      <c r="L1548" s="7">
        <f t="shared" si="97"/>
        <v>4200</v>
      </c>
      <c r="M1548" s="7">
        <f t="shared" si="98"/>
        <v>23800</v>
      </c>
      <c r="N1548" s="23">
        <v>18000</v>
      </c>
      <c r="O1548" s="7">
        <f t="shared" si="99"/>
        <v>41800</v>
      </c>
      <c r="P1548" s="2" t="s">
        <v>35</v>
      </c>
      <c r="Q1548" t="str">
        <f>_xlfn.XLOOKUP(B1548,Status!$A$2:$A$1867,Status!$B$2:$B$1867)</f>
        <v>Completed</v>
      </c>
      <c r="R1548" s="2" t="s">
        <v>46</v>
      </c>
      <c r="S1548" s="8">
        <v>2</v>
      </c>
      <c r="T1548" s="2" t="s">
        <v>24</v>
      </c>
      <c r="U1548" s="31" t="str" cm="1">
        <f t="array" ref="U1548">_xlfn.IFS(L1548&lt;=5000,$Z$3,AND(L1548&gt;5000,L1548&lt;=15000),$Z$4,AND(L1548&gt;15000,L1548&lt;=30000),$Z$5,AND(L1548&gt;30000,L1548&lt;=50000),$Z$6,L1548&gt;50000,$Z$7)</f>
        <v>Sangat Rendah</v>
      </c>
      <c r="V1548" s="2"/>
    </row>
    <row r="1549" spans="1:22" ht="15.75" customHeight="1" x14ac:dyDescent="0.25">
      <c r="A1549" s="26"/>
      <c r="B1549" s="2" t="s">
        <v>1922</v>
      </c>
      <c r="C1549" s="32">
        <v>45836.536307870367</v>
      </c>
      <c r="D1549" s="53">
        <f>YEAR(Table1[[#This Row],[Order Date]])</f>
        <v>2025</v>
      </c>
      <c r="E1549" s="2" t="s">
        <v>32</v>
      </c>
      <c r="F1549" s="2" t="s">
        <v>33</v>
      </c>
      <c r="G1549" s="2" t="s">
        <v>38</v>
      </c>
      <c r="H1549" s="23">
        <v>28000</v>
      </c>
      <c r="I1549" s="2">
        <v>5</v>
      </c>
      <c r="J1549" s="31">
        <v>15</v>
      </c>
      <c r="K1549" s="7">
        <f t="shared" si="96"/>
        <v>140000</v>
      </c>
      <c r="L1549" s="7">
        <f t="shared" si="97"/>
        <v>21000</v>
      </c>
      <c r="M1549" s="7">
        <f t="shared" si="98"/>
        <v>119000</v>
      </c>
      <c r="N1549" s="23">
        <v>76000</v>
      </c>
      <c r="O1549" s="7">
        <f t="shared" si="99"/>
        <v>195000</v>
      </c>
      <c r="P1549" s="2" t="s">
        <v>35</v>
      </c>
      <c r="Q1549" t="str">
        <f>_xlfn.XLOOKUP(B1549,Status!$A$2:$A$1867,Status!$B$2:$B$1867)</f>
        <v>Cancelled</v>
      </c>
      <c r="R1549" s="2" t="s">
        <v>23</v>
      </c>
      <c r="S1549" s="8">
        <v>4</v>
      </c>
      <c r="T1549" s="2" t="s">
        <v>37</v>
      </c>
      <c r="U1549" s="31" t="str" cm="1">
        <f t="array" ref="U1549">_xlfn.IFS(L1549&lt;=5000,$Z$3,AND(L1549&gt;5000,L1549&lt;=15000),$Z$4,AND(L1549&gt;15000,L1549&lt;=30000),$Z$5,AND(L1549&gt;30000,L1549&lt;=50000),$Z$6,L1549&gt;50000,$Z$7)</f>
        <v>Normal</v>
      </c>
      <c r="V1549" s="2"/>
    </row>
    <row r="1550" spans="1:22" ht="15.75" customHeight="1" x14ac:dyDescent="0.25">
      <c r="A1550" s="26"/>
      <c r="B1550" s="2" t="s">
        <v>1923</v>
      </c>
      <c r="C1550" s="32">
        <v>45837.039467592593</v>
      </c>
      <c r="D1550" s="53">
        <f>YEAR(Table1[[#This Row],[Order Date]])</f>
        <v>2025</v>
      </c>
      <c r="E1550" s="2" t="s">
        <v>69</v>
      </c>
      <c r="F1550" s="2" t="s">
        <v>70</v>
      </c>
      <c r="G1550" s="2" t="s">
        <v>38</v>
      </c>
      <c r="H1550" s="23">
        <v>28000</v>
      </c>
      <c r="I1550" s="2">
        <v>3</v>
      </c>
      <c r="J1550" s="31">
        <v>10</v>
      </c>
      <c r="K1550" s="7">
        <f t="shared" si="96"/>
        <v>84000</v>
      </c>
      <c r="L1550" s="7">
        <f t="shared" si="97"/>
        <v>8400</v>
      </c>
      <c r="M1550" s="7">
        <f t="shared" si="98"/>
        <v>75600</v>
      </c>
      <c r="N1550" s="23">
        <v>89000</v>
      </c>
      <c r="O1550" s="7">
        <f t="shared" si="99"/>
        <v>164600</v>
      </c>
      <c r="P1550" s="2" t="s">
        <v>63</v>
      </c>
      <c r="Q1550" t="str">
        <f>_xlfn.XLOOKUP(B1550,Status!$A$2:$A$1867,Status!$B$2:$B$1867)</f>
        <v>Completed</v>
      </c>
      <c r="R1550" s="2" t="s">
        <v>82</v>
      </c>
      <c r="S1550" s="8">
        <v>4</v>
      </c>
      <c r="T1550" s="2" t="s">
        <v>37</v>
      </c>
      <c r="U1550" s="31" t="str" cm="1">
        <f t="array" ref="U1550">_xlfn.IFS(L1550&lt;=5000,$Z$3,AND(L1550&gt;5000,L1550&lt;=15000),$Z$4,AND(L1550&gt;15000,L1550&lt;=30000),$Z$5,AND(L1550&gt;30000,L1550&lt;=50000),$Z$6,L1550&gt;50000,$Z$7)</f>
        <v>Rendah</v>
      </c>
      <c r="V1550" s="2"/>
    </row>
    <row r="1551" spans="1:22" ht="15.75" customHeight="1" x14ac:dyDescent="0.25">
      <c r="A1551" s="26"/>
      <c r="B1551" s="2" t="s">
        <v>1924</v>
      </c>
      <c r="C1551" s="32">
        <v>45837.163124999999</v>
      </c>
      <c r="D1551" s="53">
        <f>YEAR(Table1[[#This Row],[Order Date]])</f>
        <v>2025</v>
      </c>
      <c r="E1551" s="2" t="s">
        <v>237</v>
      </c>
      <c r="F1551" s="2" t="s">
        <v>238</v>
      </c>
      <c r="G1551" s="2" t="s">
        <v>93</v>
      </c>
      <c r="H1551" s="23">
        <v>25000</v>
      </c>
      <c r="I1551" s="2">
        <v>4</v>
      </c>
      <c r="J1551" s="31">
        <v>15</v>
      </c>
      <c r="K1551" s="7">
        <f t="shared" si="96"/>
        <v>100000</v>
      </c>
      <c r="L1551" s="7">
        <f t="shared" si="97"/>
        <v>15000</v>
      </c>
      <c r="M1551" s="7">
        <f t="shared" si="98"/>
        <v>85000</v>
      </c>
      <c r="N1551" s="23">
        <v>28000</v>
      </c>
      <c r="O1551" s="7">
        <f t="shared" si="99"/>
        <v>113000</v>
      </c>
      <c r="P1551" s="2" t="s">
        <v>35</v>
      </c>
      <c r="Q1551" t="str">
        <f>_xlfn.XLOOKUP(B1551,Status!$A$2:$A$1867,Status!$B$2:$B$1867)</f>
        <v>Completed</v>
      </c>
      <c r="R1551" s="2" t="s">
        <v>46</v>
      </c>
      <c r="S1551" s="8">
        <v>3</v>
      </c>
      <c r="T1551" s="2" t="s">
        <v>24</v>
      </c>
      <c r="U1551" s="31" t="str" cm="1">
        <f t="array" ref="U1551">_xlfn.IFS(L1551&lt;=5000,$Z$3,AND(L1551&gt;5000,L1551&lt;=15000),$Z$4,AND(L1551&gt;15000,L1551&lt;=30000),$Z$5,AND(L1551&gt;30000,L1551&lt;=50000),$Z$6,L1551&gt;50000,$Z$7)</f>
        <v>Rendah</v>
      </c>
      <c r="V1551" s="2"/>
    </row>
    <row r="1552" spans="1:22" ht="15.75" customHeight="1" x14ac:dyDescent="0.25">
      <c r="A1552" s="26"/>
      <c r="B1552" s="2" t="s">
        <v>1925</v>
      </c>
      <c r="C1552" s="32">
        <v>45837.244930555556</v>
      </c>
      <c r="D1552" s="53">
        <f>YEAR(Table1[[#This Row],[Order Date]])</f>
        <v>2025</v>
      </c>
      <c r="E1552" s="2" t="s">
        <v>314</v>
      </c>
      <c r="F1552" s="2" t="s">
        <v>113</v>
      </c>
      <c r="G1552" s="2" t="s">
        <v>88</v>
      </c>
      <c r="H1552" s="23">
        <v>14000</v>
      </c>
      <c r="I1552" s="2">
        <v>5</v>
      </c>
      <c r="J1552" s="31">
        <v>0</v>
      </c>
      <c r="K1552" s="7">
        <f t="shared" si="96"/>
        <v>70000</v>
      </c>
      <c r="L1552" s="7">
        <f t="shared" si="97"/>
        <v>0</v>
      </c>
      <c r="M1552" s="7">
        <f t="shared" si="98"/>
        <v>70000</v>
      </c>
      <c r="N1552" s="23">
        <v>18000</v>
      </c>
      <c r="O1552" s="7">
        <f t="shared" si="99"/>
        <v>88000</v>
      </c>
      <c r="P1552" s="2" t="s">
        <v>35</v>
      </c>
      <c r="Q1552" t="str">
        <f>_xlfn.XLOOKUP(B1552,Status!$A$2:$A$1867,Status!$B$2:$B$1867)</f>
        <v>Returned</v>
      </c>
      <c r="R1552" s="2" t="s">
        <v>46</v>
      </c>
      <c r="S1552" s="8">
        <v>3</v>
      </c>
      <c r="T1552" s="2" t="s">
        <v>24</v>
      </c>
      <c r="U1552" s="31" t="str" cm="1">
        <f t="array" ref="U1552">_xlfn.IFS(L1552&lt;=5000,$Z$3,AND(L1552&gt;5000,L1552&lt;=15000),$Z$4,AND(L1552&gt;15000,L1552&lt;=30000),$Z$5,AND(L1552&gt;30000,L1552&lt;=50000),$Z$6,L1552&gt;50000,$Z$7)</f>
        <v>Sangat Rendah</v>
      </c>
      <c r="V1552" s="2"/>
    </row>
    <row r="1553" spans="1:22" ht="15.75" customHeight="1" x14ac:dyDescent="0.25">
      <c r="A1553" s="26"/>
      <c r="B1553" s="2" t="s">
        <v>1925</v>
      </c>
      <c r="C1553" s="32">
        <v>45837.244930555556</v>
      </c>
      <c r="D1553" s="53">
        <f>YEAR(Table1[[#This Row],[Order Date]])</f>
        <v>2025</v>
      </c>
      <c r="E1553" s="2" t="s">
        <v>314</v>
      </c>
      <c r="F1553" s="2" t="s">
        <v>113</v>
      </c>
      <c r="G1553" s="2" t="s">
        <v>104</v>
      </c>
      <c r="H1553" s="23">
        <v>30000</v>
      </c>
      <c r="I1553" s="2">
        <v>3</v>
      </c>
      <c r="J1553" s="31">
        <v>15</v>
      </c>
      <c r="K1553" s="7">
        <f t="shared" si="96"/>
        <v>90000</v>
      </c>
      <c r="L1553" s="7">
        <f t="shared" si="97"/>
        <v>13500</v>
      </c>
      <c r="M1553" s="7">
        <f t="shared" si="98"/>
        <v>76500</v>
      </c>
      <c r="N1553" s="23">
        <v>0</v>
      </c>
      <c r="O1553" s="7">
        <f t="shared" si="99"/>
        <v>76500</v>
      </c>
      <c r="P1553" s="2" t="s">
        <v>35</v>
      </c>
      <c r="Q1553" t="str">
        <f>_xlfn.XLOOKUP(B1553,Status!$A$2:$A$1867,Status!$B$2:$B$1867)</f>
        <v>Returned</v>
      </c>
      <c r="R1553" s="2" t="s">
        <v>46</v>
      </c>
      <c r="S1553" s="8">
        <v>3</v>
      </c>
      <c r="T1553" s="2" t="s">
        <v>24</v>
      </c>
      <c r="U1553" s="31" t="str" cm="1">
        <f t="array" ref="U1553">_xlfn.IFS(L1553&lt;=5000,$Z$3,AND(L1553&gt;5000,L1553&lt;=15000),$Z$4,AND(L1553&gt;15000,L1553&lt;=30000),$Z$5,AND(L1553&gt;30000,L1553&lt;=50000),$Z$6,L1553&gt;50000,$Z$7)</f>
        <v>Rendah</v>
      </c>
      <c r="V1553" s="2"/>
    </row>
    <row r="1554" spans="1:22" ht="15.75" customHeight="1" x14ac:dyDescent="0.25">
      <c r="A1554" s="26"/>
      <c r="B1554" s="2" t="s">
        <v>1926</v>
      </c>
      <c r="C1554" s="32">
        <v>45837.430983796286</v>
      </c>
      <c r="D1554" s="53">
        <f>YEAR(Table1[[#This Row],[Order Date]])</f>
        <v>2025</v>
      </c>
      <c r="E1554" s="2" t="s">
        <v>542</v>
      </c>
      <c r="F1554" s="2" t="s">
        <v>122</v>
      </c>
      <c r="G1554" s="2" t="s">
        <v>138</v>
      </c>
      <c r="H1554" s="23">
        <v>17000</v>
      </c>
      <c r="I1554" s="2">
        <v>4</v>
      </c>
      <c r="J1554" s="31">
        <v>0</v>
      </c>
      <c r="K1554" s="7">
        <f t="shared" si="96"/>
        <v>68000</v>
      </c>
      <c r="L1554" s="7">
        <f t="shared" si="97"/>
        <v>0</v>
      </c>
      <c r="M1554" s="7">
        <f t="shared" si="98"/>
        <v>68000</v>
      </c>
      <c r="N1554" s="23">
        <v>78000</v>
      </c>
      <c r="O1554" s="7">
        <f t="shared" si="99"/>
        <v>146000</v>
      </c>
      <c r="P1554" s="2" t="s">
        <v>22</v>
      </c>
      <c r="Q1554" t="str">
        <f>_xlfn.XLOOKUP(B1554,Status!$A$2:$A$1867,Status!$B$2:$B$1867)</f>
        <v>Completed</v>
      </c>
      <c r="R1554" s="2" t="s">
        <v>82</v>
      </c>
      <c r="S1554" s="8">
        <v>1</v>
      </c>
      <c r="T1554" s="2" t="s">
        <v>24</v>
      </c>
      <c r="U1554" s="31" t="str" cm="1">
        <f t="array" ref="U1554">_xlfn.IFS(L1554&lt;=5000,$Z$3,AND(L1554&gt;5000,L1554&lt;=15000),$Z$4,AND(L1554&gt;15000,L1554&lt;=30000),$Z$5,AND(L1554&gt;30000,L1554&lt;=50000),$Z$6,L1554&gt;50000,$Z$7)</f>
        <v>Sangat Rendah</v>
      </c>
      <c r="V1554" s="2"/>
    </row>
    <row r="1555" spans="1:22" ht="15.75" customHeight="1" x14ac:dyDescent="0.25">
      <c r="A1555" s="26"/>
      <c r="B1555" s="2" t="s">
        <v>1927</v>
      </c>
      <c r="C1555" s="32">
        <v>45837.844050925924</v>
      </c>
      <c r="D1555" s="53">
        <f>YEAR(Table1[[#This Row],[Order Date]])</f>
        <v>2025</v>
      </c>
      <c r="E1555" s="2" t="s">
        <v>350</v>
      </c>
      <c r="F1555" s="2" t="s">
        <v>195</v>
      </c>
      <c r="G1555" s="2" t="s">
        <v>41</v>
      </c>
      <c r="H1555" s="23">
        <v>4000</v>
      </c>
      <c r="I1555" s="2">
        <v>4</v>
      </c>
      <c r="J1555" s="31">
        <v>15</v>
      </c>
      <c r="K1555" s="7">
        <f t="shared" si="96"/>
        <v>16000</v>
      </c>
      <c r="L1555" s="7">
        <f t="shared" si="97"/>
        <v>2400</v>
      </c>
      <c r="M1555" s="7">
        <f t="shared" si="98"/>
        <v>13600</v>
      </c>
      <c r="N1555" s="23">
        <v>87000</v>
      </c>
      <c r="O1555" s="7">
        <f t="shared" si="99"/>
        <v>100600</v>
      </c>
      <c r="P1555" s="2" t="s">
        <v>29</v>
      </c>
      <c r="Q1555" t="str">
        <f>_xlfn.XLOOKUP(B1555,Status!$A$2:$A$1867,Status!$B$2:$B$1867)</f>
        <v>Completed</v>
      </c>
      <c r="R1555" s="2" t="s">
        <v>36</v>
      </c>
      <c r="S1555" s="8">
        <v>2</v>
      </c>
      <c r="T1555" s="2" t="s">
        <v>37</v>
      </c>
      <c r="U1555" s="31" t="str" cm="1">
        <f t="array" ref="U1555">_xlfn.IFS(L1555&lt;=5000,$Z$3,AND(L1555&gt;5000,L1555&lt;=15000),$Z$4,AND(L1555&gt;15000,L1555&lt;=30000),$Z$5,AND(L1555&gt;30000,L1555&lt;=50000),$Z$6,L1555&gt;50000,$Z$7)</f>
        <v>Sangat Rendah</v>
      </c>
      <c r="V1555" s="2"/>
    </row>
    <row r="1556" spans="1:22" ht="15.75" customHeight="1" x14ac:dyDescent="0.25">
      <c r="A1556" s="26"/>
      <c r="B1556" s="2" t="s">
        <v>1928</v>
      </c>
      <c r="C1556" s="32">
        <v>45838.117222222223</v>
      </c>
      <c r="D1556" s="53">
        <f>YEAR(Table1[[#This Row],[Order Date]])</f>
        <v>2025</v>
      </c>
      <c r="E1556" s="2" t="s">
        <v>100</v>
      </c>
      <c r="F1556" s="2" t="s">
        <v>66</v>
      </c>
      <c r="G1556" s="2" t="s">
        <v>45</v>
      </c>
      <c r="H1556" s="23">
        <v>40000</v>
      </c>
      <c r="I1556" s="2">
        <v>4</v>
      </c>
      <c r="J1556" s="31">
        <v>20</v>
      </c>
      <c r="K1556" s="7">
        <f t="shared" si="96"/>
        <v>160000</v>
      </c>
      <c r="L1556" s="7">
        <f t="shared" si="97"/>
        <v>32000</v>
      </c>
      <c r="M1556" s="7">
        <f t="shared" si="98"/>
        <v>128000</v>
      </c>
      <c r="N1556" s="23">
        <v>59000</v>
      </c>
      <c r="O1556" s="7">
        <f t="shared" si="99"/>
        <v>187000</v>
      </c>
      <c r="P1556" s="2" t="s">
        <v>35</v>
      </c>
      <c r="Q1556" t="str">
        <f>_xlfn.XLOOKUP(B1556,Status!$A$2:$A$1867,Status!$B$2:$B$1867)</f>
        <v>Completed</v>
      </c>
      <c r="R1556" s="2" t="s">
        <v>46</v>
      </c>
      <c r="S1556" s="8">
        <v>3</v>
      </c>
      <c r="T1556" s="2" t="s">
        <v>24</v>
      </c>
      <c r="U1556" s="31" t="str" cm="1">
        <f t="array" ref="U1556">_xlfn.IFS(L1556&lt;=5000,$Z$3,AND(L1556&gt;5000,L1556&lt;=15000),$Z$4,AND(L1556&gt;15000,L1556&lt;=30000),$Z$5,AND(L1556&gt;30000,L1556&lt;=50000),$Z$6,L1556&gt;50000,$Z$7)</f>
        <v>Tinggi</v>
      </c>
      <c r="V1556" s="2"/>
    </row>
    <row r="1557" spans="1:22" ht="15.75" customHeight="1" x14ac:dyDescent="0.25">
      <c r="A1557" s="26"/>
      <c r="B1557" s="2" t="s">
        <v>1929</v>
      </c>
      <c r="C1557" s="32">
        <v>45838.143055555563</v>
      </c>
      <c r="D1557" s="53">
        <f>YEAR(Table1[[#This Row],[Order Date]])</f>
        <v>2025</v>
      </c>
      <c r="E1557" s="2" t="s">
        <v>693</v>
      </c>
      <c r="F1557" s="2" t="s">
        <v>119</v>
      </c>
      <c r="G1557" s="2" t="s">
        <v>250</v>
      </c>
      <c r="H1557" s="23">
        <v>18000</v>
      </c>
      <c r="I1557" s="2">
        <v>2</v>
      </c>
      <c r="J1557" s="31">
        <v>10</v>
      </c>
      <c r="K1557" s="7">
        <f t="shared" si="96"/>
        <v>36000</v>
      </c>
      <c r="L1557" s="7">
        <f t="shared" si="97"/>
        <v>3600</v>
      </c>
      <c r="M1557" s="7">
        <f t="shared" si="98"/>
        <v>32400</v>
      </c>
      <c r="N1557" s="23">
        <v>0</v>
      </c>
      <c r="O1557" s="7">
        <f t="shared" si="99"/>
        <v>32400</v>
      </c>
      <c r="P1557" s="2" t="s">
        <v>29</v>
      </c>
      <c r="Q1557" t="str">
        <f>_xlfn.XLOOKUP(B1557,Status!$A$2:$A$1867,Status!$B$2:$B$1867)</f>
        <v>Completed</v>
      </c>
      <c r="R1557" s="2" t="s">
        <v>82</v>
      </c>
      <c r="S1557" s="8">
        <v>2</v>
      </c>
      <c r="T1557" s="2" t="s">
        <v>24</v>
      </c>
      <c r="U1557" s="31" t="str" cm="1">
        <f t="array" ref="U1557">_xlfn.IFS(L1557&lt;=5000,$Z$3,AND(L1557&gt;5000,L1557&lt;=15000),$Z$4,AND(L1557&gt;15000,L1557&lt;=30000),$Z$5,AND(L1557&gt;30000,L1557&lt;=50000),$Z$6,L1557&gt;50000,$Z$7)</f>
        <v>Sangat Rendah</v>
      </c>
      <c r="V1557" s="2"/>
    </row>
    <row r="1558" spans="1:22" ht="15.75" customHeight="1" x14ac:dyDescent="0.25">
      <c r="A1558" s="26"/>
      <c r="B1558" s="2" t="s">
        <v>1929</v>
      </c>
      <c r="C1558" s="32">
        <v>45838.143055555563</v>
      </c>
      <c r="D1558" s="53">
        <f>YEAR(Table1[[#This Row],[Order Date]])</f>
        <v>2025</v>
      </c>
      <c r="E1558" s="2" t="s">
        <v>693</v>
      </c>
      <c r="F1558" s="2" t="s">
        <v>119</v>
      </c>
      <c r="G1558" s="2" t="s">
        <v>58</v>
      </c>
      <c r="H1558" s="23">
        <v>16000</v>
      </c>
      <c r="I1558" s="2">
        <v>1</v>
      </c>
      <c r="J1558" s="31">
        <v>10</v>
      </c>
      <c r="K1558" s="7">
        <f t="shared" si="96"/>
        <v>16000</v>
      </c>
      <c r="L1558" s="7">
        <f t="shared" si="97"/>
        <v>1600</v>
      </c>
      <c r="M1558" s="7">
        <f t="shared" si="98"/>
        <v>14400</v>
      </c>
      <c r="N1558" s="23">
        <v>0</v>
      </c>
      <c r="O1558" s="7">
        <f t="shared" si="99"/>
        <v>14400</v>
      </c>
      <c r="P1558" s="2" t="s">
        <v>29</v>
      </c>
      <c r="Q1558" t="str">
        <f>_xlfn.XLOOKUP(B1558,Status!$A$2:$A$1867,Status!$B$2:$B$1867)</f>
        <v>Completed</v>
      </c>
      <c r="R1558" s="2" t="s">
        <v>82</v>
      </c>
      <c r="S1558" s="8">
        <v>2</v>
      </c>
      <c r="T1558" s="2" t="s">
        <v>24</v>
      </c>
      <c r="U1558" s="31" t="str" cm="1">
        <f t="array" ref="U1558">_xlfn.IFS(L1558&lt;=5000,$Z$3,AND(L1558&gt;5000,L1558&lt;=15000),$Z$4,AND(L1558&gt;15000,L1558&lt;=30000),$Z$5,AND(L1558&gt;30000,L1558&lt;=50000),$Z$6,L1558&gt;50000,$Z$7)</f>
        <v>Sangat Rendah</v>
      </c>
      <c r="V1558" s="2"/>
    </row>
    <row r="1559" spans="1:22" ht="15.75" customHeight="1" x14ac:dyDescent="0.25">
      <c r="A1559" s="26"/>
      <c r="B1559" s="2" t="s">
        <v>1930</v>
      </c>
      <c r="C1559" s="32">
        <v>45838.146493055552</v>
      </c>
      <c r="D1559" s="53">
        <f>YEAR(Table1[[#This Row],[Order Date]])</f>
        <v>2025</v>
      </c>
      <c r="E1559" s="2" t="s">
        <v>79</v>
      </c>
      <c r="F1559" s="2" t="s">
        <v>80</v>
      </c>
      <c r="G1559" s="2" t="s">
        <v>136</v>
      </c>
      <c r="H1559" s="23">
        <v>12000</v>
      </c>
      <c r="I1559" s="2">
        <v>2</v>
      </c>
      <c r="J1559" s="31">
        <v>15</v>
      </c>
      <c r="K1559" s="7">
        <f t="shared" si="96"/>
        <v>24000</v>
      </c>
      <c r="L1559" s="7">
        <f t="shared" si="97"/>
        <v>3600</v>
      </c>
      <c r="M1559" s="7">
        <f t="shared" si="98"/>
        <v>20400</v>
      </c>
      <c r="N1559" s="23">
        <v>74000</v>
      </c>
      <c r="O1559" s="7">
        <f t="shared" si="99"/>
        <v>94400</v>
      </c>
      <c r="P1559" s="2" t="s">
        <v>35</v>
      </c>
      <c r="Q1559" t="str">
        <f>_xlfn.XLOOKUP(B1559,Status!$A$2:$A$1867,Status!$B$2:$B$1867)</f>
        <v>Returned</v>
      </c>
      <c r="R1559" s="2" t="s">
        <v>82</v>
      </c>
      <c r="S1559" s="8">
        <v>4</v>
      </c>
      <c r="T1559" s="2" t="s">
        <v>24</v>
      </c>
      <c r="U1559" s="31" t="str" cm="1">
        <f t="array" ref="U1559">_xlfn.IFS(L1559&lt;=5000,$Z$3,AND(L1559&gt;5000,L1559&lt;=15000),$Z$4,AND(L1559&gt;15000,L1559&lt;=30000),$Z$5,AND(L1559&gt;30000,L1559&lt;=50000),$Z$6,L1559&gt;50000,$Z$7)</f>
        <v>Sangat Rendah</v>
      </c>
      <c r="V1559" s="2"/>
    </row>
    <row r="1560" spans="1:22" ht="15.75" customHeight="1" x14ac:dyDescent="0.25">
      <c r="A1560" s="26"/>
      <c r="B1560" s="2" t="s">
        <v>1931</v>
      </c>
      <c r="C1560" s="32">
        <v>45839.624236111107</v>
      </c>
      <c r="D1560" s="53">
        <f>YEAR(Table1[[#This Row],[Order Date]])</f>
        <v>2025</v>
      </c>
      <c r="E1560" s="2" t="s">
        <v>596</v>
      </c>
      <c r="F1560" s="2" t="s">
        <v>70</v>
      </c>
      <c r="G1560" s="2" t="s">
        <v>138</v>
      </c>
      <c r="H1560" s="23">
        <v>17000</v>
      </c>
      <c r="I1560" s="2">
        <v>3</v>
      </c>
      <c r="J1560" s="31">
        <v>10</v>
      </c>
      <c r="K1560" s="7">
        <f t="shared" si="96"/>
        <v>51000</v>
      </c>
      <c r="L1560" s="7">
        <f t="shared" si="97"/>
        <v>5100</v>
      </c>
      <c r="M1560" s="7">
        <f t="shared" si="98"/>
        <v>45900</v>
      </c>
      <c r="N1560" s="23">
        <v>89000</v>
      </c>
      <c r="O1560" s="7">
        <f t="shared" si="99"/>
        <v>134900</v>
      </c>
      <c r="P1560" s="2" t="s">
        <v>22</v>
      </c>
      <c r="Q1560" t="str">
        <f>_xlfn.XLOOKUP(B1560,Status!$A$2:$A$1867,Status!$B$2:$B$1867)</f>
        <v>Cancelled</v>
      </c>
      <c r="R1560" s="2" t="s">
        <v>46</v>
      </c>
      <c r="S1560" s="8">
        <v>1</v>
      </c>
      <c r="T1560" s="2" t="s">
        <v>24</v>
      </c>
      <c r="U1560" s="31" t="str" cm="1">
        <f t="array" ref="U1560">_xlfn.IFS(L1560&lt;=5000,$Z$3,AND(L1560&gt;5000,L1560&lt;=15000),$Z$4,AND(L1560&gt;15000,L1560&lt;=30000),$Z$5,AND(L1560&gt;30000,L1560&lt;=50000),$Z$6,L1560&gt;50000,$Z$7)</f>
        <v>Rendah</v>
      </c>
      <c r="V1560" s="2"/>
    </row>
    <row r="1561" spans="1:22" ht="15.75" customHeight="1" x14ac:dyDescent="0.25">
      <c r="A1561" s="26"/>
      <c r="B1561" s="2" t="s">
        <v>1932</v>
      </c>
      <c r="C1561" s="32">
        <v>45839.654513888891</v>
      </c>
      <c r="D1561" s="53">
        <f>YEAR(Table1[[#This Row],[Order Date]])</f>
        <v>2025</v>
      </c>
      <c r="E1561" s="2" t="s">
        <v>307</v>
      </c>
      <c r="F1561" s="2" t="s">
        <v>70</v>
      </c>
      <c r="G1561" s="2" t="s">
        <v>144</v>
      </c>
      <c r="H1561" s="23">
        <v>18000</v>
      </c>
      <c r="I1561" s="2">
        <v>2</v>
      </c>
      <c r="J1561" s="31">
        <v>5</v>
      </c>
      <c r="K1561" s="7">
        <f t="shared" si="96"/>
        <v>36000</v>
      </c>
      <c r="L1561" s="7">
        <f t="shared" si="97"/>
        <v>1800</v>
      </c>
      <c r="M1561" s="7">
        <f t="shared" si="98"/>
        <v>34200</v>
      </c>
      <c r="N1561" s="23">
        <v>89000</v>
      </c>
      <c r="O1561" s="7">
        <f t="shared" si="99"/>
        <v>123200</v>
      </c>
      <c r="P1561" s="2" t="s">
        <v>29</v>
      </c>
      <c r="Q1561" t="str">
        <f>_xlfn.XLOOKUP(B1561,Status!$A$2:$A$1867,Status!$B$2:$B$1867)</f>
        <v>Completed</v>
      </c>
      <c r="R1561" s="2" t="s">
        <v>36</v>
      </c>
      <c r="S1561" s="8">
        <v>4</v>
      </c>
      <c r="T1561" s="2" t="s">
        <v>24</v>
      </c>
      <c r="U1561" s="31" t="str" cm="1">
        <f t="array" ref="U1561">_xlfn.IFS(L1561&lt;=5000,$Z$3,AND(L1561&gt;5000,L1561&lt;=15000),$Z$4,AND(L1561&gt;15000,L1561&lt;=30000),$Z$5,AND(L1561&gt;30000,L1561&lt;=50000),$Z$6,L1561&gt;50000,$Z$7)</f>
        <v>Sangat Rendah</v>
      </c>
      <c r="V1561" s="2"/>
    </row>
    <row r="1562" spans="1:22" ht="15.75" customHeight="1" x14ac:dyDescent="0.25">
      <c r="A1562" s="26"/>
      <c r="B1562" s="2" t="s">
        <v>1933</v>
      </c>
      <c r="C1562" s="32">
        <v>45839.766805555562</v>
      </c>
      <c r="D1562" s="53">
        <f>YEAR(Table1[[#This Row],[Order Date]])</f>
        <v>2025</v>
      </c>
      <c r="E1562" s="2" t="s">
        <v>1321</v>
      </c>
      <c r="F1562" s="2" t="s">
        <v>113</v>
      </c>
      <c r="G1562" s="2" t="s">
        <v>136</v>
      </c>
      <c r="H1562" s="23">
        <v>12000</v>
      </c>
      <c r="I1562" s="2">
        <v>3</v>
      </c>
      <c r="J1562" s="31">
        <v>20</v>
      </c>
      <c r="K1562" s="7">
        <f t="shared" si="96"/>
        <v>36000</v>
      </c>
      <c r="L1562" s="7">
        <f t="shared" si="97"/>
        <v>7200</v>
      </c>
      <c r="M1562" s="7">
        <f t="shared" si="98"/>
        <v>28800</v>
      </c>
      <c r="N1562" s="23">
        <v>18000</v>
      </c>
      <c r="O1562" s="7">
        <f t="shared" si="99"/>
        <v>46800</v>
      </c>
      <c r="P1562" s="2" t="s">
        <v>29</v>
      </c>
      <c r="Q1562" t="str">
        <f>_xlfn.XLOOKUP(B1562,Status!$A$2:$A$1867,Status!$B$2:$B$1867)</f>
        <v>Completed</v>
      </c>
      <c r="R1562" s="2" t="s">
        <v>46</v>
      </c>
      <c r="S1562" s="8">
        <v>5</v>
      </c>
      <c r="T1562" s="2" t="s">
        <v>24</v>
      </c>
      <c r="U1562" s="31" t="str" cm="1">
        <f t="array" ref="U1562">_xlfn.IFS(L1562&lt;=5000,$Z$3,AND(L1562&gt;5000,L1562&lt;=15000),$Z$4,AND(L1562&gt;15000,L1562&lt;=30000),$Z$5,AND(L1562&gt;30000,L1562&lt;=50000),$Z$6,L1562&gt;50000,$Z$7)</f>
        <v>Rendah</v>
      </c>
      <c r="V1562" s="2"/>
    </row>
    <row r="1563" spans="1:22" ht="15.75" customHeight="1" x14ac:dyDescent="0.25">
      <c r="A1563" s="26"/>
      <c r="B1563" s="2" t="s">
        <v>1934</v>
      </c>
      <c r="C1563" s="32">
        <v>45839.773773148147</v>
      </c>
      <c r="D1563" s="53">
        <f>YEAR(Table1[[#This Row],[Order Date]])</f>
        <v>2025</v>
      </c>
      <c r="E1563" s="2" t="s">
        <v>109</v>
      </c>
      <c r="F1563" s="2" t="s">
        <v>49</v>
      </c>
      <c r="G1563" s="2" t="s">
        <v>81</v>
      </c>
      <c r="H1563" s="23">
        <v>17000</v>
      </c>
      <c r="I1563" s="2">
        <v>1</v>
      </c>
      <c r="J1563" s="31">
        <v>15</v>
      </c>
      <c r="K1563" s="7">
        <f t="shared" si="96"/>
        <v>17000</v>
      </c>
      <c r="L1563" s="7">
        <f t="shared" si="97"/>
        <v>2550</v>
      </c>
      <c r="M1563" s="7">
        <f t="shared" si="98"/>
        <v>14450</v>
      </c>
      <c r="N1563" s="23">
        <v>43000</v>
      </c>
      <c r="O1563" s="7">
        <f t="shared" si="99"/>
        <v>57450</v>
      </c>
      <c r="P1563" s="2" t="s">
        <v>29</v>
      </c>
      <c r="Q1563" t="str">
        <f>_xlfn.XLOOKUP(B1563,Status!$A$2:$A$1867,Status!$B$2:$B$1867)</f>
        <v>Completed</v>
      </c>
      <c r="R1563" s="2" t="s">
        <v>82</v>
      </c>
      <c r="S1563" s="8">
        <v>4</v>
      </c>
      <c r="T1563" s="2" t="s">
        <v>24</v>
      </c>
      <c r="U1563" s="31" t="str" cm="1">
        <f t="array" ref="U1563">_xlfn.IFS(L1563&lt;=5000,$Z$3,AND(L1563&gt;5000,L1563&lt;=15000),$Z$4,AND(L1563&gt;15000,L1563&lt;=30000),$Z$5,AND(L1563&gt;30000,L1563&lt;=50000),$Z$6,L1563&gt;50000,$Z$7)</f>
        <v>Sangat Rendah</v>
      </c>
      <c r="V1563" s="2"/>
    </row>
    <row r="1564" spans="1:22" ht="15.75" customHeight="1" x14ac:dyDescent="0.25">
      <c r="A1564" s="26"/>
      <c r="B1564" s="2" t="s">
        <v>1934</v>
      </c>
      <c r="C1564" s="32">
        <v>45839.773773148147</v>
      </c>
      <c r="D1564" s="53">
        <f>YEAR(Table1[[#This Row],[Order Date]])</f>
        <v>2025</v>
      </c>
      <c r="E1564" s="2" t="s">
        <v>109</v>
      </c>
      <c r="F1564" s="2" t="s">
        <v>49</v>
      </c>
      <c r="G1564" s="2" t="s">
        <v>144</v>
      </c>
      <c r="H1564" s="23">
        <v>18000</v>
      </c>
      <c r="I1564" s="2">
        <v>3</v>
      </c>
      <c r="J1564" s="31">
        <v>10</v>
      </c>
      <c r="K1564" s="7">
        <f t="shared" si="96"/>
        <v>54000</v>
      </c>
      <c r="L1564" s="7">
        <f t="shared" si="97"/>
        <v>5400</v>
      </c>
      <c r="M1564" s="7">
        <f t="shared" si="98"/>
        <v>48600</v>
      </c>
      <c r="N1564" s="23">
        <v>0</v>
      </c>
      <c r="O1564" s="7">
        <f t="shared" si="99"/>
        <v>48600</v>
      </c>
      <c r="P1564" s="2" t="s">
        <v>29</v>
      </c>
      <c r="Q1564" t="str">
        <f>_xlfn.XLOOKUP(B1564,Status!$A$2:$A$1867,Status!$B$2:$B$1867)</f>
        <v>Completed</v>
      </c>
      <c r="R1564" s="2" t="s">
        <v>82</v>
      </c>
      <c r="S1564" s="8">
        <v>4</v>
      </c>
      <c r="T1564" s="2" t="s">
        <v>24</v>
      </c>
      <c r="U1564" s="31" t="str" cm="1">
        <f t="array" ref="U1564">_xlfn.IFS(L1564&lt;=5000,$Z$3,AND(L1564&gt;5000,L1564&lt;=15000),$Z$4,AND(L1564&gt;15000,L1564&lt;=30000),$Z$5,AND(L1564&gt;30000,L1564&lt;=50000),$Z$6,L1564&gt;50000,$Z$7)</f>
        <v>Rendah</v>
      </c>
      <c r="V1564" s="2"/>
    </row>
    <row r="1565" spans="1:22" ht="15.75" customHeight="1" x14ac:dyDescent="0.25">
      <c r="A1565" s="26"/>
      <c r="B1565" s="2" t="s">
        <v>1935</v>
      </c>
      <c r="C1565" s="32">
        <v>45839.859733796293</v>
      </c>
      <c r="D1565" s="53">
        <f>YEAR(Table1[[#This Row],[Order Date]])</f>
        <v>2025</v>
      </c>
      <c r="E1565" s="2" t="s">
        <v>570</v>
      </c>
      <c r="F1565" s="2" t="s">
        <v>80</v>
      </c>
      <c r="G1565" s="2" t="s">
        <v>38</v>
      </c>
      <c r="H1565" s="23">
        <v>28000</v>
      </c>
      <c r="I1565" s="2">
        <v>2</v>
      </c>
      <c r="J1565" s="31">
        <v>20</v>
      </c>
      <c r="K1565" s="7">
        <f t="shared" si="96"/>
        <v>56000</v>
      </c>
      <c r="L1565" s="7">
        <f t="shared" si="97"/>
        <v>11200</v>
      </c>
      <c r="M1565" s="7">
        <f t="shared" si="98"/>
        <v>44800</v>
      </c>
      <c r="N1565" s="23">
        <v>74000</v>
      </c>
      <c r="O1565" s="7">
        <f t="shared" si="99"/>
        <v>118800</v>
      </c>
      <c r="P1565" s="2" t="s">
        <v>29</v>
      </c>
      <c r="Q1565" t="str">
        <f>_xlfn.XLOOKUP(B1565,Status!$A$2:$A$1867,Status!$B$2:$B$1867)</f>
        <v>Returned</v>
      </c>
      <c r="R1565" s="2" t="s">
        <v>23</v>
      </c>
      <c r="S1565" s="8">
        <v>4</v>
      </c>
      <c r="T1565" s="2" t="s">
        <v>24</v>
      </c>
      <c r="U1565" s="31" t="str" cm="1">
        <f t="array" ref="U1565">_xlfn.IFS(L1565&lt;=5000,$Z$3,AND(L1565&gt;5000,L1565&lt;=15000),$Z$4,AND(L1565&gt;15000,L1565&lt;=30000),$Z$5,AND(L1565&gt;30000,L1565&lt;=50000),$Z$6,L1565&gt;50000,$Z$7)</f>
        <v>Rendah</v>
      </c>
      <c r="V1565" s="2"/>
    </row>
    <row r="1566" spans="1:22" ht="15.75" customHeight="1" x14ac:dyDescent="0.25">
      <c r="A1566" s="26"/>
      <c r="B1566" s="2" t="s">
        <v>1936</v>
      </c>
      <c r="C1566" s="32">
        <v>45840.205706018518</v>
      </c>
      <c r="D1566" s="53">
        <f>YEAR(Table1[[#This Row],[Order Date]])</f>
        <v>2025</v>
      </c>
      <c r="E1566" s="2" t="s">
        <v>1757</v>
      </c>
      <c r="F1566" s="2" t="s">
        <v>74</v>
      </c>
      <c r="G1566" s="2" t="s">
        <v>75</v>
      </c>
      <c r="H1566" s="23">
        <v>55000</v>
      </c>
      <c r="I1566" s="2">
        <v>2</v>
      </c>
      <c r="J1566" s="31">
        <v>10</v>
      </c>
      <c r="K1566" s="7">
        <f t="shared" si="96"/>
        <v>110000</v>
      </c>
      <c r="L1566" s="7">
        <f t="shared" si="97"/>
        <v>11000</v>
      </c>
      <c r="M1566" s="7">
        <f t="shared" si="98"/>
        <v>99000</v>
      </c>
      <c r="N1566" s="23">
        <v>87000</v>
      </c>
      <c r="O1566" s="7">
        <f t="shared" si="99"/>
        <v>186000</v>
      </c>
      <c r="P1566" s="2" t="s">
        <v>35</v>
      </c>
      <c r="Q1566" t="str">
        <f>_xlfn.XLOOKUP(B1566,Status!$A$2:$A$1867,Status!$B$2:$B$1867)</f>
        <v>Completed</v>
      </c>
      <c r="R1566" s="2" t="s">
        <v>82</v>
      </c>
      <c r="S1566" s="8">
        <v>2</v>
      </c>
      <c r="T1566" s="2" t="s">
        <v>37</v>
      </c>
      <c r="U1566" s="31" t="str" cm="1">
        <f t="array" ref="U1566">_xlfn.IFS(L1566&lt;=5000,$Z$3,AND(L1566&gt;5000,L1566&lt;=15000),$Z$4,AND(L1566&gt;15000,L1566&lt;=30000),$Z$5,AND(L1566&gt;30000,L1566&lt;=50000),$Z$6,L1566&gt;50000,$Z$7)</f>
        <v>Rendah</v>
      </c>
      <c r="V1566" s="2"/>
    </row>
    <row r="1567" spans="1:22" ht="15.75" customHeight="1" x14ac:dyDescent="0.25">
      <c r="A1567" s="26"/>
      <c r="B1567" s="2" t="s">
        <v>1937</v>
      </c>
      <c r="C1567" s="32">
        <v>45840.385729166657</v>
      </c>
      <c r="D1567" s="53">
        <f>YEAR(Table1[[#This Row],[Order Date]])</f>
        <v>2025</v>
      </c>
      <c r="E1567" s="2" t="s">
        <v>84</v>
      </c>
      <c r="F1567" s="2" t="s">
        <v>57</v>
      </c>
      <c r="G1567" s="2" t="s">
        <v>54</v>
      </c>
      <c r="H1567" s="23">
        <v>16000</v>
      </c>
      <c r="I1567" s="2">
        <v>5</v>
      </c>
      <c r="J1567" s="31">
        <v>10</v>
      </c>
      <c r="K1567" s="7">
        <f t="shared" si="96"/>
        <v>80000</v>
      </c>
      <c r="L1567" s="7">
        <f t="shared" si="97"/>
        <v>8000</v>
      </c>
      <c r="M1567" s="7">
        <f t="shared" si="98"/>
        <v>72000</v>
      </c>
      <c r="N1567" s="23">
        <v>80000</v>
      </c>
      <c r="O1567" s="7">
        <f t="shared" si="99"/>
        <v>152000</v>
      </c>
      <c r="P1567" s="2" t="s">
        <v>35</v>
      </c>
      <c r="Q1567" t="str">
        <f>_xlfn.XLOOKUP(B1567,Status!$A$2:$A$1867,Status!$B$2:$B$1867)</f>
        <v>Returned</v>
      </c>
      <c r="R1567" s="2" t="s">
        <v>46</v>
      </c>
      <c r="S1567" s="8">
        <v>5</v>
      </c>
      <c r="T1567" s="2" t="s">
        <v>37</v>
      </c>
      <c r="U1567" s="31" t="str" cm="1">
        <f t="array" ref="U1567">_xlfn.IFS(L1567&lt;=5000,$Z$3,AND(L1567&gt;5000,L1567&lt;=15000),$Z$4,AND(L1567&gt;15000,L1567&lt;=30000),$Z$5,AND(L1567&gt;30000,L1567&lt;=50000),$Z$6,L1567&gt;50000,$Z$7)</f>
        <v>Rendah</v>
      </c>
      <c r="V1567" s="2"/>
    </row>
    <row r="1568" spans="1:22" ht="15.75" customHeight="1" x14ac:dyDescent="0.25">
      <c r="A1568" s="26"/>
      <c r="B1568" s="2" t="s">
        <v>1938</v>
      </c>
      <c r="C1568" s="32">
        <v>45840.414513888893</v>
      </c>
      <c r="D1568" s="53">
        <f>YEAR(Table1[[#This Row],[Order Date]])</f>
        <v>2025</v>
      </c>
      <c r="E1568" s="2" t="s">
        <v>121</v>
      </c>
      <c r="F1568" s="2" t="s">
        <v>122</v>
      </c>
      <c r="G1568" s="2" t="s">
        <v>186</v>
      </c>
      <c r="H1568" s="23">
        <v>45000</v>
      </c>
      <c r="I1568" s="2">
        <v>3</v>
      </c>
      <c r="J1568" s="31">
        <v>5</v>
      </c>
      <c r="K1568" s="7">
        <f t="shared" si="96"/>
        <v>135000</v>
      </c>
      <c r="L1568" s="7">
        <f t="shared" si="97"/>
        <v>6750</v>
      </c>
      <c r="M1568" s="7">
        <f t="shared" si="98"/>
        <v>128250</v>
      </c>
      <c r="N1568" s="23">
        <v>78000</v>
      </c>
      <c r="O1568" s="7">
        <f t="shared" si="99"/>
        <v>206250</v>
      </c>
      <c r="P1568" s="2" t="s">
        <v>35</v>
      </c>
      <c r="Q1568" t="str">
        <f>_xlfn.XLOOKUP(B1568,Status!$A$2:$A$1867,Status!$B$2:$B$1867)</f>
        <v>Completed</v>
      </c>
      <c r="R1568" s="2" t="s">
        <v>36</v>
      </c>
      <c r="S1568" s="8">
        <v>1</v>
      </c>
      <c r="T1568" s="2" t="s">
        <v>24</v>
      </c>
      <c r="U1568" s="31" t="str" cm="1">
        <f t="array" ref="U1568">_xlfn.IFS(L1568&lt;=5000,$Z$3,AND(L1568&gt;5000,L1568&lt;=15000),$Z$4,AND(L1568&gt;15000,L1568&lt;=30000),$Z$5,AND(L1568&gt;30000,L1568&lt;=50000),$Z$6,L1568&gt;50000,$Z$7)</f>
        <v>Rendah</v>
      </c>
      <c r="V1568" s="2"/>
    </row>
    <row r="1569" spans="1:22" ht="15.75" customHeight="1" x14ac:dyDescent="0.25">
      <c r="A1569" s="26"/>
      <c r="B1569" s="2" t="s">
        <v>1939</v>
      </c>
      <c r="C1569" s="32">
        <v>45840.800034722219</v>
      </c>
      <c r="D1569" s="53">
        <f>YEAR(Table1[[#This Row],[Order Date]])</f>
        <v>2025</v>
      </c>
      <c r="E1569" s="2" t="s">
        <v>121</v>
      </c>
      <c r="F1569" s="2" t="s">
        <v>122</v>
      </c>
      <c r="G1569" s="2" t="s">
        <v>81</v>
      </c>
      <c r="H1569" s="23">
        <v>17000</v>
      </c>
      <c r="I1569" s="2">
        <v>3</v>
      </c>
      <c r="J1569" s="31">
        <v>15</v>
      </c>
      <c r="K1569" s="7">
        <f t="shared" si="96"/>
        <v>51000</v>
      </c>
      <c r="L1569" s="7">
        <f t="shared" si="97"/>
        <v>7650</v>
      </c>
      <c r="M1569" s="7">
        <f t="shared" si="98"/>
        <v>43350</v>
      </c>
      <c r="N1569" s="23">
        <v>78000</v>
      </c>
      <c r="O1569" s="7">
        <f t="shared" si="99"/>
        <v>121350</v>
      </c>
      <c r="P1569" s="2" t="s">
        <v>35</v>
      </c>
      <c r="Q1569" t="str">
        <f>_xlfn.XLOOKUP(B1569,Status!$A$2:$A$1867,Status!$B$2:$B$1867)</f>
        <v>Completed</v>
      </c>
      <c r="R1569" s="2" t="s">
        <v>46</v>
      </c>
      <c r="S1569" s="8">
        <v>2</v>
      </c>
      <c r="T1569" s="2" t="s">
        <v>24</v>
      </c>
      <c r="U1569" s="31" t="str" cm="1">
        <f t="array" ref="U1569">_xlfn.IFS(L1569&lt;=5000,$Z$3,AND(L1569&gt;5000,L1569&lt;=15000),$Z$4,AND(L1569&gt;15000,L1569&lt;=30000),$Z$5,AND(L1569&gt;30000,L1569&lt;=50000),$Z$6,L1569&gt;50000,$Z$7)</f>
        <v>Rendah</v>
      </c>
      <c r="V1569" s="2"/>
    </row>
    <row r="1570" spans="1:22" ht="15.75" customHeight="1" x14ac:dyDescent="0.25">
      <c r="A1570" s="26"/>
      <c r="B1570" s="2" t="s">
        <v>1940</v>
      </c>
      <c r="C1570" s="32">
        <v>45840.905833333331</v>
      </c>
      <c r="D1570" s="53">
        <f>YEAR(Table1[[#This Row],[Order Date]])</f>
        <v>2025</v>
      </c>
      <c r="E1570" s="2" t="s">
        <v>741</v>
      </c>
      <c r="F1570" s="2" t="s">
        <v>189</v>
      </c>
      <c r="G1570" s="2" t="s">
        <v>190</v>
      </c>
      <c r="H1570" s="23">
        <v>35000</v>
      </c>
      <c r="I1570" s="2">
        <v>3</v>
      </c>
      <c r="J1570" s="31">
        <v>0</v>
      </c>
      <c r="K1570" s="7">
        <f t="shared" si="96"/>
        <v>105000</v>
      </c>
      <c r="L1570" s="7">
        <f t="shared" si="97"/>
        <v>0</v>
      </c>
      <c r="M1570" s="7">
        <f t="shared" si="98"/>
        <v>105000</v>
      </c>
      <c r="N1570" s="23">
        <v>57000</v>
      </c>
      <c r="O1570" s="7">
        <f t="shared" si="99"/>
        <v>162000</v>
      </c>
      <c r="P1570" s="2" t="s">
        <v>22</v>
      </c>
      <c r="Q1570" t="str">
        <f>_xlfn.XLOOKUP(B1570,Status!$A$2:$A$1867,Status!$B$2:$B$1867)</f>
        <v>Completed</v>
      </c>
      <c r="R1570" s="2" t="s">
        <v>82</v>
      </c>
      <c r="S1570" s="8">
        <v>2</v>
      </c>
      <c r="T1570" s="2" t="s">
        <v>24</v>
      </c>
      <c r="U1570" s="31" t="str" cm="1">
        <f t="array" ref="U1570">_xlfn.IFS(L1570&lt;=5000,$Z$3,AND(L1570&gt;5000,L1570&lt;=15000),$Z$4,AND(L1570&gt;15000,L1570&lt;=30000),$Z$5,AND(L1570&gt;30000,L1570&lt;=50000),$Z$6,L1570&gt;50000,$Z$7)</f>
        <v>Sangat Rendah</v>
      </c>
      <c r="V1570" s="2"/>
    </row>
    <row r="1571" spans="1:22" ht="15.75" customHeight="1" x14ac:dyDescent="0.25">
      <c r="A1571" s="26"/>
      <c r="B1571" s="2" t="s">
        <v>1941</v>
      </c>
      <c r="C1571" s="32">
        <v>45840.9059375</v>
      </c>
      <c r="D1571" s="53">
        <f>YEAR(Table1[[#This Row],[Order Date]])</f>
        <v>2025</v>
      </c>
      <c r="E1571" s="2" t="s">
        <v>644</v>
      </c>
      <c r="F1571" s="2" t="s">
        <v>244</v>
      </c>
      <c r="G1571" s="2" t="s">
        <v>110</v>
      </c>
      <c r="H1571" s="23">
        <v>6000</v>
      </c>
      <c r="I1571" s="2">
        <v>3</v>
      </c>
      <c r="J1571" s="31">
        <v>10</v>
      </c>
      <c r="K1571" s="7">
        <f t="shared" si="96"/>
        <v>18000</v>
      </c>
      <c r="L1571" s="7">
        <f t="shared" si="97"/>
        <v>1800</v>
      </c>
      <c r="M1571" s="7">
        <f t="shared" si="98"/>
        <v>16200</v>
      </c>
      <c r="N1571" s="23">
        <v>80000</v>
      </c>
      <c r="O1571" s="7">
        <f t="shared" si="99"/>
        <v>96200</v>
      </c>
      <c r="P1571" s="2" t="s">
        <v>63</v>
      </c>
      <c r="Q1571" t="str">
        <f>_xlfn.XLOOKUP(B1571,Status!$A$2:$A$1867,Status!$B$2:$B$1867)</f>
        <v>Completed</v>
      </c>
      <c r="R1571" s="2" t="s">
        <v>30</v>
      </c>
      <c r="S1571" s="8">
        <v>5</v>
      </c>
      <c r="T1571" s="2" t="s">
        <v>24</v>
      </c>
      <c r="U1571" s="31" t="str" cm="1">
        <f t="array" ref="U1571">_xlfn.IFS(L1571&lt;=5000,$Z$3,AND(L1571&gt;5000,L1571&lt;=15000),$Z$4,AND(L1571&gt;15000,L1571&lt;=30000),$Z$5,AND(L1571&gt;30000,L1571&lt;=50000),$Z$6,L1571&gt;50000,$Z$7)</f>
        <v>Sangat Rendah</v>
      </c>
      <c r="V1571" s="2"/>
    </row>
    <row r="1572" spans="1:22" ht="15.75" customHeight="1" x14ac:dyDescent="0.25">
      <c r="A1572" s="26"/>
      <c r="B1572" s="2" t="s">
        <v>1942</v>
      </c>
      <c r="C1572" s="32">
        <v>45840.914421296293</v>
      </c>
      <c r="D1572" s="53">
        <f>YEAR(Table1[[#This Row],[Order Date]])</f>
        <v>2025</v>
      </c>
      <c r="E1572" s="2" t="s">
        <v>786</v>
      </c>
      <c r="F1572" s="2" t="s">
        <v>107</v>
      </c>
      <c r="G1572" s="2" t="s">
        <v>85</v>
      </c>
      <c r="H1572" s="23">
        <v>35000</v>
      </c>
      <c r="I1572" s="2">
        <v>1</v>
      </c>
      <c r="J1572" s="31">
        <v>5</v>
      </c>
      <c r="K1572" s="7">
        <f t="shared" si="96"/>
        <v>35000</v>
      </c>
      <c r="L1572" s="7">
        <f t="shared" si="97"/>
        <v>1750</v>
      </c>
      <c r="M1572" s="7">
        <f t="shared" si="98"/>
        <v>33250</v>
      </c>
      <c r="N1572" s="23">
        <v>97000</v>
      </c>
      <c r="O1572" s="7">
        <f t="shared" si="99"/>
        <v>130250</v>
      </c>
      <c r="P1572" s="2" t="s">
        <v>35</v>
      </c>
      <c r="Q1572" t="str">
        <f>_xlfn.XLOOKUP(B1572,Status!$A$2:$A$1867,Status!$B$2:$B$1867)</f>
        <v>Returned</v>
      </c>
      <c r="R1572" s="2" t="s">
        <v>36</v>
      </c>
      <c r="S1572" s="8">
        <v>4</v>
      </c>
      <c r="T1572" s="2" t="s">
        <v>24</v>
      </c>
      <c r="U1572" s="31" t="str" cm="1">
        <f t="array" ref="U1572">_xlfn.IFS(L1572&lt;=5000,$Z$3,AND(L1572&gt;5000,L1572&lt;=15000),$Z$4,AND(L1572&gt;15000,L1572&lt;=30000),$Z$5,AND(L1572&gt;30000,L1572&lt;=50000),$Z$6,L1572&gt;50000,$Z$7)</f>
        <v>Sangat Rendah</v>
      </c>
      <c r="V1572" s="2"/>
    </row>
    <row r="1573" spans="1:22" ht="15.75" customHeight="1" x14ac:dyDescent="0.25">
      <c r="A1573" s="26"/>
      <c r="B1573" s="2" t="s">
        <v>1943</v>
      </c>
      <c r="C1573" s="32">
        <v>45841.040833333333</v>
      </c>
      <c r="D1573" s="53">
        <f>YEAR(Table1[[#This Row],[Order Date]])</f>
        <v>2025</v>
      </c>
      <c r="E1573" s="2" t="s">
        <v>1047</v>
      </c>
      <c r="F1573" s="2" t="s">
        <v>160</v>
      </c>
      <c r="G1573" s="2" t="s">
        <v>28</v>
      </c>
      <c r="H1573" s="23">
        <v>5000</v>
      </c>
      <c r="I1573" s="2">
        <v>4</v>
      </c>
      <c r="J1573" s="31">
        <v>20</v>
      </c>
      <c r="K1573" s="7">
        <f t="shared" si="96"/>
        <v>20000</v>
      </c>
      <c r="L1573" s="7">
        <f t="shared" si="97"/>
        <v>4000</v>
      </c>
      <c r="M1573" s="7">
        <f t="shared" si="98"/>
        <v>16000</v>
      </c>
      <c r="N1573" s="23">
        <v>68000</v>
      </c>
      <c r="O1573" s="7">
        <f t="shared" si="99"/>
        <v>84000</v>
      </c>
      <c r="P1573" s="2" t="s">
        <v>29</v>
      </c>
      <c r="Q1573" t="str">
        <f>_xlfn.XLOOKUP(B1573,Status!$A$2:$A$1867,Status!$B$2:$B$1867)</f>
        <v>Completed</v>
      </c>
      <c r="R1573" s="2" t="s">
        <v>82</v>
      </c>
      <c r="S1573" s="8">
        <v>1</v>
      </c>
      <c r="T1573" s="2" t="s">
        <v>24</v>
      </c>
      <c r="U1573" s="31" t="str" cm="1">
        <f t="array" ref="U1573">_xlfn.IFS(L1573&lt;=5000,$Z$3,AND(L1573&gt;5000,L1573&lt;=15000),$Z$4,AND(L1573&gt;15000,L1573&lt;=30000),$Z$5,AND(L1573&gt;30000,L1573&lt;=50000),$Z$6,L1573&gt;50000,$Z$7)</f>
        <v>Sangat Rendah</v>
      </c>
      <c r="V1573" s="2"/>
    </row>
    <row r="1574" spans="1:22" ht="15.75" customHeight="1" x14ac:dyDescent="0.25">
      <c r="A1574" s="26"/>
      <c r="B1574" s="2" t="s">
        <v>1944</v>
      </c>
      <c r="C1574" s="32">
        <v>45841.435023148151</v>
      </c>
      <c r="D1574" s="53">
        <f>YEAR(Table1[[#This Row],[Order Date]])</f>
        <v>2025</v>
      </c>
      <c r="E1574" s="2" t="s">
        <v>589</v>
      </c>
      <c r="F1574" s="2" t="s">
        <v>262</v>
      </c>
      <c r="G1574" s="2" t="s">
        <v>174</v>
      </c>
      <c r="H1574" s="23">
        <v>10000</v>
      </c>
      <c r="I1574" s="2">
        <v>4</v>
      </c>
      <c r="J1574" s="31">
        <v>5</v>
      </c>
      <c r="K1574" s="7">
        <f t="shared" si="96"/>
        <v>40000</v>
      </c>
      <c r="L1574" s="7">
        <f t="shared" si="97"/>
        <v>2000</v>
      </c>
      <c r="M1574" s="7">
        <f t="shared" si="98"/>
        <v>38000</v>
      </c>
      <c r="N1574" s="23">
        <v>18000</v>
      </c>
      <c r="O1574" s="7">
        <f t="shared" si="99"/>
        <v>56000</v>
      </c>
      <c r="P1574" s="2" t="s">
        <v>35</v>
      </c>
      <c r="Q1574" t="str">
        <f>_xlfn.XLOOKUP(B1574,Status!$A$2:$A$1867,Status!$B$2:$B$1867)</f>
        <v>Completed</v>
      </c>
      <c r="R1574" s="2" t="s">
        <v>36</v>
      </c>
      <c r="S1574" s="8">
        <v>4</v>
      </c>
      <c r="T1574" s="2" t="s">
        <v>37</v>
      </c>
      <c r="U1574" s="31" t="str" cm="1">
        <f t="array" ref="U1574">_xlfn.IFS(L1574&lt;=5000,$Z$3,AND(L1574&gt;5000,L1574&lt;=15000),$Z$4,AND(L1574&gt;15000,L1574&lt;=30000),$Z$5,AND(L1574&gt;30000,L1574&lt;=50000),$Z$6,L1574&gt;50000,$Z$7)</f>
        <v>Sangat Rendah</v>
      </c>
      <c r="V1574" s="2"/>
    </row>
    <row r="1575" spans="1:22" ht="15.75" customHeight="1" x14ac:dyDescent="0.25">
      <c r="A1575" s="26"/>
      <c r="B1575" s="2" t="s">
        <v>1944</v>
      </c>
      <c r="C1575" s="32">
        <v>45841.435023148151</v>
      </c>
      <c r="D1575" s="53">
        <f>YEAR(Table1[[#This Row],[Order Date]])</f>
        <v>2025</v>
      </c>
      <c r="E1575" s="2" t="s">
        <v>589</v>
      </c>
      <c r="F1575" s="2" t="s">
        <v>262</v>
      </c>
      <c r="G1575" s="2" t="s">
        <v>93</v>
      </c>
      <c r="H1575" s="23">
        <v>25000</v>
      </c>
      <c r="I1575" s="2">
        <v>5</v>
      </c>
      <c r="J1575" s="31">
        <v>0</v>
      </c>
      <c r="K1575" s="7">
        <f t="shared" si="96"/>
        <v>125000</v>
      </c>
      <c r="L1575" s="7">
        <f t="shared" si="97"/>
        <v>0</v>
      </c>
      <c r="M1575" s="7">
        <f t="shared" si="98"/>
        <v>125000</v>
      </c>
      <c r="N1575" s="23">
        <v>0</v>
      </c>
      <c r="O1575" s="7">
        <f t="shared" si="99"/>
        <v>125000</v>
      </c>
      <c r="P1575" s="2" t="s">
        <v>35</v>
      </c>
      <c r="Q1575" t="str">
        <f>_xlfn.XLOOKUP(B1575,Status!$A$2:$A$1867,Status!$B$2:$B$1867)</f>
        <v>Completed</v>
      </c>
      <c r="R1575" s="2" t="s">
        <v>36</v>
      </c>
      <c r="S1575" s="8">
        <v>4</v>
      </c>
      <c r="T1575" s="2" t="s">
        <v>37</v>
      </c>
      <c r="U1575" s="31" t="str" cm="1">
        <f t="array" ref="U1575">_xlfn.IFS(L1575&lt;=5000,$Z$3,AND(L1575&gt;5000,L1575&lt;=15000),$Z$4,AND(L1575&gt;15000,L1575&lt;=30000),$Z$5,AND(L1575&gt;30000,L1575&lt;=50000),$Z$6,L1575&gt;50000,$Z$7)</f>
        <v>Sangat Rendah</v>
      </c>
      <c r="V1575" s="2"/>
    </row>
    <row r="1576" spans="1:22" ht="15.75" customHeight="1" x14ac:dyDescent="0.25">
      <c r="A1576" s="26"/>
      <c r="B1576" s="2" t="s">
        <v>1945</v>
      </c>
      <c r="C1576" s="32">
        <v>45841.462708333333</v>
      </c>
      <c r="D1576" s="53">
        <f>YEAR(Table1[[#This Row],[Order Date]])</f>
        <v>2025</v>
      </c>
      <c r="E1576" s="2" t="s">
        <v>644</v>
      </c>
      <c r="F1576" s="2" t="s">
        <v>244</v>
      </c>
      <c r="G1576" s="2" t="s">
        <v>144</v>
      </c>
      <c r="H1576" s="23">
        <v>18000</v>
      </c>
      <c r="I1576" s="2">
        <v>1</v>
      </c>
      <c r="J1576" s="31">
        <v>20</v>
      </c>
      <c r="K1576" s="7">
        <f t="shared" si="96"/>
        <v>18000</v>
      </c>
      <c r="L1576" s="7">
        <f t="shared" si="97"/>
        <v>3600</v>
      </c>
      <c r="M1576" s="7">
        <f t="shared" si="98"/>
        <v>14400</v>
      </c>
      <c r="N1576" s="23">
        <v>80000</v>
      </c>
      <c r="O1576" s="7">
        <f t="shared" si="99"/>
        <v>94400</v>
      </c>
      <c r="P1576" s="2" t="s">
        <v>63</v>
      </c>
      <c r="Q1576" t="str">
        <f>_xlfn.XLOOKUP(B1576,Status!$A$2:$A$1867,Status!$B$2:$B$1867)</f>
        <v>Completed</v>
      </c>
      <c r="R1576" s="2" t="s">
        <v>30</v>
      </c>
      <c r="S1576" s="8">
        <v>1</v>
      </c>
      <c r="T1576" s="2" t="s">
        <v>24</v>
      </c>
      <c r="U1576" s="31" t="str" cm="1">
        <f t="array" ref="U1576">_xlfn.IFS(L1576&lt;=5000,$Z$3,AND(L1576&gt;5000,L1576&lt;=15000),$Z$4,AND(L1576&gt;15000,L1576&lt;=30000),$Z$5,AND(L1576&gt;30000,L1576&lt;=50000),$Z$6,L1576&gt;50000,$Z$7)</f>
        <v>Sangat Rendah</v>
      </c>
      <c r="V1576" s="2"/>
    </row>
    <row r="1577" spans="1:22" ht="15.75" customHeight="1" x14ac:dyDescent="0.25">
      <c r="A1577" s="26"/>
      <c r="B1577" s="2" t="s">
        <v>1946</v>
      </c>
      <c r="C1577" s="32">
        <v>45841.764409722222</v>
      </c>
      <c r="D1577" s="53">
        <f>YEAR(Table1[[#This Row],[Order Date]])</f>
        <v>2025</v>
      </c>
      <c r="E1577" s="2" t="s">
        <v>377</v>
      </c>
      <c r="F1577" s="2" t="s">
        <v>182</v>
      </c>
      <c r="G1577" s="2" t="s">
        <v>88</v>
      </c>
      <c r="H1577" s="23">
        <v>14000</v>
      </c>
      <c r="I1577" s="2">
        <v>3</v>
      </c>
      <c r="J1577" s="31">
        <v>0</v>
      </c>
      <c r="K1577" s="7">
        <f t="shared" si="96"/>
        <v>42000</v>
      </c>
      <c r="L1577" s="7">
        <f t="shared" si="97"/>
        <v>0</v>
      </c>
      <c r="M1577" s="7">
        <f t="shared" si="98"/>
        <v>42000</v>
      </c>
      <c r="N1577" s="23">
        <v>48000</v>
      </c>
      <c r="O1577" s="7">
        <f t="shared" si="99"/>
        <v>90000</v>
      </c>
      <c r="P1577" s="2" t="s">
        <v>22</v>
      </c>
      <c r="Q1577" t="str">
        <f>_xlfn.XLOOKUP(B1577,Status!$A$2:$A$1867,Status!$B$2:$B$1867)</f>
        <v>Completed</v>
      </c>
      <c r="R1577" s="2" t="s">
        <v>36</v>
      </c>
      <c r="S1577" s="8">
        <v>1</v>
      </c>
      <c r="T1577" s="2" t="s">
        <v>24</v>
      </c>
      <c r="U1577" s="31" t="str" cm="1">
        <f t="array" ref="U1577">_xlfn.IFS(L1577&lt;=5000,$Z$3,AND(L1577&gt;5000,L1577&lt;=15000),$Z$4,AND(L1577&gt;15000,L1577&lt;=30000),$Z$5,AND(L1577&gt;30000,L1577&lt;=50000),$Z$6,L1577&gt;50000,$Z$7)</f>
        <v>Sangat Rendah</v>
      </c>
      <c r="V1577" s="2"/>
    </row>
    <row r="1578" spans="1:22" ht="15.75" customHeight="1" x14ac:dyDescent="0.25">
      <c r="A1578" s="26"/>
      <c r="B1578" s="2" t="s">
        <v>1947</v>
      </c>
      <c r="C1578" s="32">
        <v>45841.9294212963</v>
      </c>
      <c r="D1578" s="53">
        <f>YEAR(Table1[[#This Row],[Order Date]])</f>
        <v>2025</v>
      </c>
      <c r="E1578" s="2" t="s">
        <v>246</v>
      </c>
      <c r="F1578" s="2" t="s">
        <v>238</v>
      </c>
      <c r="G1578" s="2" t="s">
        <v>88</v>
      </c>
      <c r="H1578" s="23">
        <v>14000</v>
      </c>
      <c r="I1578" s="2">
        <v>4</v>
      </c>
      <c r="J1578" s="31">
        <v>5</v>
      </c>
      <c r="K1578" s="7">
        <f t="shared" si="96"/>
        <v>56000</v>
      </c>
      <c r="L1578" s="7">
        <f t="shared" si="97"/>
        <v>2800</v>
      </c>
      <c r="M1578" s="7">
        <f t="shared" si="98"/>
        <v>53200</v>
      </c>
      <c r="N1578" s="23">
        <v>28000</v>
      </c>
      <c r="O1578" s="7">
        <f t="shared" si="99"/>
        <v>81200</v>
      </c>
      <c r="P1578" s="2" t="s">
        <v>22</v>
      </c>
      <c r="Q1578" t="str">
        <f>_xlfn.XLOOKUP(B1578,Status!$A$2:$A$1867,Status!$B$2:$B$1867)</f>
        <v>Completed</v>
      </c>
      <c r="R1578" s="2" t="s">
        <v>36</v>
      </c>
      <c r="S1578" s="8">
        <v>5</v>
      </c>
      <c r="T1578" s="2" t="s">
        <v>24</v>
      </c>
      <c r="U1578" s="31" t="str" cm="1">
        <f t="array" ref="U1578">_xlfn.IFS(L1578&lt;=5000,$Z$3,AND(L1578&gt;5000,L1578&lt;=15000),$Z$4,AND(L1578&gt;15000,L1578&lt;=30000),$Z$5,AND(L1578&gt;30000,L1578&lt;=50000),$Z$6,L1578&gt;50000,$Z$7)</f>
        <v>Sangat Rendah</v>
      </c>
      <c r="V1578" s="2"/>
    </row>
    <row r="1579" spans="1:22" ht="15.75" customHeight="1" x14ac:dyDescent="0.25">
      <c r="A1579" s="26"/>
      <c r="B1579" s="2" t="s">
        <v>1948</v>
      </c>
      <c r="C1579" s="32">
        <v>45842.011111111111</v>
      </c>
      <c r="D1579" s="53">
        <f>YEAR(Table1[[#This Row],[Order Date]])</f>
        <v>2025</v>
      </c>
      <c r="E1579" s="2" t="s">
        <v>425</v>
      </c>
      <c r="F1579" s="2" t="s">
        <v>44</v>
      </c>
      <c r="G1579" s="2" t="s">
        <v>93</v>
      </c>
      <c r="H1579" s="23">
        <v>25000</v>
      </c>
      <c r="I1579" s="2">
        <v>4</v>
      </c>
      <c r="J1579" s="31">
        <v>0</v>
      </c>
      <c r="K1579" s="7">
        <f t="shared" si="96"/>
        <v>100000</v>
      </c>
      <c r="L1579" s="7">
        <f t="shared" si="97"/>
        <v>0</v>
      </c>
      <c r="M1579" s="7">
        <f t="shared" si="98"/>
        <v>100000</v>
      </c>
      <c r="N1579" s="23">
        <v>93000</v>
      </c>
      <c r="O1579" s="7">
        <f t="shared" si="99"/>
        <v>193000</v>
      </c>
      <c r="P1579" s="2" t="s">
        <v>22</v>
      </c>
      <c r="Q1579" t="str">
        <f>_xlfn.XLOOKUP(B1579,Status!$A$2:$A$1867,Status!$B$2:$B$1867)</f>
        <v>Completed</v>
      </c>
      <c r="R1579" s="2" t="s">
        <v>30</v>
      </c>
      <c r="S1579" s="8">
        <v>2</v>
      </c>
      <c r="T1579" s="2" t="s">
        <v>37</v>
      </c>
      <c r="U1579" s="31" t="str" cm="1">
        <f t="array" ref="U1579">_xlfn.IFS(L1579&lt;=5000,$Z$3,AND(L1579&gt;5000,L1579&lt;=15000),$Z$4,AND(L1579&gt;15000,L1579&lt;=30000),$Z$5,AND(L1579&gt;30000,L1579&lt;=50000),$Z$6,L1579&gt;50000,$Z$7)</f>
        <v>Sangat Rendah</v>
      </c>
      <c r="V1579" s="2"/>
    </row>
    <row r="1580" spans="1:22" ht="15.75" customHeight="1" x14ac:dyDescent="0.25">
      <c r="A1580" s="26"/>
      <c r="B1580" s="2" t="s">
        <v>1949</v>
      </c>
      <c r="C1580" s="32">
        <v>45842.195590277777</v>
      </c>
      <c r="D1580" s="53">
        <f>YEAR(Table1[[#This Row],[Order Date]])</f>
        <v>2025</v>
      </c>
      <c r="E1580" s="2" t="s">
        <v>48</v>
      </c>
      <c r="F1580" s="2" t="s">
        <v>49</v>
      </c>
      <c r="G1580" s="2" t="s">
        <v>67</v>
      </c>
      <c r="H1580" s="23">
        <v>15000</v>
      </c>
      <c r="I1580" s="2">
        <v>3</v>
      </c>
      <c r="J1580" s="31">
        <v>15</v>
      </c>
      <c r="K1580" s="7">
        <f t="shared" si="96"/>
        <v>45000</v>
      </c>
      <c r="L1580" s="7">
        <f t="shared" si="97"/>
        <v>6750</v>
      </c>
      <c r="M1580" s="7">
        <f t="shared" si="98"/>
        <v>38250</v>
      </c>
      <c r="N1580" s="23">
        <v>43000</v>
      </c>
      <c r="O1580" s="7">
        <f t="shared" si="99"/>
        <v>81250</v>
      </c>
      <c r="P1580" s="2" t="s">
        <v>63</v>
      </c>
      <c r="Q1580" t="str">
        <f>_xlfn.XLOOKUP(B1580,Status!$A$2:$A$1867,Status!$B$2:$B$1867)</f>
        <v>Returned</v>
      </c>
      <c r="R1580" s="2" t="s">
        <v>30</v>
      </c>
      <c r="S1580" s="8">
        <v>1</v>
      </c>
      <c r="T1580" s="2" t="s">
        <v>24</v>
      </c>
      <c r="U1580" s="31" t="str" cm="1">
        <f t="array" ref="U1580">_xlfn.IFS(L1580&lt;=5000,$Z$3,AND(L1580&gt;5000,L1580&lt;=15000),$Z$4,AND(L1580&gt;15000,L1580&lt;=30000),$Z$5,AND(L1580&gt;30000,L1580&lt;=50000),$Z$6,L1580&gt;50000,$Z$7)</f>
        <v>Rendah</v>
      </c>
      <c r="V1580" s="2"/>
    </row>
    <row r="1581" spans="1:22" ht="15.75" customHeight="1" x14ac:dyDescent="0.25">
      <c r="A1581" s="26"/>
      <c r="B1581" s="2" t="s">
        <v>1950</v>
      </c>
      <c r="C1581" s="32">
        <v>45842.215555555558</v>
      </c>
      <c r="D1581" s="53">
        <f>YEAR(Table1[[#This Row],[Order Date]])</f>
        <v>2025</v>
      </c>
      <c r="E1581" s="2" t="s">
        <v>1624</v>
      </c>
      <c r="F1581" s="2" t="s">
        <v>33</v>
      </c>
      <c r="G1581" s="2" t="s">
        <v>81</v>
      </c>
      <c r="H1581" s="23">
        <v>17000</v>
      </c>
      <c r="I1581" s="2">
        <v>5</v>
      </c>
      <c r="J1581" s="31">
        <v>20</v>
      </c>
      <c r="K1581" s="7">
        <f t="shared" si="96"/>
        <v>85000</v>
      </c>
      <c r="L1581" s="7">
        <f t="shared" si="97"/>
        <v>17000</v>
      </c>
      <c r="M1581" s="7">
        <f t="shared" si="98"/>
        <v>68000</v>
      </c>
      <c r="N1581" s="23">
        <v>76000</v>
      </c>
      <c r="O1581" s="7">
        <f t="shared" si="99"/>
        <v>144000</v>
      </c>
      <c r="P1581" s="2" t="s">
        <v>35</v>
      </c>
      <c r="Q1581" t="str">
        <f>_xlfn.XLOOKUP(B1581,Status!$A$2:$A$1867,Status!$B$2:$B$1867)</f>
        <v>Returned</v>
      </c>
      <c r="R1581" s="2" t="s">
        <v>36</v>
      </c>
      <c r="S1581" s="8">
        <v>2</v>
      </c>
      <c r="T1581" s="2" t="s">
        <v>24</v>
      </c>
      <c r="U1581" s="31" t="str" cm="1">
        <f t="array" ref="U1581">_xlfn.IFS(L1581&lt;=5000,$Z$3,AND(L1581&gt;5000,L1581&lt;=15000),$Z$4,AND(L1581&gt;15000,L1581&lt;=30000),$Z$5,AND(L1581&gt;30000,L1581&lt;=50000),$Z$6,L1581&gt;50000,$Z$7)</f>
        <v>Normal</v>
      </c>
      <c r="V1581" s="2"/>
    </row>
    <row r="1582" spans="1:22" ht="15.75" customHeight="1" x14ac:dyDescent="0.25">
      <c r="A1582" s="26"/>
      <c r="B1582" s="2" t="s">
        <v>1951</v>
      </c>
      <c r="C1582" s="32">
        <v>45842.227025462962</v>
      </c>
      <c r="D1582" s="53">
        <f>YEAR(Table1[[#This Row],[Order Date]])</f>
        <v>2025</v>
      </c>
      <c r="E1582" s="2" t="s">
        <v>699</v>
      </c>
      <c r="F1582" s="2" t="s">
        <v>238</v>
      </c>
      <c r="G1582" s="2" t="s">
        <v>123</v>
      </c>
      <c r="H1582" s="23">
        <v>22000</v>
      </c>
      <c r="I1582" s="2">
        <v>3</v>
      </c>
      <c r="J1582" s="31">
        <v>15</v>
      </c>
      <c r="K1582" s="7">
        <f t="shared" si="96"/>
        <v>66000</v>
      </c>
      <c r="L1582" s="7">
        <f t="shared" si="97"/>
        <v>9900</v>
      </c>
      <c r="M1582" s="7">
        <f t="shared" si="98"/>
        <v>56100</v>
      </c>
      <c r="N1582" s="23">
        <v>28000</v>
      </c>
      <c r="O1582" s="7">
        <f t="shared" si="99"/>
        <v>84100</v>
      </c>
      <c r="P1582" s="2" t="s">
        <v>22</v>
      </c>
      <c r="Q1582" t="str">
        <f>_xlfn.XLOOKUP(B1582,Status!$A$2:$A$1867,Status!$B$2:$B$1867)</f>
        <v>Completed</v>
      </c>
      <c r="R1582" s="2" t="s">
        <v>82</v>
      </c>
      <c r="S1582" s="8">
        <v>5</v>
      </c>
      <c r="T1582" s="2" t="s">
        <v>37</v>
      </c>
      <c r="U1582" s="31" t="str" cm="1">
        <f t="array" ref="U1582">_xlfn.IFS(L1582&lt;=5000,$Z$3,AND(L1582&gt;5000,L1582&lt;=15000),$Z$4,AND(L1582&gt;15000,L1582&lt;=30000),$Z$5,AND(L1582&gt;30000,L1582&lt;=50000),$Z$6,L1582&gt;50000,$Z$7)</f>
        <v>Rendah</v>
      </c>
      <c r="V1582" s="2"/>
    </row>
    <row r="1583" spans="1:22" ht="15.75" customHeight="1" x14ac:dyDescent="0.25">
      <c r="A1583" s="26"/>
      <c r="B1583" s="2" t="s">
        <v>1952</v>
      </c>
      <c r="C1583" s="32">
        <v>45842.25236111111</v>
      </c>
      <c r="D1583" s="53">
        <f>YEAR(Table1[[#This Row],[Order Date]])</f>
        <v>2025</v>
      </c>
      <c r="E1583" s="2" t="s">
        <v>821</v>
      </c>
      <c r="F1583" s="2" t="s">
        <v>131</v>
      </c>
      <c r="G1583" s="2" t="s">
        <v>34</v>
      </c>
      <c r="H1583" s="23">
        <v>16000</v>
      </c>
      <c r="I1583" s="2">
        <v>3</v>
      </c>
      <c r="J1583" s="31">
        <v>0</v>
      </c>
      <c r="K1583" s="7">
        <f t="shared" si="96"/>
        <v>48000</v>
      </c>
      <c r="L1583" s="7">
        <f t="shared" si="97"/>
        <v>0</v>
      </c>
      <c r="M1583" s="7">
        <f t="shared" si="98"/>
        <v>48000</v>
      </c>
      <c r="N1583" s="23">
        <v>59000</v>
      </c>
      <c r="O1583" s="7">
        <f t="shared" si="99"/>
        <v>107000</v>
      </c>
      <c r="P1583" s="2" t="s">
        <v>63</v>
      </c>
      <c r="Q1583" t="str">
        <f>_xlfn.XLOOKUP(B1583,Status!$A$2:$A$1867,Status!$B$2:$B$1867)</f>
        <v>Completed</v>
      </c>
      <c r="R1583" s="2" t="s">
        <v>23</v>
      </c>
      <c r="S1583" s="8">
        <v>4</v>
      </c>
      <c r="T1583" s="2" t="s">
        <v>24</v>
      </c>
      <c r="U1583" s="31" t="str" cm="1">
        <f t="array" ref="U1583">_xlfn.IFS(L1583&lt;=5000,$Z$3,AND(L1583&gt;5000,L1583&lt;=15000),$Z$4,AND(L1583&gt;15000,L1583&lt;=30000),$Z$5,AND(L1583&gt;30000,L1583&lt;=50000),$Z$6,L1583&gt;50000,$Z$7)</f>
        <v>Sangat Rendah</v>
      </c>
      <c r="V1583" s="2"/>
    </row>
    <row r="1584" spans="1:22" ht="15.75" customHeight="1" x14ac:dyDescent="0.25">
      <c r="A1584" s="26"/>
      <c r="B1584" s="2" t="s">
        <v>1953</v>
      </c>
      <c r="C1584" s="32">
        <v>45842.444062499999</v>
      </c>
      <c r="D1584" s="53">
        <f>YEAR(Table1[[#This Row],[Order Date]])</f>
        <v>2025</v>
      </c>
      <c r="E1584" s="2" t="s">
        <v>246</v>
      </c>
      <c r="F1584" s="2" t="s">
        <v>238</v>
      </c>
      <c r="G1584" s="2" t="s">
        <v>50</v>
      </c>
      <c r="H1584" s="23">
        <v>14000</v>
      </c>
      <c r="I1584" s="2">
        <v>2</v>
      </c>
      <c r="J1584" s="31">
        <v>15</v>
      </c>
      <c r="K1584" s="7">
        <f t="shared" si="96"/>
        <v>28000</v>
      </c>
      <c r="L1584" s="7">
        <f t="shared" si="97"/>
        <v>4200</v>
      </c>
      <c r="M1584" s="7">
        <f t="shared" si="98"/>
        <v>23800</v>
      </c>
      <c r="N1584" s="23">
        <v>28000</v>
      </c>
      <c r="O1584" s="7">
        <f t="shared" si="99"/>
        <v>51800</v>
      </c>
      <c r="P1584" s="2" t="s">
        <v>22</v>
      </c>
      <c r="Q1584" t="str">
        <f>_xlfn.XLOOKUP(B1584,Status!$A$2:$A$1867,Status!$B$2:$B$1867)</f>
        <v>Completed</v>
      </c>
      <c r="R1584" s="2" t="s">
        <v>30</v>
      </c>
      <c r="S1584" s="8">
        <v>5</v>
      </c>
      <c r="T1584" s="2" t="s">
        <v>24</v>
      </c>
      <c r="U1584" s="31" t="str" cm="1">
        <f t="array" ref="U1584">_xlfn.IFS(L1584&lt;=5000,$Z$3,AND(L1584&gt;5000,L1584&lt;=15000),$Z$4,AND(L1584&gt;15000,L1584&lt;=30000),$Z$5,AND(L1584&gt;30000,L1584&lt;=50000),$Z$6,L1584&gt;50000,$Z$7)</f>
        <v>Sangat Rendah</v>
      </c>
      <c r="V1584" s="2"/>
    </row>
    <row r="1585" spans="1:22" ht="15.75" customHeight="1" x14ac:dyDescent="0.25">
      <c r="A1585" s="26"/>
      <c r="B1585" s="2" t="s">
        <v>1954</v>
      </c>
      <c r="C1585" s="32">
        <v>45842.444108796299</v>
      </c>
      <c r="D1585" s="53">
        <f>YEAR(Table1[[#This Row],[Order Date]])</f>
        <v>2025</v>
      </c>
      <c r="E1585" s="2" t="s">
        <v>216</v>
      </c>
      <c r="F1585" s="2" t="s">
        <v>143</v>
      </c>
      <c r="G1585" s="2" t="s">
        <v>88</v>
      </c>
      <c r="H1585" s="23">
        <v>14000</v>
      </c>
      <c r="I1585" s="2">
        <v>2</v>
      </c>
      <c r="J1585" s="31">
        <v>10</v>
      </c>
      <c r="K1585" s="7">
        <f t="shared" si="96"/>
        <v>28000</v>
      </c>
      <c r="L1585" s="7">
        <f t="shared" si="97"/>
        <v>2800</v>
      </c>
      <c r="M1585" s="7">
        <f t="shared" si="98"/>
        <v>25200</v>
      </c>
      <c r="N1585" s="23">
        <v>50000</v>
      </c>
      <c r="O1585" s="7">
        <f t="shared" si="99"/>
        <v>75200</v>
      </c>
      <c r="P1585" s="2" t="s">
        <v>35</v>
      </c>
      <c r="Q1585" t="str">
        <f>_xlfn.XLOOKUP(B1585,Status!$A$2:$A$1867,Status!$B$2:$B$1867)</f>
        <v>Completed</v>
      </c>
      <c r="R1585" s="2" t="s">
        <v>82</v>
      </c>
      <c r="S1585" s="8">
        <v>5</v>
      </c>
      <c r="T1585" s="2" t="s">
        <v>24</v>
      </c>
      <c r="U1585" s="31" t="str" cm="1">
        <f t="array" ref="U1585">_xlfn.IFS(L1585&lt;=5000,$Z$3,AND(L1585&gt;5000,L1585&lt;=15000),$Z$4,AND(L1585&gt;15000,L1585&lt;=30000),$Z$5,AND(L1585&gt;30000,L1585&lt;=50000),$Z$6,L1585&gt;50000,$Z$7)</f>
        <v>Sangat Rendah</v>
      </c>
      <c r="V1585" s="2"/>
    </row>
    <row r="1586" spans="1:22" ht="15.75" customHeight="1" x14ac:dyDescent="0.25">
      <c r="A1586" s="26"/>
      <c r="B1586" s="2" t="s">
        <v>1955</v>
      </c>
      <c r="C1586" s="32">
        <v>45842.601006944453</v>
      </c>
      <c r="D1586" s="53">
        <f>YEAR(Table1[[#This Row],[Order Date]])</f>
        <v>2025</v>
      </c>
      <c r="E1586" s="2" t="s">
        <v>1424</v>
      </c>
      <c r="F1586" s="2" t="s">
        <v>296</v>
      </c>
      <c r="G1586" s="2" t="s">
        <v>174</v>
      </c>
      <c r="H1586" s="23">
        <v>10000</v>
      </c>
      <c r="I1586" s="2">
        <v>3</v>
      </c>
      <c r="J1586" s="31">
        <v>0</v>
      </c>
      <c r="K1586" s="7">
        <f t="shared" si="96"/>
        <v>30000</v>
      </c>
      <c r="L1586" s="7">
        <f t="shared" si="97"/>
        <v>0</v>
      </c>
      <c r="M1586" s="7">
        <f t="shared" si="98"/>
        <v>30000</v>
      </c>
      <c r="N1586" s="23">
        <v>79000</v>
      </c>
      <c r="O1586" s="7">
        <f t="shared" si="99"/>
        <v>109000</v>
      </c>
      <c r="P1586" s="2" t="s">
        <v>22</v>
      </c>
      <c r="Q1586" t="str">
        <f>_xlfn.XLOOKUP(B1586,Status!$A$2:$A$1867,Status!$B$2:$B$1867)</f>
        <v>Completed</v>
      </c>
      <c r="R1586" s="2" t="s">
        <v>30</v>
      </c>
      <c r="S1586" s="8">
        <v>1</v>
      </c>
      <c r="T1586" s="2" t="s">
        <v>24</v>
      </c>
      <c r="U1586" s="31" t="str" cm="1">
        <f t="array" ref="U1586">_xlfn.IFS(L1586&lt;=5000,$Z$3,AND(L1586&gt;5000,L1586&lt;=15000),$Z$4,AND(L1586&gt;15000,L1586&lt;=30000),$Z$5,AND(L1586&gt;30000,L1586&lt;=50000),$Z$6,L1586&gt;50000,$Z$7)</f>
        <v>Sangat Rendah</v>
      </c>
      <c r="V1586" s="2"/>
    </row>
    <row r="1587" spans="1:22" ht="15.75" customHeight="1" x14ac:dyDescent="0.25">
      <c r="A1587" s="26"/>
      <c r="B1587" s="2" t="s">
        <v>1956</v>
      </c>
      <c r="C1587" s="32">
        <v>45842.943124999998</v>
      </c>
      <c r="D1587" s="53">
        <f>YEAR(Table1[[#This Row],[Order Date]])</f>
        <v>2025</v>
      </c>
      <c r="E1587" s="2" t="s">
        <v>121</v>
      </c>
      <c r="F1587" s="2" t="s">
        <v>122</v>
      </c>
      <c r="G1587" s="2" t="s">
        <v>75</v>
      </c>
      <c r="H1587" s="23">
        <v>55000</v>
      </c>
      <c r="I1587" s="2">
        <v>2</v>
      </c>
      <c r="J1587" s="31">
        <v>0</v>
      </c>
      <c r="K1587" s="7">
        <f t="shared" si="96"/>
        <v>110000</v>
      </c>
      <c r="L1587" s="7">
        <f t="shared" si="97"/>
        <v>0</v>
      </c>
      <c r="M1587" s="7">
        <f t="shared" si="98"/>
        <v>110000</v>
      </c>
      <c r="N1587" s="23">
        <v>78000</v>
      </c>
      <c r="O1587" s="7">
        <f t="shared" si="99"/>
        <v>188000</v>
      </c>
      <c r="P1587" s="2" t="s">
        <v>29</v>
      </c>
      <c r="Q1587" t="str">
        <f>_xlfn.XLOOKUP(B1587,Status!$A$2:$A$1867,Status!$B$2:$B$1867)</f>
        <v>Completed</v>
      </c>
      <c r="R1587" s="2" t="s">
        <v>82</v>
      </c>
      <c r="S1587" s="8">
        <v>1</v>
      </c>
      <c r="T1587" s="2" t="s">
        <v>24</v>
      </c>
      <c r="U1587" s="31" t="str" cm="1">
        <f t="array" ref="U1587">_xlfn.IFS(L1587&lt;=5000,$Z$3,AND(L1587&gt;5000,L1587&lt;=15000),$Z$4,AND(L1587&gt;15000,L1587&lt;=30000),$Z$5,AND(L1587&gt;30000,L1587&lt;=50000),$Z$6,L1587&gt;50000,$Z$7)</f>
        <v>Sangat Rendah</v>
      </c>
      <c r="V1587" s="2"/>
    </row>
    <row r="1588" spans="1:22" ht="15.75" customHeight="1" x14ac:dyDescent="0.25">
      <c r="A1588" s="26"/>
      <c r="B1588" s="2" t="s">
        <v>1957</v>
      </c>
      <c r="C1588" s="32">
        <v>45843.090069444443</v>
      </c>
      <c r="D1588" s="53">
        <f>YEAR(Table1[[#This Row],[Order Date]])</f>
        <v>2025</v>
      </c>
      <c r="E1588" s="2" t="s">
        <v>359</v>
      </c>
      <c r="F1588" s="2" t="s">
        <v>70</v>
      </c>
      <c r="G1588" s="2" t="s">
        <v>123</v>
      </c>
      <c r="H1588" s="23">
        <v>22000</v>
      </c>
      <c r="I1588" s="2">
        <v>5</v>
      </c>
      <c r="J1588" s="31">
        <v>0</v>
      </c>
      <c r="K1588" s="7">
        <f t="shared" si="96"/>
        <v>110000</v>
      </c>
      <c r="L1588" s="7">
        <f t="shared" si="97"/>
        <v>0</v>
      </c>
      <c r="M1588" s="7">
        <f t="shared" si="98"/>
        <v>110000</v>
      </c>
      <c r="N1588" s="23">
        <v>89000</v>
      </c>
      <c r="O1588" s="7">
        <f t="shared" si="99"/>
        <v>199000</v>
      </c>
      <c r="P1588" s="2" t="s">
        <v>35</v>
      </c>
      <c r="Q1588" t="str">
        <f>_xlfn.XLOOKUP(B1588,Status!$A$2:$A$1867,Status!$B$2:$B$1867)</f>
        <v>Returned</v>
      </c>
      <c r="R1588" s="2" t="s">
        <v>82</v>
      </c>
      <c r="S1588" s="8">
        <v>2</v>
      </c>
      <c r="T1588" s="2" t="s">
        <v>24</v>
      </c>
      <c r="U1588" s="31" t="str" cm="1">
        <f t="array" ref="U1588">_xlfn.IFS(L1588&lt;=5000,$Z$3,AND(L1588&gt;5000,L1588&lt;=15000),$Z$4,AND(L1588&gt;15000,L1588&lt;=30000),$Z$5,AND(L1588&gt;30000,L1588&lt;=50000),$Z$6,L1588&gt;50000,$Z$7)</f>
        <v>Sangat Rendah</v>
      </c>
      <c r="V1588" s="2"/>
    </row>
    <row r="1589" spans="1:22" ht="15.75" customHeight="1" x14ac:dyDescent="0.25">
      <c r="A1589" s="26"/>
      <c r="B1589" s="2" t="s">
        <v>1958</v>
      </c>
      <c r="C1589" s="32">
        <v>45843.655636574083</v>
      </c>
      <c r="D1589" s="53">
        <f>YEAR(Table1[[#This Row],[Order Date]])</f>
        <v>2025</v>
      </c>
      <c r="E1589" s="2" t="s">
        <v>1654</v>
      </c>
      <c r="F1589" s="2" t="s">
        <v>74</v>
      </c>
      <c r="G1589" s="2" t="s">
        <v>34</v>
      </c>
      <c r="H1589" s="23">
        <v>16000</v>
      </c>
      <c r="I1589" s="2">
        <v>2</v>
      </c>
      <c r="J1589" s="31">
        <v>0</v>
      </c>
      <c r="K1589" s="7">
        <f t="shared" si="96"/>
        <v>32000</v>
      </c>
      <c r="L1589" s="7">
        <f t="shared" si="97"/>
        <v>0</v>
      </c>
      <c r="M1589" s="7">
        <f t="shared" si="98"/>
        <v>32000</v>
      </c>
      <c r="N1589" s="23">
        <v>87000</v>
      </c>
      <c r="O1589" s="7">
        <f t="shared" si="99"/>
        <v>119000</v>
      </c>
      <c r="P1589" s="2" t="s">
        <v>35</v>
      </c>
      <c r="Q1589" t="str">
        <f>_xlfn.XLOOKUP(B1589,Status!$A$2:$A$1867,Status!$B$2:$B$1867)</f>
        <v>Returned</v>
      </c>
      <c r="R1589" s="2" t="s">
        <v>36</v>
      </c>
      <c r="S1589" s="8">
        <v>4</v>
      </c>
      <c r="T1589" s="2" t="s">
        <v>37</v>
      </c>
      <c r="U1589" s="31" t="str" cm="1">
        <f t="array" ref="U1589">_xlfn.IFS(L1589&lt;=5000,$Z$3,AND(L1589&gt;5000,L1589&lt;=15000),$Z$4,AND(L1589&gt;15000,L1589&lt;=30000),$Z$5,AND(L1589&gt;30000,L1589&lt;=50000),$Z$6,L1589&gt;50000,$Z$7)</f>
        <v>Sangat Rendah</v>
      </c>
      <c r="V1589" s="2"/>
    </row>
    <row r="1590" spans="1:22" ht="15.75" customHeight="1" x14ac:dyDescent="0.25">
      <c r="A1590" s="26"/>
      <c r="B1590" s="2" t="s">
        <v>1959</v>
      </c>
      <c r="C1590" s="32">
        <v>45843.706342592603</v>
      </c>
      <c r="D1590" s="53">
        <f>YEAR(Table1[[#This Row],[Order Date]])</f>
        <v>2025</v>
      </c>
      <c r="E1590" s="2" t="s">
        <v>1278</v>
      </c>
      <c r="F1590" s="2" t="s">
        <v>74</v>
      </c>
      <c r="G1590" s="2" t="s">
        <v>71</v>
      </c>
      <c r="H1590" s="23">
        <v>40000</v>
      </c>
      <c r="I1590" s="2">
        <v>5</v>
      </c>
      <c r="J1590" s="31">
        <v>15</v>
      </c>
      <c r="K1590" s="7">
        <f t="shared" si="96"/>
        <v>200000</v>
      </c>
      <c r="L1590" s="7">
        <f t="shared" si="97"/>
        <v>30000</v>
      </c>
      <c r="M1590" s="7">
        <f t="shared" si="98"/>
        <v>170000</v>
      </c>
      <c r="N1590" s="23">
        <v>87000</v>
      </c>
      <c r="O1590" s="7">
        <f t="shared" si="99"/>
        <v>257000</v>
      </c>
      <c r="P1590" s="2" t="s">
        <v>35</v>
      </c>
      <c r="Q1590" t="str">
        <f>_xlfn.XLOOKUP(B1590,Status!$A$2:$A$1867,Status!$B$2:$B$1867)</f>
        <v>Returned</v>
      </c>
      <c r="R1590" s="2" t="s">
        <v>36</v>
      </c>
      <c r="S1590" s="8">
        <v>4</v>
      </c>
      <c r="T1590" s="2" t="s">
        <v>24</v>
      </c>
      <c r="U1590" s="31" t="str" cm="1">
        <f t="array" ref="U1590">_xlfn.IFS(L1590&lt;=5000,$Z$3,AND(L1590&gt;5000,L1590&lt;=15000),$Z$4,AND(L1590&gt;15000,L1590&lt;=30000),$Z$5,AND(L1590&gt;30000,L1590&lt;=50000),$Z$6,L1590&gt;50000,$Z$7)</f>
        <v>Normal</v>
      </c>
      <c r="V1590" s="2"/>
    </row>
    <row r="1591" spans="1:22" ht="15.75" customHeight="1" x14ac:dyDescent="0.25">
      <c r="A1591" s="26"/>
      <c r="B1591" s="2" t="s">
        <v>1960</v>
      </c>
      <c r="C1591" s="32">
        <v>45844.037314814806</v>
      </c>
      <c r="D1591" s="53">
        <f>YEAR(Table1[[#This Row],[Order Date]])</f>
        <v>2025</v>
      </c>
      <c r="E1591" s="2" t="s">
        <v>1083</v>
      </c>
      <c r="F1591" s="2" t="s">
        <v>170</v>
      </c>
      <c r="G1591" s="2" t="s">
        <v>110</v>
      </c>
      <c r="H1591" s="23">
        <v>6000</v>
      </c>
      <c r="I1591" s="2">
        <v>1</v>
      </c>
      <c r="J1591" s="31">
        <v>15</v>
      </c>
      <c r="K1591" s="7">
        <f t="shared" si="96"/>
        <v>6000</v>
      </c>
      <c r="L1591" s="7">
        <f t="shared" si="97"/>
        <v>900</v>
      </c>
      <c r="M1591" s="7">
        <f t="shared" si="98"/>
        <v>5100</v>
      </c>
      <c r="N1591" s="23">
        <v>46000</v>
      </c>
      <c r="O1591" s="7">
        <f t="shared" si="99"/>
        <v>51100</v>
      </c>
      <c r="P1591" s="2" t="s">
        <v>35</v>
      </c>
      <c r="Q1591" t="str">
        <f>_xlfn.XLOOKUP(B1591,Status!$A$2:$A$1867,Status!$B$2:$B$1867)</f>
        <v>Completed</v>
      </c>
      <c r="R1591" s="2" t="s">
        <v>82</v>
      </c>
      <c r="S1591" s="8">
        <v>5</v>
      </c>
      <c r="T1591" s="2" t="s">
        <v>24</v>
      </c>
      <c r="U1591" s="31" t="str" cm="1">
        <f t="array" ref="U1591">_xlfn.IFS(L1591&lt;=5000,$Z$3,AND(L1591&gt;5000,L1591&lt;=15000),$Z$4,AND(L1591&gt;15000,L1591&lt;=30000),$Z$5,AND(L1591&gt;30000,L1591&lt;=50000),$Z$6,L1591&gt;50000,$Z$7)</f>
        <v>Sangat Rendah</v>
      </c>
      <c r="V1591" s="2"/>
    </row>
    <row r="1592" spans="1:22" ht="15.75" customHeight="1" x14ac:dyDescent="0.25">
      <c r="A1592" s="26"/>
      <c r="B1592" s="2" t="s">
        <v>1961</v>
      </c>
      <c r="C1592" s="32">
        <v>45844.212384259263</v>
      </c>
      <c r="D1592" s="53">
        <f>YEAR(Table1[[#This Row],[Order Date]])</f>
        <v>2025</v>
      </c>
      <c r="E1592" s="2" t="s">
        <v>289</v>
      </c>
      <c r="F1592" s="2" t="s">
        <v>20</v>
      </c>
      <c r="G1592" s="2" t="s">
        <v>71</v>
      </c>
      <c r="H1592" s="23">
        <v>40000</v>
      </c>
      <c r="I1592" s="2">
        <v>1</v>
      </c>
      <c r="J1592" s="31">
        <v>0</v>
      </c>
      <c r="K1592" s="7">
        <f t="shared" si="96"/>
        <v>40000</v>
      </c>
      <c r="L1592" s="7">
        <f t="shared" si="97"/>
        <v>0</v>
      </c>
      <c r="M1592" s="7">
        <f t="shared" si="98"/>
        <v>40000</v>
      </c>
      <c r="N1592" s="23">
        <v>15000</v>
      </c>
      <c r="O1592" s="7">
        <f t="shared" si="99"/>
        <v>55000</v>
      </c>
      <c r="P1592" s="2" t="s">
        <v>63</v>
      </c>
      <c r="Q1592" t="str">
        <f>_xlfn.XLOOKUP(B1592,Status!$A$2:$A$1867,Status!$B$2:$B$1867)</f>
        <v>Completed</v>
      </c>
      <c r="R1592" s="2" t="s">
        <v>36</v>
      </c>
      <c r="S1592" s="8">
        <v>1</v>
      </c>
      <c r="T1592" s="2" t="s">
        <v>24</v>
      </c>
      <c r="U1592" s="31" t="str" cm="1">
        <f t="array" ref="U1592">_xlfn.IFS(L1592&lt;=5000,$Z$3,AND(L1592&gt;5000,L1592&lt;=15000),$Z$4,AND(L1592&gt;15000,L1592&lt;=30000),$Z$5,AND(L1592&gt;30000,L1592&lt;=50000),$Z$6,L1592&gt;50000,$Z$7)</f>
        <v>Sangat Rendah</v>
      </c>
      <c r="V1592" s="2"/>
    </row>
    <row r="1593" spans="1:22" ht="15.75" customHeight="1" x14ac:dyDescent="0.25">
      <c r="A1593" s="26"/>
      <c r="B1593" s="2" t="s">
        <v>1962</v>
      </c>
      <c r="C1593" s="32">
        <v>45844.357835648138</v>
      </c>
      <c r="D1593" s="53">
        <f>YEAR(Table1[[#This Row],[Order Date]])</f>
        <v>2025</v>
      </c>
      <c r="E1593" s="2" t="s">
        <v>201</v>
      </c>
      <c r="F1593" s="2" t="s">
        <v>107</v>
      </c>
      <c r="G1593" s="2" t="s">
        <v>38</v>
      </c>
      <c r="H1593" s="23">
        <v>28000</v>
      </c>
      <c r="I1593" s="2">
        <v>5</v>
      </c>
      <c r="J1593" s="31">
        <v>15</v>
      </c>
      <c r="K1593" s="7">
        <f t="shared" si="96"/>
        <v>140000</v>
      </c>
      <c r="L1593" s="7">
        <f t="shared" si="97"/>
        <v>21000</v>
      </c>
      <c r="M1593" s="7">
        <f t="shared" si="98"/>
        <v>119000</v>
      </c>
      <c r="N1593" s="23">
        <v>97000</v>
      </c>
      <c r="O1593" s="7">
        <f t="shared" si="99"/>
        <v>216000</v>
      </c>
      <c r="P1593" s="2" t="s">
        <v>29</v>
      </c>
      <c r="Q1593" t="str">
        <f>_xlfn.XLOOKUP(B1593,Status!$A$2:$A$1867,Status!$B$2:$B$1867)</f>
        <v>Completed</v>
      </c>
      <c r="R1593" s="2" t="s">
        <v>82</v>
      </c>
      <c r="S1593" s="8">
        <v>2</v>
      </c>
      <c r="T1593" s="2" t="s">
        <v>24</v>
      </c>
      <c r="U1593" s="31" t="str" cm="1">
        <f t="array" ref="U1593">_xlfn.IFS(L1593&lt;=5000,$Z$3,AND(L1593&gt;5000,L1593&lt;=15000),$Z$4,AND(L1593&gt;15000,L1593&lt;=30000),$Z$5,AND(L1593&gt;30000,L1593&lt;=50000),$Z$6,L1593&gt;50000,$Z$7)</f>
        <v>Normal</v>
      </c>
      <c r="V1593" s="2"/>
    </row>
    <row r="1594" spans="1:22" ht="15.75" customHeight="1" x14ac:dyDescent="0.25">
      <c r="A1594" s="26"/>
      <c r="B1594" s="2" t="s">
        <v>1963</v>
      </c>
      <c r="C1594" s="32">
        <v>45844.525231481479</v>
      </c>
      <c r="D1594" s="53">
        <f>YEAR(Table1[[#This Row],[Order Date]])</f>
        <v>2025</v>
      </c>
      <c r="E1594" s="2" t="s">
        <v>91</v>
      </c>
      <c r="F1594" s="2" t="s">
        <v>92</v>
      </c>
      <c r="G1594" s="2" t="s">
        <v>186</v>
      </c>
      <c r="H1594" s="23">
        <v>45000</v>
      </c>
      <c r="I1594" s="2">
        <v>1</v>
      </c>
      <c r="J1594" s="31">
        <v>15</v>
      </c>
      <c r="K1594" s="7">
        <f t="shared" si="96"/>
        <v>45000</v>
      </c>
      <c r="L1594" s="7">
        <f t="shared" si="97"/>
        <v>6750</v>
      </c>
      <c r="M1594" s="7">
        <f t="shared" si="98"/>
        <v>38250</v>
      </c>
      <c r="N1594" s="23">
        <v>30000</v>
      </c>
      <c r="O1594" s="7">
        <f t="shared" si="99"/>
        <v>68250</v>
      </c>
      <c r="P1594" s="2" t="s">
        <v>22</v>
      </c>
      <c r="Q1594" t="str">
        <f>_xlfn.XLOOKUP(B1594,Status!$A$2:$A$1867,Status!$B$2:$B$1867)</f>
        <v>Completed</v>
      </c>
      <c r="R1594" s="2" t="s">
        <v>23</v>
      </c>
      <c r="S1594" s="8">
        <v>3</v>
      </c>
      <c r="T1594" s="2" t="s">
        <v>24</v>
      </c>
      <c r="U1594" s="31" t="str" cm="1">
        <f t="array" ref="U1594">_xlfn.IFS(L1594&lt;=5000,$Z$3,AND(L1594&gt;5000,L1594&lt;=15000),$Z$4,AND(L1594&gt;15000,L1594&lt;=30000),$Z$5,AND(L1594&gt;30000,L1594&lt;=50000),$Z$6,L1594&gt;50000,$Z$7)</f>
        <v>Rendah</v>
      </c>
      <c r="V1594" s="2"/>
    </row>
    <row r="1595" spans="1:22" ht="15.75" customHeight="1" x14ac:dyDescent="0.25">
      <c r="A1595" s="26"/>
      <c r="B1595" s="2" t="s">
        <v>1964</v>
      </c>
      <c r="C1595" s="32">
        <v>45845.04115740741</v>
      </c>
      <c r="D1595" s="53">
        <f>YEAR(Table1[[#This Row],[Order Date]])</f>
        <v>2025</v>
      </c>
      <c r="E1595" s="2" t="s">
        <v>772</v>
      </c>
      <c r="F1595" s="2" t="s">
        <v>113</v>
      </c>
      <c r="G1595" s="2" t="s">
        <v>34</v>
      </c>
      <c r="H1595" s="23">
        <v>16000</v>
      </c>
      <c r="I1595" s="2">
        <v>3</v>
      </c>
      <c r="J1595" s="31">
        <v>20</v>
      </c>
      <c r="K1595" s="7">
        <f t="shared" si="96"/>
        <v>48000</v>
      </c>
      <c r="L1595" s="7">
        <f t="shared" si="97"/>
        <v>9600</v>
      </c>
      <c r="M1595" s="7">
        <f t="shared" si="98"/>
        <v>38400</v>
      </c>
      <c r="N1595" s="23">
        <v>18000</v>
      </c>
      <c r="O1595" s="7">
        <f t="shared" si="99"/>
        <v>56400</v>
      </c>
      <c r="P1595" s="2" t="s">
        <v>35</v>
      </c>
      <c r="Q1595" t="str">
        <f>_xlfn.XLOOKUP(B1595,Status!$A$2:$A$1867,Status!$B$2:$B$1867)</f>
        <v>Completed</v>
      </c>
      <c r="R1595" s="2" t="s">
        <v>23</v>
      </c>
      <c r="S1595" s="8">
        <v>5</v>
      </c>
      <c r="T1595" s="2" t="s">
        <v>24</v>
      </c>
      <c r="U1595" s="31" t="str" cm="1">
        <f t="array" ref="U1595">_xlfn.IFS(L1595&lt;=5000,$Z$3,AND(L1595&gt;5000,L1595&lt;=15000),$Z$4,AND(L1595&gt;15000,L1595&lt;=30000),$Z$5,AND(L1595&gt;30000,L1595&lt;=50000),$Z$6,L1595&gt;50000,$Z$7)</f>
        <v>Rendah</v>
      </c>
      <c r="V1595" s="2"/>
    </row>
    <row r="1596" spans="1:22" ht="15.75" customHeight="1" x14ac:dyDescent="0.25">
      <c r="A1596" s="26"/>
      <c r="B1596" s="2" t="s">
        <v>1964</v>
      </c>
      <c r="C1596" s="32">
        <v>45845.04115740741</v>
      </c>
      <c r="D1596" s="53">
        <f>YEAR(Table1[[#This Row],[Order Date]])</f>
        <v>2025</v>
      </c>
      <c r="E1596" s="2" t="s">
        <v>772</v>
      </c>
      <c r="F1596" s="2" t="s">
        <v>113</v>
      </c>
      <c r="G1596" s="2" t="s">
        <v>144</v>
      </c>
      <c r="H1596" s="23">
        <v>18000</v>
      </c>
      <c r="I1596" s="2">
        <v>5</v>
      </c>
      <c r="J1596" s="31">
        <v>10</v>
      </c>
      <c r="K1596" s="7">
        <f t="shared" si="96"/>
        <v>90000</v>
      </c>
      <c r="L1596" s="7">
        <f t="shared" si="97"/>
        <v>9000</v>
      </c>
      <c r="M1596" s="7">
        <f t="shared" si="98"/>
        <v>81000</v>
      </c>
      <c r="N1596" s="23">
        <v>0</v>
      </c>
      <c r="O1596" s="7">
        <f t="shared" si="99"/>
        <v>81000</v>
      </c>
      <c r="P1596" s="2" t="s">
        <v>35</v>
      </c>
      <c r="Q1596" t="str">
        <f>_xlfn.XLOOKUP(B1596,Status!$A$2:$A$1867,Status!$B$2:$B$1867)</f>
        <v>Completed</v>
      </c>
      <c r="R1596" s="2" t="s">
        <v>23</v>
      </c>
      <c r="S1596" s="8">
        <v>5</v>
      </c>
      <c r="T1596" s="2" t="s">
        <v>24</v>
      </c>
      <c r="U1596" s="31" t="str" cm="1">
        <f t="array" ref="U1596">_xlfn.IFS(L1596&lt;=5000,$Z$3,AND(L1596&gt;5000,L1596&lt;=15000),$Z$4,AND(L1596&gt;15000,L1596&lt;=30000),$Z$5,AND(L1596&gt;30000,L1596&lt;=50000),$Z$6,L1596&gt;50000,$Z$7)</f>
        <v>Rendah</v>
      </c>
      <c r="V1596" s="2"/>
    </row>
    <row r="1597" spans="1:22" ht="15.75" customHeight="1" x14ac:dyDescent="0.25">
      <c r="A1597" s="26"/>
      <c r="B1597" s="2" t="s">
        <v>1965</v>
      </c>
      <c r="C1597" s="32">
        <v>45845.244791666657</v>
      </c>
      <c r="D1597" s="53">
        <f>YEAR(Table1[[#This Row],[Order Date]])</f>
        <v>2025</v>
      </c>
      <c r="E1597" s="2" t="s">
        <v>808</v>
      </c>
      <c r="F1597" s="2" t="s">
        <v>61</v>
      </c>
      <c r="G1597" s="2" t="s">
        <v>45</v>
      </c>
      <c r="H1597" s="23">
        <v>40000</v>
      </c>
      <c r="I1597" s="2">
        <v>2</v>
      </c>
      <c r="J1597" s="31">
        <v>15</v>
      </c>
      <c r="K1597" s="7">
        <f t="shared" si="96"/>
        <v>80000</v>
      </c>
      <c r="L1597" s="7">
        <f t="shared" si="97"/>
        <v>12000</v>
      </c>
      <c r="M1597" s="7">
        <f t="shared" si="98"/>
        <v>68000</v>
      </c>
      <c r="N1597" s="23">
        <v>26000</v>
      </c>
      <c r="O1597" s="7">
        <f t="shared" si="99"/>
        <v>94000</v>
      </c>
      <c r="P1597" s="2" t="s">
        <v>22</v>
      </c>
      <c r="Q1597" t="str">
        <f>_xlfn.XLOOKUP(B1597,Status!$A$2:$A$1867,Status!$B$2:$B$1867)</f>
        <v>Completed</v>
      </c>
      <c r="R1597" s="2" t="s">
        <v>82</v>
      </c>
      <c r="S1597" s="8">
        <v>4</v>
      </c>
      <c r="T1597" s="2" t="s">
        <v>24</v>
      </c>
      <c r="U1597" s="31" t="str" cm="1">
        <f t="array" ref="U1597">_xlfn.IFS(L1597&lt;=5000,$Z$3,AND(L1597&gt;5000,L1597&lt;=15000),$Z$4,AND(L1597&gt;15000,L1597&lt;=30000),$Z$5,AND(L1597&gt;30000,L1597&lt;=50000),$Z$6,L1597&gt;50000,$Z$7)</f>
        <v>Rendah</v>
      </c>
      <c r="V1597" s="2"/>
    </row>
    <row r="1598" spans="1:22" ht="15.75" customHeight="1" x14ac:dyDescent="0.25">
      <c r="A1598" s="26"/>
      <c r="B1598" s="2" t="s">
        <v>1966</v>
      </c>
      <c r="C1598" s="32">
        <v>45845.371365740742</v>
      </c>
      <c r="D1598" s="53">
        <f>YEAR(Table1[[#This Row],[Order Date]])</f>
        <v>2025</v>
      </c>
      <c r="E1598" s="2" t="s">
        <v>261</v>
      </c>
      <c r="F1598" s="2" t="s">
        <v>262</v>
      </c>
      <c r="G1598" s="2" t="s">
        <v>190</v>
      </c>
      <c r="H1598" s="23">
        <v>35000</v>
      </c>
      <c r="I1598" s="2">
        <v>1</v>
      </c>
      <c r="J1598" s="31">
        <v>0</v>
      </c>
      <c r="K1598" s="7">
        <f t="shared" si="96"/>
        <v>35000</v>
      </c>
      <c r="L1598" s="7">
        <f t="shared" si="97"/>
        <v>0</v>
      </c>
      <c r="M1598" s="7">
        <f t="shared" si="98"/>
        <v>35000</v>
      </c>
      <c r="N1598" s="23">
        <v>18000</v>
      </c>
      <c r="O1598" s="7">
        <f t="shared" si="99"/>
        <v>53000</v>
      </c>
      <c r="P1598" s="2" t="s">
        <v>29</v>
      </c>
      <c r="Q1598" t="str">
        <f>_xlfn.XLOOKUP(B1598,Status!$A$2:$A$1867,Status!$B$2:$B$1867)</f>
        <v>Returned</v>
      </c>
      <c r="R1598" s="2" t="s">
        <v>46</v>
      </c>
      <c r="S1598" s="8">
        <v>1</v>
      </c>
      <c r="T1598" s="2" t="s">
        <v>24</v>
      </c>
      <c r="U1598" s="31" t="str" cm="1">
        <f t="array" ref="U1598">_xlfn.IFS(L1598&lt;=5000,$Z$3,AND(L1598&gt;5000,L1598&lt;=15000),$Z$4,AND(L1598&gt;15000,L1598&lt;=30000),$Z$5,AND(L1598&gt;30000,L1598&lt;=50000),$Z$6,L1598&gt;50000,$Z$7)</f>
        <v>Sangat Rendah</v>
      </c>
      <c r="V1598" s="2"/>
    </row>
    <row r="1599" spans="1:22" ht="15.75" customHeight="1" x14ac:dyDescent="0.25">
      <c r="A1599" s="26"/>
      <c r="B1599" s="2" t="s">
        <v>1967</v>
      </c>
      <c r="C1599" s="32">
        <v>45845.829988425918</v>
      </c>
      <c r="D1599" s="53">
        <f>YEAR(Table1[[#This Row],[Order Date]])</f>
        <v>2025</v>
      </c>
      <c r="E1599" s="2" t="s">
        <v>924</v>
      </c>
      <c r="F1599" s="2" t="s">
        <v>20</v>
      </c>
      <c r="G1599" s="2" t="s">
        <v>38</v>
      </c>
      <c r="H1599" s="23">
        <v>28000</v>
      </c>
      <c r="I1599" s="2">
        <v>3</v>
      </c>
      <c r="J1599" s="31">
        <v>0</v>
      </c>
      <c r="K1599" s="7">
        <f t="shared" si="96"/>
        <v>84000</v>
      </c>
      <c r="L1599" s="7">
        <f t="shared" si="97"/>
        <v>0</v>
      </c>
      <c r="M1599" s="7">
        <f t="shared" si="98"/>
        <v>84000</v>
      </c>
      <c r="N1599" s="23">
        <v>15000</v>
      </c>
      <c r="O1599" s="7">
        <f t="shared" si="99"/>
        <v>99000</v>
      </c>
      <c r="P1599" s="2" t="s">
        <v>35</v>
      </c>
      <c r="Q1599" t="str">
        <f>_xlfn.XLOOKUP(B1599,Status!$A$2:$A$1867,Status!$B$2:$B$1867)</f>
        <v>Completed</v>
      </c>
      <c r="R1599" s="2" t="s">
        <v>46</v>
      </c>
      <c r="S1599" s="8">
        <v>5</v>
      </c>
      <c r="T1599" s="2" t="s">
        <v>37</v>
      </c>
      <c r="U1599" s="31" t="str" cm="1">
        <f t="array" ref="U1599">_xlfn.IFS(L1599&lt;=5000,$Z$3,AND(L1599&gt;5000,L1599&lt;=15000),$Z$4,AND(L1599&gt;15000,L1599&lt;=30000),$Z$5,AND(L1599&gt;30000,L1599&lt;=50000),$Z$6,L1599&gt;50000,$Z$7)</f>
        <v>Sangat Rendah</v>
      </c>
      <c r="V1599" s="2"/>
    </row>
    <row r="1600" spans="1:22" ht="15.75" customHeight="1" x14ac:dyDescent="0.25">
      <c r="A1600" s="26"/>
      <c r="B1600" s="2" t="s">
        <v>1968</v>
      </c>
      <c r="C1600" s="32">
        <v>45846.129247685189</v>
      </c>
      <c r="D1600" s="53">
        <f>YEAR(Table1[[#This Row],[Order Date]])</f>
        <v>2025</v>
      </c>
      <c r="E1600" s="2" t="s">
        <v>109</v>
      </c>
      <c r="F1600" s="2" t="s">
        <v>49</v>
      </c>
      <c r="G1600" s="2" t="s">
        <v>62</v>
      </c>
      <c r="H1600" s="23">
        <v>50000</v>
      </c>
      <c r="I1600" s="2">
        <v>4</v>
      </c>
      <c r="J1600" s="31">
        <v>15</v>
      </c>
      <c r="K1600" s="7">
        <f t="shared" si="96"/>
        <v>200000</v>
      </c>
      <c r="L1600" s="7">
        <f t="shared" si="97"/>
        <v>30000</v>
      </c>
      <c r="M1600" s="7">
        <f t="shared" si="98"/>
        <v>170000</v>
      </c>
      <c r="N1600" s="23">
        <v>43000</v>
      </c>
      <c r="O1600" s="7">
        <f t="shared" si="99"/>
        <v>213000</v>
      </c>
      <c r="P1600" s="2" t="s">
        <v>22</v>
      </c>
      <c r="Q1600" t="str">
        <f>_xlfn.XLOOKUP(B1600,Status!$A$2:$A$1867,Status!$B$2:$B$1867)</f>
        <v>Returned</v>
      </c>
      <c r="R1600" s="2" t="s">
        <v>36</v>
      </c>
      <c r="S1600" s="8">
        <v>1</v>
      </c>
      <c r="T1600" s="2" t="s">
        <v>24</v>
      </c>
      <c r="U1600" s="31" t="str" cm="1">
        <f t="array" ref="U1600">_xlfn.IFS(L1600&lt;=5000,$Z$3,AND(L1600&gt;5000,L1600&lt;=15000),$Z$4,AND(L1600&gt;15000,L1600&lt;=30000),$Z$5,AND(L1600&gt;30000,L1600&lt;=50000),$Z$6,L1600&gt;50000,$Z$7)</f>
        <v>Normal</v>
      </c>
      <c r="V1600" s="2"/>
    </row>
    <row r="1601" spans="1:22" ht="15.75" customHeight="1" x14ac:dyDescent="0.25">
      <c r="A1601" s="26"/>
      <c r="B1601" s="2" t="s">
        <v>1969</v>
      </c>
      <c r="C1601" s="32">
        <v>45846.359699074077</v>
      </c>
      <c r="D1601" s="53">
        <f>YEAR(Table1[[#This Row],[Order Date]])</f>
        <v>2025</v>
      </c>
      <c r="E1601" s="2" t="s">
        <v>1970</v>
      </c>
      <c r="F1601" s="2" t="s">
        <v>70</v>
      </c>
      <c r="G1601" s="2" t="s">
        <v>186</v>
      </c>
      <c r="H1601" s="23">
        <v>45000</v>
      </c>
      <c r="I1601" s="2">
        <v>4</v>
      </c>
      <c r="J1601" s="31">
        <v>5</v>
      </c>
      <c r="K1601" s="7">
        <f t="shared" si="96"/>
        <v>180000</v>
      </c>
      <c r="L1601" s="7">
        <f t="shared" si="97"/>
        <v>9000</v>
      </c>
      <c r="M1601" s="7">
        <f t="shared" si="98"/>
        <v>171000</v>
      </c>
      <c r="N1601" s="23">
        <v>89000</v>
      </c>
      <c r="O1601" s="7">
        <f t="shared" si="99"/>
        <v>260000</v>
      </c>
      <c r="P1601" s="2" t="s">
        <v>29</v>
      </c>
      <c r="Q1601" t="str">
        <f>_xlfn.XLOOKUP(B1601,Status!$A$2:$A$1867,Status!$B$2:$B$1867)</f>
        <v>Returned</v>
      </c>
      <c r="R1601" s="2" t="s">
        <v>46</v>
      </c>
      <c r="S1601" s="8">
        <v>4</v>
      </c>
      <c r="T1601" s="2" t="s">
        <v>24</v>
      </c>
      <c r="U1601" s="31" t="str" cm="1">
        <f t="array" ref="U1601">_xlfn.IFS(L1601&lt;=5000,$Z$3,AND(L1601&gt;5000,L1601&lt;=15000),$Z$4,AND(L1601&gt;15000,L1601&lt;=30000),$Z$5,AND(L1601&gt;30000,L1601&lt;=50000),$Z$6,L1601&gt;50000,$Z$7)</f>
        <v>Rendah</v>
      </c>
      <c r="V1601" s="2"/>
    </row>
    <row r="1602" spans="1:22" ht="15.75" customHeight="1" x14ac:dyDescent="0.25">
      <c r="A1602" s="26"/>
      <c r="B1602" s="2" t="s">
        <v>1969</v>
      </c>
      <c r="C1602" s="32">
        <v>45846.359699074077</v>
      </c>
      <c r="D1602" s="53">
        <f>YEAR(Table1[[#This Row],[Order Date]])</f>
        <v>2025</v>
      </c>
      <c r="E1602" s="2" t="s">
        <v>1970</v>
      </c>
      <c r="F1602" s="2" t="s">
        <v>70</v>
      </c>
      <c r="G1602" s="2" t="s">
        <v>62</v>
      </c>
      <c r="H1602" s="23">
        <v>50000</v>
      </c>
      <c r="I1602" s="2">
        <v>3</v>
      </c>
      <c r="J1602" s="31">
        <v>15</v>
      </c>
      <c r="K1602" s="7">
        <f t="shared" si="96"/>
        <v>150000</v>
      </c>
      <c r="L1602" s="7">
        <f t="shared" si="97"/>
        <v>22500</v>
      </c>
      <c r="M1602" s="7">
        <f t="shared" si="98"/>
        <v>127500</v>
      </c>
      <c r="N1602" s="23">
        <v>0</v>
      </c>
      <c r="O1602" s="7">
        <f t="shared" si="99"/>
        <v>127500</v>
      </c>
      <c r="P1602" s="2" t="s">
        <v>29</v>
      </c>
      <c r="Q1602" t="str">
        <f>_xlfn.XLOOKUP(B1602,Status!$A$2:$A$1867,Status!$B$2:$B$1867)</f>
        <v>Returned</v>
      </c>
      <c r="R1602" s="2" t="s">
        <v>46</v>
      </c>
      <c r="S1602" s="8">
        <v>4</v>
      </c>
      <c r="T1602" s="2" t="s">
        <v>24</v>
      </c>
      <c r="U1602" s="31" t="str" cm="1">
        <f t="array" ref="U1602">_xlfn.IFS(L1602&lt;=5000,$Z$3,AND(L1602&gt;5000,L1602&lt;=15000),$Z$4,AND(L1602&gt;15000,L1602&lt;=30000),$Z$5,AND(L1602&gt;30000,L1602&lt;=50000),$Z$6,L1602&gt;50000,$Z$7)</f>
        <v>Normal</v>
      </c>
      <c r="V1602" s="2"/>
    </row>
    <row r="1603" spans="1:22" ht="15.75" customHeight="1" x14ac:dyDescent="0.25">
      <c r="A1603" s="26"/>
      <c r="B1603" s="2" t="s">
        <v>1971</v>
      </c>
      <c r="C1603" s="32">
        <v>45846.435439814813</v>
      </c>
      <c r="D1603" s="53">
        <f>YEAR(Table1[[#This Row],[Order Date]])</f>
        <v>2025</v>
      </c>
      <c r="E1603" s="2" t="s">
        <v>410</v>
      </c>
      <c r="F1603" s="2" t="s">
        <v>151</v>
      </c>
      <c r="G1603" s="2" t="s">
        <v>88</v>
      </c>
      <c r="H1603" s="23">
        <v>14000</v>
      </c>
      <c r="I1603" s="2">
        <v>3</v>
      </c>
      <c r="J1603" s="31">
        <v>15</v>
      </c>
      <c r="K1603" s="7">
        <f t="shared" si="96"/>
        <v>42000</v>
      </c>
      <c r="L1603" s="7">
        <f t="shared" si="97"/>
        <v>6300</v>
      </c>
      <c r="M1603" s="7">
        <f t="shared" si="98"/>
        <v>35700</v>
      </c>
      <c r="N1603" s="23">
        <v>55000</v>
      </c>
      <c r="O1603" s="7">
        <f t="shared" si="99"/>
        <v>90700</v>
      </c>
      <c r="P1603" s="2" t="s">
        <v>29</v>
      </c>
      <c r="Q1603" t="str">
        <f>_xlfn.XLOOKUP(B1603,Status!$A$2:$A$1867,Status!$B$2:$B$1867)</f>
        <v>Completed</v>
      </c>
      <c r="R1603" s="2" t="s">
        <v>23</v>
      </c>
      <c r="S1603" s="8">
        <v>1</v>
      </c>
      <c r="T1603" s="2" t="s">
        <v>24</v>
      </c>
      <c r="U1603" s="31" t="str" cm="1">
        <f t="array" ref="U1603">_xlfn.IFS(L1603&lt;=5000,$Z$3,AND(L1603&gt;5000,L1603&lt;=15000),$Z$4,AND(L1603&gt;15000,L1603&lt;=30000),$Z$5,AND(L1603&gt;30000,L1603&lt;=50000),$Z$6,L1603&gt;50000,$Z$7)</f>
        <v>Rendah</v>
      </c>
      <c r="V1603" s="2"/>
    </row>
    <row r="1604" spans="1:22" ht="15.75" customHeight="1" x14ac:dyDescent="0.25">
      <c r="A1604" s="26"/>
      <c r="B1604" s="2" t="s">
        <v>1972</v>
      </c>
      <c r="C1604" s="32">
        <v>45846.512372685182</v>
      </c>
      <c r="D1604" s="53">
        <f>YEAR(Table1[[#This Row],[Order Date]])</f>
        <v>2025</v>
      </c>
      <c r="E1604" s="2" t="s">
        <v>249</v>
      </c>
      <c r="F1604" s="2" t="s">
        <v>49</v>
      </c>
      <c r="G1604" s="2" t="s">
        <v>110</v>
      </c>
      <c r="H1604" s="23">
        <v>6000</v>
      </c>
      <c r="I1604" s="2">
        <v>4</v>
      </c>
      <c r="J1604" s="31">
        <v>20</v>
      </c>
      <c r="K1604" s="7">
        <f t="shared" ref="K1604:K1667" si="100">H1604*I1604</f>
        <v>24000</v>
      </c>
      <c r="L1604" s="7">
        <f t="shared" ref="L1604:L1667" si="101">K1604*(J1604/100)</f>
        <v>4800</v>
      </c>
      <c r="M1604" s="7">
        <f t="shared" ref="M1604:M1667" si="102">K1604-L1604</f>
        <v>19200</v>
      </c>
      <c r="N1604" s="23">
        <v>43000</v>
      </c>
      <c r="O1604" s="7">
        <f t="shared" ref="O1604:O1667" si="103">SUM(M1604:N1604)</f>
        <v>62200</v>
      </c>
      <c r="P1604" s="2" t="s">
        <v>22</v>
      </c>
      <c r="Q1604" t="str">
        <f>_xlfn.XLOOKUP(B1604,Status!$A$2:$A$1867,Status!$B$2:$B$1867)</f>
        <v>Completed</v>
      </c>
      <c r="R1604" s="2" t="s">
        <v>36</v>
      </c>
      <c r="S1604" s="8">
        <v>3</v>
      </c>
      <c r="T1604" s="2" t="s">
        <v>24</v>
      </c>
      <c r="U1604" s="31" t="str" cm="1">
        <f t="array" ref="U1604">_xlfn.IFS(L1604&lt;=5000,$Z$3,AND(L1604&gt;5000,L1604&lt;=15000),$Z$4,AND(L1604&gt;15000,L1604&lt;=30000),$Z$5,AND(L1604&gt;30000,L1604&lt;=50000),$Z$6,L1604&gt;50000,$Z$7)</f>
        <v>Sangat Rendah</v>
      </c>
      <c r="V1604" s="2"/>
    </row>
    <row r="1605" spans="1:22" ht="15.75" customHeight="1" x14ac:dyDescent="0.25">
      <c r="A1605" s="26"/>
      <c r="B1605" s="2" t="s">
        <v>1973</v>
      </c>
      <c r="C1605" s="32">
        <v>45846.630798611113</v>
      </c>
      <c r="D1605" s="53">
        <f>YEAR(Table1[[#This Row],[Order Date]])</f>
        <v>2025</v>
      </c>
      <c r="E1605" s="2" t="s">
        <v>605</v>
      </c>
      <c r="F1605" s="2" t="s">
        <v>151</v>
      </c>
      <c r="G1605" s="2" t="s">
        <v>21</v>
      </c>
      <c r="H1605" s="23">
        <v>45000</v>
      </c>
      <c r="I1605" s="2">
        <v>3</v>
      </c>
      <c r="J1605" s="31">
        <v>5</v>
      </c>
      <c r="K1605" s="7">
        <f t="shared" si="100"/>
        <v>135000</v>
      </c>
      <c r="L1605" s="7">
        <f t="shared" si="101"/>
        <v>6750</v>
      </c>
      <c r="M1605" s="7">
        <f t="shared" si="102"/>
        <v>128250</v>
      </c>
      <c r="N1605" s="23">
        <v>55000</v>
      </c>
      <c r="O1605" s="7">
        <f t="shared" si="103"/>
        <v>183250</v>
      </c>
      <c r="P1605" s="2" t="s">
        <v>35</v>
      </c>
      <c r="Q1605" t="str">
        <f>_xlfn.XLOOKUP(B1605,Status!$A$2:$A$1867,Status!$B$2:$B$1867)</f>
        <v>Returned</v>
      </c>
      <c r="R1605" s="2" t="s">
        <v>30</v>
      </c>
      <c r="S1605" s="8">
        <v>3</v>
      </c>
      <c r="T1605" s="2" t="s">
        <v>24</v>
      </c>
      <c r="U1605" s="31" t="str" cm="1">
        <f t="array" ref="U1605">_xlfn.IFS(L1605&lt;=5000,$Z$3,AND(L1605&gt;5000,L1605&lt;=15000),$Z$4,AND(L1605&gt;15000,L1605&lt;=30000),$Z$5,AND(L1605&gt;30000,L1605&lt;=50000),$Z$6,L1605&gt;50000,$Z$7)</f>
        <v>Rendah</v>
      </c>
      <c r="V1605" s="2"/>
    </row>
    <row r="1606" spans="1:22" ht="15.75" customHeight="1" x14ac:dyDescent="0.25">
      <c r="A1606" s="26"/>
      <c r="B1606" s="2" t="s">
        <v>1974</v>
      </c>
      <c r="C1606" s="32">
        <v>45847.043194444443</v>
      </c>
      <c r="D1606" s="53">
        <f>YEAR(Table1[[#This Row],[Order Date]])</f>
        <v>2025</v>
      </c>
      <c r="E1606" s="2" t="s">
        <v>218</v>
      </c>
      <c r="F1606" s="2" t="s">
        <v>170</v>
      </c>
      <c r="G1606" s="2" t="s">
        <v>75</v>
      </c>
      <c r="H1606" s="23">
        <v>55000</v>
      </c>
      <c r="I1606" s="2">
        <v>4</v>
      </c>
      <c r="J1606" s="31">
        <v>15</v>
      </c>
      <c r="K1606" s="7">
        <f t="shared" si="100"/>
        <v>220000</v>
      </c>
      <c r="L1606" s="7">
        <f t="shared" si="101"/>
        <v>33000</v>
      </c>
      <c r="M1606" s="7">
        <f t="shared" si="102"/>
        <v>187000</v>
      </c>
      <c r="N1606" s="23">
        <v>46000</v>
      </c>
      <c r="O1606" s="7">
        <f t="shared" si="103"/>
        <v>233000</v>
      </c>
      <c r="P1606" s="2" t="s">
        <v>29</v>
      </c>
      <c r="Q1606" t="str">
        <f>_xlfn.XLOOKUP(B1606,Status!$A$2:$A$1867,Status!$B$2:$B$1867)</f>
        <v>Completed</v>
      </c>
      <c r="R1606" s="2" t="s">
        <v>46</v>
      </c>
      <c r="S1606" s="8">
        <v>5</v>
      </c>
      <c r="T1606" s="2" t="s">
        <v>24</v>
      </c>
      <c r="U1606" s="31" t="str" cm="1">
        <f t="array" ref="U1606">_xlfn.IFS(L1606&lt;=5000,$Z$3,AND(L1606&gt;5000,L1606&lt;=15000),$Z$4,AND(L1606&gt;15000,L1606&lt;=30000),$Z$5,AND(L1606&gt;30000,L1606&lt;=50000),$Z$6,L1606&gt;50000,$Z$7)</f>
        <v>Tinggi</v>
      </c>
      <c r="V1606" s="2"/>
    </row>
    <row r="1607" spans="1:22" ht="15.75" customHeight="1" x14ac:dyDescent="0.25">
      <c r="A1607" s="26"/>
      <c r="B1607" s="2" t="s">
        <v>1975</v>
      </c>
      <c r="C1607" s="32">
        <v>45847.271192129629</v>
      </c>
      <c r="D1607" s="53">
        <f>YEAR(Table1[[#This Row],[Order Date]])</f>
        <v>2025</v>
      </c>
      <c r="E1607" s="2" t="s">
        <v>169</v>
      </c>
      <c r="F1607" s="2" t="s">
        <v>170</v>
      </c>
      <c r="G1607" s="2" t="s">
        <v>110</v>
      </c>
      <c r="H1607" s="23">
        <v>6000</v>
      </c>
      <c r="I1607" s="2">
        <v>4</v>
      </c>
      <c r="J1607" s="31">
        <v>15</v>
      </c>
      <c r="K1607" s="7">
        <f t="shared" si="100"/>
        <v>24000</v>
      </c>
      <c r="L1607" s="7">
        <f t="shared" si="101"/>
        <v>3600</v>
      </c>
      <c r="M1607" s="7">
        <f t="shared" si="102"/>
        <v>20400</v>
      </c>
      <c r="N1607" s="23">
        <v>46000</v>
      </c>
      <c r="O1607" s="7">
        <f t="shared" si="103"/>
        <v>66400</v>
      </c>
      <c r="P1607" s="2" t="s">
        <v>63</v>
      </c>
      <c r="Q1607" t="str">
        <f>_xlfn.XLOOKUP(B1607,Status!$A$2:$A$1867,Status!$B$2:$B$1867)</f>
        <v>Completed</v>
      </c>
      <c r="R1607" s="2" t="s">
        <v>23</v>
      </c>
      <c r="S1607" s="8">
        <v>4</v>
      </c>
      <c r="T1607" s="2" t="s">
        <v>24</v>
      </c>
      <c r="U1607" s="31" t="str" cm="1">
        <f t="array" ref="U1607">_xlfn.IFS(L1607&lt;=5000,$Z$3,AND(L1607&gt;5000,L1607&lt;=15000),$Z$4,AND(L1607&gt;15000,L1607&lt;=30000),$Z$5,AND(L1607&gt;30000,L1607&lt;=50000),$Z$6,L1607&gt;50000,$Z$7)</f>
        <v>Sangat Rendah</v>
      </c>
      <c r="V1607" s="2"/>
    </row>
    <row r="1608" spans="1:22" ht="15.75" customHeight="1" x14ac:dyDescent="0.25">
      <c r="A1608" s="26"/>
      <c r="B1608" s="2" t="s">
        <v>1976</v>
      </c>
      <c r="C1608" s="32">
        <v>45847.678333333337</v>
      </c>
      <c r="D1608" s="53">
        <f>YEAR(Table1[[#This Row],[Order Date]])</f>
        <v>2025</v>
      </c>
      <c r="E1608" s="2" t="s">
        <v>515</v>
      </c>
      <c r="F1608" s="2" t="s">
        <v>182</v>
      </c>
      <c r="G1608" s="2" t="s">
        <v>104</v>
      </c>
      <c r="H1608" s="23">
        <v>30000</v>
      </c>
      <c r="I1608" s="2">
        <v>4</v>
      </c>
      <c r="J1608" s="31">
        <v>0</v>
      </c>
      <c r="K1608" s="7">
        <f t="shared" si="100"/>
        <v>120000</v>
      </c>
      <c r="L1608" s="7">
        <f t="shared" si="101"/>
        <v>0</v>
      </c>
      <c r="M1608" s="7">
        <f t="shared" si="102"/>
        <v>120000</v>
      </c>
      <c r="N1608" s="23">
        <v>48000</v>
      </c>
      <c r="O1608" s="7">
        <f t="shared" si="103"/>
        <v>168000</v>
      </c>
      <c r="P1608" s="2" t="s">
        <v>35</v>
      </c>
      <c r="Q1608" t="str">
        <f>_xlfn.XLOOKUP(B1608,Status!$A$2:$A$1867,Status!$B$2:$B$1867)</f>
        <v>Completed</v>
      </c>
      <c r="R1608" s="2" t="s">
        <v>46</v>
      </c>
      <c r="S1608" s="8">
        <v>3</v>
      </c>
      <c r="T1608" s="2" t="s">
        <v>24</v>
      </c>
      <c r="U1608" s="31" t="str" cm="1">
        <f t="array" ref="U1608">_xlfn.IFS(L1608&lt;=5000,$Z$3,AND(L1608&gt;5000,L1608&lt;=15000),$Z$4,AND(L1608&gt;15000,L1608&lt;=30000),$Z$5,AND(L1608&gt;30000,L1608&lt;=50000),$Z$6,L1608&gt;50000,$Z$7)</f>
        <v>Sangat Rendah</v>
      </c>
      <c r="V1608" s="2"/>
    </row>
    <row r="1609" spans="1:22" ht="15.75" customHeight="1" x14ac:dyDescent="0.25">
      <c r="A1609" s="26"/>
      <c r="B1609" s="2" t="s">
        <v>1977</v>
      </c>
      <c r="C1609" s="32">
        <v>45847.887870370367</v>
      </c>
      <c r="D1609" s="53">
        <f>YEAR(Table1[[#This Row],[Order Date]])</f>
        <v>2025</v>
      </c>
      <c r="E1609" s="2" t="s">
        <v>446</v>
      </c>
      <c r="F1609" s="2" t="s">
        <v>296</v>
      </c>
      <c r="G1609" s="2" t="s">
        <v>104</v>
      </c>
      <c r="H1609" s="23">
        <v>30000</v>
      </c>
      <c r="I1609" s="2">
        <v>2</v>
      </c>
      <c r="J1609" s="31">
        <v>15</v>
      </c>
      <c r="K1609" s="7">
        <f t="shared" si="100"/>
        <v>60000</v>
      </c>
      <c r="L1609" s="7">
        <f t="shared" si="101"/>
        <v>9000</v>
      </c>
      <c r="M1609" s="7">
        <f t="shared" si="102"/>
        <v>51000</v>
      </c>
      <c r="N1609" s="23">
        <v>79000</v>
      </c>
      <c r="O1609" s="7">
        <f t="shared" si="103"/>
        <v>130000</v>
      </c>
      <c r="P1609" s="2" t="s">
        <v>63</v>
      </c>
      <c r="Q1609" t="str">
        <f>_xlfn.XLOOKUP(B1609,Status!$A$2:$A$1867,Status!$B$2:$B$1867)</f>
        <v>Returned</v>
      </c>
      <c r="R1609" s="2" t="s">
        <v>36</v>
      </c>
      <c r="S1609" s="8">
        <v>4</v>
      </c>
      <c r="T1609" s="2" t="s">
        <v>37</v>
      </c>
      <c r="U1609" s="31" t="str" cm="1">
        <f t="array" ref="U1609">_xlfn.IFS(L1609&lt;=5000,$Z$3,AND(L1609&gt;5000,L1609&lt;=15000),$Z$4,AND(L1609&gt;15000,L1609&lt;=30000),$Z$5,AND(L1609&gt;30000,L1609&lt;=50000),$Z$6,L1609&gt;50000,$Z$7)</f>
        <v>Rendah</v>
      </c>
      <c r="V1609" s="2"/>
    </row>
    <row r="1610" spans="1:22" ht="15.75" customHeight="1" x14ac:dyDescent="0.25">
      <c r="A1610" s="26"/>
      <c r="B1610" s="2" t="s">
        <v>1978</v>
      </c>
      <c r="C1610" s="32">
        <v>45847.898356481477</v>
      </c>
      <c r="D1610" s="53">
        <f>YEAR(Table1[[#This Row],[Order Date]])</f>
        <v>2025</v>
      </c>
      <c r="E1610" s="2" t="s">
        <v>1979</v>
      </c>
      <c r="F1610" s="2" t="s">
        <v>103</v>
      </c>
      <c r="G1610" s="2" t="s">
        <v>34</v>
      </c>
      <c r="H1610" s="23">
        <v>16000</v>
      </c>
      <c r="I1610" s="2">
        <v>5</v>
      </c>
      <c r="J1610" s="31">
        <v>5</v>
      </c>
      <c r="K1610" s="7">
        <f t="shared" si="100"/>
        <v>80000</v>
      </c>
      <c r="L1610" s="7">
        <f t="shared" si="101"/>
        <v>4000</v>
      </c>
      <c r="M1610" s="7">
        <f t="shared" si="102"/>
        <v>76000</v>
      </c>
      <c r="N1610" s="23">
        <v>85000</v>
      </c>
      <c r="O1610" s="7">
        <f t="shared" si="103"/>
        <v>161000</v>
      </c>
      <c r="P1610" s="2" t="s">
        <v>63</v>
      </c>
      <c r="Q1610" t="str">
        <f>_xlfn.XLOOKUP(B1610,Status!$A$2:$A$1867,Status!$B$2:$B$1867)</f>
        <v>Returned</v>
      </c>
      <c r="R1610" s="2" t="s">
        <v>36</v>
      </c>
      <c r="S1610" s="8">
        <v>5</v>
      </c>
      <c r="T1610" s="2" t="s">
        <v>24</v>
      </c>
      <c r="U1610" s="31" t="str" cm="1">
        <f t="array" ref="U1610">_xlfn.IFS(L1610&lt;=5000,$Z$3,AND(L1610&gt;5000,L1610&lt;=15000),$Z$4,AND(L1610&gt;15000,L1610&lt;=30000),$Z$5,AND(L1610&gt;30000,L1610&lt;=50000),$Z$6,L1610&gt;50000,$Z$7)</f>
        <v>Sangat Rendah</v>
      </c>
      <c r="V1610" s="2"/>
    </row>
    <row r="1611" spans="1:22" ht="15.75" customHeight="1" x14ac:dyDescent="0.25">
      <c r="A1611" s="26"/>
      <c r="B1611" s="2" t="s">
        <v>1980</v>
      </c>
      <c r="C1611" s="32">
        <v>45847.992627314823</v>
      </c>
      <c r="D1611" s="53">
        <f>YEAR(Table1[[#This Row],[Order Date]])</f>
        <v>2025</v>
      </c>
      <c r="E1611" s="2" t="s">
        <v>1981</v>
      </c>
      <c r="F1611" s="2" t="s">
        <v>53</v>
      </c>
      <c r="G1611" s="2" t="s">
        <v>174</v>
      </c>
      <c r="H1611" s="23">
        <v>10000</v>
      </c>
      <c r="I1611" s="2">
        <v>1</v>
      </c>
      <c r="J1611" s="31">
        <v>5</v>
      </c>
      <c r="K1611" s="7">
        <f t="shared" si="100"/>
        <v>10000</v>
      </c>
      <c r="L1611" s="7">
        <f t="shared" si="101"/>
        <v>500</v>
      </c>
      <c r="M1611" s="7">
        <f t="shared" si="102"/>
        <v>9500</v>
      </c>
      <c r="N1611" s="23">
        <v>18000</v>
      </c>
      <c r="O1611" s="7">
        <f t="shared" si="103"/>
        <v>27500</v>
      </c>
      <c r="P1611" s="2" t="s">
        <v>63</v>
      </c>
      <c r="Q1611" t="str">
        <f>_xlfn.XLOOKUP(B1611,Status!$A$2:$A$1867,Status!$B$2:$B$1867)</f>
        <v>Completed</v>
      </c>
      <c r="R1611" s="2" t="s">
        <v>30</v>
      </c>
      <c r="S1611" s="8">
        <v>3</v>
      </c>
      <c r="T1611" s="2" t="s">
        <v>24</v>
      </c>
      <c r="U1611" s="31" t="str" cm="1">
        <f t="array" ref="U1611">_xlfn.IFS(L1611&lt;=5000,$Z$3,AND(L1611&gt;5000,L1611&lt;=15000),$Z$4,AND(L1611&gt;15000,L1611&lt;=30000),$Z$5,AND(L1611&gt;30000,L1611&lt;=50000),$Z$6,L1611&gt;50000,$Z$7)</f>
        <v>Sangat Rendah</v>
      </c>
      <c r="V1611" s="2"/>
    </row>
    <row r="1612" spans="1:22" ht="15.75" customHeight="1" x14ac:dyDescent="0.25">
      <c r="A1612" s="26"/>
      <c r="B1612" s="2" t="s">
        <v>1982</v>
      </c>
      <c r="C1612" s="32">
        <v>45848.026932870373</v>
      </c>
      <c r="D1612" s="53">
        <f>YEAR(Table1[[#This Row],[Order Date]])</f>
        <v>2025</v>
      </c>
      <c r="E1612" s="2" t="s">
        <v>626</v>
      </c>
      <c r="F1612" s="2" t="s">
        <v>296</v>
      </c>
      <c r="G1612" s="2" t="s">
        <v>41</v>
      </c>
      <c r="H1612" s="23">
        <v>4000</v>
      </c>
      <c r="I1612" s="2">
        <v>5</v>
      </c>
      <c r="J1612" s="31">
        <v>15</v>
      </c>
      <c r="K1612" s="7">
        <f t="shared" si="100"/>
        <v>20000</v>
      </c>
      <c r="L1612" s="7">
        <f t="shared" si="101"/>
        <v>3000</v>
      </c>
      <c r="M1612" s="7">
        <f t="shared" si="102"/>
        <v>17000</v>
      </c>
      <c r="N1612" s="23">
        <v>79000</v>
      </c>
      <c r="O1612" s="7">
        <f t="shared" si="103"/>
        <v>96000</v>
      </c>
      <c r="P1612" s="2" t="s">
        <v>63</v>
      </c>
      <c r="Q1612" t="str">
        <f>_xlfn.XLOOKUP(B1612,Status!$A$2:$A$1867,Status!$B$2:$B$1867)</f>
        <v>Completed</v>
      </c>
      <c r="R1612" s="2" t="s">
        <v>46</v>
      </c>
      <c r="S1612" s="8">
        <v>2</v>
      </c>
      <c r="T1612" s="2" t="s">
        <v>24</v>
      </c>
      <c r="U1612" s="31" t="str" cm="1">
        <f t="array" ref="U1612">_xlfn.IFS(L1612&lt;=5000,$Z$3,AND(L1612&gt;5000,L1612&lt;=15000),$Z$4,AND(L1612&gt;15000,L1612&lt;=30000),$Z$5,AND(L1612&gt;30000,L1612&lt;=50000),$Z$6,L1612&gt;50000,$Z$7)</f>
        <v>Sangat Rendah</v>
      </c>
      <c r="V1612" s="2"/>
    </row>
    <row r="1613" spans="1:22" ht="15.75" customHeight="1" x14ac:dyDescent="0.25">
      <c r="A1613" s="26"/>
      <c r="B1613" s="2" t="s">
        <v>1983</v>
      </c>
      <c r="C1613" s="32">
        <v>45848.737233796302</v>
      </c>
      <c r="D1613" s="53">
        <f>YEAR(Table1[[#This Row],[Order Date]])</f>
        <v>2025</v>
      </c>
      <c r="E1613" s="2" t="s">
        <v>48</v>
      </c>
      <c r="F1613" s="2" t="s">
        <v>49</v>
      </c>
      <c r="G1613" s="2" t="s">
        <v>110</v>
      </c>
      <c r="H1613" s="23">
        <v>6000</v>
      </c>
      <c r="I1613" s="2">
        <v>4</v>
      </c>
      <c r="J1613" s="31">
        <v>0</v>
      </c>
      <c r="K1613" s="7">
        <f t="shared" si="100"/>
        <v>24000</v>
      </c>
      <c r="L1613" s="7">
        <f t="shared" si="101"/>
        <v>0</v>
      </c>
      <c r="M1613" s="7">
        <f t="shared" si="102"/>
        <v>24000</v>
      </c>
      <c r="N1613" s="23">
        <v>43000</v>
      </c>
      <c r="O1613" s="7">
        <f t="shared" si="103"/>
        <v>67000</v>
      </c>
      <c r="P1613" s="2" t="s">
        <v>35</v>
      </c>
      <c r="Q1613" t="str">
        <f>_xlfn.XLOOKUP(B1613,Status!$A$2:$A$1867,Status!$B$2:$B$1867)</f>
        <v>Completed</v>
      </c>
      <c r="R1613" s="2" t="s">
        <v>36</v>
      </c>
      <c r="S1613" s="8">
        <v>4</v>
      </c>
      <c r="T1613" s="2" t="s">
        <v>24</v>
      </c>
      <c r="U1613" s="31" t="str" cm="1">
        <f t="array" ref="U1613">_xlfn.IFS(L1613&lt;=5000,$Z$3,AND(L1613&gt;5000,L1613&lt;=15000),$Z$4,AND(L1613&gt;15000,L1613&lt;=30000),$Z$5,AND(L1613&gt;30000,L1613&lt;=50000),$Z$6,L1613&gt;50000,$Z$7)</f>
        <v>Sangat Rendah</v>
      </c>
      <c r="V1613" s="2"/>
    </row>
    <row r="1614" spans="1:22" ht="15.75" customHeight="1" x14ac:dyDescent="0.25">
      <c r="A1614" s="26"/>
      <c r="B1614" s="2" t="s">
        <v>1984</v>
      </c>
      <c r="C1614" s="32">
        <v>45848.851747685178</v>
      </c>
      <c r="D1614" s="53">
        <f>YEAR(Table1[[#This Row],[Order Date]])</f>
        <v>2025</v>
      </c>
      <c r="E1614" s="2" t="s">
        <v>1985</v>
      </c>
      <c r="F1614" s="2" t="s">
        <v>20</v>
      </c>
      <c r="G1614" s="2" t="s">
        <v>67</v>
      </c>
      <c r="H1614" s="23">
        <v>15000</v>
      </c>
      <c r="I1614" s="2">
        <v>5</v>
      </c>
      <c r="J1614" s="31">
        <v>5</v>
      </c>
      <c r="K1614" s="7">
        <f t="shared" si="100"/>
        <v>75000</v>
      </c>
      <c r="L1614" s="7">
        <f t="shared" si="101"/>
        <v>3750</v>
      </c>
      <c r="M1614" s="7">
        <f t="shared" si="102"/>
        <v>71250</v>
      </c>
      <c r="N1614" s="23">
        <v>15000</v>
      </c>
      <c r="O1614" s="7">
        <f t="shared" si="103"/>
        <v>86250</v>
      </c>
      <c r="P1614" s="2" t="s">
        <v>35</v>
      </c>
      <c r="Q1614" t="str">
        <f>_xlfn.XLOOKUP(B1614,Status!$A$2:$A$1867,Status!$B$2:$B$1867)</f>
        <v>Completed</v>
      </c>
      <c r="R1614" s="2" t="s">
        <v>82</v>
      </c>
      <c r="S1614" s="8">
        <v>4</v>
      </c>
      <c r="T1614" s="2" t="s">
        <v>24</v>
      </c>
      <c r="U1614" s="31" t="str" cm="1">
        <f t="array" ref="U1614">_xlfn.IFS(L1614&lt;=5000,$Z$3,AND(L1614&gt;5000,L1614&lt;=15000),$Z$4,AND(L1614&gt;15000,L1614&lt;=30000),$Z$5,AND(L1614&gt;30000,L1614&lt;=50000),$Z$6,L1614&gt;50000,$Z$7)</f>
        <v>Sangat Rendah</v>
      </c>
      <c r="V1614" s="2"/>
    </row>
    <row r="1615" spans="1:22" ht="15.75" customHeight="1" x14ac:dyDescent="0.25">
      <c r="A1615" s="26"/>
      <c r="B1615" s="2" t="s">
        <v>1986</v>
      </c>
      <c r="C1615" s="32">
        <v>45848.957627314812</v>
      </c>
      <c r="D1615" s="53">
        <f>YEAR(Table1[[#This Row],[Order Date]])</f>
        <v>2025</v>
      </c>
      <c r="E1615" s="2" t="s">
        <v>307</v>
      </c>
      <c r="F1615" s="2" t="s">
        <v>70</v>
      </c>
      <c r="G1615" s="2" t="s">
        <v>110</v>
      </c>
      <c r="H1615" s="23">
        <v>6000</v>
      </c>
      <c r="I1615" s="2">
        <v>2</v>
      </c>
      <c r="J1615" s="31">
        <v>0</v>
      </c>
      <c r="K1615" s="7">
        <f t="shared" si="100"/>
        <v>12000</v>
      </c>
      <c r="L1615" s="7">
        <f t="shared" si="101"/>
        <v>0</v>
      </c>
      <c r="M1615" s="7">
        <f t="shared" si="102"/>
        <v>12000</v>
      </c>
      <c r="N1615" s="23">
        <v>89000</v>
      </c>
      <c r="O1615" s="7">
        <f t="shared" si="103"/>
        <v>101000</v>
      </c>
      <c r="P1615" s="2" t="s">
        <v>22</v>
      </c>
      <c r="Q1615" t="str">
        <f>_xlfn.XLOOKUP(B1615,Status!$A$2:$A$1867,Status!$B$2:$B$1867)</f>
        <v>Completed</v>
      </c>
      <c r="R1615" s="2" t="s">
        <v>82</v>
      </c>
      <c r="S1615" s="8">
        <v>3</v>
      </c>
      <c r="T1615" s="2" t="s">
        <v>24</v>
      </c>
      <c r="U1615" s="31" t="str" cm="1">
        <f t="array" ref="U1615">_xlfn.IFS(L1615&lt;=5000,$Z$3,AND(L1615&gt;5000,L1615&lt;=15000),$Z$4,AND(L1615&gt;15000,L1615&lt;=30000),$Z$5,AND(L1615&gt;30000,L1615&lt;=50000),$Z$6,L1615&gt;50000,$Z$7)</f>
        <v>Sangat Rendah</v>
      </c>
      <c r="V1615" s="2"/>
    </row>
    <row r="1616" spans="1:22" ht="15.75" customHeight="1" x14ac:dyDescent="0.25">
      <c r="A1616" s="26"/>
      <c r="B1616" s="2" t="s">
        <v>1987</v>
      </c>
      <c r="C1616" s="32">
        <v>45849.028819444437</v>
      </c>
      <c r="D1616" s="53">
        <f>YEAR(Table1[[#This Row],[Order Date]])</f>
        <v>2025</v>
      </c>
      <c r="E1616" s="2" t="s">
        <v>1091</v>
      </c>
      <c r="F1616" s="2" t="s">
        <v>160</v>
      </c>
      <c r="G1616" s="2" t="s">
        <v>21</v>
      </c>
      <c r="H1616" s="23">
        <v>45000</v>
      </c>
      <c r="I1616" s="2">
        <v>3</v>
      </c>
      <c r="J1616" s="31">
        <v>10</v>
      </c>
      <c r="K1616" s="7">
        <f t="shared" si="100"/>
        <v>135000</v>
      </c>
      <c r="L1616" s="7">
        <f t="shared" si="101"/>
        <v>13500</v>
      </c>
      <c r="M1616" s="7">
        <f t="shared" si="102"/>
        <v>121500</v>
      </c>
      <c r="N1616" s="23">
        <v>68000</v>
      </c>
      <c r="O1616" s="7">
        <f t="shared" si="103"/>
        <v>189500</v>
      </c>
      <c r="P1616" s="2" t="s">
        <v>29</v>
      </c>
      <c r="Q1616" t="str">
        <f>_xlfn.XLOOKUP(B1616,Status!$A$2:$A$1867,Status!$B$2:$B$1867)</f>
        <v>Completed</v>
      </c>
      <c r="R1616" s="2" t="s">
        <v>46</v>
      </c>
      <c r="S1616" s="8">
        <v>2</v>
      </c>
      <c r="T1616" s="2" t="s">
        <v>37</v>
      </c>
      <c r="U1616" s="31" t="str" cm="1">
        <f t="array" ref="U1616">_xlfn.IFS(L1616&lt;=5000,$Z$3,AND(L1616&gt;5000,L1616&lt;=15000),$Z$4,AND(L1616&gt;15000,L1616&lt;=30000),$Z$5,AND(L1616&gt;30000,L1616&lt;=50000),$Z$6,L1616&gt;50000,$Z$7)</f>
        <v>Rendah</v>
      </c>
      <c r="V1616" s="2"/>
    </row>
    <row r="1617" spans="1:22" ht="15.75" customHeight="1" x14ac:dyDescent="0.25">
      <c r="A1617" s="26"/>
      <c r="B1617" s="2" t="s">
        <v>1988</v>
      </c>
      <c r="C1617" s="32">
        <v>45849.034849537027</v>
      </c>
      <c r="D1617" s="53">
        <f>YEAR(Table1[[#This Row],[Order Date]])</f>
        <v>2025</v>
      </c>
      <c r="E1617" s="2" t="s">
        <v>1033</v>
      </c>
      <c r="F1617" s="2" t="s">
        <v>122</v>
      </c>
      <c r="G1617" s="2" t="s">
        <v>104</v>
      </c>
      <c r="H1617" s="23">
        <v>30000</v>
      </c>
      <c r="I1617" s="2">
        <v>4</v>
      </c>
      <c r="J1617" s="31">
        <v>0</v>
      </c>
      <c r="K1617" s="7">
        <f t="shared" si="100"/>
        <v>120000</v>
      </c>
      <c r="L1617" s="7">
        <f t="shared" si="101"/>
        <v>0</v>
      </c>
      <c r="M1617" s="7">
        <f t="shared" si="102"/>
        <v>120000</v>
      </c>
      <c r="N1617" s="23">
        <v>78000</v>
      </c>
      <c r="O1617" s="7">
        <f t="shared" si="103"/>
        <v>198000</v>
      </c>
      <c r="P1617" s="2" t="s">
        <v>22</v>
      </c>
      <c r="Q1617" t="str">
        <f>_xlfn.XLOOKUP(B1617,Status!$A$2:$A$1867,Status!$B$2:$B$1867)</f>
        <v>Completed</v>
      </c>
      <c r="R1617" s="2" t="s">
        <v>23</v>
      </c>
      <c r="S1617" s="8">
        <v>3</v>
      </c>
      <c r="T1617" s="2" t="s">
        <v>24</v>
      </c>
      <c r="U1617" s="31" t="str" cm="1">
        <f t="array" ref="U1617">_xlfn.IFS(L1617&lt;=5000,$Z$3,AND(L1617&gt;5000,L1617&lt;=15000),$Z$4,AND(L1617&gt;15000,L1617&lt;=30000),$Z$5,AND(L1617&gt;30000,L1617&lt;=50000),$Z$6,L1617&gt;50000,$Z$7)</f>
        <v>Sangat Rendah</v>
      </c>
      <c r="V1617" s="2"/>
    </row>
    <row r="1618" spans="1:22" ht="15.75" customHeight="1" x14ac:dyDescent="0.25">
      <c r="A1618" s="26"/>
      <c r="B1618" s="2" t="s">
        <v>1989</v>
      </c>
      <c r="C1618" s="32">
        <v>45849.076111111113</v>
      </c>
      <c r="D1618" s="53">
        <f>YEAR(Table1[[#This Row],[Order Date]])</f>
        <v>2025</v>
      </c>
      <c r="E1618" s="2" t="s">
        <v>582</v>
      </c>
      <c r="F1618" s="2" t="s">
        <v>435</v>
      </c>
      <c r="G1618" s="2" t="s">
        <v>123</v>
      </c>
      <c r="H1618" s="23">
        <v>22000</v>
      </c>
      <c r="I1618" s="2">
        <v>2</v>
      </c>
      <c r="J1618" s="31">
        <v>5</v>
      </c>
      <c r="K1618" s="7">
        <f t="shared" si="100"/>
        <v>44000</v>
      </c>
      <c r="L1618" s="7">
        <f t="shared" si="101"/>
        <v>2200</v>
      </c>
      <c r="M1618" s="7">
        <f t="shared" si="102"/>
        <v>41800</v>
      </c>
      <c r="N1618" s="23">
        <v>67000</v>
      </c>
      <c r="O1618" s="7">
        <f t="shared" si="103"/>
        <v>108800</v>
      </c>
      <c r="P1618" s="2" t="s">
        <v>22</v>
      </c>
      <c r="Q1618" t="str">
        <f>_xlfn.XLOOKUP(B1618,Status!$A$2:$A$1867,Status!$B$2:$B$1867)</f>
        <v>Completed</v>
      </c>
      <c r="R1618" s="2" t="s">
        <v>23</v>
      </c>
      <c r="S1618" s="8">
        <v>3</v>
      </c>
      <c r="T1618" s="2" t="s">
        <v>24</v>
      </c>
      <c r="U1618" s="31" t="str" cm="1">
        <f t="array" ref="U1618">_xlfn.IFS(L1618&lt;=5000,$Z$3,AND(L1618&gt;5000,L1618&lt;=15000),$Z$4,AND(L1618&gt;15000,L1618&lt;=30000),$Z$5,AND(L1618&gt;30000,L1618&lt;=50000),$Z$6,L1618&gt;50000,$Z$7)</f>
        <v>Sangat Rendah</v>
      </c>
      <c r="V1618" s="2"/>
    </row>
    <row r="1619" spans="1:22" ht="15.75" customHeight="1" x14ac:dyDescent="0.25">
      <c r="A1619" s="26"/>
      <c r="B1619" s="2" t="s">
        <v>1990</v>
      </c>
      <c r="C1619" s="32">
        <v>45849.088379629633</v>
      </c>
      <c r="D1619" s="53">
        <f>YEAR(Table1[[#This Row],[Order Date]])</f>
        <v>2025</v>
      </c>
      <c r="E1619" s="2" t="s">
        <v>1582</v>
      </c>
      <c r="F1619" s="2" t="s">
        <v>80</v>
      </c>
      <c r="G1619" s="2" t="s">
        <v>110</v>
      </c>
      <c r="H1619" s="23">
        <v>6000</v>
      </c>
      <c r="I1619" s="2">
        <v>2</v>
      </c>
      <c r="J1619" s="31">
        <v>10</v>
      </c>
      <c r="K1619" s="7">
        <f t="shared" si="100"/>
        <v>12000</v>
      </c>
      <c r="L1619" s="7">
        <f t="shared" si="101"/>
        <v>1200</v>
      </c>
      <c r="M1619" s="7">
        <f t="shared" si="102"/>
        <v>10800</v>
      </c>
      <c r="N1619" s="23">
        <v>74000</v>
      </c>
      <c r="O1619" s="7">
        <f t="shared" si="103"/>
        <v>84800</v>
      </c>
      <c r="P1619" s="2" t="s">
        <v>29</v>
      </c>
      <c r="Q1619" t="str">
        <f>_xlfn.XLOOKUP(B1619,Status!$A$2:$A$1867,Status!$B$2:$B$1867)</f>
        <v>Returned</v>
      </c>
      <c r="R1619" s="2" t="s">
        <v>23</v>
      </c>
      <c r="S1619" s="8">
        <v>4</v>
      </c>
      <c r="T1619" s="2" t="s">
        <v>24</v>
      </c>
      <c r="U1619" s="31" t="str" cm="1">
        <f t="array" ref="U1619">_xlfn.IFS(L1619&lt;=5000,$Z$3,AND(L1619&gt;5000,L1619&lt;=15000),$Z$4,AND(L1619&gt;15000,L1619&lt;=30000),$Z$5,AND(L1619&gt;30000,L1619&lt;=50000),$Z$6,L1619&gt;50000,$Z$7)</f>
        <v>Sangat Rendah</v>
      </c>
      <c r="V1619" s="2"/>
    </row>
    <row r="1620" spans="1:22" ht="15.75" customHeight="1" x14ac:dyDescent="0.25">
      <c r="A1620" s="26"/>
      <c r="B1620" s="2" t="s">
        <v>1991</v>
      </c>
      <c r="C1620" s="32">
        <v>45849.123298611114</v>
      </c>
      <c r="D1620" s="53">
        <f>YEAR(Table1[[#This Row],[Order Date]])</f>
        <v>2025</v>
      </c>
      <c r="E1620" s="2" t="s">
        <v>285</v>
      </c>
      <c r="F1620" s="2" t="s">
        <v>20</v>
      </c>
      <c r="G1620" s="2" t="s">
        <v>75</v>
      </c>
      <c r="H1620" s="23">
        <v>55000</v>
      </c>
      <c r="I1620" s="2">
        <v>5</v>
      </c>
      <c r="J1620" s="31">
        <v>10</v>
      </c>
      <c r="K1620" s="7">
        <f t="shared" si="100"/>
        <v>275000</v>
      </c>
      <c r="L1620" s="7">
        <f t="shared" si="101"/>
        <v>27500</v>
      </c>
      <c r="M1620" s="7">
        <f t="shared" si="102"/>
        <v>247500</v>
      </c>
      <c r="N1620" s="23">
        <v>15000</v>
      </c>
      <c r="O1620" s="7">
        <f t="shared" si="103"/>
        <v>262500</v>
      </c>
      <c r="P1620" s="2" t="s">
        <v>35</v>
      </c>
      <c r="Q1620" t="str">
        <f>_xlfn.XLOOKUP(B1620,Status!$A$2:$A$1867,Status!$B$2:$B$1867)</f>
        <v>Completed</v>
      </c>
      <c r="R1620" s="2" t="s">
        <v>36</v>
      </c>
      <c r="S1620" s="8">
        <v>2</v>
      </c>
      <c r="T1620" s="2" t="s">
        <v>37</v>
      </c>
      <c r="U1620" s="31" t="str" cm="1">
        <f t="array" ref="U1620">_xlfn.IFS(L1620&lt;=5000,$Z$3,AND(L1620&gt;5000,L1620&lt;=15000),$Z$4,AND(L1620&gt;15000,L1620&lt;=30000),$Z$5,AND(L1620&gt;30000,L1620&lt;=50000),$Z$6,L1620&gt;50000,$Z$7)</f>
        <v>Normal</v>
      </c>
      <c r="V1620" s="2"/>
    </row>
    <row r="1621" spans="1:22" ht="15.75" customHeight="1" x14ac:dyDescent="0.25">
      <c r="A1621" s="26"/>
      <c r="B1621" s="2" t="s">
        <v>1992</v>
      </c>
      <c r="C1621" s="32">
        <v>45849.229178240741</v>
      </c>
      <c r="D1621" s="53">
        <f>YEAR(Table1[[#This Row],[Order Date]])</f>
        <v>2025</v>
      </c>
      <c r="E1621" s="2" t="s">
        <v>1981</v>
      </c>
      <c r="F1621" s="2" t="s">
        <v>53</v>
      </c>
      <c r="G1621" s="2" t="s">
        <v>28</v>
      </c>
      <c r="H1621" s="23">
        <v>5000</v>
      </c>
      <c r="I1621" s="2">
        <v>4</v>
      </c>
      <c r="J1621" s="31">
        <v>0</v>
      </c>
      <c r="K1621" s="7">
        <f t="shared" si="100"/>
        <v>20000</v>
      </c>
      <c r="L1621" s="7">
        <f t="shared" si="101"/>
        <v>0</v>
      </c>
      <c r="M1621" s="7">
        <f t="shared" si="102"/>
        <v>20000</v>
      </c>
      <c r="N1621" s="23">
        <v>18000</v>
      </c>
      <c r="O1621" s="7">
        <f t="shared" si="103"/>
        <v>38000</v>
      </c>
      <c r="P1621" s="2" t="s">
        <v>29</v>
      </c>
      <c r="Q1621" t="str">
        <f>_xlfn.XLOOKUP(B1621,Status!$A$2:$A$1867,Status!$B$2:$B$1867)</f>
        <v>Completed</v>
      </c>
      <c r="R1621" s="2" t="s">
        <v>30</v>
      </c>
      <c r="S1621" s="8">
        <v>1</v>
      </c>
      <c r="T1621" s="2" t="s">
        <v>24</v>
      </c>
      <c r="U1621" s="31" t="str" cm="1">
        <f t="array" ref="U1621">_xlfn.IFS(L1621&lt;=5000,$Z$3,AND(L1621&gt;5000,L1621&lt;=15000),$Z$4,AND(L1621&gt;15000,L1621&lt;=30000),$Z$5,AND(L1621&gt;30000,L1621&lt;=50000),$Z$6,L1621&gt;50000,$Z$7)</f>
        <v>Sangat Rendah</v>
      </c>
      <c r="V1621" s="2"/>
    </row>
    <row r="1622" spans="1:22" ht="15.75" customHeight="1" x14ac:dyDescent="0.25">
      <c r="A1622" s="26"/>
      <c r="B1622" s="2" t="s">
        <v>1993</v>
      </c>
      <c r="C1622" s="32">
        <v>45849.283321759263</v>
      </c>
      <c r="D1622" s="53">
        <f>YEAR(Table1[[#This Row],[Order Date]])</f>
        <v>2025</v>
      </c>
      <c r="E1622" s="2" t="s">
        <v>741</v>
      </c>
      <c r="F1622" s="2" t="s">
        <v>189</v>
      </c>
      <c r="G1622" s="2" t="s">
        <v>34</v>
      </c>
      <c r="H1622" s="23">
        <v>16000</v>
      </c>
      <c r="I1622" s="2">
        <v>3</v>
      </c>
      <c r="J1622" s="31">
        <v>5</v>
      </c>
      <c r="K1622" s="7">
        <f t="shared" si="100"/>
        <v>48000</v>
      </c>
      <c r="L1622" s="7">
        <f t="shared" si="101"/>
        <v>2400</v>
      </c>
      <c r="M1622" s="7">
        <f t="shared" si="102"/>
        <v>45600</v>
      </c>
      <c r="N1622" s="23">
        <v>57000</v>
      </c>
      <c r="O1622" s="7">
        <f t="shared" si="103"/>
        <v>102600</v>
      </c>
      <c r="P1622" s="2" t="s">
        <v>63</v>
      </c>
      <c r="Q1622" t="str">
        <f>_xlfn.XLOOKUP(B1622,Status!$A$2:$A$1867,Status!$B$2:$B$1867)</f>
        <v>Completed</v>
      </c>
      <c r="R1622" s="2" t="s">
        <v>36</v>
      </c>
      <c r="S1622" s="8">
        <v>4</v>
      </c>
      <c r="T1622" s="2" t="s">
        <v>24</v>
      </c>
      <c r="U1622" s="31" t="str" cm="1">
        <f t="array" ref="U1622">_xlfn.IFS(L1622&lt;=5000,$Z$3,AND(L1622&gt;5000,L1622&lt;=15000),$Z$4,AND(L1622&gt;15000,L1622&lt;=30000),$Z$5,AND(L1622&gt;30000,L1622&lt;=50000),$Z$6,L1622&gt;50000,$Z$7)</f>
        <v>Sangat Rendah</v>
      </c>
      <c r="V1622" s="2"/>
    </row>
    <row r="1623" spans="1:22" ht="15.75" customHeight="1" x14ac:dyDescent="0.25">
      <c r="A1623" s="26"/>
      <c r="B1623" s="2" t="s">
        <v>1994</v>
      </c>
      <c r="C1623" s="32">
        <v>45849.604583333326</v>
      </c>
      <c r="D1623" s="53">
        <f>YEAR(Table1[[#This Row],[Order Date]])</f>
        <v>2025</v>
      </c>
      <c r="E1623" s="2" t="s">
        <v>443</v>
      </c>
      <c r="F1623" s="2" t="s">
        <v>53</v>
      </c>
      <c r="G1623" s="2" t="s">
        <v>54</v>
      </c>
      <c r="H1623" s="23">
        <v>16000</v>
      </c>
      <c r="I1623" s="2">
        <v>1</v>
      </c>
      <c r="J1623" s="31">
        <v>15</v>
      </c>
      <c r="K1623" s="7">
        <f t="shared" si="100"/>
        <v>16000</v>
      </c>
      <c r="L1623" s="7">
        <f t="shared" si="101"/>
        <v>2400</v>
      </c>
      <c r="M1623" s="7">
        <f t="shared" si="102"/>
        <v>13600</v>
      </c>
      <c r="N1623" s="23">
        <v>18000</v>
      </c>
      <c r="O1623" s="7">
        <f t="shared" si="103"/>
        <v>31600</v>
      </c>
      <c r="P1623" s="2" t="s">
        <v>22</v>
      </c>
      <c r="Q1623" t="str">
        <f>_xlfn.XLOOKUP(B1623,Status!$A$2:$A$1867,Status!$B$2:$B$1867)</f>
        <v>Completed</v>
      </c>
      <c r="R1623" s="2" t="s">
        <v>36</v>
      </c>
      <c r="S1623" s="8">
        <v>2</v>
      </c>
      <c r="T1623" s="2" t="s">
        <v>24</v>
      </c>
      <c r="U1623" s="31" t="str" cm="1">
        <f t="array" ref="U1623">_xlfn.IFS(L1623&lt;=5000,$Z$3,AND(L1623&gt;5000,L1623&lt;=15000),$Z$4,AND(L1623&gt;15000,L1623&lt;=30000),$Z$5,AND(L1623&gt;30000,L1623&lt;=50000),$Z$6,L1623&gt;50000,$Z$7)</f>
        <v>Sangat Rendah</v>
      </c>
      <c r="V1623" s="2"/>
    </row>
    <row r="1624" spans="1:22" ht="15.75" customHeight="1" x14ac:dyDescent="0.25">
      <c r="A1624" s="26"/>
      <c r="B1624" s="2" t="s">
        <v>1995</v>
      </c>
      <c r="C1624" s="32">
        <v>45849.61210648148</v>
      </c>
      <c r="D1624" s="53">
        <f>YEAR(Table1[[#This Row],[Order Date]])</f>
        <v>2025</v>
      </c>
      <c r="E1624" s="2" t="s">
        <v>1574</v>
      </c>
      <c r="F1624" s="2" t="s">
        <v>33</v>
      </c>
      <c r="G1624" s="2" t="s">
        <v>67</v>
      </c>
      <c r="H1624" s="23">
        <v>15000</v>
      </c>
      <c r="I1624" s="2">
        <v>1</v>
      </c>
      <c r="J1624" s="31">
        <v>10</v>
      </c>
      <c r="K1624" s="7">
        <f t="shared" si="100"/>
        <v>15000</v>
      </c>
      <c r="L1624" s="7">
        <f t="shared" si="101"/>
        <v>1500</v>
      </c>
      <c r="M1624" s="7">
        <f t="shared" si="102"/>
        <v>13500</v>
      </c>
      <c r="N1624" s="23">
        <v>76000</v>
      </c>
      <c r="O1624" s="7">
        <f t="shared" si="103"/>
        <v>89500</v>
      </c>
      <c r="P1624" s="2" t="s">
        <v>63</v>
      </c>
      <c r="Q1624" t="str">
        <f>_xlfn.XLOOKUP(B1624,Status!$A$2:$A$1867,Status!$B$2:$B$1867)</f>
        <v>Returned</v>
      </c>
      <c r="R1624" s="2" t="s">
        <v>36</v>
      </c>
      <c r="S1624" s="8">
        <v>4</v>
      </c>
      <c r="T1624" s="2" t="s">
        <v>24</v>
      </c>
      <c r="U1624" s="31" t="str" cm="1">
        <f t="array" ref="U1624">_xlfn.IFS(L1624&lt;=5000,$Z$3,AND(L1624&gt;5000,L1624&lt;=15000),$Z$4,AND(L1624&gt;15000,L1624&lt;=30000),$Z$5,AND(L1624&gt;30000,L1624&lt;=50000),$Z$6,L1624&gt;50000,$Z$7)</f>
        <v>Sangat Rendah</v>
      </c>
      <c r="V1624" s="2"/>
    </row>
    <row r="1625" spans="1:22" ht="15.75" customHeight="1" x14ac:dyDescent="0.25">
      <c r="A1625" s="26"/>
      <c r="B1625" s="2" t="s">
        <v>1996</v>
      </c>
      <c r="C1625" s="32">
        <v>45849.703344907408</v>
      </c>
      <c r="D1625" s="53">
        <f>YEAR(Table1[[#This Row],[Order Date]])</f>
        <v>2025</v>
      </c>
      <c r="E1625" s="2" t="s">
        <v>192</v>
      </c>
      <c r="F1625" s="2" t="s">
        <v>107</v>
      </c>
      <c r="G1625" s="2" t="s">
        <v>138</v>
      </c>
      <c r="H1625" s="23">
        <v>17000</v>
      </c>
      <c r="I1625" s="2">
        <v>4</v>
      </c>
      <c r="J1625" s="31">
        <v>20</v>
      </c>
      <c r="K1625" s="7">
        <f t="shared" si="100"/>
        <v>68000</v>
      </c>
      <c r="L1625" s="7">
        <f t="shared" si="101"/>
        <v>13600</v>
      </c>
      <c r="M1625" s="7">
        <f t="shared" si="102"/>
        <v>54400</v>
      </c>
      <c r="N1625" s="23">
        <v>97000</v>
      </c>
      <c r="O1625" s="7">
        <f t="shared" si="103"/>
        <v>151400</v>
      </c>
      <c r="P1625" s="2" t="s">
        <v>29</v>
      </c>
      <c r="Q1625" t="str">
        <f>_xlfn.XLOOKUP(B1625,Status!$A$2:$A$1867,Status!$B$2:$B$1867)</f>
        <v>Completed</v>
      </c>
      <c r="R1625" s="2" t="s">
        <v>82</v>
      </c>
      <c r="S1625" s="8">
        <v>1</v>
      </c>
      <c r="T1625" s="2" t="s">
        <v>24</v>
      </c>
      <c r="U1625" s="31" t="str" cm="1">
        <f t="array" ref="U1625">_xlfn.IFS(L1625&lt;=5000,$Z$3,AND(L1625&gt;5000,L1625&lt;=15000),$Z$4,AND(L1625&gt;15000,L1625&lt;=30000),$Z$5,AND(L1625&gt;30000,L1625&lt;=50000),$Z$6,L1625&gt;50000,$Z$7)</f>
        <v>Rendah</v>
      </c>
      <c r="V1625" s="2"/>
    </row>
    <row r="1626" spans="1:22" ht="15.75" customHeight="1" x14ac:dyDescent="0.25">
      <c r="A1626" s="26"/>
      <c r="B1626" s="2" t="s">
        <v>1997</v>
      </c>
      <c r="C1626" s="32">
        <v>45849.777025462958</v>
      </c>
      <c r="D1626" s="53">
        <f>YEAR(Table1[[#This Row],[Order Date]])</f>
        <v>2025</v>
      </c>
      <c r="E1626" s="2" t="s">
        <v>275</v>
      </c>
      <c r="F1626" s="2" t="s">
        <v>96</v>
      </c>
      <c r="G1626" s="2" t="s">
        <v>190</v>
      </c>
      <c r="H1626" s="23">
        <v>35000</v>
      </c>
      <c r="I1626" s="2">
        <v>2</v>
      </c>
      <c r="J1626" s="31">
        <v>10</v>
      </c>
      <c r="K1626" s="7">
        <f t="shared" si="100"/>
        <v>70000</v>
      </c>
      <c r="L1626" s="7">
        <f t="shared" si="101"/>
        <v>7000</v>
      </c>
      <c r="M1626" s="7">
        <f t="shared" si="102"/>
        <v>63000</v>
      </c>
      <c r="N1626" s="23">
        <v>49000</v>
      </c>
      <c r="O1626" s="7">
        <f t="shared" si="103"/>
        <v>112000</v>
      </c>
      <c r="P1626" s="2" t="s">
        <v>35</v>
      </c>
      <c r="Q1626" t="str">
        <f>_xlfn.XLOOKUP(B1626,Status!$A$2:$A$1867,Status!$B$2:$B$1867)</f>
        <v>Completed</v>
      </c>
      <c r="R1626" s="2" t="s">
        <v>23</v>
      </c>
      <c r="S1626" s="8">
        <v>2</v>
      </c>
      <c r="T1626" s="2" t="s">
        <v>24</v>
      </c>
      <c r="U1626" s="31" t="str" cm="1">
        <f t="array" ref="U1626">_xlfn.IFS(L1626&lt;=5000,$Z$3,AND(L1626&gt;5000,L1626&lt;=15000),$Z$4,AND(L1626&gt;15000,L1626&lt;=30000),$Z$5,AND(L1626&gt;30000,L1626&lt;=50000),$Z$6,L1626&gt;50000,$Z$7)</f>
        <v>Rendah</v>
      </c>
      <c r="V1626" s="2"/>
    </row>
    <row r="1627" spans="1:22" ht="15.75" customHeight="1" x14ac:dyDescent="0.25">
      <c r="A1627" s="26"/>
      <c r="B1627" s="2" t="s">
        <v>1997</v>
      </c>
      <c r="C1627" s="32">
        <v>45849.777025462958</v>
      </c>
      <c r="D1627" s="53">
        <f>YEAR(Table1[[#This Row],[Order Date]])</f>
        <v>2025</v>
      </c>
      <c r="E1627" s="2" t="s">
        <v>275</v>
      </c>
      <c r="F1627" s="2" t="s">
        <v>96</v>
      </c>
      <c r="G1627" s="2" t="s">
        <v>123</v>
      </c>
      <c r="H1627" s="23">
        <v>22000</v>
      </c>
      <c r="I1627" s="2">
        <v>1</v>
      </c>
      <c r="J1627" s="31">
        <v>15</v>
      </c>
      <c r="K1627" s="7">
        <f t="shared" si="100"/>
        <v>22000</v>
      </c>
      <c r="L1627" s="7">
        <f t="shared" si="101"/>
        <v>3300</v>
      </c>
      <c r="M1627" s="7">
        <f t="shared" si="102"/>
        <v>18700</v>
      </c>
      <c r="N1627" s="23">
        <v>0</v>
      </c>
      <c r="O1627" s="7">
        <f t="shared" si="103"/>
        <v>18700</v>
      </c>
      <c r="P1627" s="2" t="s">
        <v>35</v>
      </c>
      <c r="Q1627" t="str">
        <f>_xlfn.XLOOKUP(B1627,Status!$A$2:$A$1867,Status!$B$2:$B$1867)</f>
        <v>Completed</v>
      </c>
      <c r="R1627" s="2" t="s">
        <v>23</v>
      </c>
      <c r="S1627" s="8">
        <v>2</v>
      </c>
      <c r="T1627" s="2" t="s">
        <v>24</v>
      </c>
      <c r="U1627" s="31" t="str" cm="1">
        <f t="array" ref="U1627">_xlfn.IFS(L1627&lt;=5000,$Z$3,AND(L1627&gt;5000,L1627&lt;=15000),$Z$4,AND(L1627&gt;15000,L1627&lt;=30000),$Z$5,AND(L1627&gt;30000,L1627&lt;=50000),$Z$6,L1627&gt;50000,$Z$7)</f>
        <v>Sangat Rendah</v>
      </c>
      <c r="V1627" s="2"/>
    </row>
    <row r="1628" spans="1:22" ht="15.75" customHeight="1" x14ac:dyDescent="0.25">
      <c r="A1628" s="26"/>
      <c r="B1628" s="2" t="s">
        <v>1998</v>
      </c>
      <c r="C1628" s="32">
        <v>45849.963599537034</v>
      </c>
      <c r="D1628" s="53">
        <f>YEAR(Table1[[#This Row],[Order Date]])</f>
        <v>2025</v>
      </c>
      <c r="E1628" s="2" t="s">
        <v>1259</v>
      </c>
      <c r="F1628" s="2" t="s">
        <v>107</v>
      </c>
      <c r="G1628" s="2" t="s">
        <v>144</v>
      </c>
      <c r="H1628" s="23">
        <v>18000</v>
      </c>
      <c r="I1628" s="2">
        <v>4</v>
      </c>
      <c r="J1628" s="31">
        <v>5</v>
      </c>
      <c r="K1628" s="7">
        <f t="shared" si="100"/>
        <v>72000</v>
      </c>
      <c r="L1628" s="7">
        <f t="shared" si="101"/>
        <v>3600</v>
      </c>
      <c r="M1628" s="7">
        <f t="shared" si="102"/>
        <v>68400</v>
      </c>
      <c r="N1628" s="23">
        <v>97000</v>
      </c>
      <c r="O1628" s="7">
        <f t="shared" si="103"/>
        <v>165400</v>
      </c>
      <c r="P1628" s="2" t="s">
        <v>29</v>
      </c>
      <c r="Q1628" t="str">
        <f>_xlfn.XLOOKUP(B1628,Status!$A$2:$A$1867,Status!$B$2:$B$1867)</f>
        <v>Returned</v>
      </c>
      <c r="R1628" s="2" t="s">
        <v>30</v>
      </c>
      <c r="S1628" s="8">
        <v>2</v>
      </c>
      <c r="T1628" s="2" t="s">
        <v>37</v>
      </c>
      <c r="U1628" s="31" t="str" cm="1">
        <f t="array" ref="U1628">_xlfn.IFS(L1628&lt;=5000,$Z$3,AND(L1628&gt;5000,L1628&lt;=15000),$Z$4,AND(L1628&gt;15000,L1628&lt;=30000),$Z$5,AND(L1628&gt;30000,L1628&lt;=50000),$Z$6,L1628&gt;50000,$Z$7)</f>
        <v>Sangat Rendah</v>
      </c>
      <c r="V1628" s="2"/>
    </row>
    <row r="1629" spans="1:22" ht="15.75" customHeight="1" x14ac:dyDescent="0.25">
      <c r="A1629" s="26"/>
      <c r="B1629" s="2" t="s">
        <v>1999</v>
      </c>
      <c r="C1629" s="32">
        <v>45850.207638888889</v>
      </c>
      <c r="D1629" s="53">
        <f>YEAR(Table1[[#This Row],[Order Date]])</f>
        <v>2025</v>
      </c>
      <c r="E1629" s="2" t="s">
        <v>504</v>
      </c>
      <c r="F1629" s="2" t="s">
        <v>195</v>
      </c>
      <c r="G1629" s="2" t="s">
        <v>54</v>
      </c>
      <c r="H1629" s="23">
        <v>16000</v>
      </c>
      <c r="I1629" s="2">
        <v>3</v>
      </c>
      <c r="J1629" s="31">
        <v>5</v>
      </c>
      <c r="K1629" s="7">
        <f t="shared" si="100"/>
        <v>48000</v>
      </c>
      <c r="L1629" s="7">
        <f t="shared" si="101"/>
        <v>2400</v>
      </c>
      <c r="M1629" s="7">
        <f t="shared" si="102"/>
        <v>45600</v>
      </c>
      <c r="N1629" s="23">
        <v>87000</v>
      </c>
      <c r="O1629" s="7">
        <f t="shared" si="103"/>
        <v>132600</v>
      </c>
      <c r="P1629" s="2" t="s">
        <v>22</v>
      </c>
      <c r="Q1629" t="str">
        <f>_xlfn.XLOOKUP(B1629,Status!$A$2:$A$1867,Status!$B$2:$B$1867)</f>
        <v>Completed</v>
      </c>
      <c r="R1629" s="2" t="s">
        <v>30</v>
      </c>
      <c r="S1629" s="8">
        <v>1</v>
      </c>
      <c r="T1629" s="2" t="s">
        <v>24</v>
      </c>
      <c r="U1629" s="31" t="str" cm="1">
        <f t="array" ref="U1629">_xlfn.IFS(L1629&lt;=5000,$Z$3,AND(L1629&gt;5000,L1629&lt;=15000),$Z$4,AND(L1629&gt;15000,L1629&lt;=30000),$Z$5,AND(L1629&gt;30000,L1629&lt;=50000),$Z$6,L1629&gt;50000,$Z$7)</f>
        <v>Sangat Rendah</v>
      </c>
      <c r="V1629" s="2"/>
    </row>
    <row r="1630" spans="1:22" ht="15.75" customHeight="1" x14ac:dyDescent="0.25">
      <c r="A1630" s="26"/>
      <c r="B1630" s="2" t="s">
        <v>2000</v>
      </c>
      <c r="C1630" s="32">
        <v>45850.254374999997</v>
      </c>
      <c r="D1630" s="53">
        <f>YEAR(Table1[[#This Row],[Order Date]])</f>
        <v>2025</v>
      </c>
      <c r="E1630" s="2" t="s">
        <v>615</v>
      </c>
      <c r="F1630" s="2" t="s">
        <v>92</v>
      </c>
      <c r="G1630" s="2" t="s">
        <v>250</v>
      </c>
      <c r="H1630" s="23">
        <v>18000</v>
      </c>
      <c r="I1630" s="2">
        <v>4</v>
      </c>
      <c r="J1630" s="31">
        <v>15</v>
      </c>
      <c r="K1630" s="7">
        <f t="shared" si="100"/>
        <v>72000</v>
      </c>
      <c r="L1630" s="7">
        <f t="shared" si="101"/>
        <v>10800</v>
      </c>
      <c r="M1630" s="7">
        <f t="shared" si="102"/>
        <v>61200</v>
      </c>
      <c r="N1630" s="23">
        <v>30000</v>
      </c>
      <c r="O1630" s="7">
        <f t="shared" si="103"/>
        <v>91200</v>
      </c>
      <c r="P1630" s="2" t="s">
        <v>35</v>
      </c>
      <c r="Q1630" t="str">
        <f>_xlfn.XLOOKUP(B1630,Status!$A$2:$A$1867,Status!$B$2:$B$1867)</f>
        <v>Completed</v>
      </c>
      <c r="R1630" s="2" t="s">
        <v>82</v>
      </c>
      <c r="S1630" s="8">
        <v>4</v>
      </c>
      <c r="T1630" s="2" t="s">
        <v>24</v>
      </c>
      <c r="U1630" s="31" t="str" cm="1">
        <f t="array" ref="U1630">_xlfn.IFS(L1630&lt;=5000,$Z$3,AND(L1630&gt;5000,L1630&lt;=15000),$Z$4,AND(L1630&gt;15000,L1630&lt;=30000),$Z$5,AND(L1630&gt;30000,L1630&lt;=50000),$Z$6,L1630&gt;50000,$Z$7)</f>
        <v>Rendah</v>
      </c>
      <c r="V1630" s="2"/>
    </row>
    <row r="1631" spans="1:22" ht="15.75" customHeight="1" x14ac:dyDescent="0.25">
      <c r="A1631" s="26"/>
      <c r="B1631" s="2" t="s">
        <v>2001</v>
      </c>
      <c r="C1631" s="32">
        <v>45850.999803240738</v>
      </c>
      <c r="D1631" s="53">
        <f>YEAR(Table1[[#This Row],[Order Date]])</f>
        <v>2025</v>
      </c>
      <c r="E1631" s="2" t="s">
        <v>56</v>
      </c>
      <c r="F1631" s="2" t="s">
        <v>57</v>
      </c>
      <c r="G1631" s="2" t="s">
        <v>104</v>
      </c>
      <c r="H1631" s="23">
        <v>30000</v>
      </c>
      <c r="I1631" s="2">
        <v>2</v>
      </c>
      <c r="J1631" s="31">
        <v>15</v>
      </c>
      <c r="K1631" s="7">
        <f t="shared" si="100"/>
        <v>60000</v>
      </c>
      <c r="L1631" s="7">
        <f t="shared" si="101"/>
        <v>9000</v>
      </c>
      <c r="M1631" s="7">
        <f t="shared" si="102"/>
        <v>51000</v>
      </c>
      <c r="N1631" s="23">
        <v>80000</v>
      </c>
      <c r="O1631" s="7">
        <f t="shared" si="103"/>
        <v>131000</v>
      </c>
      <c r="P1631" s="2" t="s">
        <v>63</v>
      </c>
      <c r="Q1631" t="str">
        <f>_xlfn.XLOOKUP(B1631,Status!$A$2:$A$1867,Status!$B$2:$B$1867)</f>
        <v>Completed</v>
      </c>
      <c r="R1631" s="2" t="s">
        <v>46</v>
      </c>
      <c r="S1631" s="8">
        <v>4</v>
      </c>
      <c r="T1631" s="2" t="s">
        <v>24</v>
      </c>
      <c r="U1631" s="31" t="str" cm="1">
        <f t="array" ref="U1631">_xlfn.IFS(L1631&lt;=5000,$Z$3,AND(L1631&gt;5000,L1631&lt;=15000),$Z$4,AND(L1631&gt;15000,L1631&lt;=30000),$Z$5,AND(L1631&gt;30000,L1631&lt;=50000),$Z$6,L1631&gt;50000,$Z$7)</f>
        <v>Rendah</v>
      </c>
      <c r="V1631" s="2"/>
    </row>
    <row r="1632" spans="1:22" ht="15.75" customHeight="1" x14ac:dyDescent="0.25">
      <c r="A1632" s="26"/>
      <c r="B1632" s="2" t="s">
        <v>2002</v>
      </c>
      <c r="C1632" s="32">
        <v>45851.378194444442</v>
      </c>
      <c r="D1632" s="53">
        <f>YEAR(Table1[[#This Row],[Order Date]])</f>
        <v>2025</v>
      </c>
      <c r="E1632" s="2" t="s">
        <v>758</v>
      </c>
      <c r="F1632" s="2" t="s">
        <v>238</v>
      </c>
      <c r="G1632" s="2" t="s">
        <v>67</v>
      </c>
      <c r="H1632" s="23">
        <v>15000</v>
      </c>
      <c r="I1632" s="2">
        <v>4</v>
      </c>
      <c r="J1632" s="31">
        <v>5</v>
      </c>
      <c r="K1632" s="7">
        <f t="shared" si="100"/>
        <v>60000</v>
      </c>
      <c r="L1632" s="7">
        <f t="shared" si="101"/>
        <v>3000</v>
      </c>
      <c r="M1632" s="7">
        <f t="shared" si="102"/>
        <v>57000</v>
      </c>
      <c r="N1632" s="23">
        <v>28000</v>
      </c>
      <c r="O1632" s="7">
        <f t="shared" si="103"/>
        <v>85000</v>
      </c>
      <c r="P1632" s="2" t="s">
        <v>35</v>
      </c>
      <c r="Q1632" t="str">
        <f>_xlfn.XLOOKUP(B1632,Status!$A$2:$A$1867,Status!$B$2:$B$1867)</f>
        <v>Completed</v>
      </c>
      <c r="R1632" s="2" t="s">
        <v>46</v>
      </c>
      <c r="S1632" s="8">
        <v>2</v>
      </c>
      <c r="T1632" s="2" t="s">
        <v>24</v>
      </c>
      <c r="U1632" s="31" t="str" cm="1">
        <f t="array" ref="U1632">_xlfn.IFS(L1632&lt;=5000,$Z$3,AND(L1632&gt;5000,L1632&lt;=15000),$Z$4,AND(L1632&gt;15000,L1632&lt;=30000),$Z$5,AND(L1632&gt;30000,L1632&lt;=50000),$Z$6,L1632&gt;50000,$Z$7)</f>
        <v>Sangat Rendah</v>
      </c>
      <c r="V1632" s="2"/>
    </row>
    <row r="1633" spans="1:22" ht="15.75" customHeight="1" x14ac:dyDescent="0.25">
      <c r="A1633" s="26"/>
      <c r="B1633" s="2" t="s">
        <v>2003</v>
      </c>
      <c r="C1633" s="32">
        <v>45851.78570601852</v>
      </c>
      <c r="D1633" s="53">
        <f>YEAR(Table1[[#This Row],[Order Date]])</f>
        <v>2025</v>
      </c>
      <c r="E1633" s="2" t="s">
        <v>256</v>
      </c>
      <c r="F1633" s="2" t="s">
        <v>107</v>
      </c>
      <c r="G1633" s="2" t="s">
        <v>45</v>
      </c>
      <c r="H1633" s="23">
        <v>40000</v>
      </c>
      <c r="I1633" s="2">
        <v>5</v>
      </c>
      <c r="J1633" s="31">
        <v>5</v>
      </c>
      <c r="K1633" s="7">
        <f t="shared" si="100"/>
        <v>200000</v>
      </c>
      <c r="L1633" s="7">
        <f t="shared" si="101"/>
        <v>10000</v>
      </c>
      <c r="M1633" s="7">
        <f t="shared" si="102"/>
        <v>190000</v>
      </c>
      <c r="N1633" s="23">
        <v>97000</v>
      </c>
      <c r="O1633" s="7">
        <f t="shared" si="103"/>
        <v>287000</v>
      </c>
      <c r="P1633" s="2" t="s">
        <v>63</v>
      </c>
      <c r="Q1633" t="str">
        <f>_xlfn.XLOOKUP(B1633,Status!$A$2:$A$1867,Status!$B$2:$B$1867)</f>
        <v>Completed</v>
      </c>
      <c r="R1633" s="2" t="s">
        <v>30</v>
      </c>
      <c r="S1633" s="8">
        <v>5</v>
      </c>
      <c r="T1633" s="2" t="s">
        <v>24</v>
      </c>
      <c r="U1633" s="31" t="str" cm="1">
        <f t="array" ref="U1633">_xlfn.IFS(L1633&lt;=5000,$Z$3,AND(L1633&gt;5000,L1633&lt;=15000),$Z$4,AND(L1633&gt;15000,L1633&lt;=30000),$Z$5,AND(L1633&gt;30000,L1633&lt;=50000),$Z$6,L1633&gt;50000,$Z$7)</f>
        <v>Rendah</v>
      </c>
      <c r="V1633" s="2"/>
    </row>
    <row r="1634" spans="1:22" ht="15.75" customHeight="1" x14ac:dyDescent="0.25">
      <c r="A1634" s="26"/>
      <c r="B1634" s="2" t="s">
        <v>2004</v>
      </c>
      <c r="C1634" s="32">
        <v>45851.9140625</v>
      </c>
      <c r="D1634" s="53">
        <f>YEAR(Table1[[#This Row],[Order Date]])</f>
        <v>2025</v>
      </c>
      <c r="E1634" s="2" t="s">
        <v>690</v>
      </c>
      <c r="F1634" s="2" t="s">
        <v>173</v>
      </c>
      <c r="G1634" s="2" t="s">
        <v>41</v>
      </c>
      <c r="H1634" s="23">
        <v>4000</v>
      </c>
      <c r="I1634" s="2">
        <v>3</v>
      </c>
      <c r="J1634" s="31">
        <v>15</v>
      </c>
      <c r="K1634" s="7">
        <f t="shared" si="100"/>
        <v>12000</v>
      </c>
      <c r="L1634" s="7">
        <f t="shared" si="101"/>
        <v>1800</v>
      </c>
      <c r="M1634" s="7">
        <f t="shared" si="102"/>
        <v>10200</v>
      </c>
      <c r="N1634" s="23">
        <v>49000</v>
      </c>
      <c r="O1634" s="7">
        <f t="shared" si="103"/>
        <v>59200</v>
      </c>
      <c r="P1634" s="2" t="s">
        <v>29</v>
      </c>
      <c r="Q1634" t="str">
        <f>_xlfn.XLOOKUP(B1634,Status!$A$2:$A$1867,Status!$B$2:$B$1867)</f>
        <v>Completed</v>
      </c>
      <c r="R1634" s="2" t="s">
        <v>36</v>
      </c>
      <c r="S1634" s="8">
        <v>1</v>
      </c>
      <c r="T1634" s="2" t="s">
        <v>37</v>
      </c>
      <c r="U1634" s="31" t="str" cm="1">
        <f t="array" ref="U1634">_xlfn.IFS(L1634&lt;=5000,$Z$3,AND(L1634&gt;5000,L1634&lt;=15000),$Z$4,AND(L1634&gt;15000,L1634&lt;=30000),$Z$5,AND(L1634&gt;30000,L1634&lt;=50000),$Z$6,L1634&gt;50000,$Z$7)</f>
        <v>Sangat Rendah</v>
      </c>
      <c r="V1634" s="2"/>
    </row>
    <row r="1635" spans="1:22" ht="15.75" customHeight="1" x14ac:dyDescent="0.25">
      <c r="A1635" s="26"/>
      <c r="B1635" s="2" t="s">
        <v>2005</v>
      </c>
      <c r="C1635" s="32">
        <v>45851.981817129628</v>
      </c>
      <c r="D1635" s="53">
        <f>YEAR(Table1[[#This Row],[Order Date]])</f>
        <v>2025</v>
      </c>
      <c r="E1635" s="2" t="s">
        <v>150</v>
      </c>
      <c r="F1635" s="2" t="s">
        <v>151</v>
      </c>
      <c r="G1635" s="2" t="s">
        <v>45</v>
      </c>
      <c r="H1635" s="23">
        <v>40000</v>
      </c>
      <c r="I1635" s="2">
        <v>3</v>
      </c>
      <c r="J1635" s="31">
        <v>10</v>
      </c>
      <c r="K1635" s="7">
        <f t="shared" si="100"/>
        <v>120000</v>
      </c>
      <c r="L1635" s="7">
        <f t="shared" si="101"/>
        <v>12000</v>
      </c>
      <c r="M1635" s="7">
        <f t="shared" si="102"/>
        <v>108000</v>
      </c>
      <c r="N1635" s="23">
        <v>55000</v>
      </c>
      <c r="O1635" s="7">
        <f t="shared" si="103"/>
        <v>163000</v>
      </c>
      <c r="P1635" s="2" t="s">
        <v>35</v>
      </c>
      <c r="Q1635" t="str">
        <f>_xlfn.XLOOKUP(B1635,Status!$A$2:$A$1867,Status!$B$2:$B$1867)</f>
        <v>Completed</v>
      </c>
      <c r="R1635" s="2" t="s">
        <v>23</v>
      </c>
      <c r="S1635" s="8">
        <v>2</v>
      </c>
      <c r="T1635" s="2" t="s">
        <v>37</v>
      </c>
      <c r="U1635" s="31" t="str" cm="1">
        <f t="array" ref="U1635">_xlfn.IFS(L1635&lt;=5000,$Z$3,AND(L1635&gt;5000,L1635&lt;=15000),$Z$4,AND(L1635&gt;15000,L1635&lt;=30000),$Z$5,AND(L1635&gt;30000,L1635&lt;=50000),$Z$6,L1635&gt;50000,$Z$7)</f>
        <v>Rendah</v>
      </c>
      <c r="V1635" s="2"/>
    </row>
    <row r="1636" spans="1:22" ht="15.75" customHeight="1" x14ac:dyDescent="0.25">
      <c r="A1636" s="26"/>
      <c r="B1636" s="2" t="s">
        <v>2006</v>
      </c>
      <c r="C1636" s="32">
        <v>45852.000694444447</v>
      </c>
      <c r="D1636" s="53">
        <f>YEAR(Table1[[#This Row],[Order Date]])</f>
        <v>2025</v>
      </c>
      <c r="E1636" s="2" t="s">
        <v>256</v>
      </c>
      <c r="F1636" s="2" t="s">
        <v>107</v>
      </c>
      <c r="G1636" s="2" t="s">
        <v>144</v>
      </c>
      <c r="H1636" s="23">
        <v>18000</v>
      </c>
      <c r="I1636" s="2">
        <v>5</v>
      </c>
      <c r="J1636" s="31">
        <v>5</v>
      </c>
      <c r="K1636" s="7">
        <f t="shared" si="100"/>
        <v>90000</v>
      </c>
      <c r="L1636" s="7">
        <f t="shared" si="101"/>
        <v>4500</v>
      </c>
      <c r="M1636" s="7">
        <f t="shared" si="102"/>
        <v>85500</v>
      </c>
      <c r="N1636" s="23">
        <v>97000</v>
      </c>
      <c r="O1636" s="7">
        <f t="shared" si="103"/>
        <v>182500</v>
      </c>
      <c r="P1636" s="2" t="s">
        <v>29</v>
      </c>
      <c r="Q1636" t="str">
        <f>_xlfn.XLOOKUP(B1636,Status!$A$2:$A$1867,Status!$B$2:$B$1867)</f>
        <v>Completed</v>
      </c>
      <c r="R1636" s="2" t="s">
        <v>46</v>
      </c>
      <c r="S1636" s="8">
        <v>2</v>
      </c>
      <c r="T1636" s="2" t="s">
        <v>24</v>
      </c>
      <c r="U1636" s="31" t="str" cm="1">
        <f t="array" ref="U1636">_xlfn.IFS(L1636&lt;=5000,$Z$3,AND(L1636&gt;5000,L1636&lt;=15000),$Z$4,AND(L1636&gt;15000,L1636&lt;=30000),$Z$5,AND(L1636&gt;30000,L1636&lt;=50000),$Z$6,L1636&gt;50000,$Z$7)</f>
        <v>Sangat Rendah</v>
      </c>
      <c r="V1636" s="2"/>
    </row>
    <row r="1637" spans="1:22" ht="15.75" customHeight="1" x14ac:dyDescent="0.25">
      <c r="A1637" s="26"/>
      <c r="B1637" s="2" t="s">
        <v>2007</v>
      </c>
      <c r="C1637" s="32">
        <v>45852.398240740738</v>
      </c>
      <c r="D1637" s="53">
        <f>YEAR(Table1[[#This Row],[Order Date]])</f>
        <v>2025</v>
      </c>
      <c r="E1637" s="2" t="s">
        <v>419</v>
      </c>
      <c r="F1637" s="2" t="s">
        <v>103</v>
      </c>
      <c r="G1637" s="2" t="s">
        <v>21</v>
      </c>
      <c r="H1637" s="23">
        <v>45000</v>
      </c>
      <c r="I1637" s="2">
        <v>5</v>
      </c>
      <c r="J1637" s="31">
        <v>5</v>
      </c>
      <c r="K1637" s="7">
        <f t="shared" si="100"/>
        <v>225000</v>
      </c>
      <c r="L1637" s="7">
        <f t="shared" si="101"/>
        <v>11250</v>
      </c>
      <c r="M1637" s="7">
        <f t="shared" si="102"/>
        <v>213750</v>
      </c>
      <c r="N1637" s="23">
        <v>85000</v>
      </c>
      <c r="O1637" s="7">
        <f t="shared" si="103"/>
        <v>298750</v>
      </c>
      <c r="P1637" s="2" t="s">
        <v>29</v>
      </c>
      <c r="Q1637" t="str">
        <f>_xlfn.XLOOKUP(B1637,Status!$A$2:$A$1867,Status!$B$2:$B$1867)</f>
        <v>Completed</v>
      </c>
      <c r="R1637" s="2" t="s">
        <v>36</v>
      </c>
      <c r="S1637" s="8">
        <v>3</v>
      </c>
      <c r="T1637" s="2" t="s">
        <v>37</v>
      </c>
      <c r="U1637" s="31" t="str" cm="1">
        <f t="array" ref="U1637">_xlfn.IFS(L1637&lt;=5000,$Z$3,AND(L1637&gt;5000,L1637&lt;=15000),$Z$4,AND(L1637&gt;15000,L1637&lt;=30000),$Z$5,AND(L1637&gt;30000,L1637&lt;=50000),$Z$6,L1637&gt;50000,$Z$7)</f>
        <v>Rendah</v>
      </c>
      <c r="V1637" s="2"/>
    </row>
    <row r="1638" spans="1:22" ht="15.75" customHeight="1" x14ac:dyDescent="0.25">
      <c r="A1638" s="26"/>
      <c r="B1638" s="2" t="s">
        <v>2008</v>
      </c>
      <c r="C1638" s="32">
        <v>45852.491527777784</v>
      </c>
      <c r="D1638" s="53">
        <f>YEAR(Table1[[#This Row],[Order Date]])</f>
        <v>2025</v>
      </c>
      <c r="E1638" s="2" t="s">
        <v>2009</v>
      </c>
      <c r="F1638" s="2" t="s">
        <v>49</v>
      </c>
      <c r="G1638" s="2" t="s">
        <v>38</v>
      </c>
      <c r="H1638" s="23">
        <v>28000</v>
      </c>
      <c r="I1638" s="2">
        <v>2</v>
      </c>
      <c r="J1638" s="31">
        <v>15</v>
      </c>
      <c r="K1638" s="7">
        <f t="shared" si="100"/>
        <v>56000</v>
      </c>
      <c r="L1638" s="7">
        <f t="shared" si="101"/>
        <v>8400</v>
      </c>
      <c r="M1638" s="7">
        <f t="shared" si="102"/>
        <v>47600</v>
      </c>
      <c r="N1638" s="23">
        <v>43000</v>
      </c>
      <c r="O1638" s="7">
        <f t="shared" si="103"/>
        <v>90600</v>
      </c>
      <c r="P1638" s="2" t="s">
        <v>29</v>
      </c>
      <c r="Q1638" t="str">
        <f>_xlfn.XLOOKUP(B1638,Status!$A$2:$A$1867,Status!$B$2:$B$1867)</f>
        <v>Completed</v>
      </c>
      <c r="R1638" s="2" t="s">
        <v>23</v>
      </c>
      <c r="S1638" s="8">
        <v>5</v>
      </c>
      <c r="T1638" s="2" t="s">
        <v>24</v>
      </c>
      <c r="U1638" s="31" t="str" cm="1">
        <f t="array" ref="U1638">_xlfn.IFS(L1638&lt;=5000,$Z$3,AND(L1638&gt;5000,L1638&lt;=15000),$Z$4,AND(L1638&gt;15000,L1638&lt;=30000),$Z$5,AND(L1638&gt;30000,L1638&lt;=50000),$Z$6,L1638&gt;50000,$Z$7)</f>
        <v>Rendah</v>
      </c>
      <c r="V1638" s="2"/>
    </row>
    <row r="1639" spans="1:22" ht="15.75" customHeight="1" x14ac:dyDescent="0.25">
      <c r="A1639" s="26"/>
      <c r="B1639" s="2" t="s">
        <v>2010</v>
      </c>
      <c r="C1639" s="32">
        <v>45852.729560185187</v>
      </c>
      <c r="D1639" s="53">
        <f>YEAR(Table1[[#This Row],[Order Date]])</f>
        <v>2025</v>
      </c>
      <c r="E1639" s="2" t="s">
        <v>155</v>
      </c>
      <c r="F1639" s="2" t="s">
        <v>92</v>
      </c>
      <c r="G1639" s="2" t="s">
        <v>41</v>
      </c>
      <c r="H1639" s="23">
        <v>4000</v>
      </c>
      <c r="I1639" s="2">
        <v>3</v>
      </c>
      <c r="J1639" s="31">
        <v>5</v>
      </c>
      <c r="K1639" s="7">
        <f t="shared" si="100"/>
        <v>12000</v>
      </c>
      <c r="L1639" s="7">
        <f t="shared" si="101"/>
        <v>600</v>
      </c>
      <c r="M1639" s="7">
        <f t="shared" si="102"/>
        <v>11400</v>
      </c>
      <c r="N1639" s="23">
        <v>30000</v>
      </c>
      <c r="O1639" s="7">
        <f t="shared" si="103"/>
        <v>41400</v>
      </c>
      <c r="P1639" s="2" t="s">
        <v>22</v>
      </c>
      <c r="Q1639" t="str">
        <f>_xlfn.XLOOKUP(B1639,Status!$A$2:$A$1867,Status!$B$2:$B$1867)</f>
        <v>Completed</v>
      </c>
      <c r="R1639" s="2" t="s">
        <v>46</v>
      </c>
      <c r="S1639" s="8">
        <v>5</v>
      </c>
      <c r="T1639" s="2" t="s">
        <v>24</v>
      </c>
      <c r="U1639" s="31" t="str" cm="1">
        <f t="array" ref="U1639">_xlfn.IFS(L1639&lt;=5000,$Z$3,AND(L1639&gt;5000,L1639&lt;=15000),$Z$4,AND(L1639&gt;15000,L1639&lt;=30000),$Z$5,AND(L1639&gt;30000,L1639&lt;=50000),$Z$6,L1639&gt;50000,$Z$7)</f>
        <v>Sangat Rendah</v>
      </c>
      <c r="V1639" s="2"/>
    </row>
    <row r="1640" spans="1:22" ht="15.75" customHeight="1" x14ac:dyDescent="0.25">
      <c r="A1640" s="26"/>
      <c r="B1640" s="2" t="s">
        <v>2011</v>
      </c>
      <c r="C1640" s="32">
        <v>45853.031782407408</v>
      </c>
      <c r="D1640" s="53">
        <f>YEAR(Table1[[#This Row],[Order Date]])</f>
        <v>2025</v>
      </c>
      <c r="E1640" s="2" t="s">
        <v>140</v>
      </c>
      <c r="F1640" s="2" t="s">
        <v>92</v>
      </c>
      <c r="G1640" s="2" t="s">
        <v>62</v>
      </c>
      <c r="H1640" s="23">
        <v>50000</v>
      </c>
      <c r="I1640" s="2">
        <v>5</v>
      </c>
      <c r="J1640" s="31">
        <v>10</v>
      </c>
      <c r="K1640" s="7">
        <f t="shared" si="100"/>
        <v>250000</v>
      </c>
      <c r="L1640" s="7">
        <f t="shared" si="101"/>
        <v>25000</v>
      </c>
      <c r="M1640" s="7">
        <f t="shared" si="102"/>
        <v>225000</v>
      </c>
      <c r="N1640" s="23">
        <v>30000</v>
      </c>
      <c r="O1640" s="7">
        <f t="shared" si="103"/>
        <v>255000</v>
      </c>
      <c r="P1640" s="2" t="s">
        <v>22</v>
      </c>
      <c r="Q1640" t="str">
        <f>_xlfn.XLOOKUP(B1640,Status!$A$2:$A$1867,Status!$B$2:$B$1867)</f>
        <v>Returned</v>
      </c>
      <c r="R1640" s="2" t="s">
        <v>30</v>
      </c>
      <c r="S1640" s="8">
        <v>5</v>
      </c>
      <c r="T1640" s="2" t="s">
        <v>24</v>
      </c>
      <c r="U1640" s="31" t="str" cm="1">
        <f t="array" ref="U1640">_xlfn.IFS(L1640&lt;=5000,$Z$3,AND(L1640&gt;5000,L1640&lt;=15000),$Z$4,AND(L1640&gt;15000,L1640&lt;=30000),$Z$5,AND(L1640&gt;30000,L1640&lt;=50000),$Z$6,L1640&gt;50000,$Z$7)</f>
        <v>Normal</v>
      </c>
      <c r="V1640" s="2"/>
    </row>
    <row r="1641" spans="1:22" ht="15.75" customHeight="1" x14ac:dyDescent="0.25">
      <c r="A1641" s="26"/>
      <c r="B1641" s="2" t="s">
        <v>2012</v>
      </c>
      <c r="C1641" s="32">
        <v>45853.048391203702</v>
      </c>
      <c r="D1641" s="53">
        <f>YEAR(Table1[[#This Row],[Order Date]])</f>
        <v>2025</v>
      </c>
      <c r="E1641" s="2" t="s">
        <v>142</v>
      </c>
      <c r="F1641" s="2" t="s">
        <v>143</v>
      </c>
      <c r="G1641" s="2" t="s">
        <v>41</v>
      </c>
      <c r="H1641" s="23">
        <v>4000</v>
      </c>
      <c r="I1641" s="2">
        <v>1</v>
      </c>
      <c r="J1641" s="31">
        <v>20</v>
      </c>
      <c r="K1641" s="7">
        <f t="shared" si="100"/>
        <v>4000</v>
      </c>
      <c r="L1641" s="7">
        <f t="shared" si="101"/>
        <v>800</v>
      </c>
      <c r="M1641" s="7">
        <f t="shared" si="102"/>
        <v>3200</v>
      </c>
      <c r="N1641" s="23">
        <v>50000</v>
      </c>
      <c r="O1641" s="7">
        <f t="shared" si="103"/>
        <v>53200</v>
      </c>
      <c r="P1641" s="2" t="s">
        <v>29</v>
      </c>
      <c r="Q1641" t="str">
        <f>_xlfn.XLOOKUP(B1641,Status!$A$2:$A$1867,Status!$B$2:$B$1867)</f>
        <v>Completed</v>
      </c>
      <c r="R1641" s="2" t="s">
        <v>46</v>
      </c>
      <c r="S1641" s="8">
        <v>3</v>
      </c>
      <c r="T1641" s="2" t="s">
        <v>24</v>
      </c>
      <c r="U1641" s="31" t="str" cm="1">
        <f t="array" ref="U1641">_xlfn.IFS(L1641&lt;=5000,$Z$3,AND(L1641&gt;5000,L1641&lt;=15000),$Z$4,AND(L1641&gt;15000,L1641&lt;=30000),$Z$5,AND(L1641&gt;30000,L1641&lt;=50000),$Z$6,L1641&gt;50000,$Z$7)</f>
        <v>Sangat Rendah</v>
      </c>
      <c r="V1641" s="2"/>
    </row>
    <row r="1642" spans="1:22" ht="15.75" customHeight="1" x14ac:dyDescent="0.25">
      <c r="A1642" s="26"/>
      <c r="B1642" s="2" t="s">
        <v>2013</v>
      </c>
      <c r="C1642" s="32">
        <v>45853.05872685185</v>
      </c>
      <c r="D1642" s="53">
        <f>YEAR(Table1[[#This Row],[Order Date]])</f>
        <v>2025</v>
      </c>
      <c r="E1642" s="2" t="s">
        <v>150</v>
      </c>
      <c r="F1642" s="2" t="s">
        <v>151</v>
      </c>
      <c r="G1642" s="2" t="s">
        <v>81</v>
      </c>
      <c r="H1642" s="23">
        <v>17000</v>
      </c>
      <c r="I1642" s="2">
        <v>3</v>
      </c>
      <c r="J1642" s="31">
        <v>5</v>
      </c>
      <c r="K1642" s="7">
        <f t="shared" si="100"/>
        <v>51000</v>
      </c>
      <c r="L1642" s="7">
        <f t="shared" si="101"/>
        <v>2550</v>
      </c>
      <c r="M1642" s="7">
        <f t="shared" si="102"/>
        <v>48450</v>
      </c>
      <c r="N1642" s="23">
        <v>55000</v>
      </c>
      <c r="O1642" s="7">
        <f t="shared" si="103"/>
        <v>103450</v>
      </c>
      <c r="P1642" s="2" t="s">
        <v>35</v>
      </c>
      <c r="Q1642" t="str">
        <f>_xlfn.XLOOKUP(B1642,Status!$A$2:$A$1867,Status!$B$2:$B$1867)</f>
        <v>Completed</v>
      </c>
      <c r="R1642" s="2" t="s">
        <v>36</v>
      </c>
      <c r="S1642" s="8">
        <v>1</v>
      </c>
      <c r="T1642" s="2" t="s">
        <v>37</v>
      </c>
      <c r="U1642" s="31" t="str" cm="1">
        <f t="array" ref="U1642">_xlfn.IFS(L1642&lt;=5000,$Z$3,AND(L1642&gt;5000,L1642&lt;=15000),$Z$4,AND(L1642&gt;15000,L1642&lt;=30000),$Z$5,AND(L1642&gt;30000,L1642&lt;=50000),$Z$6,L1642&gt;50000,$Z$7)</f>
        <v>Sangat Rendah</v>
      </c>
      <c r="V1642" s="2"/>
    </row>
    <row r="1643" spans="1:22" ht="15.75" customHeight="1" x14ac:dyDescent="0.25">
      <c r="A1643" s="26"/>
      <c r="B1643" s="2" t="s">
        <v>2014</v>
      </c>
      <c r="C1643" s="32">
        <v>45853.121249999997</v>
      </c>
      <c r="D1643" s="53">
        <f>YEAR(Table1[[#This Row],[Order Date]])</f>
        <v>2025</v>
      </c>
      <c r="E1643" s="2" t="s">
        <v>656</v>
      </c>
      <c r="F1643" s="2" t="s">
        <v>195</v>
      </c>
      <c r="G1643" s="2" t="s">
        <v>144</v>
      </c>
      <c r="H1643" s="23">
        <v>18000</v>
      </c>
      <c r="I1643" s="2">
        <v>5</v>
      </c>
      <c r="J1643" s="31">
        <v>5</v>
      </c>
      <c r="K1643" s="7">
        <f t="shared" si="100"/>
        <v>90000</v>
      </c>
      <c r="L1643" s="7">
        <f t="shared" si="101"/>
        <v>4500</v>
      </c>
      <c r="M1643" s="7">
        <f t="shared" si="102"/>
        <v>85500</v>
      </c>
      <c r="N1643" s="23">
        <v>87000</v>
      </c>
      <c r="O1643" s="7">
        <f t="shared" si="103"/>
        <v>172500</v>
      </c>
      <c r="P1643" s="2" t="s">
        <v>63</v>
      </c>
      <c r="Q1643" t="str">
        <f>_xlfn.XLOOKUP(B1643,Status!$A$2:$A$1867,Status!$B$2:$B$1867)</f>
        <v>Completed</v>
      </c>
      <c r="R1643" s="2" t="s">
        <v>82</v>
      </c>
      <c r="S1643" s="8">
        <v>5</v>
      </c>
      <c r="T1643" s="2" t="s">
        <v>37</v>
      </c>
      <c r="U1643" s="31" t="str" cm="1">
        <f t="array" ref="U1643">_xlfn.IFS(L1643&lt;=5000,$Z$3,AND(L1643&gt;5000,L1643&lt;=15000),$Z$4,AND(L1643&gt;15000,L1643&lt;=30000),$Z$5,AND(L1643&gt;30000,L1643&lt;=50000),$Z$6,L1643&gt;50000,$Z$7)</f>
        <v>Sangat Rendah</v>
      </c>
      <c r="V1643" s="2"/>
    </row>
    <row r="1644" spans="1:22" ht="15.75" customHeight="1" x14ac:dyDescent="0.25">
      <c r="A1644" s="26"/>
      <c r="B1644" s="2" t="s">
        <v>2015</v>
      </c>
      <c r="C1644" s="32">
        <v>45853.188425925917</v>
      </c>
      <c r="D1644" s="53">
        <f>YEAR(Table1[[#This Row],[Order Date]])</f>
        <v>2025</v>
      </c>
      <c r="E1644" s="2" t="s">
        <v>918</v>
      </c>
      <c r="F1644" s="2" t="s">
        <v>296</v>
      </c>
      <c r="G1644" s="2" t="s">
        <v>67</v>
      </c>
      <c r="H1644" s="23">
        <v>15000</v>
      </c>
      <c r="I1644" s="2">
        <v>2</v>
      </c>
      <c r="J1644" s="31">
        <v>5</v>
      </c>
      <c r="K1644" s="7">
        <f t="shared" si="100"/>
        <v>30000</v>
      </c>
      <c r="L1644" s="7">
        <f t="shared" si="101"/>
        <v>1500</v>
      </c>
      <c r="M1644" s="7">
        <f t="shared" si="102"/>
        <v>28500</v>
      </c>
      <c r="N1644" s="23">
        <v>79000</v>
      </c>
      <c r="O1644" s="7">
        <f t="shared" si="103"/>
        <v>107500</v>
      </c>
      <c r="P1644" s="2" t="s">
        <v>22</v>
      </c>
      <c r="Q1644" t="str">
        <f>_xlfn.XLOOKUP(B1644,Status!$A$2:$A$1867,Status!$B$2:$B$1867)</f>
        <v>Completed</v>
      </c>
      <c r="R1644" s="2" t="s">
        <v>36</v>
      </c>
      <c r="S1644" s="8">
        <v>5</v>
      </c>
      <c r="T1644" s="2" t="s">
        <v>24</v>
      </c>
      <c r="U1644" s="31" t="str" cm="1">
        <f t="array" ref="U1644">_xlfn.IFS(L1644&lt;=5000,$Z$3,AND(L1644&gt;5000,L1644&lt;=15000),$Z$4,AND(L1644&gt;15000,L1644&lt;=30000),$Z$5,AND(L1644&gt;30000,L1644&lt;=50000),$Z$6,L1644&gt;50000,$Z$7)</f>
        <v>Sangat Rendah</v>
      </c>
      <c r="V1644" s="2"/>
    </row>
    <row r="1645" spans="1:22" ht="15.75" customHeight="1" x14ac:dyDescent="0.25">
      <c r="A1645" s="26"/>
      <c r="B1645" s="2" t="s">
        <v>2016</v>
      </c>
      <c r="C1645" s="32">
        <v>45853.313946759263</v>
      </c>
      <c r="D1645" s="53">
        <f>YEAR(Table1[[#This Row],[Order Date]])</f>
        <v>2025</v>
      </c>
      <c r="E1645" s="2" t="s">
        <v>557</v>
      </c>
      <c r="F1645" s="2" t="s">
        <v>173</v>
      </c>
      <c r="G1645" s="2" t="s">
        <v>67</v>
      </c>
      <c r="H1645" s="23">
        <v>15000</v>
      </c>
      <c r="I1645" s="2">
        <v>2</v>
      </c>
      <c r="J1645" s="31">
        <v>20</v>
      </c>
      <c r="K1645" s="7">
        <f t="shared" si="100"/>
        <v>30000</v>
      </c>
      <c r="L1645" s="7">
        <f t="shared" si="101"/>
        <v>6000</v>
      </c>
      <c r="M1645" s="7">
        <f t="shared" si="102"/>
        <v>24000</v>
      </c>
      <c r="N1645" s="23">
        <v>49000</v>
      </c>
      <c r="O1645" s="7">
        <f t="shared" si="103"/>
        <v>73000</v>
      </c>
      <c r="P1645" s="2" t="s">
        <v>35</v>
      </c>
      <c r="Q1645" t="str">
        <f>_xlfn.XLOOKUP(B1645,Status!$A$2:$A$1867,Status!$B$2:$B$1867)</f>
        <v>Completed</v>
      </c>
      <c r="R1645" s="2" t="s">
        <v>46</v>
      </c>
      <c r="S1645" s="8">
        <v>5</v>
      </c>
      <c r="T1645" s="2" t="s">
        <v>24</v>
      </c>
      <c r="U1645" s="31" t="str" cm="1">
        <f t="array" ref="U1645">_xlfn.IFS(L1645&lt;=5000,$Z$3,AND(L1645&gt;5000,L1645&lt;=15000),$Z$4,AND(L1645&gt;15000,L1645&lt;=30000),$Z$5,AND(L1645&gt;30000,L1645&lt;=50000),$Z$6,L1645&gt;50000,$Z$7)</f>
        <v>Rendah</v>
      </c>
      <c r="V1645" s="2"/>
    </row>
    <row r="1646" spans="1:22" ht="15.75" customHeight="1" x14ac:dyDescent="0.25">
      <c r="A1646" s="26"/>
      <c r="B1646" s="2" t="s">
        <v>2017</v>
      </c>
      <c r="C1646" s="32">
        <v>45853.499895833331</v>
      </c>
      <c r="D1646" s="53">
        <f>YEAR(Table1[[#This Row],[Order Date]])</f>
        <v>2025</v>
      </c>
      <c r="E1646" s="2" t="s">
        <v>142</v>
      </c>
      <c r="F1646" s="2" t="s">
        <v>143</v>
      </c>
      <c r="G1646" s="2" t="s">
        <v>28</v>
      </c>
      <c r="H1646" s="23">
        <v>5000</v>
      </c>
      <c r="I1646" s="2">
        <v>1</v>
      </c>
      <c r="J1646" s="31">
        <v>10</v>
      </c>
      <c r="K1646" s="7">
        <f t="shared" si="100"/>
        <v>5000</v>
      </c>
      <c r="L1646" s="7">
        <f t="shared" si="101"/>
        <v>500</v>
      </c>
      <c r="M1646" s="7">
        <f t="shared" si="102"/>
        <v>4500</v>
      </c>
      <c r="N1646" s="23">
        <v>50000</v>
      </c>
      <c r="O1646" s="7">
        <f t="shared" si="103"/>
        <v>54500</v>
      </c>
      <c r="P1646" s="2" t="s">
        <v>35</v>
      </c>
      <c r="Q1646" t="str">
        <f>_xlfn.XLOOKUP(B1646,Status!$A$2:$A$1867,Status!$B$2:$B$1867)</f>
        <v>Returned</v>
      </c>
      <c r="R1646" s="2" t="s">
        <v>82</v>
      </c>
      <c r="S1646" s="8">
        <v>3</v>
      </c>
      <c r="T1646" s="2" t="s">
        <v>24</v>
      </c>
      <c r="U1646" s="31" t="str" cm="1">
        <f t="array" ref="U1646">_xlfn.IFS(L1646&lt;=5000,$Z$3,AND(L1646&gt;5000,L1646&lt;=15000),$Z$4,AND(L1646&gt;15000,L1646&lt;=30000),$Z$5,AND(L1646&gt;30000,L1646&lt;=50000),$Z$6,L1646&gt;50000,$Z$7)</f>
        <v>Sangat Rendah</v>
      </c>
      <c r="V1646" s="2"/>
    </row>
    <row r="1647" spans="1:22" ht="15.75" customHeight="1" x14ac:dyDescent="0.25">
      <c r="A1647" s="26"/>
      <c r="B1647" s="2" t="s">
        <v>2018</v>
      </c>
      <c r="C1647" s="32">
        <v>45853.565960648149</v>
      </c>
      <c r="D1647" s="53">
        <f>YEAR(Table1[[#This Row],[Order Date]])</f>
        <v>2025</v>
      </c>
      <c r="E1647" s="2" t="s">
        <v>784</v>
      </c>
      <c r="F1647" s="2" t="s">
        <v>116</v>
      </c>
      <c r="G1647" s="2" t="s">
        <v>110</v>
      </c>
      <c r="H1647" s="23">
        <v>6000</v>
      </c>
      <c r="I1647" s="2">
        <v>2</v>
      </c>
      <c r="J1647" s="31">
        <v>0</v>
      </c>
      <c r="K1647" s="7">
        <f t="shared" si="100"/>
        <v>12000</v>
      </c>
      <c r="L1647" s="7">
        <f t="shared" si="101"/>
        <v>0</v>
      </c>
      <c r="M1647" s="7">
        <f t="shared" si="102"/>
        <v>12000</v>
      </c>
      <c r="N1647" s="23">
        <v>72000</v>
      </c>
      <c r="O1647" s="7">
        <f t="shared" si="103"/>
        <v>84000</v>
      </c>
      <c r="P1647" s="2" t="s">
        <v>35</v>
      </c>
      <c r="Q1647" t="str">
        <f>_xlfn.XLOOKUP(B1647,Status!$A$2:$A$1867,Status!$B$2:$B$1867)</f>
        <v>Completed</v>
      </c>
      <c r="R1647" s="2" t="s">
        <v>46</v>
      </c>
      <c r="S1647" s="8">
        <v>3</v>
      </c>
      <c r="T1647" s="2" t="s">
        <v>24</v>
      </c>
      <c r="U1647" s="31" t="str" cm="1">
        <f t="array" ref="U1647">_xlfn.IFS(L1647&lt;=5000,$Z$3,AND(L1647&gt;5000,L1647&lt;=15000),$Z$4,AND(L1647&gt;15000,L1647&lt;=30000),$Z$5,AND(L1647&gt;30000,L1647&lt;=50000),$Z$6,L1647&gt;50000,$Z$7)</f>
        <v>Sangat Rendah</v>
      </c>
      <c r="V1647" s="2"/>
    </row>
    <row r="1648" spans="1:22" ht="15.75" customHeight="1" x14ac:dyDescent="0.25">
      <c r="A1648" s="26"/>
      <c r="B1648" s="2" t="s">
        <v>2019</v>
      </c>
      <c r="C1648" s="32">
        <v>45853.582314814812</v>
      </c>
      <c r="D1648" s="53">
        <f>YEAR(Table1[[#This Row],[Order Date]])</f>
        <v>2025</v>
      </c>
      <c r="E1648" s="2" t="s">
        <v>497</v>
      </c>
      <c r="F1648" s="2" t="s">
        <v>173</v>
      </c>
      <c r="G1648" s="2" t="s">
        <v>174</v>
      </c>
      <c r="H1648" s="23">
        <v>10000</v>
      </c>
      <c r="I1648" s="2">
        <v>5</v>
      </c>
      <c r="J1648" s="31">
        <v>0</v>
      </c>
      <c r="K1648" s="7">
        <f t="shared" si="100"/>
        <v>50000</v>
      </c>
      <c r="L1648" s="7">
        <f t="shared" si="101"/>
        <v>0</v>
      </c>
      <c r="M1648" s="7">
        <f t="shared" si="102"/>
        <v>50000</v>
      </c>
      <c r="N1648" s="23">
        <v>49000</v>
      </c>
      <c r="O1648" s="7">
        <f t="shared" si="103"/>
        <v>99000</v>
      </c>
      <c r="P1648" s="2" t="s">
        <v>63</v>
      </c>
      <c r="Q1648" t="str">
        <f>_xlfn.XLOOKUP(B1648,Status!$A$2:$A$1867,Status!$B$2:$B$1867)</f>
        <v>Completed</v>
      </c>
      <c r="R1648" s="2" t="s">
        <v>30</v>
      </c>
      <c r="S1648" s="8">
        <v>1</v>
      </c>
      <c r="T1648" s="2" t="s">
        <v>37</v>
      </c>
      <c r="U1648" s="31" t="str" cm="1">
        <f t="array" ref="U1648">_xlfn.IFS(L1648&lt;=5000,$Z$3,AND(L1648&gt;5000,L1648&lt;=15000),$Z$4,AND(L1648&gt;15000,L1648&lt;=30000),$Z$5,AND(L1648&gt;30000,L1648&lt;=50000),$Z$6,L1648&gt;50000,$Z$7)</f>
        <v>Sangat Rendah</v>
      </c>
      <c r="V1648" s="2"/>
    </row>
    <row r="1649" spans="1:22" ht="15.75" customHeight="1" x14ac:dyDescent="0.25">
      <c r="A1649" s="26"/>
      <c r="B1649" s="2" t="s">
        <v>2020</v>
      </c>
      <c r="C1649" s="32">
        <v>45853.602650462963</v>
      </c>
      <c r="D1649" s="53">
        <f>YEAR(Table1[[#This Row],[Order Date]])</f>
        <v>2025</v>
      </c>
      <c r="E1649" s="2" t="s">
        <v>1073</v>
      </c>
      <c r="F1649" s="2" t="s">
        <v>27</v>
      </c>
      <c r="G1649" s="2" t="s">
        <v>81</v>
      </c>
      <c r="H1649" s="23">
        <v>17000</v>
      </c>
      <c r="I1649" s="2">
        <v>3</v>
      </c>
      <c r="J1649" s="31">
        <v>0</v>
      </c>
      <c r="K1649" s="7">
        <f t="shared" si="100"/>
        <v>51000</v>
      </c>
      <c r="L1649" s="7">
        <f t="shared" si="101"/>
        <v>0</v>
      </c>
      <c r="M1649" s="7">
        <f t="shared" si="102"/>
        <v>51000</v>
      </c>
      <c r="N1649" s="23">
        <v>17000</v>
      </c>
      <c r="O1649" s="7">
        <f t="shared" si="103"/>
        <v>68000</v>
      </c>
      <c r="P1649" s="2" t="s">
        <v>63</v>
      </c>
      <c r="Q1649" t="str">
        <f>_xlfn.XLOOKUP(B1649,Status!$A$2:$A$1867,Status!$B$2:$B$1867)</f>
        <v>Completed</v>
      </c>
      <c r="R1649" s="2" t="s">
        <v>30</v>
      </c>
      <c r="S1649" s="8">
        <v>5</v>
      </c>
      <c r="T1649" s="2" t="s">
        <v>24</v>
      </c>
      <c r="U1649" s="31" t="str" cm="1">
        <f t="array" ref="U1649">_xlfn.IFS(L1649&lt;=5000,$Z$3,AND(L1649&gt;5000,L1649&lt;=15000),$Z$4,AND(L1649&gt;15000,L1649&lt;=30000),$Z$5,AND(L1649&gt;30000,L1649&lt;=50000),$Z$6,L1649&gt;50000,$Z$7)</f>
        <v>Sangat Rendah</v>
      </c>
      <c r="V1649" s="2"/>
    </row>
    <row r="1650" spans="1:22" ht="15.75" customHeight="1" x14ac:dyDescent="0.25">
      <c r="A1650" s="26"/>
      <c r="B1650" s="2" t="s">
        <v>2021</v>
      </c>
      <c r="C1650" s="32">
        <v>45853.613599537042</v>
      </c>
      <c r="D1650" s="53">
        <f>YEAR(Table1[[#This Row],[Order Date]])</f>
        <v>2025</v>
      </c>
      <c r="E1650" s="2" t="s">
        <v>593</v>
      </c>
      <c r="F1650" s="2" t="s">
        <v>195</v>
      </c>
      <c r="G1650" s="2" t="s">
        <v>85</v>
      </c>
      <c r="H1650" s="23">
        <v>35000</v>
      </c>
      <c r="I1650" s="2">
        <v>4</v>
      </c>
      <c r="J1650" s="31">
        <v>0</v>
      </c>
      <c r="K1650" s="7">
        <f t="shared" si="100"/>
        <v>140000</v>
      </c>
      <c r="L1650" s="7">
        <f t="shared" si="101"/>
        <v>0</v>
      </c>
      <c r="M1650" s="7">
        <f t="shared" si="102"/>
        <v>140000</v>
      </c>
      <c r="N1650" s="23">
        <v>87000</v>
      </c>
      <c r="O1650" s="7">
        <f t="shared" si="103"/>
        <v>227000</v>
      </c>
      <c r="P1650" s="2" t="s">
        <v>35</v>
      </c>
      <c r="Q1650" t="str">
        <f>_xlfn.XLOOKUP(B1650,Status!$A$2:$A$1867,Status!$B$2:$B$1867)</f>
        <v>Cancelled</v>
      </c>
      <c r="R1650" s="2" t="s">
        <v>82</v>
      </c>
      <c r="S1650" s="8">
        <v>4</v>
      </c>
      <c r="T1650" s="2" t="s">
        <v>24</v>
      </c>
      <c r="U1650" s="31" t="str" cm="1">
        <f t="array" ref="U1650">_xlfn.IFS(L1650&lt;=5000,$Z$3,AND(L1650&gt;5000,L1650&lt;=15000),$Z$4,AND(L1650&gt;15000,L1650&lt;=30000),$Z$5,AND(L1650&gt;30000,L1650&lt;=50000),$Z$6,L1650&gt;50000,$Z$7)</f>
        <v>Sangat Rendah</v>
      </c>
      <c r="V1650" s="2"/>
    </row>
    <row r="1651" spans="1:22" ht="15.75" customHeight="1" x14ac:dyDescent="0.25">
      <c r="A1651" s="26"/>
      <c r="B1651" s="2" t="s">
        <v>2022</v>
      </c>
      <c r="C1651" s="32">
        <v>45853.678819444453</v>
      </c>
      <c r="D1651" s="53">
        <f>YEAR(Table1[[#This Row],[Order Date]])</f>
        <v>2025</v>
      </c>
      <c r="E1651" s="2" t="s">
        <v>537</v>
      </c>
      <c r="F1651" s="2" t="s">
        <v>57</v>
      </c>
      <c r="G1651" s="2" t="s">
        <v>67</v>
      </c>
      <c r="H1651" s="23">
        <v>15000</v>
      </c>
      <c r="I1651" s="2">
        <v>5</v>
      </c>
      <c r="J1651" s="31">
        <v>10</v>
      </c>
      <c r="K1651" s="7">
        <f t="shared" si="100"/>
        <v>75000</v>
      </c>
      <c r="L1651" s="7">
        <f t="shared" si="101"/>
        <v>7500</v>
      </c>
      <c r="M1651" s="7">
        <f t="shared" si="102"/>
        <v>67500</v>
      </c>
      <c r="N1651" s="23">
        <v>80000</v>
      </c>
      <c r="O1651" s="7">
        <f t="shared" si="103"/>
        <v>147500</v>
      </c>
      <c r="P1651" s="2" t="s">
        <v>22</v>
      </c>
      <c r="Q1651" t="str">
        <f>_xlfn.XLOOKUP(B1651,Status!$A$2:$A$1867,Status!$B$2:$B$1867)</f>
        <v>Completed</v>
      </c>
      <c r="R1651" s="2" t="s">
        <v>30</v>
      </c>
      <c r="S1651" s="8">
        <v>3</v>
      </c>
      <c r="T1651" s="2" t="s">
        <v>37</v>
      </c>
      <c r="U1651" s="31" t="str" cm="1">
        <f t="array" ref="U1651">_xlfn.IFS(L1651&lt;=5000,$Z$3,AND(L1651&gt;5000,L1651&lt;=15000),$Z$4,AND(L1651&gt;15000,L1651&lt;=30000),$Z$5,AND(L1651&gt;30000,L1651&lt;=50000),$Z$6,L1651&gt;50000,$Z$7)</f>
        <v>Rendah</v>
      </c>
      <c r="V1651" s="2"/>
    </row>
    <row r="1652" spans="1:22" ht="15.75" customHeight="1" x14ac:dyDescent="0.25">
      <c r="A1652" s="26"/>
      <c r="B1652" s="2" t="s">
        <v>2023</v>
      </c>
      <c r="C1652" s="32">
        <v>45854.162187499998</v>
      </c>
      <c r="D1652" s="53">
        <f>YEAR(Table1[[#This Row],[Order Date]])</f>
        <v>2025</v>
      </c>
      <c r="E1652" s="2" t="s">
        <v>1270</v>
      </c>
      <c r="F1652" s="2" t="s">
        <v>182</v>
      </c>
      <c r="G1652" s="2" t="s">
        <v>110</v>
      </c>
      <c r="H1652" s="23">
        <v>6000</v>
      </c>
      <c r="I1652" s="2">
        <v>1</v>
      </c>
      <c r="J1652" s="31">
        <v>20</v>
      </c>
      <c r="K1652" s="7">
        <f t="shared" si="100"/>
        <v>6000</v>
      </c>
      <c r="L1652" s="7">
        <f t="shared" si="101"/>
        <v>1200</v>
      </c>
      <c r="M1652" s="7">
        <f t="shared" si="102"/>
        <v>4800</v>
      </c>
      <c r="N1652" s="23">
        <v>48000</v>
      </c>
      <c r="O1652" s="7">
        <f t="shared" si="103"/>
        <v>52800</v>
      </c>
      <c r="P1652" s="2" t="s">
        <v>63</v>
      </c>
      <c r="Q1652" t="str">
        <f>_xlfn.XLOOKUP(B1652,Status!$A$2:$A$1867,Status!$B$2:$B$1867)</f>
        <v>Returned</v>
      </c>
      <c r="R1652" s="2" t="s">
        <v>23</v>
      </c>
      <c r="S1652" s="8">
        <v>1</v>
      </c>
      <c r="T1652" s="2" t="s">
        <v>24</v>
      </c>
      <c r="U1652" s="31" t="str" cm="1">
        <f t="array" ref="U1652">_xlfn.IFS(L1652&lt;=5000,$Z$3,AND(L1652&gt;5000,L1652&lt;=15000),$Z$4,AND(L1652&gt;15000,L1652&lt;=30000),$Z$5,AND(L1652&gt;30000,L1652&lt;=50000),$Z$6,L1652&gt;50000,$Z$7)</f>
        <v>Sangat Rendah</v>
      </c>
      <c r="V1652" s="2"/>
    </row>
    <row r="1653" spans="1:22" ht="15.75" customHeight="1" x14ac:dyDescent="0.25">
      <c r="A1653" s="26"/>
      <c r="B1653" s="2" t="s">
        <v>2023</v>
      </c>
      <c r="C1653" s="32">
        <v>45854.162187499998</v>
      </c>
      <c r="D1653" s="53">
        <f>YEAR(Table1[[#This Row],[Order Date]])</f>
        <v>2025</v>
      </c>
      <c r="E1653" s="2" t="s">
        <v>1270</v>
      </c>
      <c r="F1653" s="2" t="s">
        <v>182</v>
      </c>
      <c r="G1653" s="2" t="s">
        <v>45</v>
      </c>
      <c r="H1653" s="23">
        <v>40000</v>
      </c>
      <c r="I1653" s="2">
        <v>4</v>
      </c>
      <c r="J1653" s="31">
        <v>15</v>
      </c>
      <c r="K1653" s="7">
        <f t="shared" si="100"/>
        <v>160000</v>
      </c>
      <c r="L1653" s="7">
        <f t="shared" si="101"/>
        <v>24000</v>
      </c>
      <c r="M1653" s="7">
        <f t="shared" si="102"/>
        <v>136000</v>
      </c>
      <c r="N1653" s="23">
        <v>0</v>
      </c>
      <c r="O1653" s="7">
        <f t="shared" si="103"/>
        <v>136000</v>
      </c>
      <c r="P1653" s="2" t="s">
        <v>63</v>
      </c>
      <c r="Q1653" t="str">
        <f>_xlfn.XLOOKUP(B1653,Status!$A$2:$A$1867,Status!$B$2:$B$1867)</f>
        <v>Returned</v>
      </c>
      <c r="R1653" s="2" t="s">
        <v>23</v>
      </c>
      <c r="S1653" s="8">
        <v>1</v>
      </c>
      <c r="T1653" s="2" t="s">
        <v>24</v>
      </c>
      <c r="U1653" s="31" t="str" cm="1">
        <f t="array" ref="U1653">_xlfn.IFS(L1653&lt;=5000,$Z$3,AND(L1653&gt;5000,L1653&lt;=15000),$Z$4,AND(L1653&gt;15000,L1653&lt;=30000),$Z$5,AND(L1653&gt;30000,L1653&lt;=50000),$Z$6,L1653&gt;50000,$Z$7)</f>
        <v>Normal</v>
      </c>
      <c r="V1653" s="2"/>
    </row>
    <row r="1654" spans="1:22" ht="15.75" customHeight="1" x14ac:dyDescent="0.25">
      <c r="A1654" s="26"/>
      <c r="B1654" s="2" t="s">
        <v>2024</v>
      </c>
      <c r="C1654" s="32">
        <v>45854.672384259262</v>
      </c>
      <c r="D1654" s="53">
        <f>YEAR(Table1[[#This Row],[Order Date]])</f>
        <v>2025</v>
      </c>
      <c r="E1654" s="2" t="s">
        <v>626</v>
      </c>
      <c r="F1654" s="2" t="s">
        <v>296</v>
      </c>
      <c r="G1654" s="2" t="s">
        <v>174</v>
      </c>
      <c r="H1654" s="23">
        <v>10000</v>
      </c>
      <c r="I1654" s="2">
        <v>1</v>
      </c>
      <c r="J1654" s="31">
        <v>0</v>
      </c>
      <c r="K1654" s="7">
        <f t="shared" si="100"/>
        <v>10000</v>
      </c>
      <c r="L1654" s="7">
        <f t="shared" si="101"/>
        <v>0</v>
      </c>
      <c r="M1654" s="7">
        <f t="shared" si="102"/>
        <v>10000</v>
      </c>
      <c r="N1654" s="23">
        <v>79000</v>
      </c>
      <c r="O1654" s="7">
        <f t="shared" si="103"/>
        <v>89000</v>
      </c>
      <c r="P1654" s="2" t="s">
        <v>22</v>
      </c>
      <c r="Q1654" t="str">
        <f>_xlfn.XLOOKUP(B1654,Status!$A$2:$A$1867,Status!$B$2:$B$1867)</f>
        <v>Completed</v>
      </c>
      <c r="R1654" s="2" t="s">
        <v>82</v>
      </c>
      <c r="S1654" s="8">
        <v>1</v>
      </c>
      <c r="T1654" s="2" t="s">
        <v>24</v>
      </c>
      <c r="U1654" s="31" t="str" cm="1">
        <f t="array" ref="U1654">_xlfn.IFS(L1654&lt;=5000,$Z$3,AND(L1654&gt;5000,L1654&lt;=15000),$Z$4,AND(L1654&gt;15000,L1654&lt;=30000),$Z$5,AND(L1654&gt;30000,L1654&lt;=50000),$Z$6,L1654&gt;50000,$Z$7)</f>
        <v>Sangat Rendah</v>
      </c>
      <c r="V1654" s="2"/>
    </row>
    <row r="1655" spans="1:22" ht="15.75" customHeight="1" x14ac:dyDescent="0.25">
      <c r="A1655" s="26"/>
      <c r="B1655" s="2" t="s">
        <v>2025</v>
      </c>
      <c r="C1655" s="32">
        <v>45855.032141203701</v>
      </c>
      <c r="D1655" s="53">
        <f>YEAR(Table1[[#This Row],[Order Date]])</f>
        <v>2025</v>
      </c>
      <c r="E1655" s="2" t="s">
        <v>530</v>
      </c>
      <c r="F1655" s="2" t="s">
        <v>151</v>
      </c>
      <c r="G1655" s="2" t="s">
        <v>50</v>
      </c>
      <c r="H1655" s="23">
        <v>14000</v>
      </c>
      <c r="I1655" s="2">
        <v>1</v>
      </c>
      <c r="J1655" s="31">
        <v>15</v>
      </c>
      <c r="K1655" s="7">
        <f t="shared" si="100"/>
        <v>14000</v>
      </c>
      <c r="L1655" s="7">
        <f t="shared" si="101"/>
        <v>2100</v>
      </c>
      <c r="M1655" s="7">
        <f t="shared" si="102"/>
        <v>11900</v>
      </c>
      <c r="N1655" s="23">
        <v>55000</v>
      </c>
      <c r="O1655" s="7">
        <f t="shared" si="103"/>
        <v>66900</v>
      </c>
      <c r="P1655" s="2" t="s">
        <v>29</v>
      </c>
      <c r="Q1655" t="str">
        <f>_xlfn.XLOOKUP(B1655,Status!$A$2:$A$1867,Status!$B$2:$B$1867)</f>
        <v>Completed</v>
      </c>
      <c r="R1655" s="2" t="s">
        <v>30</v>
      </c>
      <c r="S1655" s="8">
        <v>3</v>
      </c>
      <c r="T1655" s="2" t="s">
        <v>24</v>
      </c>
      <c r="U1655" s="31" t="str" cm="1">
        <f t="array" ref="U1655">_xlfn.IFS(L1655&lt;=5000,$Z$3,AND(L1655&gt;5000,L1655&lt;=15000),$Z$4,AND(L1655&gt;15000,L1655&lt;=30000),$Z$5,AND(L1655&gt;30000,L1655&lt;=50000),$Z$6,L1655&gt;50000,$Z$7)</f>
        <v>Sangat Rendah</v>
      </c>
      <c r="V1655" s="2"/>
    </row>
    <row r="1656" spans="1:22" ht="15.75" customHeight="1" x14ac:dyDescent="0.25">
      <c r="A1656" s="26"/>
      <c r="B1656" s="2" t="s">
        <v>2026</v>
      </c>
      <c r="C1656" s="32">
        <v>45855.388379629629</v>
      </c>
      <c r="D1656" s="53">
        <f>YEAR(Table1[[#This Row],[Order Date]])</f>
        <v>2025</v>
      </c>
      <c r="E1656" s="2" t="s">
        <v>1250</v>
      </c>
      <c r="F1656" s="2" t="s">
        <v>195</v>
      </c>
      <c r="G1656" s="2" t="s">
        <v>138</v>
      </c>
      <c r="H1656" s="23">
        <v>17000</v>
      </c>
      <c r="I1656" s="2">
        <v>3</v>
      </c>
      <c r="J1656" s="31">
        <v>15</v>
      </c>
      <c r="K1656" s="7">
        <f t="shared" si="100"/>
        <v>51000</v>
      </c>
      <c r="L1656" s="7">
        <f t="shared" si="101"/>
        <v>7650</v>
      </c>
      <c r="M1656" s="7">
        <f t="shared" si="102"/>
        <v>43350</v>
      </c>
      <c r="N1656" s="23">
        <v>87000</v>
      </c>
      <c r="O1656" s="7">
        <f t="shared" si="103"/>
        <v>130350</v>
      </c>
      <c r="P1656" s="2" t="s">
        <v>63</v>
      </c>
      <c r="Q1656" t="str">
        <f>_xlfn.XLOOKUP(B1656,Status!$A$2:$A$1867,Status!$B$2:$B$1867)</f>
        <v>Completed</v>
      </c>
      <c r="R1656" s="2" t="s">
        <v>23</v>
      </c>
      <c r="S1656" s="8">
        <v>2</v>
      </c>
      <c r="T1656" s="2" t="s">
        <v>24</v>
      </c>
      <c r="U1656" s="31" t="str" cm="1">
        <f t="array" ref="U1656">_xlfn.IFS(L1656&lt;=5000,$Z$3,AND(L1656&gt;5000,L1656&lt;=15000),$Z$4,AND(L1656&gt;15000,L1656&lt;=30000),$Z$5,AND(L1656&gt;30000,L1656&lt;=50000),$Z$6,L1656&gt;50000,$Z$7)</f>
        <v>Rendah</v>
      </c>
      <c r="V1656" s="2"/>
    </row>
    <row r="1657" spans="1:22" ht="15.75" customHeight="1" x14ac:dyDescent="0.25">
      <c r="A1657" s="26"/>
      <c r="B1657" s="2" t="s">
        <v>2027</v>
      </c>
      <c r="C1657" s="32">
        <v>45855.430914351848</v>
      </c>
      <c r="D1657" s="53">
        <f>YEAR(Table1[[#This Row],[Order Date]])</f>
        <v>2025</v>
      </c>
      <c r="E1657" s="2" t="s">
        <v>2028</v>
      </c>
      <c r="F1657" s="2" t="s">
        <v>122</v>
      </c>
      <c r="G1657" s="2" t="s">
        <v>144</v>
      </c>
      <c r="H1657" s="23">
        <v>18000</v>
      </c>
      <c r="I1657" s="2">
        <v>5</v>
      </c>
      <c r="J1657" s="31">
        <v>20</v>
      </c>
      <c r="K1657" s="7">
        <f t="shared" si="100"/>
        <v>90000</v>
      </c>
      <c r="L1657" s="7">
        <f t="shared" si="101"/>
        <v>18000</v>
      </c>
      <c r="M1657" s="7">
        <f t="shared" si="102"/>
        <v>72000</v>
      </c>
      <c r="N1657" s="23">
        <v>78000</v>
      </c>
      <c r="O1657" s="7">
        <f t="shared" si="103"/>
        <v>150000</v>
      </c>
      <c r="P1657" s="2" t="s">
        <v>22</v>
      </c>
      <c r="Q1657" t="str">
        <f>_xlfn.XLOOKUP(B1657,Status!$A$2:$A$1867,Status!$B$2:$B$1867)</f>
        <v>Completed</v>
      </c>
      <c r="R1657" s="2" t="s">
        <v>46</v>
      </c>
      <c r="S1657" s="8">
        <v>4</v>
      </c>
      <c r="T1657" s="2" t="s">
        <v>37</v>
      </c>
      <c r="U1657" s="31" t="str" cm="1">
        <f t="array" ref="U1657">_xlfn.IFS(L1657&lt;=5000,$Z$3,AND(L1657&gt;5000,L1657&lt;=15000),$Z$4,AND(L1657&gt;15000,L1657&lt;=30000),$Z$5,AND(L1657&gt;30000,L1657&lt;=50000),$Z$6,L1657&gt;50000,$Z$7)</f>
        <v>Normal</v>
      </c>
      <c r="V1657" s="2"/>
    </row>
    <row r="1658" spans="1:22" ht="15.75" customHeight="1" x14ac:dyDescent="0.25">
      <c r="A1658" s="26"/>
      <c r="B1658" s="2" t="s">
        <v>2029</v>
      </c>
      <c r="C1658" s="32">
        <v>45855.469814814824</v>
      </c>
      <c r="D1658" s="53">
        <f>YEAR(Table1[[#This Row],[Order Date]])</f>
        <v>2025</v>
      </c>
      <c r="E1658" s="2" t="s">
        <v>350</v>
      </c>
      <c r="F1658" s="2" t="s">
        <v>195</v>
      </c>
      <c r="G1658" s="2" t="s">
        <v>62</v>
      </c>
      <c r="H1658" s="23">
        <v>50000</v>
      </c>
      <c r="I1658" s="2">
        <v>3</v>
      </c>
      <c r="J1658" s="31">
        <v>20</v>
      </c>
      <c r="K1658" s="7">
        <f t="shared" si="100"/>
        <v>150000</v>
      </c>
      <c r="L1658" s="7">
        <f t="shared" si="101"/>
        <v>30000</v>
      </c>
      <c r="M1658" s="7">
        <f t="shared" si="102"/>
        <v>120000</v>
      </c>
      <c r="N1658" s="23">
        <v>87000</v>
      </c>
      <c r="O1658" s="7">
        <f t="shared" si="103"/>
        <v>207000</v>
      </c>
      <c r="P1658" s="2" t="s">
        <v>29</v>
      </c>
      <c r="Q1658" t="str">
        <f>_xlfn.XLOOKUP(B1658,Status!$A$2:$A$1867,Status!$B$2:$B$1867)</f>
        <v>Completed</v>
      </c>
      <c r="R1658" s="2" t="s">
        <v>23</v>
      </c>
      <c r="S1658" s="8">
        <v>4</v>
      </c>
      <c r="T1658" s="2" t="s">
        <v>37</v>
      </c>
      <c r="U1658" s="31" t="str" cm="1">
        <f t="array" ref="U1658">_xlfn.IFS(L1658&lt;=5000,$Z$3,AND(L1658&gt;5000,L1658&lt;=15000),$Z$4,AND(L1658&gt;15000,L1658&lt;=30000),$Z$5,AND(L1658&gt;30000,L1658&lt;=50000),$Z$6,L1658&gt;50000,$Z$7)</f>
        <v>Normal</v>
      </c>
      <c r="V1658" s="2"/>
    </row>
    <row r="1659" spans="1:22" ht="15.75" customHeight="1" x14ac:dyDescent="0.25">
      <c r="A1659" s="26"/>
      <c r="B1659" s="2" t="s">
        <v>2030</v>
      </c>
      <c r="C1659" s="32">
        <v>45855.577488425923</v>
      </c>
      <c r="D1659" s="53">
        <f>YEAR(Table1[[#This Row],[Order Date]])</f>
        <v>2025</v>
      </c>
      <c r="E1659" s="2" t="s">
        <v>716</v>
      </c>
      <c r="F1659" s="2" t="s">
        <v>66</v>
      </c>
      <c r="G1659" s="2" t="s">
        <v>110</v>
      </c>
      <c r="H1659" s="23">
        <v>6000</v>
      </c>
      <c r="I1659" s="2">
        <v>2</v>
      </c>
      <c r="J1659" s="31">
        <v>0</v>
      </c>
      <c r="K1659" s="7">
        <f t="shared" si="100"/>
        <v>12000</v>
      </c>
      <c r="L1659" s="7">
        <f t="shared" si="101"/>
        <v>0</v>
      </c>
      <c r="M1659" s="7">
        <f t="shared" si="102"/>
        <v>12000</v>
      </c>
      <c r="N1659" s="23">
        <v>59000</v>
      </c>
      <c r="O1659" s="7">
        <f t="shared" si="103"/>
        <v>71000</v>
      </c>
      <c r="P1659" s="2" t="s">
        <v>35</v>
      </c>
      <c r="Q1659" t="str">
        <f>_xlfn.XLOOKUP(B1659,Status!$A$2:$A$1867,Status!$B$2:$B$1867)</f>
        <v>Completed</v>
      </c>
      <c r="R1659" s="2" t="s">
        <v>46</v>
      </c>
      <c r="S1659" s="8">
        <v>2</v>
      </c>
      <c r="T1659" s="2" t="s">
        <v>24</v>
      </c>
      <c r="U1659" s="31" t="str" cm="1">
        <f t="array" ref="U1659">_xlfn.IFS(L1659&lt;=5000,$Z$3,AND(L1659&gt;5000,L1659&lt;=15000),$Z$4,AND(L1659&gt;15000,L1659&lt;=30000),$Z$5,AND(L1659&gt;30000,L1659&lt;=50000),$Z$6,L1659&gt;50000,$Z$7)</f>
        <v>Sangat Rendah</v>
      </c>
      <c r="V1659" s="2"/>
    </row>
    <row r="1660" spans="1:22" ht="15.75" customHeight="1" x14ac:dyDescent="0.25">
      <c r="A1660" s="26"/>
      <c r="B1660" s="2" t="s">
        <v>2031</v>
      </c>
      <c r="C1660" s="32">
        <v>45855.61546296296</v>
      </c>
      <c r="D1660" s="53">
        <f>YEAR(Table1[[#This Row],[Order Date]])</f>
        <v>2025</v>
      </c>
      <c r="E1660" s="2" t="s">
        <v>1136</v>
      </c>
      <c r="F1660" s="2" t="s">
        <v>195</v>
      </c>
      <c r="G1660" s="2" t="s">
        <v>93</v>
      </c>
      <c r="H1660" s="23">
        <v>25000</v>
      </c>
      <c r="I1660" s="2">
        <v>3</v>
      </c>
      <c r="J1660" s="31">
        <v>10</v>
      </c>
      <c r="K1660" s="7">
        <f t="shared" si="100"/>
        <v>75000</v>
      </c>
      <c r="L1660" s="7">
        <f t="shared" si="101"/>
        <v>7500</v>
      </c>
      <c r="M1660" s="7">
        <f t="shared" si="102"/>
        <v>67500</v>
      </c>
      <c r="N1660" s="23">
        <v>87000</v>
      </c>
      <c r="O1660" s="7">
        <f t="shared" si="103"/>
        <v>154500</v>
      </c>
      <c r="P1660" s="2" t="s">
        <v>29</v>
      </c>
      <c r="Q1660" t="str">
        <f>_xlfn.XLOOKUP(B1660,Status!$A$2:$A$1867,Status!$B$2:$B$1867)</f>
        <v>Cancelled</v>
      </c>
      <c r="R1660" s="2" t="s">
        <v>36</v>
      </c>
      <c r="S1660" s="8">
        <v>2</v>
      </c>
      <c r="T1660" s="2" t="s">
        <v>24</v>
      </c>
      <c r="U1660" s="31" t="str" cm="1">
        <f t="array" ref="U1660">_xlfn.IFS(L1660&lt;=5000,$Z$3,AND(L1660&gt;5000,L1660&lt;=15000),$Z$4,AND(L1660&gt;15000,L1660&lt;=30000),$Z$5,AND(L1660&gt;30000,L1660&lt;=50000),$Z$6,L1660&gt;50000,$Z$7)</f>
        <v>Rendah</v>
      </c>
      <c r="V1660" s="2"/>
    </row>
    <row r="1661" spans="1:22" ht="15.75" customHeight="1" x14ac:dyDescent="0.25">
      <c r="A1661" s="26"/>
      <c r="B1661" s="2" t="s">
        <v>2032</v>
      </c>
      <c r="C1661" s="32">
        <v>45855.630289351851</v>
      </c>
      <c r="D1661" s="53">
        <f>YEAR(Table1[[#This Row],[Order Date]])</f>
        <v>2025</v>
      </c>
      <c r="E1661" s="2" t="s">
        <v>729</v>
      </c>
      <c r="F1661" s="2" t="s">
        <v>74</v>
      </c>
      <c r="G1661" s="2" t="s">
        <v>54</v>
      </c>
      <c r="H1661" s="23">
        <v>16000</v>
      </c>
      <c r="I1661" s="2">
        <v>5</v>
      </c>
      <c r="J1661" s="31">
        <v>20</v>
      </c>
      <c r="K1661" s="7">
        <f t="shared" si="100"/>
        <v>80000</v>
      </c>
      <c r="L1661" s="7">
        <f t="shared" si="101"/>
        <v>16000</v>
      </c>
      <c r="M1661" s="7">
        <f t="shared" si="102"/>
        <v>64000</v>
      </c>
      <c r="N1661" s="23">
        <v>87000</v>
      </c>
      <c r="O1661" s="7">
        <f t="shared" si="103"/>
        <v>151000</v>
      </c>
      <c r="P1661" s="2" t="s">
        <v>29</v>
      </c>
      <c r="Q1661" t="str">
        <f>_xlfn.XLOOKUP(B1661,Status!$A$2:$A$1867,Status!$B$2:$B$1867)</f>
        <v>Completed</v>
      </c>
      <c r="R1661" s="2" t="s">
        <v>23</v>
      </c>
      <c r="S1661" s="8">
        <v>3</v>
      </c>
      <c r="T1661" s="2" t="s">
        <v>24</v>
      </c>
      <c r="U1661" s="31" t="str" cm="1">
        <f t="array" ref="U1661">_xlfn.IFS(L1661&lt;=5000,$Z$3,AND(L1661&gt;5000,L1661&lt;=15000),$Z$4,AND(L1661&gt;15000,L1661&lt;=30000),$Z$5,AND(L1661&gt;30000,L1661&lt;=50000),$Z$6,L1661&gt;50000,$Z$7)</f>
        <v>Normal</v>
      </c>
      <c r="V1661" s="2"/>
    </row>
    <row r="1662" spans="1:22" ht="15.75" customHeight="1" x14ac:dyDescent="0.25">
      <c r="A1662" s="26"/>
      <c r="B1662" s="2" t="s">
        <v>2033</v>
      </c>
      <c r="C1662" s="32">
        <v>45856.031817129631</v>
      </c>
      <c r="D1662" s="53">
        <f>YEAR(Table1[[#This Row],[Order Date]])</f>
        <v>2025</v>
      </c>
      <c r="E1662" s="2" t="s">
        <v>565</v>
      </c>
      <c r="F1662" s="2" t="s">
        <v>163</v>
      </c>
      <c r="G1662" s="2" t="s">
        <v>110</v>
      </c>
      <c r="H1662" s="23">
        <v>6000</v>
      </c>
      <c r="I1662" s="2">
        <v>2</v>
      </c>
      <c r="J1662" s="31">
        <v>15</v>
      </c>
      <c r="K1662" s="7">
        <f t="shared" si="100"/>
        <v>12000</v>
      </c>
      <c r="L1662" s="7">
        <f t="shared" si="101"/>
        <v>1800</v>
      </c>
      <c r="M1662" s="7">
        <f t="shared" si="102"/>
        <v>10200</v>
      </c>
      <c r="N1662" s="23">
        <v>50000</v>
      </c>
      <c r="O1662" s="7">
        <f t="shared" si="103"/>
        <v>60200</v>
      </c>
      <c r="P1662" s="2" t="s">
        <v>22</v>
      </c>
      <c r="Q1662" t="str">
        <f>_xlfn.XLOOKUP(B1662,Status!$A$2:$A$1867,Status!$B$2:$B$1867)</f>
        <v>Completed</v>
      </c>
      <c r="R1662" s="2" t="s">
        <v>82</v>
      </c>
      <c r="S1662" s="8">
        <v>2</v>
      </c>
      <c r="T1662" s="2" t="s">
        <v>24</v>
      </c>
      <c r="U1662" s="31" t="str" cm="1">
        <f t="array" ref="U1662">_xlfn.IFS(L1662&lt;=5000,$Z$3,AND(L1662&gt;5000,L1662&lt;=15000),$Z$4,AND(L1662&gt;15000,L1662&lt;=30000),$Z$5,AND(L1662&gt;30000,L1662&lt;=50000),$Z$6,L1662&gt;50000,$Z$7)</f>
        <v>Sangat Rendah</v>
      </c>
      <c r="V1662" s="2"/>
    </row>
    <row r="1663" spans="1:22" ht="15.75" customHeight="1" x14ac:dyDescent="0.25">
      <c r="A1663" s="26"/>
      <c r="B1663" s="2" t="s">
        <v>2033</v>
      </c>
      <c r="C1663" s="32">
        <v>45856.031817129631</v>
      </c>
      <c r="D1663" s="53">
        <f>YEAR(Table1[[#This Row],[Order Date]])</f>
        <v>2025</v>
      </c>
      <c r="E1663" s="2" t="s">
        <v>565</v>
      </c>
      <c r="F1663" s="2" t="s">
        <v>163</v>
      </c>
      <c r="G1663" s="2" t="s">
        <v>62</v>
      </c>
      <c r="H1663" s="23">
        <v>50000</v>
      </c>
      <c r="I1663" s="2">
        <v>5</v>
      </c>
      <c r="J1663" s="31">
        <v>10</v>
      </c>
      <c r="K1663" s="7">
        <f t="shared" si="100"/>
        <v>250000</v>
      </c>
      <c r="L1663" s="7">
        <f t="shared" si="101"/>
        <v>25000</v>
      </c>
      <c r="M1663" s="7">
        <f t="shared" si="102"/>
        <v>225000</v>
      </c>
      <c r="N1663" s="23">
        <v>0</v>
      </c>
      <c r="O1663" s="7">
        <f t="shared" si="103"/>
        <v>225000</v>
      </c>
      <c r="P1663" s="2" t="s">
        <v>22</v>
      </c>
      <c r="Q1663" t="str">
        <f>_xlfn.XLOOKUP(B1663,Status!$A$2:$A$1867,Status!$B$2:$B$1867)</f>
        <v>Completed</v>
      </c>
      <c r="R1663" s="2" t="s">
        <v>82</v>
      </c>
      <c r="S1663" s="8">
        <v>2</v>
      </c>
      <c r="T1663" s="2" t="s">
        <v>24</v>
      </c>
      <c r="U1663" s="31" t="str" cm="1">
        <f t="array" ref="U1663">_xlfn.IFS(L1663&lt;=5000,$Z$3,AND(L1663&gt;5000,L1663&lt;=15000),$Z$4,AND(L1663&gt;15000,L1663&lt;=30000),$Z$5,AND(L1663&gt;30000,L1663&lt;=50000),$Z$6,L1663&gt;50000,$Z$7)</f>
        <v>Normal</v>
      </c>
      <c r="V1663" s="2"/>
    </row>
    <row r="1664" spans="1:22" ht="15.75" customHeight="1" x14ac:dyDescent="0.25">
      <c r="A1664" s="26"/>
      <c r="B1664" s="2" t="s">
        <v>2034</v>
      </c>
      <c r="C1664" s="32">
        <v>45856.179965277777</v>
      </c>
      <c r="D1664" s="53">
        <f>YEAR(Table1[[#This Row],[Order Date]])</f>
        <v>2025</v>
      </c>
      <c r="E1664" s="2" t="s">
        <v>374</v>
      </c>
      <c r="F1664" s="2" t="s">
        <v>375</v>
      </c>
      <c r="G1664" s="2" t="s">
        <v>41</v>
      </c>
      <c r="H1664" s="23">
        <v>4000</v>
      </c>
      <c r="I1664" s="2">
        <v>1</v>
      </c>
      <c r="J1664" s="31">
        <v>0</v>
      </c>
      <c r="K1664" s="7">
        <f t="shared" si="100"/>
        <v>4000</v>
      </c>
      <c r="L1664" s="7">
        <f t="shared" si="101"/>
        <v>0</v>
      </c>
      <c r="M1664" s="7">
        <f t="shared" si="102"/>
        <v>4000</v>
      </c>
      <c r="N1664" s="23">
        <v>21000</v>
      </c>
      <c r="O1664" s="7">
        <f t="shared" si="103"/>
        <v>25000</v>
      </c>
      <c r="P1664" s="2" t="s">
        <v>63</v>
      </c>
      <c r="Q1664" t="str">
        <f>_xlfn.XLOOKUP(B1664,Status!$A$2:$A$1867,Status!$B$2:$B$1867)</f>
        <v>Completed</v>
      </c>
      <c r="R1664" s="2" t="s">
        <v>30</v>
      </c>
      <c r="S1664" s="8">
        <v>3</v>
      </c>
      <c r="T1664" s="2" t="s">
        <v>37</v>
      </c>
      <c r="U1664" s="31" t="str" cm="1">
        <f t="array" ref="U1664">_xlfn.IFS(L1664&lt;=5000,$Z$3,AND(L1664&gt;5000,L1664&lt;=15000),$Z$4,AND(L1664&gt;15000,L1664&lt;=30000),$Z$5,AND(L1664&gt;30000,L1664&lt;=50000),$Z$6,L1664&gt;50000,$Z$7)</f>
        <v>Sangat Rendah</v>
      </c>
      <c r="V1664" s="2"/>
    </row>
    <row r="1665" spans="1:22" ht="15.75" customHeight="1" x14ac:dyDescent="0.25">
      <c r="A1665" s="26"/>
      <c r="B1665" s="2" t="s">
        <v>2035</v>
      </c>
      <c r="C1665" s="32">
        <v>45856.258298611108</v>
      </c>
      <c r="D1665" s="53">
        <f>YEAR(Table1[[#This Row],[Order Date]])</f>
        <v>2025</v>
      </c>
      <c r="E1665" s="2" t="s">
        <v>834</v>
      </c>
      <c r="F1665" s="2" t="s">
        <v>177</v>
      </c>
      <c r="G1665" s="2" t="s">
        <v>136</v>
      </c>
      <c r="H1665" s="23">
        <v>12000</v>
      </c>
      <c r="I1665" s="2">
        <v>1</v>
      </c>
      <c r="J1665" s="31">
        <v>15</v>
      </c>
      <c r="K1665" s="7">
        <f t="shared" si="100"/>
        <v>12000</v>
      </c>
      <c r="L1665" s="7">
        <f t="shared" si="101"/>
        <v>1800</v>
      </c>
      <c r="M1665" s="7">
        <f t="shared" si="102"/>
        <v>10200</v>
      </c>
      <c r="N1665" s="23">
        <v>56000</v>
      </c>
      <c r="O1665" s="7">
        <f t="shared" si="103"/>
        <v>66200</v>
      </c>
      <c r="P1665" s="2" t="s">
        <v>63</v>
      </c>
      <c r="Q1665" t="str">
        <f>_xlfn.XLOOKUP(B1665,Status!$A$2:$A$1867,Status!$B$2:$B$1867)</f>
        <v>Completed</v>
      </c>
      <c r="R1665" s="2" t="s">
        <v>30</v>
      </c>
      <c r="S1665" s="8">
        <v>3</v>
      </c>
      <c r="T1665" s="2" t="s">
        <v>37</v>
      </c>
      <c r="U1665" s="31" t="str" cm="1">
        <f t="array" ref="U1665">_xlfn.IFS(L1665&lt;=5000,$Z$3,AND(L1665&gt;5000,L1665&lt;=15000),$Z$4,AND(L1665&gt;15000,L1665&lt;=30000),$Z$5,AND(L1665&gt;30000,L1665&lt;=50000),$Z$6,L1665&gt;50000,$Z$7)</f>
        <v>Sangat Rendah</v>
      </c>
      <c r="V1665" s="2"/>
    </row>
    <row r="1666" spans="1:22" ht="15.75" customHeight="1" x14ac:dyDescent="0.25">
      <c r="A1666" s="26"/>
      <c r="B1666" s="2" t="s">
        <v>2036</v>
      </c>
      <c r="C1666" s="32">
        <v>45856.813368055547</v>
      </c>
      <c r="D1666" s="53">
        <f>YEAR(Table1[[#This Row],[Order Date]])</f>
        <v>2025</v>
      </c>
      <c r="E1666" s="2" t="s">
        <v>1981</v>
      </c>
      <c r="F1666" s="2" t="s">
        <v>53</v>
      </c>
      <c r="G1666" s="2" t="s">
        <v>88</v>
      </c>
      <c r="H1666" s="23">
        <v>14000</v>
      </c>
      <c r="I1666" s="2">
        <v>5</v>
      </c>
      <c r="J1666" s="31">
        <v>0</v>
      </c>
      <c r="K1666" s="7">
        <f t="shared" si="100"/>
        <v>70000</v>
      </c>
      <c r="L1666" s="7">
        <f t="shared" si="101"/>
        <v>0</v>
      </c>
      <c r="M1666" s="7">
        <f t="shared" si="102"/>
        <v>70000</v>
      </c>
      <c r="N1666" s="23">
        <v>18000</v>
      </c>
      <c r="O1666" s="7">
        <f t="shared" si="103"/>
        <v>88000</v>
      </c>
      <c r="P1666" s="2" t="s">
        <v>29</v>
      </c>
      <c r="Q1666" t="str">
        <f>_xlfn.XLOOKUP(B1666,Status!$A$2:$A$1867,Status!$B$2:$B$1867)</f>
        <v>Completed</v>
      </c>
      <c r="R1666" s="2" t="s">
        <v>23</v>
      </c>
      <c r="S1666" s="8">
        <v>3</v>
      </c>
      <c r="T1666" s="2" t="s">
        <v>24</v>
      </c>
      <c r="U1666" s="31" t="str" cm="1">
        <f t="array" ref="U1666">_xlfn.IFS(L1666&lt;=5000,$Z$3,AND(L1666&gt;5000,L1666&lt;=15000),$Z$4,AND(L1666&gt;15000,L1666&lt;=30000),$Z$5,AND(L1666&gt;30000,L1666&lt;=50000),$Z$6,L1666&gt;50000,$Z$7)</f>
        <v>Sangat Rendah</v>
      </c>
      <c r="V1666" s="2"/>
    </row>
    <row r="1667" spans="1:22" ht="15.75" customHeight="1" x14ac:dyDescent="0.25">
      <c r="A1667" s="26"/>
      <c r="B1667" s="2" t="s">
        <v>2036</v>
      </c>
      <c r="C1667" s="32">
        <v>45856.813368055547</v>
      </c>
      <c r="D1667" s="53">
        <f>YEAR(Table1[[#This Row],[Order Date]])</f>
        <v>2025</v>
      </c>
      <c r="E1667" s="2" t="s">
        <v>1981</v>
      </c>
      <c r="F1667" s="2" t="s">
        <v>53</v>
      </c>
      <c r="G1667" s="2" t="s">
        <v>34</v>
      </c>
      <c r="H1667" s="23">
        <v>16000</v>
      </c>
      <c r="I1667" s="2">
        <v>2</v>
      </c>
      <c r="J1667" s="31">
        <v>5</v>
      </c>
      <c r="K1667" s="7">
        <f t="shared" si="100"/>
        <v>32000</v>
      </c>
      <c r="L1667" s="7">
        <f t="shared" si="101"/>
        <v>1600</v>
      </c>
      <c r="M1667" s="7">
        <f t="shared" si="102"/>
        <v>30400</v>
      </c>
      <c r="N1667" s="23">
        <v>0</v>
      </c>
      <c r="O1667" s="7">
        <f t="shared" si="103"/>
        <v>30400</v>
      </c>
      <c r="P1667" s="2" t="s">
        <v>29</v>
      </c>
      <c r="Q1667" t="str">
        <f>_xlfn.XLOOKUP(B1667,Status!$A$2:$A$1867,Status!$B$2:$B$1867)</f>
        <v>Completed</v>
      </c>
      <c r="R1667" s="2" t="s">
        <v>23</v>
      </c>
      <c r="S1667" s="8">
        <v>3</v>
      </c>
      <c r="T1667" s="2" t="s">
        <v>24</v>
      </c>
      <c r="U1667" s="31" t="str" cm="1">
        <f t="array" ref="U1667">_xlfn.IFS(L1667&lt;=5000,$Z$3,AND(L1667&gt;5000,L1667&lt;=15000),$Z$4,AND(L1667&gt;15000,L1667&lt;=30000),$Z$5,AND(L1667&gt;30000,L1667&lt;=50000),$Z$6,L1667&gt;50000,$Z$7)</f>
        <v>Sangat Rendah</v>
      </c>
      <c r="V1667" s="2"/>
    </row>
    <row r="1668" spans="1:22" ht="15.75" customHeight="1" x14ac:dyDescent="0.25">
      <c r="A1668" s="26"/>
      <c r="B1668" s="2" t="s">
        <v>2037</v>
      </c>
      <c r="C1668" s="32">
        <v>45857.095925925933</v>
      </c>
      <c r="D1668" s="53">
        <f>YEAR(Table1[[#This Row],[Order Date]])</f>
        <v>2025</v>
      </c>
      <c r="E1668" s="2" t="s">
        <v>530</v>
      </c>
      <c r="F1668" s="2" t="s">
        <v>151</v>
      </c>
      <c r="G1668" s="2" t="s">
        <v>81</v>
      </c>
      <c r="H1668" s="23">
        <v>17000</v>
      </c>
      <c r="I1668" s="2">
        <v>3</v>
      </c>
      <c r="J1668" s="31">
        <v>20</v>
      </c>
      <c r="K1668" s="7">
        <f t="shared" ref="K1668:K1731" si="104">H1668*I1668</f>
        <v>51000</v>
      </c>
      <c r="L1668" s="7">
        <f t="shared" ref="L1668:L1731" si="105">K1668*(J1668/100)</f>
        <v>10200</v>
      </c>
      <c r="M1668" s="7">
        <f t="shared" ref="M1668:M1731" si="106">K1668-L1668</f>
        <v>40800</v>
      </c>
      <c r="N1668" s="23">
        <v>55000</v>
      </c>
      <c r="O1668" s="7">
        <f t="shared" ref="O1668:O1731" si="107">SUM(M1668:N1668)</f>
        <v>95800</v>
      </c>
      <c r="P1668" s="2" t="s">
        <v>22</v>
      </c>
      <c r="Q1668" t="str">
        <f>_xlfn.XLOOKUP(B1668,Status!$A$2:$A$1867,Status!$B$2:$B$1867)</f>
        <v>Completed</v>
      </c>
      <c r="R1668" s="2" t="s">
        <v>46</v>
      </c>
      <c r="S1668" s="8">
        <v>2</v>
      </c>
      <c r="T1668" s="2" t="s">
        <v>24</v>
      </c>
      <c r="U1668" s="31" t="str" cm="1">
        <f t="array" ref="U1668">_xlfn.IFS(L1668&lt;=5000,$Z$3,AND(L1668&gt;5000,L1668&lt;=15000),$Z$4,AND(L1668&gt;15000,L1668&lt;=30000),$Z$5,AND(L1668&gt;30000,L1668&lt;=50000),$Z$6,L1668&gt;50000,$Z$7)</f>
        <v>Rendah</v>
      </c>
      <c r="V1668" s="2"/>
    </row>
    <row r="1669" spans="1:22" ht="15.75" customHeight="1" x14ac:dyDescent="0.25">
      <c r="A1669" s="26"/>
      <c r="B1669" s="2" t="s">
        <v>2038</v>
      </c>
      <c r="C1669" s="32">
        <v>45857.396944444437</v>
      </c>
      <c r="D1669" s="53">
        <f>YEAR(Table1[[#This Row],[Order Date]])</f>
        <v>2025</v>
      </c>
      <c r="E1669" s="2" t="s">
        <v>231</v>
      </c>
      <c r="F1669" s="2" t="s">
        <v>66</v>
      </c>
      <c r="G1669" s="2" t="s">
        <v>62</v>
      </c>
      <c r="H1669" s="23">
        <v>50000</v>
      </c>
      <c r="I1669" s="2">
        <v>5</v>
      </c>
      <c r="J1669" s="31">
        <v>20</v>
      </c>
      <c r="K1669" s="7">
        <f t="shared" si="104"/>
        <v>250000</v>
      </c>
      <c r="L1669" s="7">
        <f t="shared" si="105"/>
        <v>50000</v>
      </c>
      <c r="M1669" s="7">
        <f t="shared" si="106"/>
        <v>200000</v>
      </c>
      <c r="N1669" s="23">
        <v>59000</v>
      </c>
      <c r="O1669" s="7">
        <f t="shared" si="107"/>
        <v>259000</v>
      </c>
      <c r="P1669" s="2" t="s">
        <v>35</v>
      </c>
      <c r="Q1669" t="str">
        <f>_xlfn.XLOOKUP(B1669,Status!$A$2:$A$1867,Status!$B$2:$B$1867)</f>
        <v>Completed</v>
      </c>
      <c r="R1669" s="2" t="s">
        <v>46</v>
      </c>
      <c r="S1669" s="8">
        <v>4</v>
      </c>
      <c r="T1669" s="2" t="s">
        <v>24</v>
      </c>
      <c r="U1669" s="31" t="str" cm="1">
        <f t="array" ref="U1669">_xlfn.IFS(L1669&lt;=5000,$Z$3,AND(L1669&gt;5000,L1669&lt;=15000),$Z$4,AND(L1669&gt;15000,L1669&lt;=30000),$Z$5,AND(L1669&gt;30000,L1669&lt;=50000),$Z$6,L1669&gt;50000,$Z$7)</f>
        <v>Tinggi</v>
      </c>
      <c r="V1669" s="2"/>
    </row>
    <row r="1670" spans="1:22" ht="15.75" customHeight="1" x14ac:dyDescent="0.25">
      <c r="A1670" s="26"/>
      <c r="B1670" s="2" t="s">
        <v>2039</v>
      </c>
      <c r="C1670" s="32">
        <v>45857.402997685182</v>
      </c>
      <c r="D1670" s="53">
        <f>YEAR(Table1[[#This Row],[Order Date]])</f>
        <v>2025</v>
      </c>
      <c r="E1670" s="2" t="s">
        <v>205</v>
      </c>
      <c r="F1670" s="2" t="s">
        <v>96</v>
      </c>
      <c r="G1670" s="2" t="s">
        <v>88</v>
      </c>
      <c r="H1670" s="23">
        <v>14000</v>
      </c>
      <c r="I1670" s="2">
        <v>5</v>
      </c>
      <c r="J1670" s="31">
        <v>15</v>
      </c>
      <c r="K1670" s="7">
        <f t="shared" si="104"/>
        <v>70000</v>
      </c>
      <c r="L1670" s="7">
        <f t="shared" si="105"/>
        <v>10500</v>
      </c>
      <c r="M1670" s="7">
        <f t="shared" si="106"/>
        <v>59500</v>
      </c>
      <c r="N1670" s="23">
        <v>49000</v>
      </c>
      <c r="O1670" s="7">
        <f t="shared" si="107"/>
        <v>108500</v>
      </c>
      <c r="P1670" s="2" t="s">
        <v>35</v>
      </c>
      <c r="Q1670" t="str">
        <f>_xlfn.XLOOKUP(B1670,Status!$A$2:$A$1867,Status!$B$2:$B$1867)</f>
        <v>Returned</v>
      </c>
      <c r="R1670" s="2" t="s">
        <v>36</v>
      </c>
      <c r="S1670" s="8">
        <v>4</v>
      </c>
      <c r="T1670" s="2" t="s">
        <v>24</v>
      </c>
      <c r="U1670" s="31" t="str" cm="1">
        <f t="array" ref="U1670">_xlfn.IFS(L1670&lt;=5000,$Z$3,AND(L1670&gt;5000,L1670&lt;=15000),$Z$4,AND(L1670&gt;15000,L1670&lt;=30000),$Z$5,AND(L1670&gt;30000,L1670&lt;=50000),$Z$6,L1670&gt;50000,$Z$7)</f>
        <v>Rendah</v>
      </c>
      <c r="V1670" s="2"/>
    </row>
    <row r="1671" spans="1:22" ht="15.75" customHeight="1" x14ac:dyDescent="0.25">
      <c r="A1671" s="26"/>
      <c r="B1671" s="2" t="s">
        <v>2040</v>
      </c>
      <c r="C1671" s="32">
        <v>45857.491909722223</v>
      </c>
      <c r="D1671" s="53">
        <f>YEAR(Table1[[#This Row],[Order Date]])</f>
        <v>2025</v>
      </c>
      <c r="E1671" s="2" t="s">
        <v>233</v>
      </c>
      <c r="F1671" s="2" t="s">
        <v>113</v>
      </c>
      <c r="G1671" s="2" t="s">
        <v>136</v>
      </c>
      <c r="H1671" s="23">
        <v>12000</v>
      </c>
      <c r="I1671" s="2">
        <v>4</v>
      </c>
      <c r="J1671" s="31">
        <v>5</v>
      </c>
      <c r="K1671" s="7">
        <f t="shared" si="104"/>
        <v>48000</v>
      </c>
      <c r="L1671" s="7">
        <f t="shared" si="105"/>
        <v>2400</v>
      </c>
      <c r="M1671" s="7">
        <f t="shared" si="106"/>
        <v>45600</v>
      </c>
      <c r="N1671" s="23">
        <v>18000</v>
      </c>
      <c r="O1671" s="7">
        <f t="shared" si="107"/>
        <v>63600</v>
      </c>
      <c r="P1671" s="2" t="s">
        <v>22</v>
      </c>
      <c r="Q1671" t="str">
        <f>_xlfn.XLOOKUP(B1671,Status!$A$2:$A$1867,Status!$B$2:$B$1867)</f>
        <v>Completed</v>
      </c>
      <c r="R1671" s="2" t="s">
        <v>23</v>
      </c>
      <c r="S1671" s="8">
        <v>1</v>
      </c>
      <c r="T1671" s="2" t="s">
        <v>37</v>
      </c>
      <c r="U1671" s="31" t="str" cm="1">
        <f t="array" ref="U1671">_xlfn.IFS(L1671&lt;=5000,$Z$3,AND(L1671&gt;5000,L1671&lt;=15000),$Z$4,AND(L1671&gt;15000,L1671&lt;=30000),$Z$5,AND(L1671&gt;30000,L1671&lt;=50000),$Z$6,L1671&gt;50000,$Z$7)</f>
        <v>Sangat Rendah</v>
      </c>
      <c r="V1671" s="2"/>
    </row>
    <row r="1672" spans="1:22" ht="15.75" customHeight="1" x14ac:dyDescent="0.25">
      <c r="A1672" s="26"/>
      <c r="B1672" s="2" t="s">
        <v>2041</v>
      </c>
      <c r="C1672" s="32">
        <v>45857.549756944441</v>
      </c>
      <c r="D1672" s="53">
        <f>YEAR(Table1[[#This Row],[Order Date]])</f>
        <v>2025</v>
      </c>
      <c r="E1672" s="2" t="s">
        <v>593</v>
      </c>
      <c r="F1672" s="2" t="s">
        <v>195</v>
      </c>
      <c r="G1672" s="2" t="s">
        <v>93</v>
      </c>
      <c r="H1672" s="23">
        <v>25000</v>
      </c>
      <c r="I1672" s="2">
        <v>3</v>
      </c>
      <c r="J1672" s="31">
        <v>5</v>
      </c>
      <c r="K1672" s="7">
        <f t="shared" si="104"/>
        <v>75000</v>
      </c>
      <c r="L1672" s="7">
        <f t="shared" si="105"/>
        <v>3750</v>
      </c>
      <c r="M1672" s="7">
        <f t="shared" si="106"/>
        <v>71250</v>
      </c>
      <c r="N1672" s="23">
        <v>87000</v>
      </c>
      <c r="O1672" s="7">
        <f t="shared" si="107"/>
        <v>158250</v>
      </c>
      <c r="P1672" s="2" t="s">
        <v>22</v>
      </c>
      <c r="Q1672" t="str">
        <f>_xlfn.XLOOKUP(B1672,Status!$A$2:$A$1867,Status!$B$2:$B$1867)</f>
        <v>Completed</v>
      </c>
      <c r="R1672" s="2" t="s">
        <v>36</v>
      </c>
      <c r="S1672" s="8">
        <v>3</v>
      </c>
      <c r="T1672" s="2" t="s">
        <v>24</v>
      </c>
      <c r="U1672" s="31" t="str" cm="1">
        <f t="array" ref="U1672">_xlfn.IFS(L1672&lt;=5000,$Z$3,AND(L1672&gt;5000,L1672&lt;=15000),$Z$4,AND(L1672&gt;15000,L1672&lt;=30000),$Z$5,AND(L1672&gt;30000,L1672&lt;=50000),$Z$6,L1672&gt;50000,$Z$7)</f>
        <v>Sangat Rendah</v>
      </c>
      <c r="V1672" s="2"/>
    </row>
    <row r="1673" spans="1:22" ht="15.75" customHeight="1" x14ac:dyDescent="0.25">
      <c r="A1673" s="26"/>
      <c r="B1673" s="2" t="s">
        <v>2042</v>
      </c>
      <c r="C1673" s="32">
        <v>45857.624537037038</v>
      </c>
      <c r="D1673" s="53">
        <f>YEAR(Table1[[#This Row],[Order Date]])</f>
        <v>2025</v>
      </c>
      <c r="E1673" s="2" t="s">
        <v>589</v>
      </c>
      <c r="F1673" s="2" t="s">
        <v>262</v>
      </c>
      <c r="G1673" s="2" t="s">
        <v>54</v>
      </c>
      <c r="H1673" s="23">
        <v>16000</v>
      </c>
      <c r="I1673" s="2">
        <v>2</v>
      </c>
      <c r="J1673" s="31">
        <v>5</v>
      </c>
      <c r="K1673" s="7">
        <f t="shared" si="104"/>
        <v>32000</v>
      </c>
      <c r="L1673" s="7">
        <f t="shared" si="105"/>
        <v>1600</v>
      </c>
      <c r="M1673" s="7">
        <f t="shared" si="106"/>
        <v>30400</v>
      </c>
      <c r="N1673" s="23">
        <v>18000</v>
      </c>
      <c r="O1673" s="7">
        <f t="shared" si="107"/>
        <v>48400</v>
      </c>
      <c r="P1673" s="2" t="s">
        <v>29</v>
      </c>
      <c r="Q1673" t="str">
        <f>_xlfn.XLOOKUP(B1673,Status!$A$2:$A$1867,Status!$B$2:$B$1867)</f>
        <v>Completed</v>
      </c>
      <c r="R1673" s="2" t="s">
        <v>36</v>
      </c>
      <c r="S1673" s="8">
        <v>2</v>
      </c>
      <c r="T1673" s="2" t="s">
        <v>37</v>
      </c>
      <c r="U1673" s="31" t="str" cm="1">
        <f t="array" ref="U1673">_xlfn.IFS(L1673&lt;=5000,$Z$3,AND(L1673&gt;5000,L1673&lt;=15000),$Z$4,AND(L1673&gt;15000,L1673&lt;=30000),$Z$5,AND(L1673&gt;30000,L1673&lt;=50000),$Z$6,L1673&gt;50000,$Z$7)</f>
        <v>Sangat Rendah</v>
      </c>
      <c r="V1673" s="2"/>
    </row>
    <row r="1674" spans="1:22" ht="15.75" customHeight="1" x14ac:dyDescent="0.25">
      <c r="A1674" s="26"/>
      <c r="B1674" s="2" t="s">
        <v>2042</v>
      </c>
      <c r="C1674" s="32">
        <v>45857.624537037038</v>
      </c>
      <c r="D1674" s="53">
        <f>YEAR(Table1[[#This Row],[Order Date]])</f>
        <v>2025</v>
      </c>
      <c r="E1674" s="2" t="s">
        <v>589</v>
      </c>
      <c r="F1674" s="2" t="s">
        <v>262</v>
      </c>
      <c r="G1674" s="2" t="s">
        <v>250</v>
      </c>
      <c r="H1674" s="23">
        <v>18000</v>
      </c>
      <c r="I1674" s="2">
        <v>4</v>
      </c>
      <c r="J1674" s="31">
        <v>10</v>
      </c>
      <c r="K1674" s="7">
        <f t="shared" si="104"/>
        <v>72000</v>
      </c>
      <c r="L1674" s="7">
        <f t="shared" si="105"/>
        <v>7200</v>
      </c>
      <c r="M1674" s="7">
        <f t="shared" si="106"/>
        <v>64800</v>
      </c>
      <c r="N1674" s="23">
        <v>0</v>
      </c>
      <c r="O1674" s="7">
        <f t="shared" si="107"/>
        <v>64800</v>
      </c>
      <c r="P1674" s="2" t="s">
        <v>29</v>
      </c>
      <c r="Q1674" t="str">
        <f>_xlfn.XLOOKUP(B1674,Status!$A$2:$A$1867,Status!$B$2:$B$1867)</f>
        <v>Completed</v>
      </c>
      <c r="R1674" s="2" t="s">
        <v>36</v>
      </c>
      <c r="S1674" s="8">
        <v>2</v>
      </c>
      <c r="T1674" s="2" t="s">
        <v>37</v>
      </c>
      <c r="U1674" s="31" t="str" cm="1">
        <f t="array" ref="U1674">_xlfn.IFS(L1674&lt;=5000,$Z$3,AND(L1674&gt;5000,L1674&lt;=15000),$Z$4,AND(L1674&gt;15000,L1674&lt;=30000),$Z$5,AND(L1674&gt;30000,L1674&lt;=50000),$Z$6,L1674&gt;50000,$Z$7)</f>
        <v>Rendah</v>
      </c>
      <c r="V1674" s="2"/>
    </row>
    <row r="1675" spans="1:22" ht="15.75" customHeight="1" x14ac:dyDescent="0.25">
      <c r="A1675" s="26"/>
      <c r="B1675" s="2" t="s">
        <v>2043</v>
      </c>
      <c r="C1675" s="32">
        <v>45857.767280092587</v>
      </c>
      <c r="D1675" s="53">
        <f>YEAR(Table1[[#This Row],[Order Date]])</f>
        <v>2025</v>
      </c>
      <c r="E1675" s="2" t="s">
        <v>451</v>
      </c>
      <c r="F1675" s="2" t="s">
        <v>116</v>
      </c>
      <c r="G1675" s="2" t="s">
        <v>58</v>
      </c>
      <c r="H1675" s="23">
        <v>16000</v>
      </c>
      <c r="I1675" s="2">
        <v>3</v>
      </c>
      <c r="J1675" s="31">
        <v>10</v>
      </c>
      <c r="K1675" s="7">
        <f t="shared" si="104"/>
        <v>48000</v>
      </c>
      <c r="L1675" s="7">
        <f t="shared" si="105"/>
        <v>4800</v>
      </c>
      <c r="M1675" s="7">
        <f t="shared" si="106"/>
        <v>43200</v>
      </c>
      <c r="N1675" s="23">
        <v>72000</v>
      </c>
      <c r="O1675" s="7">
        <f t="shared" si="107"/>
        <v>115200</v>
      </c>
      <c r="P1675" s="2" t="s">
        <v>63</v>
      </c>
      <c r="Q1675" t="str">
        <f>_xlfn.XLOOKUP(B1675,Status!$A$2:$A$1867,Status!$B$2:$B$1867)</f>
        <v>Completed</v>
      </c>
      <c r="R1675" s="2" t="s">
        <v>46</v>
      </c>
      <c r="S1675" s="8">
        <v>4</v>
      </c>
      <c r="T1675" s="2" t="s">
        <v>24</v>
      </c>
      <c r="U1675" s="31" t="str" cm="1">
        <f t="array" ref="U1675">_xlfn.IFS(L1675&lt;=5000,$Z$3,AND(L1675&gt;5000,L1675&lt;=15000),$Z$4,AND(L1675&gt;15000,L1675&lt;=30000),$Z$5,AND(L1675&gt;30000,L1675&lt;=50000),$Z$6,L1675&gt;50000,$Z$7)</f>
        <v>Sangat Rendah</v>
      </c>
      <c r="V1675" s="2"/>
    </row>
    <row r="1676" spans="1:22" ht="15.75" customHeight="1" x14ac:dyDescent="0.25">
      <c r="A1676" s="26"/>
      <c r="B1676" s="2" t="s">
        <v>2044</v>
      </c>
      <c r="C1676" s="32">
        <v>45858.306689814817</v>
      </c>
      <c r="D1676" s="53">
        <f>YEAR(Table1[[#This Row],[Order Date]])</f>
        <v>2025</v>
      </c>
      <c r="E1676" s="2" t="s">
        <v>1259</v>
      </c>
      <c r="F1676" s="2" t="s">
        <v>107</v>
      </c>
      <c r="G1676" s="2" t="s">
        <v>88</v>
      </c>
      <c r="H1676" s="23">
        <v>14000</v>
      </c>
      <c r="I1676" s="2">
        <v>2</v>
      </c>
      <c r="J1676" s="31">
        <v>5</v>
      </c>
      <c r="K1676" s="7">
        <f t="shared" si="104"/>
        <v>28000</v>
      </c>
      <c r="L1676" s="7">
        <f t="shared" si="105"/>
        <v>1400</v>
      </c>
      <c r="M1676" s="7">
        <f t="shared" si="106"/>
        <v>26600</v>
      </c>
      <c r="N1676" s="23">
        <v>97000</v>
      </c>
      <c r="O1676" s="7">
        <f t="shared" si="107"/>
        <v>123600</v>
      </c>
      <c r="P1676" s="2" t="s">
        <v>22</v>
      </c>
      <c r="Q1676" t="str">
        <f>_xlfn.XLOOKUP(B1676,Status!$A$2:$A$1867,Status!$B$2:$B$1867)</f>
        <v>Completed</v>
      </c>
      <c r="R1676" s="2" t="s">
        <v>23</v>
      </c>
      <c r="S1676" s="8">
        <v>2</v>
      </c>
      <c r="T1676" s="2" t="s">
        <v>37</v>
      </c>
      <c r="U1676" s="31" t="str" cm="1">
        <f t="array" ref="U1676">_xlfn.IFS(L1676&lt;=5000,$Z$3,AND(L1676&gt;5000,L1676&lt;=15000),$Z$4,AND(L1676&gt;15000,L1676&lt;=30000),$Z$5,AND(L1676&gt;30000,L1676&lt;=50000),$Z$6,L1676&gt;50000,$Z$7)</f>
        <v>Sangat Rendah</v>
      </c>
      <c r="V1676" s="2"/>
    </row>
    <row r="1677" spans="1:22" ht="15.75" customHeight="1" x14ac:dyDescent="0.25">
      <c r="A1677" s="26"/>
      <c r="B1677" s="2" t="s">
        <v>2044</v>
      </c>
      <c r="C1677" s="32">
        <v>45858.306689814817</v>
      </c>
      <c r="D1677" s="53">
        <f>YEAR(Table1[[#This Row],[Order Date]])</f>
        <v>2025</v>
      </c>
      <c r="E1677" s="2" t="s">
        <v>1259</v>
      </c>
      <c r="F1677" s="2" t="s">
        <v>107</v>
      </c>
      <c r="G1677" s="2" t="s">
        <v>28</v>
      </c>
      <c r="H1677" s="23">
        <v>5000</v>
      </c>
      <c r="I1677" s="2">
        <v>4</v>
      </c>
      <c r="J1677" s="31">
        <v>0</v>
      </c>
      <c r="K1677" s="7">
        <f t="shared" si="104"/>
        <v>20000</v>
      </c>
      <c r="L1677" s="7">
        <f t="shared" si="105"/>
        <v>0</v>
      </c>
      <c r="M1677" s="7">
        <f t="shared" si="106"/>
        <v>20000</v>
      </c>
      <c r="N1677" s="23">
        <v>0</v>
      </c>
      <c r="O1677" s="7">
        <f t="shared" si="107"/>
        <v>20000</v>
      </c>
      <c r="P1677" s="2" t="s">
        <v>22</v>
      </c>
      <c r="Q1677" t="str">
        <f>_xlfn.XLOOKUP(B1677,Status!$A$2:$A$1867,Status!$B$2:$B$1867)</f>
        <v>Completed</v>
      </c>
      <c r="R1677" s="2" t="s">
        <v>23</v>
      </c>
      <c r="S1677" s="8">
        <v>2</v>
      </c>
      <c r="T1677" s="2" t="s">
        <v>37</v>
      </c>
      <c r="U1677" s="31" t="str" cm="1">
        <f t="array" ref="U1677">_xlfn.IFS(L1677&lt;=5000,$Z$3,AND(L1677&gt;5000,L1677&lt;=15000),$Z$4,AND(L1677&gt;15000,L1677&lt;=30000),$Z$5,AND(L1677&gt;30000,L1677&lt;=50000),$Z$6,L1677&gt;50000,$Z$7)</f>
        <v>Sangat Rendah</v>
      </c>
      <c r="V1677" s="2"/>
    </row>
    <row r="1678" spans="1:22" ht="15.75" customHeight="1" x14ac:dyDescent="0.25">
      <c r="A1678" s="26"/>
      <c r="B1678" s="2" t="s">
        <v>2045</v>
      </c>
      <c r="C1678" s="32">
        <v>45858.482719907413</v>
      </c>
      <c r="D1678" s="53">
        <f>YEAR(Table1[[#This Row],[Order Date]])</f>
        <v>2025</v>
      </c>
      <c r="E1678" s="2" t="s">
        <v>287</v>
      </c>
      <c r="F1678" s="2" t="s">
        <v>262</v>
      </c>
      <c r="G1678" s="2" t="s">
        <v>138</v>
      </c>
      <c r="H1678" s="23">
        <v>17000</v>
      </c>
      <c r="I1678" s="2">
        <v>5</v>
      </c>
      <c r="J1678" s="31">
        <v>10</v>
      </c>
      <c r="K1678" s="7">
        <f t="shared" si="104"/>
        <v>85000</v>
      </c>
      <c r="L1678" s="7">
        <f t="shared" si="105"/>
        <v>8500</v>
      </c>
      <c r="M1678" s="7">
        <f t="shared" si="106"/>
        <v>76500</v>
      </c>
      <c r="N1678" s="23">
        <v>18000</v>
      </c>
      <c r="O1678" s="7">
        <f t="shared" si="107"/>
        <v>94500</v>
      </c>
      <c r="P1678" s="2" t="s">
        <v>35</v>
      </c>
      <c r="Q1678" t="str">
        <f>_xlfn.XLOOKUP(B1678,Status!$A$2:$A$1867,Status!$B$2:$B$1867)</f>
        <v>Completed</v>
      </c>
      <c r="R1678" s="2" t="s">
        <v>36</v>
      </c>
      <c r="S1678" s="8">
        <v>2</v>
      </c>
      <c r="T1678" s="2" t="s">
        <v>24</v>
      </c>
      <c r="U1678" s="31" t="str" cm="1">
        <f t="array" ref="U1678">_xlfn.IFS(L1678&lt;=5000,$Z$3,AND(L1678&gt;5000,L1678&lt;=15000),$Z$4,AND(L1678&gt;15000,L1678&lt;=30000),$Z$5,AND(L1678&gt;30000,L1678&lt;=50000),$Z$6,L1678&gt;50000,$Z$7)</f>
        <v>Rendah</v>
      </c>
      <c r="V1678" s="2"/>
    </row>
    <row r="1679" spans="1:22" ht="15.75" customHeight="1" x14ac:dyDescent="0.25">
      <c r="A1679" s="26"/>
      <c r="B1679" s="2" t="s">
        <v>2046</v>
      </c>
      <c r="C1679" s="32">
        <v>45858.538888888892</v>
      </c>
      <c r="D1679" s="53">
        <f>YEAR(Table1[[#This Row],[Order Date]])</f>
        <v>2025</v>
      </c>
      <c r="E1679" s="2" t="s">
        <v>1561</v>
      </c>
      <c r="F1679" s="2" t="s">
        <v>160</v>
      </c>
      <c r="G1679" s="2" t="s">
        <v>123</v>
      </c>
      <c r="H1679" s="23">
        <v>22000</v>
      </c>
      <c r="I1679" s="2">
        <v>4</v>
      </c>
      <c r="J1679" s="31">
        <v>0</v>
      </c>
      <c r="K1679" s="7">
        <f t="shared" si="104"/>
        <v>88000</v>
      </c>
      <c r="L1679" s="7">
        <f t="shared" si="105"/>
        <v>0</v>
      </c>
      <c r="M1679" s="7">
        <f t="shared" si="106"/>
        <v>88000</v>
      </c>
      <c r="N1679" s="23">
        <v>68000</v>
      </c>
      <c r="O1679" s="7">
        <f t="shared" si="107"/>
        <v>156000</v>
      </c>
      <c r="P1679" s="2" t="s">
        <v>63</v>
      </c>
      <c r="Q1679" t="str">
        <f>_xlfn.XLOOKUP(B1679,Status!$A$2:$A$1867,Status!$B$2:$B$1867)</f>
        <v>Returned</v>
      </c>
      <c r="R1679" s="2" t="s">
        <v>23</v>
      </c>
      <c r="S1679" s="8">
        <v>5</v>
      </c>
      <c r="T1679" s="2" t="s">
        <v>24</v>
      </c>
      <c r="U1679" s="31" t="str" cm="1">
        <f t="array" ref="U1679">_xlfn.IFS(L1679&lt;=5000,$Z$3,AND(L1679&gt;5000,L1679&lt;=15000),$Z$4,AND(L1679&gt;15000,L1679&lt;=30000),$Z$5,AND(L1679&gt;30000,L1679&lt;=50000),$Z$6,L1679&gt;50000,$Z$7)</f>
        <v>Sangat Rendah</v>
      </c>
      <c r="V1679" s="2"/>
    </row>
    <row r="1680" spans="1:22" ht="15.75" customHeight="1" x14ac:dyDescent="0.25">
      <c r="A1680" s="26"/>
      <c r="B1680" s="2" t="s">
        <v>2047</v>
      </c>
      <c r="C1680" s="32">
        <v>45858.574756944443</v>
      </c>
      <c r="D1680" s="53">
        <f>YEAR(Table1[[#This Row],[Order Date]])</f>
        <v>2025</v>
      </c>
      <c r="E1680" s="2" t="s">
        <v>118</v>
      </c>
      <c r="F1680" s="2" t="s">
        <v>119</v>
      </c>
      <c r="G1680" s="2" t="s">
        <v>75</v>
      </c>
      <c r="H1680" s="23">
        <v>55000</v>
      </c>
      <c r="I1680" s="2">
        <v>3</v>
      </c>
      <c r="J1680" s="31">
        <v>5</v>
      </c>
      <c r="K1680" s="7">
        <f t="shared" si="104"/>
        <v>165000</v>
      </c>
      <c r="L1680" s="7">
        <f t="shared" si="105"/>
        <v>8250</v>
      </c>
      <c r="M1680" s="7">
        <f t="shared" si="106"/>
        <v>156750</v>
      </c>
      <c r="N1680" s="23">
        <v>0</v>
      </c>
      <c r="O1680" s="7">
        <f t="shared" si="107"/>
        <v>156750</v>
      </c>
      <c r="P1680" s="2" t="s">
        <v>29</v>
      </c>
      <c r="Q1680" t="str">
        <f>_xlfn.XLOOKUP(B1680,Status!$A$2:$A$1867,Status!$B$2:$B$1867)</f>
        <v>Completed</v>
      </c>
      <c r="R1680" s="2" t="s">
        <v>36</v>
      </c>
      <c r="S1680" s="8">
        <v>4</v>
      </c>
      <c r="T1680" s="2" t="s">
        <v>24</v>
      </c>
      <c r="U1680" s="31" t="str" cm="1">
        <f t="array" ref="U1680">_xlfn.IFS(L1680&lt;=5000,$Z$3,AND(L1680&gt;5000,L1680&lt;=15000),$Z$4,AND(L1680&gt;15000,L1680&lt;=30000),$Z$5,AND(L1680&gt;30000,L1680&lt;=50000),$Z$6,L1680&gt;50000,$Z$7)</f>
        <v>Rendah</v>
      </c>
      <c r="V1680" s="2"/>
    </row>
    <row r="1681" spans="1:22" ht="15.75" customHeight="1" x14ac:dyDescent="0.25">
      <c r="A1681" s="26"/>
      <c r="B1681" s="2" t="s">
        <v>2048</v>
      </c>
      <c r="C1681" s="32">
        <v>45858.871342592603</v>
      </c>
      <c r="D1681" s="53">
        <f>YEAR(Table1[[#This Row],[Order Date]])</f>
        <v>2025</v>
      </c>
      <c r="E1681" s="2" t="s">
        <v>1005</v>
      </c>
      <c r="F1681" s="2" t="s">
        <v>122</v>
      </c>
      <c r="G1681" s="2" t="s">
        <v>71</v>
      </c>
      <c r="H1681" s="23">
        <v>40000</v>
      </c>
      <c r="I1681" s="2">
        <v>1</v>
      </c>
      <c r="J1681" s="31">
        <v>20</v>
      </c>
      <c r="K1681" s="7">
        <f t="shared" si="104"/>
        <v>40000</v>
      </c>
      <c r="L1681" s="7">
        <f t="shared" si="105"/>
        <v>8000</v>
      </c>
      <c r="M1681" s="7">
        <f t="shared" si="106"/>
        <v>32000</v>
      </c>
      <c r="N1681" s="23">
        <v>78000</v>
      </c>
      <c r="O1681" s="7">
        <f t="shared" si="107"/>
        <v>110000</v>
      </c>
      <c r="P1681" s="2" t="s">
        <v>35</v>
      </c>
      <c r="Q1681" t="str">
        <f>_xlfn.XLOOKUP(B1681,Status!$A$2:$A$1867,Status!$B$2:$B$1867)</f>
        <v>Completed</v>
      </c>
      <c r="R1681" s="2" t="s">
        <v>82</v>
      </c>
      <c r="S1681" s="8">
        <v>1</v>
      </c>
      <c r="T1681" s="2" t="s">
        <v>24</v>
      </c>
      <c r="U1681" s="31" t="str" cm="1">
        <f t="array" ref="U1681">_xlfn.IFS(L1681&lt;=5000,$Z$3,AND(L1681&gt;5000,L1681&lt;=15000),$Z$4,AND(L1681&gt;15000,L1681&lt;=30000),$Z$5,AND(L1681&gt;30000,L1681&lt;=50000),$Z$6,L1681&gt;50000,$Z$7)</f>
        <v>Rendah</v>
      </c>
      <c r="V1681" s="2"/>
    </row>
    <row r="1682" spans="1:22" ht="15.75" customHeight="1" x14ac:dyDescent="0.25">
      <c r="A1682" s="26"/>
      <c r="B1682" s="2" t="s">
        <v>2049</v>
      </c>
      <c r="C1682" s="32">
        <v>45858.920138888891</v>
      </c>
      <c r="D1682" s="53">
        <f>YEAR(Table1[[#This Row],[Order Date]])</f>
        <v>2025</v>
      </c>
      <c r="E1682" s="2" t="s">
        <v>683</v>
      </c>
      <c r="F1682" s="2" t="s">
        <v>27</v>
      </c>
      <c r="G1682" s="2" t="s">
        <v>104</v>
      </c>
      <c r="H1682" s="23">
        <v>30000</v>
      </c>
      <c r="I1682" s="2">
        <v>4</v>
      </c>
      <c r="J1682" s="31">
        <v>5</v>
      </c>
      <c r="K1682" s="7">
        <f t="shared" si="104"/>
        <v>120000</v>
      </c>
      <c r="L1682" s="7">
        <f t="shared" si="105"/>
        <v>6000</v>
      </c>
      <c r="M1682" s="7">
        <f t="shared" si="106"/>
        <v>114000</v>
      </c>
      <c r="N1682" s="23">
        <v>17000</v>
      </c>
      <c r="O1682" s="7">
        <f t="shared" si="107"/>
        <v>131000</v>
      </c>
      <c r="P1682" s="2" t="s">
        <v>63</v>
      </c>
      <c r="Q1682" t="str">
        <f>_xlfn.XLOOKUP(B1682,Status!$A$2:$A$1867,Status!$B$2:$B$1867)</f>
        <v>Completed</v>
      </c>
      <c r="R1682" s="2" t="s">
        <v>82</v>
      </c>
      <c r="S1682" s="8">
        <v>2</v>
      </c>
      <c r="T1682" s="2" t="s">
        <v>37</v>
      </c>
      <c r="U1682" s="31" t="str" cm="1">
        <f t="array" ref="U1682">_xlfn.IFS(L1682&lt;=5000,$Z$3,AND(L1682&gt;5000,L1682&lt;=15000),$Z$4,AND(L1682&gt;15000,L1682&lt;=30000),$Z$5,AND(L1682&gt;30000,L1682&lt;=50000),$Z$6,L1682&gt;50000,$Z$7)</f>
        <v>Rendah</v>
      </c>
      <c r="V1682" s="2"/>
    </row>
    <row r="1683" spans="1:22" ht="15.75" customHeight="1" x14ac:dyDescent="0.25">
      <c r="A1683" s="26"/>
      <c r="B1683" s="2" t="s">
        <v>2050</v>
      </c>
      <c r="C1683" s="32">
        <v>45858.955439814818</v>
      </c>
      <c r="D1683" s="53">
        <f>YEAR(Table1[[#This Row],[Order Date]])</f>
        <v>2025</v>
      </c>
      <c r="E1683" s="2" t="s">
        <v>87</v>
      </c>
      <c r="F1683" s="2" t="s">
        <v>80</v>
      </c>
      <c r="G1683" s="2" t="s">
        <v>110</v>
      </c>
      <c r="H1683" s="23">
        <v>6000</v>
      </c>
      <c r="I1683" s="2">
        <v>4</v>
      </c>
      <c r="J1683" s="31">
        <v>20</v>
      </c>
      <c r="K1683" s="7">
        <f t="shared" si="104"/>
        <v>24000</v>
      </c>
      <c r="L1683" s="7">
        <f t="shared" si="105"/>
        <v>4800</v>
      </c>
      <c r="M1683" s="7">
        <f t="shared" si="106"/>
        <v>19200</v>
      </c>
      <c r="N1683" s="23">
        <v>74000</v>
      </c>
      <c r="O1683" s="7">
        <f t="shared" si="107"/>
        <v>93200</v>
      </c>
      <c r="P1683" s="2" t="s">
        <v>35</v>
      </c>
      <c r="Q1683" t="str">
        <f>_xlfn.XLOOKUP(B1683,Status!$A$2:$A$1867,Status!$B$2:$B$1867)</f>
        <v>Completed</v>
      </c>
      <c r="R1683" s="2" t="s">
        <v>82</v>
      </c>
      <c r="S1683" s="8">
        <v>4</v>
      </c>
      <c r="T1683" s="2" t="s">
        <v>24</v>
      </c>
      <c r="U1683" s="31" t="str" cm="1">
        <f t="array" ref="U1683">_xlfn.IFS(L1683&lt;=5000,$Z$3,AND(L1683&gt;5000,L1683&lt;=15000),$Z$4,AND(L1683&gt;15000,L1683&lt;=30000),$Z$5,AND(L1683&gt;30000,L1683&lt;=50000),$Z$6,L1683&gt;50000,$Z$7)</f>
        <v>Sangat Rendah</v>
      </c>
      <c r="V1683" s="2"/>
    </row>
    <row r="1684" spans="1:22" ht="15.75" customHeight="1" x14ac:dyDescent="0.25">
      <c r="A1684" s="26"/>
      <c r="B1684" s="2" t="s">
        <v>2051</v>
      </c>
      <c r="C1684" s="32">
        <v>45859.043854166674</v>
      </c>
      <c r="D1684" s="53">
        <f>YEAR(Table1[[#This Row],[Order Date]])</f>
        <v>2025</v>
      </c>
      <c r="E1684" s="2" t="s">
        <v>1055</v>
      </c>
      <c r="F1684" s="2" t="s">
        <v>57</v>
      </c>
      <c r="G1684" s="2" t="s">
        <v>45</v>
      </c>
      <c r="H1684" s="23">
        <v>40000</v>
      </c>
      <c r="I1684" s="2">
        <v>4</v>
      </c>
      <c r="J1684" s="31">
        <v>20</v>
      </c>
      <c r="K1684" s="7">
        <f t="shared" si="104"/>
        <v>160000</v>
      </c>
      <c r="L1684" s="7">
        <f t="shared" si="105"/>
        <v>32000</v>
      </c>
      <c r="M1684" s="7">
        <f t="shared" si="106"/>
        <v>128000</v>
      </c>
      <c r="N1684" s="23">
        <v>80000</v>
      </c>
      <c r="O1684" s="7">
        <f t="shared" si="107"/>
        <v>208000</v>
      </c>
      <c r="P1684" s="2" t="s">
        <v>22</v>
      </c>
      <c r="Q1684" t="str">
        <f>_xlfn.XLOOKUP(B1684,Status!$A$2:$A$1867,Status!$B$2:$B$1867)</f>
        <v>Completed</v>
      </c>
      <c r="R1684" s="2" t="s">
        <v>46</v>
      </c>
      <c r="S1684" s="8">
        <v>4</v>
      </c>
      <c r="T1684" s="2" t="s">
        <v>24</v>
      </c>
      <c r="U1684" s="31" t="str" cm="1">
        <f t="array" ref="U1684">_xlfn.IFS(L1684&lt;=5000,$Z$3,AND(L1684&gt;5000,L1684&lt;=15000),$Z$4,AND(L1684&gt;15000,L1684&lt;=30000),$Z$5,AND(L1684&gt;30000,L1684&lt;=50000),$Z$6,L1684&gt;50000,$Z$7)</f>
        <v>Tinggi</v>
      </c>
      <c r="V1684" s="2"/>
    </row>
    <row r="1685" spans="1:22" ht="15.75" customHeight="1" x14ac:dyDescent="0.25">
      <c r="A1685" s="26"/>
      <c r="B1685" s="2" t="s">
        <v>2052</v>
      </c>
      <c r="C1685" s="32">
        <v>45859.081643518519</v>
      </c>
      <c r="D1685" s="53">
        <f>YEAR(Table1[[#This Row],[Order Date]])</f>
        <v>2025</v>
      </c>
      <c r="E1685" s="2" t="s">
        <v>557</v>
      </c>
      <c r="F1685" s="2" t="s">
        <v>173</v>
      </c>
      <c r="G1685" s="2" t="s">
        <v>54</v>
      </c>
      <c r="H1685" s="23">
        <v>16000</v>
      </c>
      <c r="I1685" s="2">
        <v>4</v>
      </c>
      <c r="J1685" s="31">
        <v>10</v>
      </c>
      <c r="K1685" s="7">
        <f t="shared" si="104"/>
        <v>64000</v>
      </c>
      <c r="L1685" s="7">
        <f t="shared" si="105"/>
        <v>6400</v>
      </c>
      <c r="M1685" s="7">
        <f t="shared" si="106"/>
        <v>57600</v>
      </c>
      <c r="N1685" s="23">
        <v>49000</v>
      </c>
      <c r="O1685" s="7">
        <f t="shared" si="107"/>
        <v>106600</v>
      </c>
      <c r="P1685" s="2" t="s">
        <v>22</v>
      </c>
      <c r="Q1685" t="str">
        <f>_xlfn.XLOOKUP(B1685,Status!$A$2:$A$1867,Status!$B$2:$B$1867)</f>
        <v>Completed</v>
      </c>
      <c r="R1685" s="2" t="s">
        <v>30</v>
      </c>
      <c r="S1685" s="8">
        <v>4</v>
      </c>
      <c r="T1685" s="2" t="s">
        <v>24</v>
      </c>
      <c r="U1685" s="31" t="str" cm="1">
        <f t="array" ref="U1685">_xlfn.IFS(L1685&lt;=5000,$Z$3,AND(L1685&gt;5000,L1685&lt;=15000),$Z$4,AND(L1685&gt;15000,L1685&lt;=30000),$Z$5,AND(L1685&gt;30000,L1685&lt;=50000),$Z$6,L1685&gt;50000,$Z$7)</f>
        <v>Rendah</v>
      </c>
      <c r="V1685" s="2"/>
    </row>
    <row r="1686" spans="1:22" ht="15.75" customHeight="1" x14ac:dyDescent="0.25">
      <c r="A1686" s="26"/>
      <c r="B1686" s="2" t="s">
        <v>2053</v>
      </c>
      <c r="C1686" s="32">
        <v>45859.17732638889</v>
      </c>
      <c r="D1686" s="53">
        <f>YEAR(Table1[[#This Row],[Order Date]])</f>
        <v>2025</v>
      </c>
      <c r="E1686" s="2" t="s">
        <v>128</v>
      </c>
      <c r="F1686" s="2" t="s">
        <v>103</v>
      </c>
      <c r="G1686" s="2" t="s">
        <v>58</v>
      </c>
      <c r="H1686" s="23">
        <v>16000</v>
      </c>
      <c r="I1686" s="2">
        <v>5</v>
      </c>
      <c r="J1686" s="31">
        <v>20</v>
      </c>
      <c r="K1686" s="7">
        <f t="shared" si="104"/>
        <v>80000</v>
      </c>
      <c r="L1686" s="7">
        <f t="shared" si="105"/>
        <v>16000</v>
      </c>
      <c r="M1686" s="7">
        <f t="shared" si="106"/>
        <v>64000</v>
      </c>
      <c r="N1686" s="23">
        <v>85000</v>
      </c>
      <c r="O1686" s="7">
        <f t="shared" si="107"/>
        <v>149000</v>
      </c>
      <c r="P1686" s="2" t="s">
        <v>29</v>
      </c>
      <c r="Q1686" t="str">
        <f>_xlfn.XLOOKUP(B1686,Status!$A$2:$A$1867,Status!$B$2:$B$1867)</f>
        <v>Completed</v>
      </c>
      <c r="R1686" s="2" t="s">
        <v>46</v>
      </c>
      <c r="S1686" s="8">
        <v>3</v>
      </c>
      <c r="T1686" s="2" t="s">
        <v>37</v>
      </c>
      <c r="U1686" s="31" t="str" cm="1">
        <f t="array" ref="U1686">_xlfn.IFS(L1686&lt;=5000,$Z$3,AND(L1686&gt;5000,L1686&lt;=15000),$Z$4,AND(L1686&gt;15000,L1686&lt;=30000),$Z$5,AND(L1686&gt;30000,L1686&lt;=50000),$Z$6,L1686&gt;50000,$Z$7)</f>
        <v>Normal</v>
      </c>
      <c r="V1686" s="2"/>
    </row>
    <row r="1687" spans="1:22" ht="15.75" customHeight="1" x14ac:dyDescent="0.25">
      <c r="A1687" s="26"/>
      <c r="B1687" s="2" t="s">
        <v>2053</v>
      </c>
      <c r="C1687" s="32">
        <v>45859.17732638889</v>
      </c>
      <c r="D1687" s="53">
        <f>YEAR(Table1[[#This Row],[Order Date]])</f>
        <v>2025</v>
      </c>
      <c r="E1687" s="2" t="s">
        <v>128</v>
      </c>
      <c r="F1687" s="2" t="s">
        <v>103</v>
      </c>
      <c r="G1687" s="2" t="s">
        <v>21</v>
      </c>
      <c r="H1687" s="23">
        <v>45000</v>
      </c>
      <c r="I1687" s="2">
        <v>1</v>
      </c>
      <c r="J1687" s="31">
        <v>20</v>
      </c>
      <c r="K1687" s="7">
        <f t="shared" si="104"/>
        <v>45000</v>
      </c>
      <c r="L1687" s="7">
        <f t="shared" si="105"/>
        <v>9000</v>
      </c>
      <c r="M1687" s="7">
        <f t="shared" si="106"/>
        <v>36000</v>
      </c>
      <c r="N1687" s="23">
        <v>0</v>
      </c>
      <c r="O1687" s="7">
        <f t="shared" si="107"/>
        <v>36000</v>
      </c>
      <c r="P1687" s="2" t="s">
        <v>29</v>
      </c>
      <c r="Q1687" t="str">
        <f>_xlfn.XLOOKUP(B1687,Status!$A$2:$A$1867,Status!$B$2:$B$1867)</f>
        <v>Completed</v>
      </c>
      <c r="R1687" s="2" t="s">
        <v>46</v>
      </c>
      <c r="S1687" s="8">
        <v>3</v>
      </c>
      <c r="T1687" s="2" t="s">
        <v>37</v>
      </c>
      <c r="U1687" s="31" t="str" cm="1">
        <f t="array" ref="U1687">_xlfn.IFS(L1687&lt;=5000,$Z$3,AND(L1687&gt;5000,L1687&lt;=15000),$Z$4,AND(L1687&gt;15000,L1687&lt;=30000),$Z$5,AND(L1687&gt;30000,L1687&lt;=50000),$Z$6,L1687&gt;50000,$Z$7)</f>
        <v>Rendah</v>
      </c>
      <c r="V1687" s="2"/>
    </row>
    <row r="1688" spans="1:22" ht="15.75" customHeight="1" x14ac:dyDescent="0.25">
      <c r="A1688" s="26"/>
      <c r="B1688" s="2" t="s">
        <v>2054</v>
      </c>
      <c r="C1688" s="32">
        <v>45859.227777777778</v>
      </c>
      <c r="D1688" s="53">
        <f>YEAR(Table1[[#This Row],[Order Date]])</f>
        <v>2025</v>
      </c>
      <c r="E1688" s="2" t="s">
        <v>451</v>
      </c>
      <c r="F1688" s="2" t="s">
        <v>116</v>
      </c>
      <c r="G1688" s="2" t="s">
        <v>144</v>
      </c>
      <c r="H1688" s="23">
        <v>18000</v>
      </c>
      <c r="I1688" s="2">
        <v>2</v>
      </c>
      <c r="J1688" s="31">
        <v>5</v>
      </c>
      <c r="K1688" s="7">
        <f t="shared" si="104"/>
        <v>36000</v>
      </c>
      <c r="L1688" s="7">
        <f t="shared" si="105"/>
        <v>1800</v>
      </c>
      <c r="M1688" s="7">
        <f t="shared" si="106"/>
        <v>34200</v>
      </c>
      <c r="N1688" s="23">
        <v>72000</v>
      </c>
      <c r="O1688" s="7">
        <f t="shared" si="107"/>
        <v>106200</v>
      </c>
      <c r="P1688" s="2" t="s">
        <v>22</v>
      </c>
      <c r="Q1688" t="str">
        <f>_xlfn.XLOOKUP(B1688,Status!$A$2:$A$1867,Status!$B$2:$B$1867)</f>
        <v>Completed</v>
      </c>
      <c r="R1688" s="2" t="s">
        <v>36</v>
      </c>
      <c r="S1688" s="8">
        <v>1</v>
      </c>
      <c r="T1688" s="2" t="s">
        <v>24</v>
      </c>
      <c r="U1688" s="31" t="str" cm="1">
        <f t="array" ref="U1688">_xlfn.IFS(L1688&lt;=5000,$Z$3,AND(L1688&gt;5000,L1688&lt;=15000),$Z$4,AND(L1688&gt;15000,L1688&lt;=30000),$Z$5,AND(L1688&gt;30000,L1688&lt;=50000),$Z$6,L1688&gt;50000,$Z$7)</f>
        <v>Sangat Rendah</v>
      </c>
      <c r="V1688" s="2"/>
    </row>
    <row r="1689" spans="1:22" ht="15.75" customHeight="1" x14ac:dyDescent="0.25">
      <c r="A1689" s="26"/>
      <c r="B1689" s="2" t="s">
        <v>2055</v>
      </c>
      <c r="C1689" s="32">
        <v>45859.833912037036</v>
      </c>
      <c r="D1689" s="53">
        <f>YEAR(Table1[[#This Row],[Order Date]])</f>
        <v>2025</v>
      </c>
      <c r="E1689" s="2" t="s">
        <v>311</v>
      </c>
      <c r="F1689" s="2" t="s">
        <v>116</v>
      </c>
      <c r="G1689" s="2" t="s">
        <v>136</v>
      </c>
      <c r="H1689" s="23">
        <v>12000</v>
      </c>
      <c r="I1689" s="2">
        <v>5</v>
      </c>
      <c r="J1689" s="31">
        <v>10</v>
      </c>
      <c r="K1689" s="7">
        <f t="shared" si="104"/>
        <v>60000</v>
      </c>
      <c r="L1689" s="7">
        <f t="shared" si="105"/>
        <v>6000</v>
      </c>
      <c r="M1689" s="7">
        <f t="shared" si="106"/>
        <v>54000</v>
      </c>
      <c r="N1689" s="23">
        <v>72000</v>
      </c>
      <c r="O1689" s="7">
        <f t="shared" si="107"/>
        <v>126000</v>
      </c>
      <c r="P1689" s="2" t="s">
        <v>22</v>
      </c>
      <c r="Q1689" t="str">
        <f>_xlfn.XLOOKUP(B1689,Status!$A$2:$A$1867,Status!$B$2:$B$1867)</f>
        <v>Returned</v>
      </c>
      <c r="R1689" s="2" t="s">
        <v>46</v>
      </c>
      <c r="S1689" s="8">
        <v>4</v>
      </c>
      <c r="T1689" s="2" t="s">
        <v>24</v>
      </c>
      <c r="U1689" s="31" t="str" cm="1">
        <f t="array" ref="U1689">_xlfn.IFS(L1689&lt;=5000,$Z$3,AND(L1689&gt;5000,L1689&lt;=15000),$Z$4,AND(L1689&gt;15000,L1689&lt;=30000),$Z$5,AND(L1689&gt;30000,L1689&lt;=50000),$Z$6,L1689&gt;50000,$Z$7)</f>
        <v>Rendah</v>
      </c>
      <c r="V1689" s="2"/>
    </row>
    <row r="1690" spans="1:22" ht="15.75" customHeight="1" x14ac:dyDescent="0.25">
      <c r="A1690" s="26"/>
      <c r="B1690" s="2" t="s">
        <v>2056</v>
      </c>
      <c r="C1690" s="32">
        <v>45860.616342592592</v>
      </c>
      <c r="D1690" s="53">
        <f>YEAR(Table1[[#This Row],[Order Date]])</f>
        <v>2025</v>
      </c>
      <c r="E1690" s="2" t="s">
        <v>254</v>
      </c>
      <c r="F1690" s="2" t="s">
        <v>61</v>
      </c>
      <c r="G1690" s="2" t="s">
        <v>62</v>
      </c>
      <c r="H1690" s="23">
        <v>50000</v>
      </c>
      <c r="I1690" s="2">
        <v>1</v>
      </c>
      <c r="J1690" s="31">
        <v>0</v>
      </c>
      <c r="K1690" s="7">
        <f t="shared" si="104"/>
        <v>50000</v>
      </c>
      <c r="L1690" s="7">
        <f t="shared" si="105"/>
        <v>0</v>
      </c>
      <c r="M1690" s="7">
        <f t="shared" si="106"/>
        <v>50000</v>
      </c>
      <c r="N1690" s="23">
        <v>26000</v>
      </c>
      <c r="O1690" s="7">
        <f t="shared" si="107"/>
        <v>76000</v>
      </c>
      <c r="P1690" s="2" t="s">
        <v>63</v>
      </c>
      <c r="Q1690" t="str">
        <f>_xlfn.XLOOKUP(B1690,Status!$A$2:$A$1867,Status!$B$2:$B$1867)</f>
        <v>Completed</v>
      </c>
      <c r="R1690" s="2" t="s">
        <v>82</v>
      </c>
      <c r="S1690" s="8">
        <v>5</v>
      </c>
      <c r="T1690" s="2" t="s">
        <v>24</v>
      </c>
      <c r="U1690" s="31" t="str" cm="1">
        <f t="array" ref="U1690">_xlfn.IFS(L1690&lt;=5000,$Z$3,AND(L1690&gt;5000,L1690&lt;=15000),$Z$4,AND(L1690&gt;15000,L1690&lt;=30000),$Z$5,AND(L1690&gt;30000,L1690&lt;=50000),$Z$6,L1690&gt;50000,$Z$7)</f>
        <v>Sangat Rendah</v>
      </c>
      <c r="V1690" s="2"/>
    </row>
    <row r="1691" spans="1:22" ht="15.75" customHeight="1" x14ac:dyDescent="0.25">
      <c r="A1691" s="26"/>
      <c r="B1691" s="2" t="s">
        <v>2057</v>
      </c>
      <c r="C1691" s="32">
        <v>45860.716678240737</v>
      </c>
      <c r="D1691" s="53">
        <f>YEAR(Table1[[#This Row],[Order Date]])</f>
        <v>2025</v>
      </c>
      <c r="E1691" s="2" t="s">
        <v>466</v>
      </c>
      <c r="F1691" s="2" t="s">
        <v>131</v>
      </c>
      <c r="G1691" s="2" t="s">
        <v>190</v>
      </c>
      <c r="H1691" s="23">
        <v>35000</v>
      </c>
      <c r="I1691" s="2">
        <v>1</v>
      </c>
      <c r="J1691" s="31">
        <v>0</v>
      </c>
      <c r="K1691" s="7">
        <f t="shared" si="104"/>
        <v>35000</v>
      </c>
      <c r="L1691" s="7">
        <f t="shared" si="105"/>
        <v>0</v>
      </c>
      <c r="M1691" s="7">
        <f t="shared" si="106"/>
        <v>35000</v>
      </c>
      <c r="N1691" s="23">
        <v>59000</v>
      </c>
      <c r="O1691" s="7">
        <f t="shared" si="107"/>
        <v>94000</v>
      </c>
      <c r="P1691" s="2" t="s">
        <v>63</v>
      </c>
      <c r="Q1691" t="str">
        <f>_xlfn.XLOOKUP(B1691,Status!$A$2:$A$1867,Status!$B$2:$B$1867)</f>
        <v>Completed</v>
      </c>
      <c r="R1691" s="2" t="s">
        <v>36</v>
      </c>
      <c r="S1691" s="8">
        <v>3</v>
      </c>
      <c r="T1691" s="2" t="s">
        <v>24</v>
      </c>
      <c r="U1691" s="31" t="str" cm="1">
        <f t="array" ref="U1691">_xlfn.IFS(L1691&lt;=5000,$Z$3,AND(L1691&gt;5000,L1691&lt;=15000),$Z$4,AND(L1691&gt;15000,L1691&lt;=30000),$Z$5,AND(L1691&gt;30000,L1691&lt;=50000),$Z$6,L1691&gt;50000,$Z$7)</f>
        <v>Sangat Rendah</v>
      </c>
      <c r="V1691" s="2"/>
    </row>
    <row r="1692" spans="1:22" ht="15.75" customHeight="1" x14ac:dyDescent="0.25">
      <c r="A1692" s="26"/>
      <c r="B1692" s="2" t="s">
        <v>2058</v>
      </c>
      <c r="C1692" s="32">
        <v>45860.745578703703</v>
      </c>
      <c r="D1692" s="53">
        <f>YEAR(Table1[[#This Row],[Order Date]])</f>
        <v>2025</v>
      </c>
      <c r="E1692" s="2" t="s">
        <v>130</v>
      </c>
      <c r="F1692" s="2" t="s">
        <v>131</v>
      </c>
      <c r="G1692" s="2" t="s">
        <v>93</v>
      </c>
      <c r="H1692" s="23">
        <v>25000</v>
      </c>
      <c r="I1692" s="2">
        <v>4</v>
      </c>
      <c r="J1692" s="31">
        <v>0</v>
      </c>
      <c r="K1692" s="7">
        <f t="shared" si="104"/>
        <v>100000</v>
      </c>
      <c r="L1692" s="7">
        <f t="shared" si="105"/>
        <v>0</v>
      </c>
      <c r="M1692" s="7">
        <f t="shared" si="106"/>
        <v>100000</v>
      </c>
      <c r="N1692" s="23">
        <v>59000</v>
      </c>
      <c r="O1692" s="7">
        <f t="shared" si="107"/>
        <v>159000</v>
      </c>
      <c r="P1692" s="2" t="s">
        <v>35</v>
      </c>
      <c r="Q1692" t="str">
        <f>_xlfn.XLOOKUP(B1692,Status!$A$2:$A$1867,Status!$B$2:$B$1867)</f>
        <v>Cancelled</v>
      </c>
      <c r="R1692" s="2" t="s">
        <v>23</v>
      </c>
      <c r="S1692" s="8">
        <v>1</v>
      </c>
      <c r="T1692" s="2" t="s">
        <v>24</v>
      </c>
      <c r="U1692" s="31" t="str" cm="1">
        <f t="array" ref="U1692">_xlfn.IFS(L1692&lt;=5000,$Z$3,AND(L1692&gt;5000,L1692&lt;=15000),$Z$4,AND(L1692&gt;15000,L1692&lt;=30000),$Z$5,AND(L1692&gt;30000,L1692&lt;=50000),$Z$6,L1692&gt;50000,$Z$7)</f>
        <v>Sangat Rendah</v>
      </c>
      <c r="V1692" s="2"/>
    </row>
    <row r="1693" spans="1:22" ht="15.75" customHeight="1" x14ac:dyDescent="0.25">
      <c r="A1693" s="26"/>
      <c r="B1693" s="2" t="s">
        <v>2059</v>
      </c>
      <c r="C1693" s="32">
        <v>45860.891793981478</v>
      </c>
      <c r="D1693" s="53">
        <f>YEAR(Table1[[#This Row],[Order Date]])</f>
        <v>2025</v>
      </c>
      <c r="E1693" s="2" t="s">
        <v>261</v>
      </c>
      <c r="F1693" s="2" t="s">
        <v>262</v>
      </c>
      <c r="G1693" s="2" t="s">
        <v>71</v>
      </c>
      <c r="H1693" s="23">
        <v>40000</v>
      </c>
      <c r="I1693" s="2">
        <v>1</v>
      </c>
      <c r="J1693" s="31">
        <v>0</v>
      </c>
      <c r="K1693" s="7">
        <f t="shared" si="104"/>
        <v>40000</v>
      </c>
      <c r="L1693" s="7">
        <f t="shared" si="105"/>
        <v>0</v>
      </c>
      <c r="M1693" s="7">
        <f t="shared" si="106"/>
        <v>40000</v>
      </c>
      <c r="N1693" s="23">
        <v>18000</v>
      </c>
      <c r="O1693" s="7">
        <f t="shared" si="107"/>
        <v>58000</v>
      </c>
      <c r="P1693" s="2" t="s">
        <v>63</v>
      </c>
      <c r="Q1693" t="str">
        <f>_xlfn.XLOOKUP(B1693,Status!$A$2:$A$1867,Status!$B$2:$B$1867)</f>
        <v>Completed</v>
      </c>
      <c r="R1693" s="2" t="s">
        <v>30</v>
      </c>
      <c r="S1693" s="8">
        <v>5</v>
      </c>
      <c r="T1693" s="2" t="s">
        <v>24</v>
      </c>
      <c r="U1693" s="31" t="str" cm="1">
        <f t="array" ref="U1693">_xlfn.IFS(L1693&lt;=5000,$Z$3,AND(L1693&gt;5000,L1693&lt;=15000),$Z$4,AND(L1693&gt;15000,L1693&lt;=30000),$Z$5,AND(L1693&gt;30000,L1693&lt;=50000),$Z$6,L1693&gt;50000,$Z$7)</f>
        <v>Sangat Rendah</v>
      </c>
      <c r="V1693" s="2"/>
    </row>
    <row r="1694" spans="1:22" ht="15.75" customHeight="1" x14ac:dyDescent="0.25">
      <c r="A1694" s="26"/>
      <c r="B1694" s="2" t="s">
        <v>2060</v>
      </c>
      <c r="C1694" s="32">
        <v>45860.957337962973</v>
      </c>
      <c r="D1694" s="53">
        <f>YEAR(Table1[[#This Row],[Order Date]])</f>
        <v>2025</v>
      </c>
      <c r="E1694" s="2" t="s">
        <v>631</v>
      </c>
      <c r="F1694" s="2" t="s">
        <v>20</v>
      </c>
      <c r="G1694" s="2" t="s">
        <v>186</v>
      </c>
      <c r="H1694" s="23">
        <v>45000</v>
      </c>
      <c r="I1694" s="2">
        <v>3</v>
      </c>
      <c r="J1694" s="31">
        <v>10</v>
      </c>
      <c r="K1694" s="7">
        <f t="shared" si="104"/>
        <v>135000</v>
      </c>
      <c r="L1694" s="7">
        <f t="shared" si="105"/>
        <v>13500</v>
      </c>
      <c r="M1694" s="7">
        <f t="shared" si="106"/>
        <v>121500</v>
      </c>
      <c r="N1694" s="23">
        <v>15000</v>
      </c>
      <c r="O1694" s="7">
        <f t="shared" si="107"/>
        <v>136500</v>
      </c>
      <c r="P1694" s="2" t="s">
        <v>29</v>
      </c>
      <c r="Q1694" t="str">
        <f>_xlfn.XLOOKUP(B1694,Status!$A$2:$A$1867,Status!$B$2:$B$1867)</f>
        <v>Completed</v>
      </c>
      <c r="R1694" s="2" t="s">
        <v>82</v>
      </c>
      <c r="S1694" s="8">
        <v>5</v>
      </c>
      <c r="T1694" s="2" t="s">
        <v>37</v>
      </c>
      <c r="U1694" s="31" t="str" cm="1">
        <f t="array" ref="U1694">_xlfn.IFS(L1694&lt;=5000,$Z$3,AND(L1694&gt;5000,L1694&lt;=15000),$Z$4,AND(L1694&gt;15000,L1694&lt;=30000),$Z$5,AND(L1694&gt;30000,L1694&lt;=50000),$Z$6,L1694&gt;50000,$Z$7)</f>
        <v>Rendah</v>
      </c>
      <c r="V1694" s="2"/>
    </row>
    <row r="1695" spans="1:22" ht="15.75" customHeight="1" x14ac:dyDescent="0.25">
      <c r="A1695" s="26"/>
      <c r="B1695" s="2" t="s">
        <v>2061</v>
      </c>
      <c r="C1695" s="32">
        <v>45861.101261574076</v>
      </c>
      <c r="D1695" s="53">
        <f>YEAR(Table1[[#This Row],[Order Date]])</f>
        <v>2025</v>
      </c>
      <c r="E1695" s="2" t="s">
        <v>1173</v>
      </c>
      <c r="F1695" s="2" t="s">
        <v>170</v>
      </c>
      <c r="G1695" s="2" t="s">
        <v>110</v>
      </c>
      <c r="H1695" s="23">
        <v>6000</v>
      </c>
      <c r="I1695" s="2">
        <v>2</v>
      </c>
      <c r="J1695" s="31">
        <v>0</v>
      </c>
      <c r="K1695" s="7">
        <f t="shared" si="104"/>
        <v>12000</v>
      </c>
      <c r="L1695" s="7">
        <f t="shared" si="105"/>
        <v>0</v>
      </c>
      <c r="M1695" s="7">
        <f t="shared" si="106"/>
        <v>12000</v>
      </c>
      <c r="N1695" s="23">
        <v>46000</v>
      </c>
      <c r="O1695" s="7">
        <f t="shared" si="107"/>
        <v>58000</v>
      </c>
      <c r="P1695" s="2" t="s">
        <v>63</v>
      </c>
      <c r="Q1695" t="str">
        <f>_xlfn.XLOOKUP(B1695,Status!$A$2:$A$1867,Status!$B$2:$B$1867)</f>
        <v>Completed</v>
      </c>
      <c r="R1695" s="2" t="s">
        <v>46</v>
      </c>
      <c r="S1695" s="8">
        <v>5</v>
      </c>
      <c r="T1695" s="2" t="s">
        <v>24</v>
      </c>
      <c r="U1695" s="31" t="str" cm="1">
        <f t="array" ref="U1695">_xlfn.IFS(L1695&lt;=5000,$Z$3,AND(L1695&gt;5000,L1695&lt;=15000),$Z$4,AND(L1695&gt;15000,L1695&lt;=30000),$Z$5,AND(L1695&gt;30000,L1695&lt;=50000),$Z$6,L1695&gt;50000,$Z$7)</f>
        <v>Sangat Rendah</v>
      </c>
      <c r="V1695" s="2"/>
    </row>
    <row r="1696" spans="1:22" ht="15.75" customHeight="1" x14ac:dyDescent="0.25">
      <c r="A1696" s="26"/>
      <c r="B1696" s="2" t="s">
        <v>2062</v>
      </c>
      <c r="C1696" s="32">
        <v>45861.243611111109</v>
      </c>
      <c r="D1696" s="53">
        <f>YEAR(Table1[[#This Row],[Order Date]])</f>
        <v>2025</v>
      </c>
      <c r="E1696" s="2" t="s">
        <v>603</v>
      </c>
      <c r="F1696" s="2" t="s">
        <v>53</v>
      </c>
      <c r="G1696" s="2" t="s">
        <v>186</v>
      </c>
      <c r="H1696" s="23">
        <v>45000</v>
      </c>
      <c r="I1696" s="2">
        <v>1</v>
      </c>
      <c r="J1696" s="31">
        <v>15</v>
      </c>
      <c r="K1696" s="7">
        <f t="shared" si="104"/>
        <v>45000</v>
      </c>
      <c r="L1696" s="7">
        <f t="shared" si="105"/>
        <v>6750</v>
      </c>
      <c r="M1696" s="7">
        <f t="shared" si="106"/>
        <v>38250</v>
      </c>
      <c r="N1696" s="23">
        <v>18000</v>
      </c>
      <c r="O1696" s="7">
        <f t="shared" si="107"/>
        <v>56250</v>
      </c>
      <c r="P1696" s="2" t="s">
        <v>29</v>
      </c>
      <c r="Q1696" t="str">
        <f>_xlfn.XLOOKUP(B1696,Status!$A$2:$A$1867,Status!$B$2:$B$1867)</f>
        <v>Completed</v>
      </c>
      <c r="R1696" s="2" t="s">
        <v>36</v>
      </c>
      <c r="S1696" s="8">
        <v>5</v>
      </c>
      <c r="T1696" s="2" t="s">
        <v>24</v>
      </c>
      <c r="U1696" s="31" t="str" cm="1">
        <f t="array" ref="U1696">_xlfn.IFS(L1696&lt;=5000,$Z$3,AND(L1696&gt;5000,L1696&lt;=15000),$Z$4,AND(L1696&gt;15000,L1696&lt;=30000),$Z$5,AND(L1696&gt;30000,L1696&lt;=50000),$Z$6,L1696&gt;50000,$Z$7)</f>
        <v>Rendah</v>
      </c>
      <c r="V1696" s="2"/>
    </row>
    <row r="1697" spans="1:22" ht="15.75" customHeight="1" x14ac:dyDescent="0.25">
      <c r="A1697" s="26"/>
      <c r="B1697" s="2" t="s">
        <v>2063</v>
      </c>
      <c r="C1697" s="32">
        <v>45861.389467592591</v>
      </c>
      <c r="D1697" s="53">
        <f>YEAR(Table1[[#This Row],[Order Date]])</f>
        <v>2025</v>
      </c>
      <c r="E1697" s="2" t="s">
        <v>275</v>
      </c>
      <c r="F1697" s="2" t="s">
        <v>96</v>
      </c>
      <c r="G1697" s="2" t="s">
        <v>41</v>
      </c>
      <c r="H1697" s="23">
        <v>4000</v>
      </c>
      <c r="I1697" s="2">
        <v>2</v>
      </c>
      <c r="J1697" s="31">
        <v>10</v>
      </c>
      <c r="K1697" s="7">
        <f t="shared" si="104"/>
        <v>8000</v>
      </c>
      <c r="L1697" s="7">
        <f t="shared" si="105"/>
        <v>800</v>
      </c>
      <c r="M1697" s="7">
        <f t="shared" si="106"/>
        <v>7200</v>
      </c>
      <c r="N1697" s="23">
        <v>49000</v>
      </c>
      <c r="O1697" s="7">
        <f t="shared" si="107"/>
        <v>56200</v>
      </c>
      <c r="P1697" s="2" t="s">
        <v>35</v>
      </c>
      <c r="Q1697" t="str">
        <f>_xlfn.XLOOKUP(B1697,Status!$A$2:$A$1867,Status!$B$2:$B$1867)</f>
        <v>Completed</v>
      </c>
      <c r="R1697" s="2" t="s">
        <v>23</v>
      </c>
      <c r="S1697" s="8">
        <v>3</v>
      </c>
      <c r="T1697" s="2" t="s">
        <v>24</v>
      </c>
      <c r="U1697" s="31" t="str" cm="1">
        <f t="array" ref="U1697">_xlfn.IFS(L1697&lt;=5000,$Z$3,AND(L1697&gt;5000,L1697&lt;=15000),$Z$4,AND(L1697&gt;15000,L1697&lt;=30000),$Z$5,AND(L1697&gt;30000,L1697&lt;=50000),$Z$6,L1697&gt;50000,$Z$7)</f>
        <v>Sangat Rendah</v>
      </c>
      <c r="V1697" s="2"/>
    </row>
    <row r="1698" spans="1:22" ht="15.75" customHeight="1" x14ac:dyDescent="0.25">
      <c r="A1698" s="26"/>
      <c r="B1698" s="2" t="s">
        <v>2064</v>
      </c>
      <c r="C1698" s="32">
        <v>45861.496805555558</v>
      </c>
      <c r="D1698" s="53">
        <f>YEAR(Table1[[#This Row],[Order Date]])</f>
        <v>2025</v>
      </c>
      <c r="E1698" s="2" t="s">
        <v>65</v>
      </c>
      <c r="F1698" s="2" t="s">
        <v>66</v>
      </c>
      <c r="G1698" s="2" t="s">
        <v>75</v>
      </c>
      <c r="H1698" s="23">
        <v>55000</v>
      </c>
      <c r="I1698" s="2">
        <v>5</v>
      </c>
      <c r="J1698" s="31">
        <v>15</v>
      </c>
      <c r="K1698" s="7">
        <f t="shared" si="104"/>
        <v>275000</v>
      </c>
      <c r="L1698" s="7">
        <f t="shared" si="105"/>
        <v>41250</v>
      </c>
      <c r="M1698" s="7">
        <f t="shared" si="106"/>
        <v>233750</v>
      </c>
      <c r="N1698" s="23">
        <v>59000</v>
      </c>
      <c r="O1698" s="7">
        <f t="shared" si="107"/>
        <v>292750</v>
      </c>
      <c r="P1698" s="2" t="s">
        <v>63</v>
      </c>
      <c r="Q1698" t="str">
        <f>_xlfn.XLOOKUP(B1698,Status!$A$2:$A$1867,Status!$B$2:$B$1867)</f>
        <v>Completed</v>
      </c>
      <c r="R1698" s="2" t="s">
        <v>23</v>
      </c>
      <c r="S1698" s="8">
        <v>2</v>
      </c>
      <c r="T1698" s="2" t="s">
        <v>37</v>
      </c>
      <c r="U1698" s="31" t="str" cm="1">
        <f t="array" ref="U1698">_xlfn.IFS(L1698&lt;=5000,$Z$3,AND(L1698&gt;5000,L1698&lt;=15000),$Z$4,AND(L1698&gt;15000,L1698&lt;=30000),$Z$5,AND(L1698&gt;30000,L1698&lt;=50000),$Z$6,L1698&gt;50000,$Z$7)</f>
        <v>Tinggi</v>
      </c>
      <c r="V1698" s="2"/>
    </row>
    <row r="1699" spans="1:22" ht="15.75" customHeight="1" x14ac:dyDescent="0.25">
      <c r="A1699" s="26"/>
      <c r="B1699" s="2" t="s">
        <v>2065</v>
      </c>
      <c r="C1699" s="32">
        <v>45861.61309027778</v>
      </c>
      <c r="D1699" s="53">
        <f>YEAR(Table1[[#This Row],[Order Date]])</f>
        <v>2025</v>
      </c>
      <c r="E1699" s="2" t="s">
        <v>499</v>
      </c>
      <c r="F1699" s="2" t="s">
        <v>131</v>
      </c>
      <c r="G1699" s="2" t="s">
        <v>58</v>
      </c>
      <c r="H1699" s="23">
        <v>16000</v>
      </c>
      <c r="I1699" s="2">
        <v>4</v>
      </c>
      <c r="J1699" s="31">
        <v>15</v>
      </c>
      <c r="K1699" s="7">
        <f t="shared" si="104"/>
        <v>64000</v>
      </c>
      <c r="L1699" s="7">
        <f t="shared" si="105"/>
        <v>9600</v>
      </c>
      <c r="M1699" s="7">
        <f t="shared" si="106"/>
        <v>54400</v>
      </c>
      <c r="N1699" s="23">
        <v>59000</v>
      </c>
      <c r="O1699" s="7">
        <f t="shared" si="107"/>
        <v>113400</v>
      </c>
      <c r="P1699" s="2" t="s">
        <v>22</v>
      </c>
      <c r="Q1699" t="str">
        <f>_xlfn.XLOOKUP(B1699,Status!$A$2:$A$1867,Status!$B$2:$B$1867)</f>
        <v>Completed</v>
      </c>
      <c r="R1699" s="2" t="s">
        <v>46</v>
      </c>
      <c r="S1699" s="8">
        <v>4</v>
      </c>
      <c r="T1699" s="2" t="s">
        <v>24</v>
      </c>
      <c r="U1699" s="31" t="str" cm="1">
        <f t="array" ref="U1699">_xlfn.IFS(L1699&lt;=5000,$Z$3,AND(L1699&gt;5000,L1699&lt;=15000),$Z$4,AND(L1699&gt;15000,L1699&lt;=30000),$Z$5,AND(L1699&gt;30000,L1699&lt;=50000),$Z$6,L1699&gt;50000,$Z$7)</f>
        <v>Rendah</v>
      </c>
      <c r="V1699" s="2"/>
    </row>
    <row r="1700" spans="1:22" ht="15.75" customHeight="1" x14ac:dyDescent="0.25">
      <c r="A1700" s="26"/>
      <c r="B1700" s="2" t="s">
        <v>2066</v>
      </c>
      <c r="C1700" s="32">
        <v>45861.652800925927</v>
      </c>
      <c r="D1700" s="53">
        <f>YEAR(Table1[[#This Row],[Order Date]])</f>
        <v>2025</v>
      </c>
      <c r="E1700" s="2" t="s">
        <v>162</v>
      </c>
      <c r="F1700" s="2" t="s">
        <v>163</v>
      </c>
      <c r="G1700" s="2" t="s">
        <v>34</v>
      </c>
      <c r="H1700" s="23">
        <v>16000</v>
      </c>
      <c r="I1700" s="2">
        <v>1</v>
      </c>
      <c r="J1700" s="31">
        <v>0</v>
      </c>
      <c r="K1700" s="7">
        <f t="shared" si="104"/>
        <v>16000</v>
      </c>
      <c r="L1700" s="7">
        <f t="shared" si="105"/>
        <v>0</v>
      </c>
      <c r="M1700" s="7">
        <f t="shared" si="106"/>
        <v>16000</v>
      </c>
      <c r="N1700" s="23">
        <v>50000</v>
      </c>
      <c r="O1700" s="7">
        <f t="shared" si="107"/>
        <v>66000</v>
      </c>
      <c r="P1700" s="2" t="s">
        <v>35</v>
      </c>
      <c r="Q1700" t="str">
        <f>_xlfn.XLOOKUP(B1700,Status!$A$2:$A$1867,Status!$B$2:$B$1867)</f>
        <v>Completed</v>
      </c>
      <c r="R1700" s="2" t="s">
        <v>30</v>
      </c>
      <c r="S1700" s="8">
        <v>2</v>
      </c>
      <c r="T1700" s="2" t="s">
        <v>24</v>
      </c>
      <c r="U1700" s="31" t="str" cm="1">
        <f t="array" ref="U1700">_xlfn.IFS(L1700&lt;=5000,$Z$3,AND(L1700&gt;5000,L1700&lt;=15000),$Z$4,AND(L1700&gt;15000,L1700&lt;=30000),$Z$5,AND(L1700&gt;30000,L1700&lt;=50000),$Z$6,L1700&gt;50000,$Z$7)</f>
        <v>Sangat Rendah</v>
      </c>
      <c r="V1700" s="2"/>
    </row>
    <row r="1701" spans="1:22" ht="15.75" customHeight="1" x14ac:dyDescent="0.25">
      <c r="A1701" s="26"/>
      <c r="B1701" s="2" t="s">
        <v>2067</v>
      </c>
      <c r="C1701" s="32">
        <v>45861.653391203698</v>
      </c>
      <c r="D1701" s="53">
        <f>YEAR(Table1[[#This Row],[Order Date]])</f>
        <v>2025</v>
      </c>
      <c r="E1701" s="2" t="s">
        <v>772</v>
      </c>
      <c r="F1701" s="2" t="s">
        <v>113</v>
      </c>
      <c r="G1701" s="2" t="s">
        <v>62</v>
      </c>
      <c r="H1701" s="23">
        <v>50000</v>
      </c>
      <c r="I1701" s="2">
        <v>2</v>
      </c>
      <c r="J1701" s="31">
        <v>10</v>
      </c>
      <c r="K1701" s="7">
        <f t="shared" si="104"/>
        <v>100000</v>
      </c>
      <c r="L1701" s="7">
        <f t="shared" si="105"/>
        <v>10000</v>
      </c>
      <c r="M1701" s="7">
        <f t="shared" si="106"/>
        <v>90000</v>
      </c>
      <c r="N1701" s="23">
        <v>18000</v>
      </c>
      <c r="O1701" s="7">
        <f t="shared" si="107"/>
        <v>108000</v>
      </c>
      <c r="P1701" s="2" t="s">
        <v>35</v>
      </c>
      <c r="Q1701" t="str">
        <f>_xlfn.XLOOKUP(B1701,Status!$A$2:$A$1867,Status!$B$2:$B$1867)</f>
        <v>Completed</v>
      </c>
      <c r="R1701" s="2" t="s">
        <v>36</v>
      </c>
      <c r="S1701" s="8">
        <v>2</v>
      </c>
      <c r="T1701" s="2" t="s">
        <v>24</v>
      </c>
      <c r="U1701" s="31" t="str" cm="1">
        <f t="array" ref="U1701">_xlfn.IFS(L1701&lt;=5000,$Z$3,AND(L1701&gt;5000,L1701&lt;=15000),$Z$4,AND(L1701&gt;15000,L1701&lt;=30000),$Z$5,AND(L1701&gt;30000,L1701&lt;=50000),$Z$6,L1701&gt;50000,$Z$7)</f>
        <v>Rendah</v>
      </c>
      <c r="V1701" s="2"/>
    </row>
    <row r="1702" spans="1:22" ht="15.75" customHeight="1" x14ac:dyDescent="0.25">
      <c r="A1702" s="26"/>
      <c r="B1702" s="2" t="s">
        <v>2068</v>
      </c>
      <c r="C1702" s="32">
        <v>45861.747523148151</v>
      </c>
      <c r="D1702" s="53">
        <f>YEAR(Table1[[#This Row],[Order Date]])</f>
        <v>2025</v>
      </c>
      <c r="E1702" s="2" t="s">
        <v>323</v>
      </c>
      <c r="F1702" s="2" t="s">
        <v>103</v>
      </c>
      <c r="G1702" s="2" t="s">
        <v>104</v>
      </c>
      <c r="H1702" s="23">
        <v>30000</v>
      </c>
      <c r="I1702" s="2">
        <v>4</v>
      </c>
      <c r="J1702" s="31">
        <v>10</v>
      </c>
      <c r="K1702" s="7">
        <f t="shared" si="104"/>
        <v>120000</v>
      </c>
      <c r="L1702" s="7">
        <f t="shared" si="105"/>
        <v>12000</v>
      </c>
      <c r="M1702" s="7">
        <f t="shared" si="106"/>
        <v>108000</v>
      </c>
      <c r="N1702" s="23">
        <v>85000</v>
      </c>
      <c r="O1702" s="7">
        <f t="shared" si="107"/>
        <v>193000</v>
      </c>
      <c r="P1702" s="2" t="s">
        <v>22</v>
      </c>
      <c r="Q1702" t="str">
        <f>_xlfn.XLOOKUP(B1702,Status!$A$2:$A$1867,Status!$B$2:$B$1867)</f>
        <v>Completed</v>
      </c>
      <c r="R1702" s="2" t="s">
        <v>82</v>
      </c>
      <c r="S1702" s="8">
        <v>3</v>
      </c>
      <c r="T1702" s="2" t="s">
        <v>24</v>
      </c>
      <c r="U1702" s="31" t="str" cm="1">
        <f t="array" ref="U1702">_xlfn.IFS(L1702&lt;=5000,$Z$3,AND(L1702&gt;5000,L1702&lt;=15000),$Z$4,AND(L1702&gt;15000,L1702&lt;=30000),$Z$5,AND(L1702&gt;30000,L1702&lt;=50000),$Z$6,L1702&gt;50000,$Z$7)</f>
        <v>Rendah</v>
      </c>
      <c r="V1702" s="2"/>
    </row>
    <row r="1703" spans="1:22" ht="15.75" customHeight="1" x14ac:dyDescent="0.25">
      <c r="A1703" s="26"/>
      <c r="B1703" s="2" t="s">
        <v>2069</v>
      </c>
      <c r="C1703" s="32">
        <v>45861.886342592603</v>
      </c>
      <c r="D1703" s="53">
        <f>YEAR(Table1[[#This Row],[Order Date]])</f>
        <v>2025</v>
      </c>
      <c r="E1703" s="2" t="s">
        <v>649</v>
      </c>
      <c r="F1703" s="2" t="s">
        <v>177</v>
      </c>
      <c r="G1703" s="2" t="s">
        <v>190</v>
      </c>
      <c r="H1703" s="23">
        <v>35000</v>
      </c>
      <c r="I1703" s="2">
        <v>4</v>
      </c>
      <c r="J1703" s="31">
        <v>10</v>
      </c>
      <c r="K1703" s="7">
        <f t="shared" si="104"/>
        <v>140000</v>
      </c>
      <c r="L1703" s="7">
        <f t="shared" si="105"/>
        <v>14000</v>
      </c>
      <c r="M1703" s="7">
        <f t="shared" si="106"/>
        <v>126000</v>
      </c>
      <c r="N1703" s="23">
        <v>56000</v>
      </c>
      <c r="O1703" s="7">
        <f t="shared" si="107"/>
        <v>182000</v>
      </c>
      <c r="P1703" s="2" t="s">
        <v>29</v>
      </c>
      <c r="Q1703" t="str">
        <f>_xlfn.XLOOKUP(B1703,Status!$A$2:$A$1867,Status!$B$2:$B$1867)</f>
        <v>Completed</v>
      </c>
      <c r="R1703" s="2" t="s">
        <v>46</v>
      </c>
      <c r="S1703" s="8">
        <v>4</v>
      </c>
      <c r="T1703" s="2" t="s">
        <v>24</v>
      </c>
      <c r="U1703" s="31" t="str" cm="1">
        <f t="array" ref="U1703">_xlfn.IFS(L1703&lt;=5000,$Z$3,AND(L1703&gt;5000,L1703&lt;=15000),$Z$4,AND(L1703&gt;15000,L1703&lt;=30000),$Z$5,AND(L1703&gt;30000,L1703&lt;=50000),$Z$6,L1703&gt;50000,$Z$7)</f>
        <v>Rendah</v>
      </c>
      <c r="V1703" s="2"/>
    </row>
    <row r="1704" spans="1:22" ht="15.75" customHeight="1" x14ac:dyDescent="0.25">
      <c r="A1704" s="26"/>
      <c r="B1704" s="2" t="s">
        <v>2070</v>
      </c>
      <c r="C1704" s="32">
        <v>45862.091469907413</v>
      </c>
      <c r="D1704" s="53">
        <f>YEAR(Table1[[#This Row],[Order Date]])</f>
        <v>2025</v>
      </c>
      <c r="E1704" s="2" t="s">
        <v>867</v>
      </c>
      <c r="F1704" s="2" t="s">
        <v>20</v>
      </c>
      <c r="G1704" s="2" t="s">
        <v>144</v>
      </c>
      <c r="H1704" s="23">
        <v>18000</v>
      </c>
      <c r="I1704" s="2">
        <v>5</v>
      </c>
      <c r="J1704" s="31">
        <v>20</v>
      </c>
      <c r="K1704" s="7">
        <f t="shared" si="104"/>
        <v>90000</v>
      </c>
      <c r="L1704" s="7">
        <f t="shared" si="105"/>
        <v>18000</v>
      </c>
      <c r="M1704" s="7">
        <f t="shared" si="106"/>
        <v>72000</v>
      </c>
      <c r="N1704" s="23">
        <v>15000</v>
      </c>
      <c r="O1704" s="7">
        <f t="shared" si="107"/>
        <v>87000</v>
      </c>
      <c r="P1704" s="2" t="s">
        <v>63</v>
      </c>
      <c r="Q1704" t="str">
        <f>_xlfn.XLOOKUP(B1704,Status!$A$2:$A$1867,Status!$B$2:$B$1867)</f>
        <v>Completed</v>
      </c>
      <c r="R1704" s="2" t="s">
        <v>46</v>
      </c>
      <c r="S1704" s="8">
        <v>2</v>
      </c>
      <c r="T1704" s="2" t="s">
        <v>37</v>
      </c>
      <c r="U1704" s="31" t="str" cm="1">
        <f t="array" ref="U1704">_xlfn.IFS(L1704&lt;=5000,$Z$3,AND(L1704&gt;5000,L1704&lt;=15000),$Z$4,AND(L1704&gt;15000,L1704&lt;=30000),$Z$5,AND(L1704&gt;30000,L1704&lt;=50000),$Z$6,L1704&gt;50000,$Z$7)</f>
        <v>Normal</v>
      </c>
      <c r="V1704" s="2"/>
    </row>
    <row r="1705" spans="1:22" ht="15.75" customHeight="1" x14ac:dyDescent="0.25">
      <c r="A1705" s="26"/>
      <c r="B1705" s="2" t="s">
        <v>2070</v>
      </c>
      <c r="C1705" s="32">
        <v>45862.091469907413</v>
      </c>
      <c r="D1705" s="53">
        <f>YEAR(Table1[[#This Row],[Order Date]])</f>
        <v>2025</v>
      </c>
      <c r="E1705" s="2" t="s">
        <v>867</v>
      </c>
      <c r="F1705" s="2" t="s">
        <v>20</v>
      </c>
      <c r="G1705" s="2" t="s">
        <v>85</v>
      </c>
      <c r="H1705" s="23">
        <v>35000</v>
      </c>
      <c r="I1705" s="2">
        <v>5</v>
      </c>
      <c r="J1705" s="31">
        <v>10</v>
      </c>
      <c r="K1705" s="7">
        <f t="shared" si="104"/>
        <v>175000</v>
      </c>
      <c r="L1705" s="7">
        <f t="shared" si="105"/>
        <v>17500</v>
      </c>
      <c r="M1705" s="7">
        <f t="shared" si="106"/>
        <v>157500</v>
      </c>
      <c r="N1705" s="23">
        <v>0</v>
      </c>
      <c r="O1705" s="7">
        <f t="shared" si="107"/>
        <v>157500</v>
      </c>
      <c r="P1705" s="2" t="s">
        <v>63</v>
      </c>
      <c r="Q1705" t="str">
        <f>_xlfn.XLOOKUP(B1705,Status!$A$2:$A$1867,Status!$B$2:$B$1867)</f>
        <v>Completed</v>
      </c>
      <c r="R1705" s="2" t="s">
        <v>46</v>
      </c>
      <c r="S1705" s="8">
        <v>2</v>
      </c>
      <c r="T1705" s="2" t="s">
        <v>37</v>
      </c>
      <c r="U1705" s="31" t="str" cm="1">
        <f t="array" ref="U1705">_xlfn.IFS(L1705&lt;=5000,$Z$3,AND(L1705&gt;5000,L1705&lt;=15000),$Z$4,AND(L1705&gt;15000,L1705&lt;=30000),$Z$5,AND(L1705&gt;30000,L1705&lt;=50000),$Z$6,L1705&gt;50000,$Z$7)</f>
        <v>Normal</v>
      </c>
      <c r="V1705" s="2"/>
    </row>
    <row r="1706" spans="1:22" ht="15.75" customHeight="1" x14ac:dyDescent="0.25">
      <c r="A1706" s="26"/>
      <c r="B1706" s="2" t="s">
        <v>2071</v>
      </c>
      <c r="C1706" s="32">
        <v>45862.118402777778</v>
      </c>
      <c r="D1706" s="53">
        <f>YEAR(Table1[[#This Row],[Order Date]])</f>
        <v>2025</v>
      </c>
      <c r="E1706" s="2" t="s">
        <v>2072</v>
      </c>
      <c r="F1706" s="2" t="s">
        <v>92</v>
      </c>
      <c r="G1706" s="2" t="s">
        <v>45</v>
      </c>
      <c r="H1706" s="23">
        <v>40000</v>
      </c>
      <c r="I1706" s="2">
        <v>1</v>
      </c>
      <c r="J1706" s="31">
        <v>5</v>
      </c>
      <c r="K1706" s="7">
        <f t="shared" si="104"/>
        <v>40000</v>
      </c>
      <c r="L1706" s="7">
        <f t="shared" si="105"/>
        <v>2000</v>
      </c>
      <c r="M1706" s="7">
        <f t="shared" si="106"/>
        <v>38000</v>
      </c>
      <c r="N1706" s="23">
        <v>30000</v>
      </c>
      <c r="O1706" s="7">
        <f t="shared" si="107"/>
        <v>68000</v>
      </c>
      <c r="P1706" s="2" t="s">
        <v>63</v>
      </c>
      <c r="Q1706" t="str">
        <f>_xlfn.XLOOKUP(B1706,Status!$A$2:$A$1867,Status!$B$2:$B$1867)</f>
        <v>Returned</v>
      </c>
      <c r="R1706" s="2" t="s">
        <v>36</v>
      </c>
      <c r="S1706" s="8">
        <v>1</v>
      </c>
      <c r="T1706" s="2" t="s">
        <v>37</v>
      </c>
      <c r="U1706" s="31" t="str" cm="1">
        <f t="array" ref="U1706">_xlfn.IFS(L1706&lt;=5000,$Z$3,AND(L1706&gt;5000,L1706&lt;=15000),$Z$4,AND(L1706&gt;15000,L1706&lt;=30000),$Z$5,AND(L1706&gt;30000,L1706&lt;=50000),$Z$6,L1706&gt;50000,$Z$7)</f>
        <v>Sangat Rendah</v>
      </c>
      <c r="V1706" s="2"/>
    </row>
    <row r="1707" spans="1:22" ht="15.75" customHeight="1" x14ac:dyDescent="0.25">
      <c r="A1707" s="26"/>
      <c r="B1707" s="2" t="s">
        <v>2073</v>
      </c>
      <c r="C1707" s="32">
        <v>45862.320011574076</v>
      </c>
      <c r="D1707" s="53">
        <f>YEAR(Table1[[#This Row],[Order Date]])</f>
        <v>2025</v>
      </c>
      <c r="E1707" s="2" t="s">
        <v>693</v>
      </c>
      <c r="F1707" s="2" t="s">
        <v>119</v>
      </c>
      <c r="G1707" s="2" t="s">
        <v>81</v>
      </c>
      <c r="H1707" s="23">
        <v>17000</v>
      </c>
      <c r="I1707" s="2">
        <v>4</v>
      </c>
      <c r="J1707" s="31">
        <v>0</v>
      </c>
      <c r="K1707" s="7">
        <f t="shared" si="104"/>
        <v>68000</v>
      </c>
      <c r="L1707" s="7">
        <f t="shared" si="105"/>
        <v>0</v>
      </c>
      <c r="M1707" s="7">
        <f t="shared" si="106"/>
        <v>68000</v>
      </c>
      <c r="N1707" s="23">
        <v>0</v>
      </c>
      <c r="O1707" s="7">
        <f t="shared" si="107"/>
        <v>68000</v>
      </c>
      <c r="P1707" s="2" t="s">
        <v>22</v>
      </c>
      <c r="Q1707" t="str">
        <f>_xlfn.XLOOKUP(B1707,Status!$A$2:$A$1867,Status!$B$2:$B$1867)</f>
        <v>Returned</v>
      </c>
      <c r="R1707" s="2" t="s">
        <v>46</v>
      </c>
      <c r="S1707" s="8">
        <v>4</v>
      </c>
      <c r="T1707" s="2" t="s">
        <v>24</v>
      </c>
      <c r="U1707" s="31" t="str" cm="1">
        <f t="array" ref="U1707">_xlfn.IFS(L1707&lt;=5000,$Z$3,AND(L1707&gt;5000,L1707&lt;=15000),$Z$4,AND(L1707&gt;15000,L1707&lt;=30000),$Z$5,AND(L1707&gt;30000,L1707&lt;=50000),$Z$6,L1707&gt;50000,$Z$7)</f>
        <v>Sangat Rendah</v>
      </c>
      <c r="V1707" s="2"/>
    </row>
    <row r="1708" spans="1:22" ht="15.75" customHeight="1" x14ac:dyDescent="0.25">
      <c r="A1708" s="26"/>
      <c r="B1708" s="2" t="s">
        <v>2074</v>
      </c>
      <c r="C1708" s="32">
        <v>45862.595254629632</v>
      </c>
      <c r="D1708" s="53">
        <f>YEAR(Table1[[#This Row],[Order Date]])</f>
        <v>2025</v>
      </c>
      <c r="E1708" s="2" t="s">
        <v>568</v>
      </c>
      <c r="F1708" s="2" t="s">
        <v>435</v>
      </c>
      <c r="G1708" s="2" t="s">
        <v>144</v>
      </c>
      <c r="H1708" s="23">
        <v>18000</v>
      </c>
      <c r="I1708" s="2">
        <v>2</v>
      </c>
      <c r="J1708" s="31">
        <v>0</v>
      </c>
      <c r="K1708" s="7">
        <f t="shared" si="104"/>
        <v>36000</v>
      </c>
      <c r="L1708" s="7">
        <f t="shared" si="105"/>
        <v>0</v>
      </c>
      <c r="M1708" s="7">
        <f t="shared" si="106"/>
        <v>36000</v>
      </c>
      <c r="N1708" s="23">
        <v>67000</v>
      </c>
      <c r="O1708" s="7">
        <f t="shared" si="107"/>
        <v>103000</v>
      </c>
      <c r="P1708" s="2" t="s">
        <v>22</v>
      </c>
      <c r="Q1708" t="str">
        <f>_xlfn.XLOOKUP(B1708,Status!$A$2:$A$1867,Status!$B$2:$B$1867)</f>
        <v>Completed</v>
      </c>
      <c r="R1708" s="2" t="s">
        <v>36</v>
      </c>
      <c r="S1708" s="8">
        <v>5</v>
      </c>
      <c r="T1708" s="2" t="s">
        <v>24</v>
      </c>
      <c r="U1708" s="31" t="str" cm="1">
        <f t="array" ref="U1708">_xlfn.IFS(L1708&lt;=5000,$Z$3,AND(L1708&gt;5000,L1708&lt;=15000),$Z$4,AND(L1708&gt;15000,L1708&lt;=30000),$Z$5,AND(L1708&gt;30000,L1708&lt;=50000),$Z$6,L1708&gt;50000,$Z$7)</f>
        <v>Sangat Rendah</v>
      </c>
      <c r="V1708" s="2"/>
    </row>
    <row r="1709" spans="1:22" ht="15.75" customHeight="1" x14ac:dyDescent="0.25">
      <c r="A1709" s="26"/>
      <c r="B1709" s="2" t="s">
        <v>2075</v>
      </c>
      <c r="C1709" s="32">
        <v>45862.785856481481</v>
      </c>
      <c r="D1709" s="53">
        <f>YEAR(Table1[[#This Row],[Order Date]])</f>
        <v>2025</v>
      </c>
      <c r="E1709" s="2" t="s">
        <v>589</v>
      </c>
      <c r="F1709" s="2" t="s">
        <v>262</v>
      </c>
      <c r="G1709" s="2" t="s">
        <v>38</v>
      </c>
      <c r="H1709" s="23">
        <v>28000</v>
      </c>
      <c r="I1709" s="2">
        <v>4</v>
      </c>
      <c r="J1709" s="31">
        <v>10</v>
      </c>
      <c r="K1709" s="7">
        <f t="shared" si="104"/>
        <v>112000</v>
      </c>
      <c r="L1709" s="7">
        <f t="shared" si="105"/>
        <v>11200</v>
      </c>
      <c r="M1709" s="7">
        <f t="shared" si="106"/>
        <v>100800</v>
      </c>
      <c r="N1709" s="23">
        <v>18000</v>
      </c>
      <c r="O1709" s="7">
        <f t="shared" si="107"/>
        <v>118800</v>
      </c>
      <c r="P1709" s="2" t="s">
        <v>63</v>
      </c>
      <c r="Q1709" t="str">
        <f>_xlfn.XLOOKUP(B1709,Status!$A$2:$A$1867,Status!$B$2:$B$1867)</f>
        <v>Completed</v>
      </c>
      <c r="R1709" s="2" t="s">
        <v>23</v>
      </c>
      <c r="S1709" s="8">
        <v>2</v>
      </c>
      <c r="T1709" s="2" t="s">
        <v>37</v>
      </c>
      <c r="U1709" s="31" t="str" cm="1">
        <f t="array" ref="U1709">_xlfn.IFS(L1709&lt;=5000,$Z$3,AND(L1709&gt;5000,L1709&lt;=15000),$Z$4,AND(L1709&gt;15000,L1709&lt;=30000),$Z$5,AND(L1709&gt;30000,L1709&lt;=50000),$Z$6,L1709&gt;50000,$Z$7)</f>
        <v>Rendah</v>
      </c>
      <c r="V1709" s="2"/>
    </row>
    <row r="1710" spans="1:22" ht="15.75" customHeight="1" x14ac:dyDescent="0.25">
      <c r="A1710" s="26"/>
      <c r="B1710" s="2" t="s">
        <v>2076</v>
      </c>
      <c r="C1710" s="32">
        <v>45862.850752314807</v>
      </c>
      <c r="D1710" s="53">
        <f>YEAR(Table1[[#This Row],[Order Date]])</f>
        <v>2025</v>
      </c>
      <c r="E1710" s="2" t="s">
        <v>1173</v>
      </c>
      <c r="F1710" s="2" t="s">
        <v>170</v>
      </c>
      <c r="G1710" s="2" t="s">
        <v>136</v>
      </c>
      <c r="H1710" s="23">
        <v>12000</v>
      </c>
      <c r="I1710" s="2">
        <v>5</v>
      </c>
      <c r="J1710" s="31">
        <v>10</v>
      </c>
      <c r="K1710" s="7">
        <f t="shared" si="104"/>
        <v>60000</v>
      </c>
      <c r="L1710" s="7">
        <f t="shared" si="105"/>
        <v>6000</v>
      </c>
      <c r="M1710" s="7">
        <f t="shared" si="106"/>
        <v>54000</v>
      </c>
      <c r="N1710" s="23">
        <v>46000</v>
      </c>
      <c r="O1710" s="7">
        <f t="shared" si="107"/>
        <v>100000</v>
      </c>
      <c r="P1710" s="2" t="s">
        <v>22</v>
      </c>
      <c r="Q1710" t="str">
        <f>_xlfn.XLOOKUP(B1710,Status!$A$2:$A$1867,Status!$B$2:$B$1867)</f>
        <v>Completed</v>
      </c>
      <c r="R1710" s="2" t="s">
        <v>36</v>
      </c>
      <c r="S1710" s="8">
        <v>3</v>
      </c>
      <c r="T1710" s="2" t="s">
        <v>24</v>
      </c>
      <c r="U1710" s="31" t="str" cm="1">
        <f t="array" ref="U1710">_xlfn.IFS(L1710&lt;=5000,$Z$3,AND(L1710&gt;5000,L1710&lt;=15000),$Z$4,AND(L1710&gt;15000,L1710&lt;=30000),$Z$5,AND(L1710&gt;30000,L1710&lt;=50000),$Z$6,L1710&gt;50000,$Z$7)</f>
        <v>Rendah</v>
      </c>
      <c r="V1710" s="2"/>
    </row>
    <row r="1711" spans="1:22" ht="15.75" customHeight="1" x14ac:dyDescent="0.25">
      <c r="A1711" s="26"/>
      <c r="B1711" s="2" t="s">
        <v>2077</v>
      </c>
      <c r="C1711" s="32">
        <v>45862.964467592603</v>
      </c>
      <c r="D1711" s="53">
        <f>YEAR(Table1[[#This Row],[Order Date]])</f>
        <v>2025</v>
      </c>
      <c r="E1711" s="2" t="s">
        <v>774</v>
      </c>
      <c r="F1711" s="2" t="s">
        <v>262</v>
      </c>
      <c r="G1711" s="2" t="s">
        <v>58</v>
      </c>
      <c r="H1711" s="23">
        <v>16000</v>
      </c>
      <c r="I1711" s="2">
        <v>4</v>
      </c>
      <c r="J1711" s="31">
        <v>15</v>
      </c>
      <c r="K1711" s="7">
        <f t="shared" si="104"/>
        <v>64000</v>
      </c>
      <c r="L1711" s="7">
        <f t="shared" si="105"/>
        <v>9600</v>
      </c>
      <c r="M1711" s="7">
        <f t="shared" si="106"/>
        <v>54400</v>
      </c>
      <c r="N1711" s="23">
        <v>18000</v>
      </c>
      <c r="O1711" s="7">
        <f t="shared" si="107"/>
        <v>72400</v>
      </c>
      <c r="P1711" s="2" t="s">
        <v>63</v>
      </c>
      <c r="Q1711" t="str">
        <f>_xlfn.XLOOKUP(B1711,Status!$A$2:$A$1867,Status!$B$2:$B$1867)</f>
        <v>Completed</v>
      </c>
      <c r="R1711" s="2" t="s">
        <v>36</v>
      </c>
      <c r="S1711" s="8">
        <v>5</v>
      </c>
      <c r="T1711" s="2" t="s">
        <v>24</v>
      </c>
      <c r="U1711" s="31" t="str" cm="1">
        <f t="array" ref="U1711">_xlfn.IFS(L1711&lt;=5000,$Z$3,AND(L1711&gt;5000,L1711&lt;=15000),$Z$4,AND(L1711&gt;15000,L1711&lt;=30000),$Z$5,AND(L1711&gt;30000,L1711&lt;=50000),$Z$6,L1711&gt;50000,$Z$7)</f>
        <v>Rendah</v>
      </c>
      <c r="V1711" s="2"/>
    </row>
    <row r="1712" spans="1:22" ht="15.75" customHeight="1" x14ac:dyDescent="0.25">
      <c r="A1712" s="26"/>
      <c r="B1712" s="2" t="s">
        <v>2078</v>
      </c>
      <c r="C1712" s="32">
        <v>45863.019652777781</v>
      </c>
      <c r="D1712" s="53">
        <f>YEAR(Table1[[#This Row],[Order Date]])</f>
        <v>2025</v>
      </c>
      <c r="E1712" s="2" t="s">
        <v>273</v>
      </c>
      <c r="F1712" s="2" t="s">
        <v>195</v>
      </c>
      <c r="G1712" s="2" t="s">
        <v>136</v>
      </c>
      <c r="H1712" s="23">
        <v>12000</v>
      </c>
      <c r="I1712" s="2">
        <v>2</v>
      </c>
      <c r="J1712" s="31">
        <v>10</v>
      </c>
      <c r="K1712" s="7">
        <f t="shared" si="104"/>
        <v>24000</v>
      </c>
      <c r="L1712" s="7">
        <f t="shared" si="105"/>
        <v>2400</v>
      </c>
      <c r="M1712" s="7">
        <f t="shared" si="106"/>
        <v>21600</v>
      </c>
      <c r="N1712" s="23">
        <v>87000</v>
      </c>
      <c r="O1712" s="7">
        <f t="shared" si="107"/>
        <v>108600</v>
      </c>
      <c r="P1712" s="2" t="s">
        <v>35</v>
      </c>
      <c r="Q1712" t="str">
        <f>_xlfn.XLOOKUP(B1712,Status!$A$2:$A$1867,Status!$B$2:$B$1867)</f>
        <v>Cancelled</v>
      </c>
      <c r="R1712" s="2" t="s">
        <v>36</v>
      </c>
      <c r="S1712" s="8">
        <v>2</v>
      </c>
      <c r="T1712" s="2" t="s">
        <v>24</v>
      </c>
      <c r="U1712" s="31" t="str" cm="1">
        <f t="array" ref="U1712">_xlfn.IFS(L1712&lt;=5000,$Z$3,AND(L1712&gt;5000,L1712&lt;=15000),$Z$4,AND(L1712&gt;15000,L1712&lt;=30000),$Z$5,AND(L1712&gt;30000,L1712&lt;=50000),$Z$6,L1712&gt;50000,$Z$7)</f>
        <v>Sangat Rendah</v>
      </c>
      <c r="V1712" s="2"/>
    </row>
    <row r="1713" spans="1:22" ht="15.75" customHeight="1" x14ac:dyDescent="0.25">
      <c r="A1713" s="26"/>
      <c r="B1713" s="2" t="s">
        <v>2079</v>
      </c>
      <c r="C1713" s="32">
        <v>45863.086631944447</v>
      </c>
      <c r="D1713" s="53">
        <f>YEAR(Table1[[#This Row],[Order Date]])</f>
        <v>2025</v>
      </c>
      <c r="E1713" s="2" t="s">
        <v>2080</v>
      </c>
      <c r="F1713" s="2" t="s">
        <v>262</v>
      </c>
      <c r="G1713" s="2" t="s">
        <v>75</v>
      </c>
      <c r="H1713" s="23">
        <v>55000</v>
      </c>
      <c r="I1713" s="2">
        <v>4</v>
      </c>
      <c r="J1713" s="31">
        <v>15</v>
      </c>
      <c r="K1713" s="7">
        <f t="shared" si="104"/>
        <v>220000</v>
      </c>
      <c r="L1713" s="7">
        <f t="shared" si="105"/>
        <v>33000</v>
      </c>
      <c r="M1713" s="7">
        <f t="shared" si="106"/>
        <v>187000</v>
      </c>
      <c r="N1713" s="23">
        <v>18000</v>
      </c>
      <c r="O1713" s="7">
        <f t="shared" si="107"/>
        <v>205000</v>
      </c>
      <c r="P1713" s="2" t="s">
        <v>22</v>
      </c>
      <c r="Q1713" t="str">
        <f>_xlfn.XLOOKUP(B1713,Status!$A$2:$A$1867,Status!$B$2:$B$1867)</f>
        <v>Completed</v>
      </c>
      <c r="R1713" s="2" t="s">
        <v>46</v>
      </c>
      <c r="S1713" s="8">
        <v>2</v>
      </c>
      <c r="T1713" s="2" t="s">
        <v>24</v>
      </c>
      <c r="U1713" s="31" t="str" cm="1">
        <f t="array" ref="U1713">_xlfn.IFS(L1713&lt;=5000,$Z$3,AND(L1713&gt;5000,L1713&lt;=15000),$Z$4,AND(L1713&gt;15000,L1713&lt;=30000),$Z$5,AND(L1713&gt;30000,L1713&lt;=50000),$Z$6,L1713&gt;50000,$Z$7)</f>
        <v>Tinggi</v>
      </c>
      <c r="V1713" s="2"/>
    </row>
    <row r="1714" spans="1:22" ht="15.75" customHeight="1" x14ac:dyDescent="0.25">
      <c r="A1714" s="26"/>
      <c r="B1714" s="2" t="s">
        <v>2079</v>
      </c>
      <c r="C1714" s="32">
        <v>45863.086631944447</v>
      </c>
      <c r="D1714" s="53">
        <f>YEAR(Table1[[#This Row],[Order Date]])</f>
        <v>2025</v>
      </c>
      <c r="E1714" s="2" t="s">
        <v>2080</v>
      </c>
      <c r="F1714" s="2" t="s">
        <v>262</v>
      </c>
      <c r="G1714" s="2" t="s">
        <v>85</v>
      </c>
      <c r="H1714" s="23">
        <v>35000</v>
      </c>
      <c r="I1714" s="2">
        <v>3</v>
      </c>
      <c r="J1714" s="31">
        <v>15</v>
      </c>
      <c r="K1714" s="7">
        <f t="shared" si="104"/>
        <v>105000</v>
      </c>
      <c r="L1714" s="7">
        <f t="shared" si="105"/>
        <v>15750</v>
      </c>
      <c r="M1714" s="7">
        <f t="shared" si="106"/>
        <v>89250</v>
      </c>
      <c r="N1714" s="23">
        <v>0</v>
      </c>
      <c r="O1714" s="7">
        <f t="shared" si="107"/>
        <v>89250</v>
      </c>
      <c r="P1714" s="2" t="s">
        <v>22</v>
      </c>
      <c r="Q1714" t="str">
        <f>_xlfn.XLOOKUP(B1714,Status!$A$2:$A$1867,Status!$B$2:$B$1867)</f>
        <v>Completed</v>
      </c>
      <c r="R1714" s="2" t="s">
        <v>46</v>
      </c>
      <c r="S1714" s="8">
        <v>2</v>
      </c>
      <c r="T1714" s="2" t="s">
        <v>24</v>
      </c>
      <c r="U1714" s="31" t="str" cm="1">
        <f t="array" ref="U1714">_xlfn.IFS(L1714&lt;=5000,$Z$3,AND(L1714&gt;5000,L1714&lt;=15000),$Z$4,AND(L1714&gt;15000,L1714&lt;=30000),$Z$5,AND(L1714&gt;30000,L1714&lt;=50000),$Z$6,L1714&gt;50000,$Z$7)</f>
        <v>Normal</v>
      </c>
      <c r="V1714" s="2"/>
    </row>
    <row r="1715" spans="1:22" ht="15.75" customHeight="1" x14ac:dyDescent="0.25">
      <c r="A1715" s="26"/>
      <c r="B1715" s="2" t="s">
        <v>2081</v>
      </c>
      <c r="C1715" s="32">
        <v>45863.151562500003</v>
      </c>
      <c r="D1715" s="53">
        <f>YEAR(Table1[[#This Row],[Order Date]])</f>
        <v>2025</v>
      </c>
      <c r="E1715" s="2" t="s">
        <v>396</v>
      </c>
      <c r="F1715" s="2" t="s">
        <v>66</v>
      </c>
      <c r="G1715" s="2" t="s">
        <v>104</v>
      </c>
      <c r="H1715" s="23">
        <v>30000</v>
      </c>
      <c r="I1715" s="2">
        <v>2</v>
      </c>
      <c r="J1715" s="31">
        <v>10</v>
      </c>
      <c r="K1715" s="7">
        <f t="shared" si="104"/>
        <v>60000</v>
      </c>
      <c r="L1715" s="7">
        <f t="shared" si="105"/>
        <v>6000</v>
      </c>
      <c r="M1715" s="7">
        <f t="shared" si="106"/>
        <v>54000</v>
      </c>
      <c r="N1715" s="23">
        <v>59000</v>
      </c>
      <c r="O1715" s="7">
        <f t="shared" si="107"/>
        <v>113000</v>
      </c>
      <c r="P1715" s="2" t="s">
        <v>63</v>
      </c>
      <c r="Q1715" t="str">
        <f>_xlfn.XLOOKUP(B1715,Status!$A$2:$A$1867,Status!$B$2:$B$1867)</f>
        <v>Completed</v>
      </c>
      <c r="R1715" s="2" t="s">
        <v>46</v>
      </c>
      <c r="S1715" s="8">
        <v>3</v>
      </c>
      <c r="T1715" s="2" t="s">
        <v>37</v>
      </c>
      <c r="U1715" s="31" t="str" cm="1">
        <f t="array" ref="U1715">_xlfn.IFS(L1715&lt;=5000,$Z$3,AND(L1715&gt;5000,L1715&lt;=15000),$Z$4,AND(L1715&gt;15000,L1715&lt;=30000),$Z$5,AND(L1715&gt;30000,L1715&lt;=50000),$Z$6,L1715&gt;50000,$Z$7)</f>
        <v>Rendah</v>
      </c>
      <c r="V1715" s="2"/>
    </row>
    <row r="1716" spans="1:22" ht="15.75" customHeight="1" x14ac:dyDescent="0.25">
      <c r="A1716" s="26"/>
      <c r="B1716" s="2" t="s">
        <v>2082</v>
      </c>
      <c r="C1716" s="32">
        <v>45863.50476851852</v>
      </c>
      <c r="D1716" s="53">
        <f>YEAR(Table1[[#This Row],[Order Date]])</f>
        <v>2025</v>
      </c>
      <c r="E1716" s="2" t="s">
        <v>827</v>
      </c>
      <c r="F1716" s="2" t="s">
        <v>20</v>
      </c>
      <c r="G1716" s="2" t="s">
        <v>67</v>
      </c>
      <c r="H1716" s="23">
        <v>15000</v>
      </c>
      <c r="I1716" s="2">
        <v>4</v>
      </c>
      <c r="J1716" s="31">
        <v>15</v>
      </c>
      <c r="K1716" s="7">
        <f t="shared" si="104"/>
        <v>60000</v>
      </c>
      <c r="L1716" s="7">
        <f t="shared" si="105"/>
        <v>9000</v>
      </c>
      <c r="M1716" s="7">
        <f t="shared" si="106"/>
        <v>51000</v>
      </c>
      <c r="N1716" s="23">
        <v>15000</v>
      </c>
      <c r="O1716" s="7">
        <f t="shared" si="107"/>
        <v>66000</v>
      </c>
      <c r="P1716" s="2" t="s">
        <v>63</v>
      </c>
      <c r="Q1716" t="str">
        <f>_xlfn.XLOOKUP(B1716,Status!$A$2:$A$1867,Status!$B$2:$B$1867)</f>
        <v>Completed</v>
      </c>
      <c r="R1716" s="2" t="s">
        <v>46</v>
      </c>
      <c r="S1716" s="8">
        <v>3</v>
      </c>
      <c r="T1716" s="2" t="s">
        <v>24</v>
      </c>
      <c r="U1716" s="31" t="str" cm="1">
        <f t="array" ref="U1716">_xlfn.IFS(L1716&lt;=5000,$Z$3,AND(L1716&gt;5000,L1716&lt;=15000),$Z$4,AND(L1716&gt;15000,L1716&lt;=30000),$Z$5,AND(L1716&gt;30000,L1716&lt;=50000),$Z$6,L1716&gt;50000,$Z$7)</f>
        <v>Rendah</v>
      </c>
      <c r="V1716" s="2"/>
    </row>
    <row r="1717" spans="1:22" ht="15.75" customHeight="1" x14ac:dyDescent="0.25">
      <c r="A1717" s="26"/>
      <c r="B1717" s="2" t="s">
        <v>2083</v>
      </c>
      <c r="C1717" s="32">
        <v>45863.770949074067</v>
      </c>
      <c r="D1717" s="53">
        <f>YEAR(Table1[[#This Row],[Order Date]])</f>
        <v>2025</v>
      </c>
      <c r="E1717" s="2" t="s">
        <v>269</v>
      </c>
      <c r="F1717" s="2" t="s">
        <v>173</v>
      </c>
      <c r="G1717" s="2" t="s">
        <v>174</v>
      </c>
      <c r="H1717" s="23">
        <v>10000</v>
      </c>
      <c r="I1717" s="2">
        <v>5</v>
      </c>
      <c r="J1717" s="31">
        <v>20</v>
      </c>
      <c r="K1717" s="7">
        <f t="shared" si="104"/>
        <v>50000</v>
      </c>
      <c r="L1717" s="7">
        <f t="shared" si="105"/>
        <v>10000</v>
      </c>
      <c r="M1717" s="7">
        <f t="shared" si="106"/>
        <v>40000</v>
      </c>
      <c r="N1717" s="23">
        <v>49000</v>
      </c>
      <c r="O1717" s="7">
        <f t="shared" si="107"/>
        <v>89000</v>
      </c>
      <c r="P1717" s="2" t="s">
        <v>29</v>
      </c>
      <c r="Q1717" t="str">
        <f>_xlfn.XLOOKUP(B1717,Status!$A$2:$A$1867,Status!$B$2:$B$1867)</f>
        <v>Completed</v>
      </c>
      <c r="R1717" s="2" t="s">
        <v>36</v>
      </c>
      <c r="S1717" s="8">
        <v>1</v>
      </c>
      <c r="T1717" s="2" t="s">
        <v>37</v>
      </c>
      <c r="U1717" s="31" t="str" cm="1">
        <f t="array" ref="U1717">_xlfn.IFS(L1717&lt;=5000,$Z$3,AND(L1717&gt;5000,L1717&lt;=15000),$Z$4,AND(L1717&gt;15000,L1717&lt;=30000),$Z$5,AND(L1717&gt;30000,L1717&lt;=50000),$Z$6,L1717&gt;50000,$Z$7)</f>
        <v>Rendah</v>
      </c>
      <c r="V1717" s="2"/>
    </row>
    <row r="1718" spans="1:22" ht="15.75" customHeight="1" x14ac:dyDescent="0.25">
      <c r="A1718" s="26"/>
      <c r="B1718" s="2" t="s">
        <v>2084</v>
      </c>
      <c r="C1718" s="32">
        <v>45863.798275462963</v>
      </c>
      <c r="D1718" s="53">
        <f>YEAR(Table1[[#This Row],[Order Date]])</f>
        <v>2025</v>
      </c>
      <c r="E1718" s="2" t="s">
        <v>1122</v>
      </c>
      <c r="F1718" s="2" t="s">
        <v>33</v>
      </c>
      <c r="G1718" s="2" t="s">
        <v>21</v>
      </c>
      <c r="H1718" s="23">
        <v>45000</v>
      </c>
      <c r="I1718" s="2">
        <v>2</v>
      </c>
      <c r="J1718" s="31">
        <v>0</v>
      </c>
      <c r="K1718" s="7">
        <f t="shared" si="104"/>
        <v>90000</v>
      </c>
      <c r="L1718" s="7">
        <f t="shared" si="105"/>
        <v>0</v>
      </c>
      <c r="M1718" s="7">
        <f t="shared" si="106"/>
        <v>90000</v>
      </c>
      <c r="N1718" s="23">
        <v>76000</v>
      </c>
      <c r="O1718" s="7">
        <f t="shared" si="107"/>
        <v>166000</v>
      </c>
      <c r="P1718" s="2" t="s">
        <v>22</v>
      </c>
      <c r="Q1718" t="str">
        <f>_xlfn.XLOOKUP(B1718,Status!$A$2:$A$1867,Status!$B$2:$B$1867)</f>
        <v>Completed</v>
      </c>
      <c r="R1718" s="2" t="s">
        <v>36</v>
      </c>
      <c r="S1718" s="8">
        <v>4</v>
      </c>
      <c r="T1718" s="2" t="s">
        <v>24</v>
      </c>
      <c r="U1718" s="31" t="str" cm="1">
        <f t="array" ref="U1718">_xlfn.IFS(L1718&lt;=5000,$Z$3,AND(L1718&gt;5000,L1718&lt;=15000),$Z$4,AND(L1718&gt;15000,L1718&lt;=30000),$Z$5,AND(L1718&gt;30000,L1718&lt;=50000),$Z$6,L1718&gt;50000,$Z$7)</f>
        <v>Sangat Rendah</v>
      </c>
      <c r="V1718" s="2"/>
    </row>
    <row r="1719" spans="1:22" ht="15.75" customHeight="1" x14ac:dyDescent="0.25">
      <c r="A1719" s="26"/>
      <c r="B1719" s="2" t="s">
        <v>2085</v>
      </c>
      <c r="C1719" s="32">
        <v>45864.592835648153</v>
      </c>
      <c r="D1719" s="53">
        <f>YEAR(Table1[[#This Row],[Order Date]])</f>
        <v>2025</v>
      </c>
      <c r="E1719" s="2" t="s">
        <v>515</v>
      </c>
      <c r="F1719" s="2" t="s">
        <v>182</v>
      </c>
      <c r="G1719" s="2" t="s">
        <v>144</v>
      </c>
      <c r="H1719" s="23">
        <v>18000</v>
      </c>
      <c r="I1719" s="2">
        <v>2</v>
      </c>
      <c r="J1719" s="31">
        <v>15</v>
      </c>
      <c r="K1719" s="7">
        <f t="shared" si="104"/>
        <v>36000</v>
      </c>
      <c r="L1719" s="7">
        <f t="shared" si="105"/>
        <v>5400</v>
      </c>
      <c r="M1719" s="7">
        <f t="shared" si="106"/>
        <v>30600</v>
      </c>
      <c r="N1719" s="23">
        <v>48000</v>
      </c>
      <c r="O1719" s="7">
        <f t="shared" si="107"/>
        <v>78600</v>
      </c>
      <c r="P1719" s="2" t="s">
        <v>35</v>
      </c>
      <c r="Q1719" t="str">
        <f>_xlfn.XLOOKUP(B1719,Status!$A$2:$A$1867,Status!$B$2:$B$1867)</f>
        <v>Completed</v>
      </c>
      <c r="R1719" s="2" t="s">
        <v>36</v>
      </c>
      <c r="S1719" s="8">
        <v>5</v>
      </c>
      <c r="T1719" s="2" t="s">
        <v>24</v>
      </c>
      <c r="U1719" s="31" t="str" cm="1">
        <f t="array" ref="U1719">_xlfn.IFS(L1719&lt;=5000,$Z$3,AND(L1719&gt;5000,L1719&lt;=15000),$Z$4,AND(L1719&gt;15000,L1719&lt;=30000),$Z$5,AND(L1719&gt;30000,L1719&lt;=50000),$Z$6,L1719&gt;50000,$Z$7)</f>
        <v>Rendah</v>
      </c>
      <c r="V1719" s="2"/>
    </row>
    <row r="1720" spans="1:22" ht="15.75" customHeight="1" x14ac:dyDescent="0.25">
      <c r="A1720" s="26"/>
      <c r="B1720" s="2" t="s">
        <v>2086</v>
      </c>
      <c r="C1720" s="32">
        <v>45864.711539351847</v>
      </c>
      <c r="D1720" s="53">
        <f>YEAR(Table1[[#This Row],[Order Date]])</f>
        <v>2025</v>
      </c>
      <c r="E1720" s="2" t="s">
        <v>451</v>
      </c>
      <c r="F1720" s="2" t="s">
        <v>116</v>
      </c>
      <c r="G1720" s="2" t="s">
        <v>190</v>
      </c>
      <c r="H1720" s="23">
        <v>35000</v>
      </c>
      <c r="I1720" s="2">
        <v>4</v>
      </c>
      <c r="J1720" s="31">
        <v>10</v>
      </c>
      <c r="K1720" s="7">
        <f t="shared" si="104"/>
        <v>140000</v>
      </c>
      <c r="L1720" s="7">
        <f t="shared" si="105"/>
        <v>14000</v>
      </c>
      <c r="M1720" s="7">
        <f t="shared" si="106"/>
        <v>126000</v>
      </c>
      <c r="N1720" s="23">
        <v>72000</v>
      </c>
      <c r="O1720" s="7">
        <f t="shared" si="107"/>
        <v>198000</v>
      </c>
      <c r="P1720" s="2" t="s">
        <v>22</v>
      </c>
      <c r="Q1720" t="str">
        <f>_xlfn.XLOOKUP(B1720,Status!$A$2:$A$1867,Status!$B$2:$B$1867)</f>
        <v>Completed</v>
      </c>
      <c r="R1720" s="2" t="s">
        <v>82</v>
      </c>
      <c r="S1720" s="8">
        <v>3</v>
      </c>
      <c r="T1720" s="2" t="s">
        <v>24</v>
      </c>
      <c r="U1720" s="31" t="str" cm="1">
        <f t="array" ref="U1720">_xlfn.IFS(L1720&lt;=5000,$Z$3,AND(L1720&gt;5000,L1720&lt;=15000),$Z$4,AND(L1720&gt;15000,L1720&lt;=30000),$Z$5,AND(L1720&gt;30000,L1720&lt;=50000),$Z$6,L1720&gt;50000,$Z$7)</f>
        <v>Rendah</v>
      </c>
      <c r="V1720" s="2"/>
    </row>
    <row r="1721" spans="1:22" ht="15.75" customHeight="1" x14ac:dyDescent="0.25">
      <c r="A1721" s="26"/>
      <c r="B1721" s="2" t="s">
        <v>2087</v>
      </c>
      <c r="C1721" s="32">
        <v>45865.085636574076</v>
      </c>
      <c r="D1721" s="53">
        <f>YEAR(Table1[[#This Row],[Order Date]])</f>
        <v>2025</v>
      </c>
      <c r="E1721" s="2" t="s">
        <v>794</v>
      </c>
      <c r="F1721" s="2" t="s">
        <v>61</v>
      </c>
      <c r="G1721" s="2" t="s">
        <v>93</v>
      </c>
      <c r="H1721" s="23">
        <v>25000</v>
      </c>
      <c r="I1721" s="2">
        <v>5</v>
      </c>
      <c r="J1721" s="31">
        <v>5</v>
      </c>
      <c r="K1721" s="7">
        <f t="shared" si="104"/>
        <v>125000</v>
      </c>
      <c r="L1721" s="7">
        <f t="shared" si="105"/>
        <v>6250</v>
      </c>
      <c r="M1721" s="7">
        <f t="shared" si="106"/>
        <v>118750</v>
      </c>
      <c r="N1721" s="23">
        <v>26000</v>
      </c>
      <c r="O1721" s="7">
        <f t="shared" si="107"/>
        <v>144750</v>
      </c>
      <c r="P1721" s="2" t="s">
        <v>63</v>
      </c>
      <c r="Q1721" t="str">
        <f>_xlfn.XLOOKUP(B1721,Status!$A$2:$A$1867,Status!$B$2:$B$1867)</f>
        <v>Completed</v>
      </c>
      <c r="R1721" s="2" t="s">
        <v>23</v>
      </c>
      <c r="S1721" s="8">
        <v>2</v>
      </c>
      <c r="T1721" s="2" t="s">
        <v>37</v>
      </c>
      <c r="U1721" s="31" t="str" cm="1">
        <f t="array" ref="U1721">_xlfn.IFS(L1721&lt;=5000,$Z$3,AND(L1721&gt;5000,L1721&lt;=15000),$Z$4,AND(L1721&gt;15000,L1721&lt;=30000),$Z$5,AND(L1721&gt;30000,L1721&lt;=50000),$Z$6,L1721&gt;50000,$Z$7)</f>
        <v>Rendah</v>
      </c>
      <c r="V1721" s="2"/>
    </row>
    <row r="1722" spans="1:22" ht="15.75" customHeight="1" x14ac:dyDescent="0.25">
      <c r="A1722" s="26"/>
      <c r="B1722" s="2" t="s">
        <v>2088</v>
      </c>
      <c r="C1722" s="32">
        <v>45865.160798611112</v>
      </c>
      <c r="D1722" s="53">
        <f>YEAR(Table1[[#This Row],[Order Date]])</f>
        <v>2025</v>
      </c>
      <c r="E1722" s="2" t="s">
        <v>142</v>
      </c>
      <c r="F1722" s="2" t="s">
        <v>143</v>
      </c>
      <c r="G1722" s="2" t="s">
        <v>110</v>
      </c>
      <c r="H1722" s="23">
        <v>6000</v>
      </c>
      <c r="I1722" s="2">
        <v>5</v>
      </c>
      <c r="J1722" s="31">
        <v>15</v>
      </c>
      <c r="K1722" s="7">
        <f t="shared" si="104"/>
        <v>30000</v>
      </c>
      <c r="L1722" s="7">
        <f t="shared" si="105"/>
        <v>4500</v>
      </c>
      <c r="M1722" s="7">
        <f t="shared" si="106"/>
        <v>25500</v>
      </c>
      <c r="N1722" s="23">
        <v>50000</v>
      </c>
      <c r="O1722" s="7">
        <f t="shared" si="107"/>
        <v>75500</v>
      </c>
      <c r="P1722" s="2" t="s">
        <v>22</v>
      </c>
      <c r="Q1722" t="str">
        <f>_xlfn.XLOOKUP(B1722,Status!$A$2:$A$1867,Status!$B$2:$B$1867)</f>
        <v>Completed</v>
      </c>
      <c r="R1722" s="2" t="s">
        <v>46</v>
      </c>
      <c r="S1722" s="8">
        <v>2</v>
      </c>
      <c r="T1722" s="2" t="s">
        <v>24</v>
      </c>
      <c r="U1722" s="31" t="str" cm="1">
        <f t="array" ref="U1722">_xlfn.IFS(L1722&lt;=5000,$Z$3,AND(L1722&gt;5000,L1722&lt;=15000),$Z$4,AND(L1722&gt;15000,L1722&lt;=30000),$Z$5,AND(L1722&gt;30000,L1722&lt;=50000),$Z$6,L1722&gt;50000,$Z$7)</f>
        <v>Sangat Rendah</v>
      </c>
      <c r="V1722" s="2"/>
    </row>
    <row r="1723" spans="1:22" ht="15.75" customHeight="1" x14ac:dyDescent="0.25">
      <c r="A1723" s="26"/>
      <c r="B1723" s="2" t="s">
        <v>2089</v>
      </c>
      <c r="C1723" s="32">
        <v>45865.341331018521</v>
      </c>
      <c r="D1723" s="53">
        <f>YEAR(Table1[[#This Row],[Order Date]])</f>
        <v>2025</v>
      </c>
      <c r="E1723" s="2" t="s">
        <v>751</v>
      </c>
      <c r="F1723" s="2" t="s">
        <v>80</v>
      </c>
      <c r="G1723" s="2" t="s">
        <v>85</v>
      </c>
      <c r="H1723" s="23">
        <v>35000</v>
      </c>
      <c r="I1723" s="2">
        <v>1</v>
      </c>
      <c r="J1723" s="31">
        <v>15</v>
      </c>
      <c r="K1723" s="7">
        <f t="shared" si="104"/>
        <v>35000</v>
      </c>
      <c r="L1723" s="7">
        <f t="shared" si="105"/>
        <v>5250</v>
      </c>
      <c r="M1723" s="7">
        <f t="shared" si="106"/>
        <v>29750</v>
      </c>
      <c r="N1723" s="23">
        <v>74000</v>
      </c>
      <c r="O1723" s="7">
        <f t="shared" si="107"/>
        <v>103750</v>
      </c>
      <c r="P1723" s="2" t="s">
        <v>63</v>
      </c>
      <c r="Q1723" t="str">
        <f>_xlfn.XLOOKUP(B1723,Status!$A$2:$A$1867,Status!$B$2:$B$1867)</f>
        <v>Completed</v>
      </c>
      <c r="R1723" s="2" t="s">
        <v>82</v>
      </c>
      <c r="S1723" s="8">
        <v>1</v>
      </c>
      <c r="T1723" s="2" t="s">
        <v>24</v>
      </c>
      <c r="U1723" s="31" t="str" cm="1">
        <f t="array" ref="U1723">_xlfn.IFS(L1723&lt;=5000,$Z$3,AND(L1723&gt;5000,L1723&lt;=15000),$Z$4,AND(L1723&gt;15000,L1723&lt;=30000),$Z$5,AND(L1723&gt;30000,L1723&lt;=50000),$Z$6,L1723&gt;50000,$Z$7)</f>
        <v>Rendah</v>
      </c>
      <c r="V1723" s="2"/>
    </row>
    <row r="1724" spans="1:22" ht="15.75" customHeight="1" x14ac:dyDescent="0.25">
      <c r="A1724" s="26"/>
      <c r="B1724" s="2" t="s">
        <v>2089</v>
      </c>
      <c r="C1724" s="32">
        <v>45865.341331018521</v>
      </c>
      <c r="D1724" s="53">
        <f>YEAR(Table1[[#This Row],[Order Date]])</f>
        <v>2025</v>
      </c>
      <c r="E1724" s="2" t="s">
        <v>751</v>
      </c>
      <c r="F1724" s="2" t="s">
        <v>80</v>
      </c>
      <c r="G1724" s="2" t="s">
        <v>104</v>
      </c>
      <c r="H1724" s="23">
        <v>30000</v>
      </c>
      <c r="I1724" s="2">
        <v>4</v>
      </c>
      <c r="J1724" s="31">
        <v>0</v>
      </c>
      <c r="K1724" s="7">
        <f t="shared" si="104"/>
        <v>120000</v>
      </c>
      <c r="L1724" s="7">
        <f t="shared" si="105"/>
        <v>0</v>
      </c>
      <c r="M1724" s="7">
        <f t="shared" si="106"/>
        <v>120000</v>
      </c>
      <c r="N1724" s="23">
        <v>0</v>
      </c>
      <c r="O1724" s="7">
        <f t="shared" si="107"/>
        <v>120000</v>
      </c>
      <c r="P1724" s="2" t="s">
        <v>63</v>
      </c>
      <c r="Q1724" t="str">
        <f>_xlfn.XLOOKUP(B1724,Status!$A$2:$A$1867,Status!$B$2:$B$1867)</f>
        <v>Completed</v>
      </c>
      <c r="R1724" s="2" t="s">
        <v>82</v>
      </c>
      <c r="S1724" s="8">
        <v>1</v>
      </c>
      <c r="T1724" s="2" t="s">
        <v>24</v>
      </c>
      <c r="U1724" s="31" t="str" cm="1">
        <f t="array" ref="U1724">_xlfn.IFS(L1724&lt;=5000,$Z$3,AND(L1724&gt;5000,L1724&lt;=15000),$Z$4,AND(L1724&gt;15000,L1724&lt;=30000),$Z$5,AND(L1724&gt;30000,L1724&lt;=50000),$Z$6,L1724&gt;50000,$Z$7)</f>
        <v>Sangat Rendah</v>
      </c>
      <c r="V1724" s="2"/>
    </row>
    <row r="1725" spans="1:22" ht="15.75" customHeight="1" x14ac:dyDescent="0.25">
      <c r="A1725" s="26"/>
      <c r="B1725" s="2" t="s">
        <v>2090</v>
      </c>
      <c r="C1725" s="32">
        <v>45865.577187499999</v>
      </c>
      <c r="D1725" s="53">
        <f>YEAR(Table1[[#This Row],[Order Date]])</f>
        <v>2025</v>
      </c>
      <c r="E1725" s="2" t="s">
        <v>2072</v>
      </c>
      <c r="F1725" s="2" t="s">
        <v>92</v>
      </c>
      <c r="G1725" s="2" t="s">
        <v>186</v>
      </c>
      <c r="H1725" s="23">
        <v>45000</v>
      </c>
      <c r="I1725" s="2">
        <v>5</v>
      </c>
      <c r="J1725" s="31">
        <v>5</v>
      </c>
      <c r="K1725" s="7">
        <f t="shared" si="104"/>
        <v>225000</v>
      </c>
      <c r="L1725" s="7">
        <f t="shared" si="105"/>
        <v>11250</v>
      </c>
      <c r="M1725" s="7">
        <f t="shared" si="106"/>
        <v>213750</v>
      </c>
      <c r="N1725" s="23">
        <v>30000</v>
      </c>
      <c r="O1725" s="7">
        <f t="shared" si="107"/>
        <v>243750</v>
      </c>
      <c r="P1725" s="2" t="s">
        <v>35</v>
      </c>
      <c r="Q1725" t="str">
        <f>_xlfn.XLOOKUP(B1725,Status!$A$2:$A$1867,Status!$B$2:$B$1867)</f>
        <v>Completed</v>
      </c>
      <c r="R1725" s="2" t="s">
        <v>30</v>
      </c>
      <c r="S1725" s="8">
        <v>4</v>
      </c>
      <c r="T1725" s="2" t="s">
        <v>37</v>
      </c>
      <c r="U1725" s="31" t="str" cm="1">
        <f t="array" ref="U1725">_xlfn.IFS(L1725&lt;=5000,$Z$3,AND(L1725&gt;5000,L1725&lt;=15000),$Z$4,AND(L1725&gt;15000,L1725&lt;=30000),$Z$5,AND(L1725&gt;30000,L1725&lt;=50000),$Z$6,L1725&gt;50000,$Z$7)</f>
        <v>Rendah</v>
      </c>
      <c r="V1725" s="2"/>
    </row>
    <row r="1726" spans="1:22" ht="15.75" customHeight="1" x14ac:dyDescent="0.25">
      <c r="A1726" s="26"/>
      <c r="B1726" s="2" t="s">
        <v>2091</v>
      </c>
      <c r="C1726" s="32">
        <v>45866.054826388892</v>
      </c>
      <c r="D1726" s="53">
        <f>YEAR(Table1[[#This Row],[Order Date]])</f>
        <v>2025</v>
      </c>
      <c r="E1726" s="2" t="s">
        <v>812</v>
      </c>
      <c r="F1726" s="2" t="s">
        <v>33</v>
      </c>
      <c r="G1726" s="2" t="s">
        <v>186</v>
      </c>
      <c r="H1726" s="23">
        <v>45000</v>
      </c>
      <c r="I1726" s="2">
        <v>1</v>
      </c>
      <c r="J1726" s="31">
        <v>10</v>
      </c>
      <c r="K1726" s="7">
        <f t="shared" si="104"/>
        <v>45000</v>
      </c>
      <c r="L1726" s="7">
        <f t="shared" si="105"/>
        <v>4500</v>
      </c>
      <c r="M1726" s="7">
        <f t="shared" si="106"/>
        <v>40500</v>
      </c>
      <c r="N1726" s="23">
        <v>76000</v>
      </c>
      <c r="O1726" s="7">
        <f t="shared" si="107"/>
        <v>116500</v>
      </c>
      <c r="P1726" s="2" t="s">
        <v>35</v>
      </c>
      <c r="Q1726" t="str">
        <f>_xlfn.XLOOKUP(B1726,Status!$A$2:$A$1867,Status!$B$2:$B$1867)</f>
        <v>Returned</v>
      </c>
      <c r="R1726" s="2" t="s">
        <v>30</v>
      </c>
      <c r="S1726" s="8">
        <v>1</v>
      </c>
      <c r="T1726" s="2" t="s">
        <v>24</v>
      </c>
      <c r="U1726" s="31" t="str" cm="1">
        <f t="array" ref="U1726">_xlfn.IFS(L1726&lt;=5000,$Z$3,AND(L1726&gt;5000,L1726&lt;=15000),$Z$4,AND(L1726&gt;15000,L1726&lt;=30000),$Z$5,AND(L1726&gt;30000,L1726&lt;=50000),$Z$6,L1726&gt;50000,$Z$7)</f>
        <v>Sangat Rendah</v>
      </c>
      <c r="V1726" s="2"/>
    </row>
    <row r="1727" spans="1:22" ht="15.75" customHeight="1" x14ac:dyDescent="0.25">
      <c r="A1727" s="26"/>
      <c r="B1727" s="2" t="s">
        <v>2092</v>
      </c>
      <c r="C1727" s="32">
        <v>45866.175891203697</v>
      </c>
      <c r="D1727" s="53">
        <f>YEAR(Table1[[#This Row],[Order Date]])</f>
        <v>2025</v>
      </c>
      <c r="E1727" s="2" t="s">
        <v>1424</v>
      </c>
      <c r="F1727" s="2" t="s">
        <v>296</v>
      </c>
      <c r="G1727" s="2" t="s">
        <v>41</v>
      </c>
      <c r="H1727" s="23">
        <v>4000</v>
      </c>
      <c r="I1727" s="2">
        <v>2</v>
      </c>
      <c r="J1727" s="31">
        <v>20</v>
      </c>
      <c r="K1727" s="7">
        <f t="shared" si="104"/>
        <v>8000</v>
      </c>
      <c r="L1727" s="7">
        <f t="shared" si="105"/>
        <v>1600</v>
      </c>
      <c r="M1727" s="7">
        <f t="shared" si="106"/>
        <v>6400</v>
      </c>
      <c r="N1727" s="23">
        <v>79000</v>
      </c>
      <c r="O1727" s="7">
        <f t="shared" si="107"/>
        <v>85400</v>
      </c>
      <c r="P1727" s="2" t="s">
        <v>35</v>
      </c>
      <c r="Q1727" t="str">
        <f>_xlfn.XLOOKUP(B1727,Status!$A$2:$A$1867,Status!$B$2:$B$1867)</f>
        <v>Completed</v>
      </c>
      <c r="R1727" s="2" t="s">
        <v>82</v>
      </c>
      <c r="S1727" s="8">
        <v>2</v>
      </c>
      <c r="T1727" s="2" t="s">
        <v>24</v>
      </c>
      <c r="U1727" s="31" t="str" cm="1">
        <f t="array" ref="U1727">_xlfn.IFS(L1727&lt;=5000,$Z$3,AND(L1727&gt;5000,L1727&lt;=15000),$Z$4,AND(L1727&gt;15000,L1727&lt;=30000),$Z$5,AND(L1727&gt;30000,L1727&lt;=50000),$Z$6,L1727&gt;50000,$Z$7)</f>
        <v>Sangat Rendah</v>
      </c>
      <c r="V1727" s="2"/>
    </row>
    <row r="1728" spans="1:22" ht="15.75" customHeight="1" x14ac:dyDescent="0.25">
      <c r="A1728" s="26"/>
      <c r="B1728" s="2" t="s">
        <v>2093</v>
      </c>
      <c r="C1728" s="32">
        <v>45866.266261574077</v>
      </c>
      <c r="D1728" s="53">
        <f>YEAR(Table1[[#This Row],[Order Date]])</f>
        <v>2025</v>
      </c>
      <c r="E1728" s="2" t="s">
        <v>211</v>
      </c>
      <c r="F1728" s="2" t="s">
        <v>49</v>
      </c>
      <c r="G1728" s="2" t="s">
        <v>93</v>
      </c>
      <c r="H1728" s="23">
        <v>25000</v>
      </c>
      <c r="I1728" s="2">
        <v>4</v>
      </c>
      <c r="J1728" s="31">
        <v>10</v>
      </c>
      <c r="K1728" s="7">
        <f t="shared" si="104"/>
        <v>100000</v>
      </c>
      <c r="L1728" s="7">
        <f t="shared" si="105"/>
        <v>10000</v>
      </c>
      <c r="M1728" s="7">
        <f t="shared" si="106"/>
        <v>90000</v>
      </c>
      <c r="N1728" s="23">
        <v>43000</v>
      </c>
      <c r="O1728" s="7">
        <f t="shared" si="107"/>
        <v>133000</v>
      </c>
      <c r="P1728" s="2" t="s">
        <v>29</v>
      </c>
      <c r="Q1728" t="str">
        <f>_xlfn.XLOOKUP(B1728,Status!$A$2:$A$1867,Status!$B$2:$B$1867)</f>
        <v>Cancelled</v>
      </c>
      <c r="R1728" s="2" t="s">
        <v>23</v>
      </c>
      <c r="S1728" s="8">
        <v>4</v>
      </c>
      <c r="T1728" s="2" t="s">
        <v>24</v>
      </c>
      <c r="U1728" s="31" t="str" cm="1">
        <f t="array" ref="U1728">_xlfn.IFS(L1728&lt;=5000,$Z$3,AND(L1728&gt;5000,L1728&lt;=15000),$Z$4,AND(L1728&gt;15000,L1728&lt;=30000),$Z$5,AND(L1728&gt;30000,L1728&lt;=50000),$Z$6,L1728&gt;50000,$Z$7)</f>
        <v>Rendah</v>
      </c>
      <c r="V1728" s="2"/>
    </row>
    <row r="1729" spans="1:22" ht="15.75" customHeight="1" x14ac:dyDescent="0.25">
      <c r="A1729" s="26"/>
      <c r="B1729" s="2" t="s">
        <v>2094</v>
      </c>
      <c r="C1729" s="32">
        <v>45866.288958333331</v>
      </c>
      <c r="D1729" s="53">
        <f>YEAR(Table1[[#This Row],[Order Date]])</f>
        <v>2025</v>
      </c>
      <c r="E1729" s="2" t="s">
        <v>990</v>
      </c>
      <c r="F1729" s="2" t="s">
        <v>173</v>
      </c>
      <c r="G1729" s="2" t="s">
        <v>174</v>
      </c>
      <c r="H1729" s="23">
        <v>10000</v>
      </c>
      <c r="I1729" s="2">
        <v>2</v>
      </c>
      <c r="J1729" s="31">
        <v>10</v>
      </c>
      <c r="K1729" s="7">
        <f t="shared" si="104"/>
        <v>20000</v>
      </c>
      <c r="L1729" s="7">
        <f t="shared" si="105"/>
        <v>2000</v>
      </c>
      <c r="M1729" s="7">
        <f t="shared" si="106"/>
        <v>18000</v>
      </c>
      <c r="N1729" s="23">
        <v>49000</v>
      </c>
      <c r="O1729" s="7">
        <f t="shared" si="107"/>
        <v>67000</v>
      </c>
      <c r="P1729" s="2" t="s">
        <v>63</v>
      </c>
      <c r="Q1729" t="str">
        <f>_xlfn.XLOOKUP(B1729,Status!$A$2:$A$1867,Status!$B$2:$B$1867)</f>
        <v>Completed</v>
      </c>
      <c r="R1729" s="2" t="s">
        <v>82</v>
      </c>
      <c r="S1729" s="8">
        <v>2</v>
      </c>
      <c r="T1729" s="2" t="s">
        <v>24</v>
      </c>
      <c r="U1729" s="31" t="str" cm="1">
        <f t="array" ref="U1729">_xlfn.IFS(L1729&lt;=5000,$Z$3,AND(L1729&gt;5000,L1729&lt;=15000),$Z$4,AND(L1729&gt;15000,L1729&lt;=30000),$Z$5,AND(L1729&gt;30000,L1729&lt;=50000),$Z$6,L1729&gt;50000,$Z$7)</f>
        <v>Sangat Rendah</v>
      </c>
      <c r="V1729" s="2"/>
    </row>
    <row r="1730" spans="1:22" ht="15.75" customHeight="1" x14ac:dyDescent="0.25">
      <c r="A1730" s="26"/>
      <c r="B1730" s="2" t="s">
        <v>2095</v>
      </c>
      <c r="C1730" s="32">
        <v>45866.364155092589</v>
      </c>
      <c r="D1730" s="53">
        <f>YEAR(Table1[[#This Row],[Order Date]])</f>
        <v>2025</v>
      </c>
      <c r="E1730" s="2" t="s">
        <v>326</v>
      </c>
      <c r="F1730" s="2" t="s">
        <v>262</v>
      </c>
      <c r="G1730" s="2" t="s">
        <v>93</v>
      </c>
      <c r="H1730" s="23">
        <v>25000</v>
      </c>
      <c r="I1730" s="2">
        <v>4</v>
      </c>
      <c r="J1730" s="31">
        <v>10</v>
      </c>
      <c r="K1730" s="7">
        <f t="shared" si="104"/>
        <v>100000</v>
      </c>
      <c r="L1730" s="7">
        <f t="shared" si="105"/>
        <v>10000</v>
      </c>
      <c r="M1730" s="7">
        <f t="shared" si="106"/>
        <v>90000</v>
      </c>
      <c r="N1730" s="23">
        <v>18000</v>
      </c>
      <c r="O1730" s="7">
        <f t="shared" si="107"/>
        <v>108000</v>
      </c>
      <c r="P1730" s="2" t="s">
        <v>29</v>
      </c>
      <c r="Q1730" t="str">
        <f>_xlfn.XLOOKUP(B1730,Status!$A$2:$A$1867,Status!$B$2:$B$1867)</f>
        <v>Completed</v>
      </c>
      <c r="R1730" s="2" t="s">
        <v>82</v>
      </c>
      <c r="S1730" s="8">
        <v>3</v>
      </c>
      <c r="T1730" s="2" t="s">
        <v>37</v>
      </c>
      <c r="U1730" s="31" t="str" cm="1">
        <f t="array" ref="U1730">_xlfn.IFS(L1730&lt;=5000,$Z$3,AND(L1730&gt;5000,L1730&lt;=15000),$Z$4,AND(L1730&gt;15000,L1730&lt;=30000),$Z$5,AND(L1730&gt;30000,L1730&lt;=50000),$Z$6,L1730&gt;50000,$Z$7)</f>
        <v>Rendah</v>
      </c>
      <c r="V1730" s="2"/>
    </row>
    <row r="1731" spans="1:22" ht="15.75" customHeight="1" x14ac:dyDescent="0.25">
      <c r="A1731" s="26"/>
      <c r="B1731" s="2" t="s">
        <v>2096</v>
      </c>
      <c r="C1731" s="32">
        <v>45866.424317129633</v>
      </c>
      <c r="D1731" s="53">
        <f>YEAR(Table1[[#This Row],[Order Date]])</f>
        <v>2025</v>
      </c>
      <c r="E1731" s="2" t="s">
        <v>2097</v>
      </c>
      <c r="F1731" s="2" t="s">
        <v>53</v>
      </c>
      <c r="G1731" s="2" t="s">
        <v>81</v>
      </c>
      <c r="H1731" s="23">
        <v>17000</v>
      </c>
      <c r="I1731" s="2">
        <v>2</v>
      </c>
      <c r="J1731" s="31">
        <v>10</v>
      </c>
      <c r="K1731" s="7">
        <f t="shared" si="104"/>
        <v>34000</v>
      </c>
      <c r="L1731" s="7">
        <f t="shared" si="105"/>
        <v>3400</v>
      </c>
      <c r="M1731" s="7">
        <f t="shared" si="106"/>
        <v>30600</v>
      </c>
      <c r="N1731" s="23">
        <v>18000</v>
      </c>
      <c r="O1731" s="7">
        <f t="shared" si="107"/>
        <v>48600</v>
      </c>
      <c r="P1731" s="2" t="s">
        <v>29</v>
      </c>
      <c r="Q1731" t="str">
        <f>_xlfn.XLOOKUP(B1731,Status!$A$2:$A$1867,Status!$B$2:$B$1867)</f>
        <v>Completed</v>
      </c>
      <c r="R1731" s="2" t="s">
        <v>30</v>
      </c>
      <c r="S1731" s="8">
        <v>4</v>
      </c>
      <c r="T1731" s="2" t="s">
        <v>24</v>
      </c>
      <c r="U1731" s="31" t="str" cm="1">
        <f t="array" ref="U1731">_xlfn.IFS(L1731&lt;=5000,$Z$3,AND(L1731&gt;5000,L1731&lt;=15000),$Z$4,AND(L1731&gt;15000,L1731&lt;=30000),$Z$5,AND(L1731&gt;30000,L1731&lt;=50000),$Z$6,L1731&gt;50000,$Z$7)</f>
        <v>Sangat Rendah</v>
      </c>
      <c r="V1731" s="2"/>
    </row>
    <row r="1732" spans="1:22" ht="15.75" customHeight="1" x14ac:dyDescent="0.25">
      <c r="A1732" s="26"/>
      <c r="B1732" s="2" t="s">
        <v>2098</v>
      </c>
      <c r="C1732" s="32">
        <v>45866.681296296287</v>
      </c>
      <c r="D1732" s="53">
        <f>YEAR(Table1[[#This Row],[Order Date]])</f>
        <v>2025</v>
      </c>
      <c r="E1732" s="2" t="s">
        <v>557</v>
      </c>
      <c r="F1732" s="2" t="s">
        <v>173</v>
      </c>
      <c r="G1732" s="2" t="s">
        <v>62</v>
      </c>
      <c r="H1732" s="23">
        <v>50000</v>
      </c>
      <c r="I1732" s="2">
        <v>1</v>
      </c>
      <c r="J1732" s="31">
        <v>5</v>
      </c>
      <c r="K1732" s="7">
        <f t="shared" ref="K1732:K1795" si="108">H1732*I1732</f>
        <v>50000</v>
      </c>
      <c r="L1732" s="7">
        <f t="shared" ref="L1732:L1795" si="109">K1732*(J1732/100)</f>
        <v>2500</v>
      </c>
      <c r="M1732" s="7">
        <f t="shared" ref="M1732:M1795" si="110">K1732-L1732</f>
        <v>47500</v>
      </c>
      <c r="N1732" s="23">
        <v>49000</v>
      </c>
      <c r="O1732" s="7">
        <f t="shared" ref="O1732:O1795" si="111">SUM(M1732:N1732)</f>
        <v>96500</v>
      </c>
      <c r="P1732" s="2" t="s">
        <v>35</v>
      </c>
      <c r="Q1732" t="str">
        <f>_xlfn.XLOOKUP(B1732,Status!$A$2:$A$1867,Status!$B$2:$B$1867)</f>
        <v>Completed</v>
      </c>
      <c r="R1732" s="2" t="s">
        <v>36</v>
      </c>
      <c r="S1732" s="8">
        <v>4</v>
      </c>
      <c r="T1732" s="2" t="s">
        <v>24</v>
      </c>
      <c r="U1732" s="31" t="str" cm="1">
        <f t="array" ref="U1732">_xlfn.IFS(L1732&lt;=5000,$Z$3,AND(L1732&gt;5000,L1732&lt;=15000),$Z$4,AND(L1732&gt;15000,L1732&lt;=30000),$Z$5,AND(L1732&gt;30000,L1732&lt;=50000),$Z$6,L1732&gt;50000,$Z$7)</f>
        <v>Sangat Rendah</v>
      </c>
      <c r="V1732" s="2"/>
    </row>
    <row r="1733" spans="1:22" ht="15.75" customHeight="1" x14ac:dyDescent="0.25">
      <c r="A1733" s="26"/>
      <c r="B1733" s="2" t="s">
        <v>2099</v>
      </c>
      <c r="C1733" s="32">
        <v>45866.900381944448</v>
      </c>
      <c r="D1733" s="53">
        <f>YEAR(Table1[[#This Row],[Order Date]])</f>
        <v>2025</v>
      </c>
      <c r="E1733" s="2" t="s">
        <v>359</v>
      </c>
      <c r="F1733" s="2" t="s">
        <v>70</v>
      </c>
      <c r="G1733" s="2" t="s">
        <v>67</v>
      </c>
      <c r="H1733" s="23">
        <v>15000</v>
      </c>
      <c r="I1733" s="2">
        <v>1</v>
      </c>
      <c r="J1733" s="31">
        <v>0</v>
      </c>
      <c r="K1733" s="7">
        <f t="shared" si="108"/>
        <v>15000</v>
      </c>
      <c r="L1733" s="7">
        <f t="shared" si="109"/>
        <v>0</v>
      </c>
      <c r="M1733" s="7">
        <f t="shared" si="110"/>
        <v>15000</v>
      </c>
      <c r="N1733" s="23">
        <v>89000</v>
      </c>
      <c r="O1733" s="7">
        <f t="shared" si="111"/>
        <v>104000</v>
      </c>
      <c r="P1733" s="2" t="s">
        <v>35</v>
      </c>
      <c r="Q1733" t="str">
        <f>_xlfn.XLOOKUP(B1733,Status!$A$2:$A$1867,Status!$B$2:$B$1867)</f>
        <v>Completed</v>
      </c>
      <c r="R1733" s="2" t="s">
        <v>30</v>
      </c>
      <c r="S1733" s="8">
        <v>3</v>
      </c>
      <c r="T1733" s="2" t="s">
        <v>24</v>
      </c>
      <c r="U1733" s="31" t="str" cm="1">
        <f t="array" ref="U1733">_xlfn.IFS(L1733&lt;=5000,$Z$3,AND(L1733&gt;5000,L1733&lt;=15000),$Z$4,AND(L1733&gt;15000,L1733&lt;=30000),$Z$5,AND(L1733&gt;30000,L1733&lt;=50000),$Z$6,L1733&gt;50000,$Z$7)</f>
        <v>Sangat Rendah</v>
      </c>
      <c r="V1733" s="2"/>
    </row>
    <row r="1734" spans="1:22" ht="15.75" customHeight="1" x14ac:dyDescent="0.25">
      <c r="A1734" s="26"/>
      <c r="B1734" s="2" t="s">
        <v>2100</v>
      </c>
      <c r="C1734" s="32">
        <v>45866.901134259257</v>
      </c>
      <c r="D1734" s="53">
        <f>YEAR(Table1[[#This Row],[Order Date]])</f>
        <v>2025</v>
      </c>
      <c r="E1734" s="2" t="s">
        <v>52</v>
      </c>
      <c r="F1734" s="2" t="s">
        <v>53</v>
      </c>
      <c r="G1734" s="2" t="s">
        <v>93</v>
      </c>
      <c r="H1734" s="23">
        <v>25000</v>
      </c>
      <c r="I1734" s="2">
        <v>1</v>
      </c>
      <c r="J1734" s="31">
        <v>20</v>
      </c>
      <c r="K1734" s="7">
        <f t="shared" si="108"/>
        <v>25000</v>
      </c>
      <c r="L1734" s="7">
        <f t="shared" si="109"/>
        <v>5000</v>
      </c>
      <c r="M1734" s="7">
        <f t="shared" si="110"/>
        <v>20000</v>
      </c>
      <c r="N1734" s="23">
        <v>18000</v>
      </c>
      <c r="O1734" s="7">
        <f t="shared" si="111"/>
        <v>38000</v>
      </c>
      <c r="P1734" s="2" t="s">
        <v>63</v>
      </c>
      <c r="Q1734" t="str">
        <f>_xlfn.XLOOKUP(B1734,Status!$A$2:$A$1867,Status!$B$2:$B$1867)</f>
        <v>Completed</v>
      </c>
      <c r="R1734" s="2" t="s">
        <v>23</v>
      </c>
      <c r="S1734" s="8">
        <v>4</v>
      </c>
      <c r="T1734" s="2" t="s">
        <v>24</v>
      </c>
      <c r="U1734" s="31" t="str" cm="1">
        <f t="array" ref="U1734">_xlfn.IFS(L1734&lt;=5000,$Z$3,AND(L1734&gt;5000,L1734&lt;=15000),$Z$4,AND(L1734&gt;15000,L1734&lt;=30000),$Z$5,AND(L1734&gt;30000,L1734&lt;=50000),$Z$6,L1734&gt;50000,$Z$7)</f>
        <v>Sangat Rendah</v>
      </c>
      <c r="V1734" s="2"/>
    </row>
    <row r="1735" spans="1:22" ht="15.75" customHeight="1" x14ac:dyDescent="0.25">
      <c r="A1735" s="26"/>
      <c r="B1735" s="2" t="s">
        <v>2101</v>
      </c>
      <c r="C1735" s="32">
        <v>45867.163912037038</v>
      </c>
      <c r="D1735" s="53">
        <f>YEAR(Table1[[#This Row],[Order Date]])</f>
        <v>2025</v>
      </c>
      <c r="E1735" s="2" t="s">
        <v>157</v>
      </c>
      <c r="F1735" s="2" t="s">
        <v>20</v>
      </c>
      <c r="G1735" s="2" t="s">
        <v>58</v>
      </c>
      <c r="H1735" s="23">
        <v>16000</v>
      </c>
      <c r="I1735" s="2">
        <v>3</v>
      </c>
      <c r="J1735" s="31">
        <v>15</v>
      </c>
      <c r="K1735" s="7">
        <f t="shared" si="108"/>
        <v>48000</v>
      </c>
      <c r="L1735" s="7">
        <f t="shared" si="109"/>
        <v>7200</v>
      </c>
      <c r="M1735" s="7">
        <f t="shared" si="110"/>
        <v>40800</v>
      </c>
      <c r="N1735" s="23">
        <v>15000</v>
      </c>
      <c r="O1735" s="7">
        <f t="shared" si="111"/>
        <v>55800</v>
      </c>
      <c r="P1735" s="2" t="s">
        <v>35</v>
      </c>
      <c r="Q1735" t="str">
        <f>_xlfn.XLOOKUP(B1735,Status!$A$2:$A$1867,Status!$B$2:$B$1867)</f>
        <v>Completed</v>
      </c>
      <c r="R1735" s="2" t="s">
        <v>36</v>
      </c>
      <c r="S1735" s="8">
        <v>3</v>
      </c>
      <c r="T1735" s="2" t="s">
        <v>24</v>
      </c>
      <c r="U1735" s="31" t="str" cm="1">
        <f t="array" ref="U1735">_xlfn.IFS(L1735&lt;=5000,$Z$3,AND(L1735&gt;5000,L1735&lt;=15000),$Z$4,AND(L1735&gt;15000,L1735&lt;=30000),$Z$5,AND(L1735&gt;30000,L1735&lt;=50000),$Z$6,L1735&gt;50000,$Z$7)</f>
        <v>Rendah</v>
      </c>
      <c r="V1735" s="2"/>
    </row>
    <row r="1736" spans="1:22" ht="15.75" customHeight="1" x14ac:dyDescent="0.25">
      <c r="A1736" s="26"/>
      <c r="B1736" s="2" t="s">
        <v>2102</v>
      </c>
      <c r="C1736" s="32">
        <v>45867.302395833343</v>
      </c>
      <c r="D1736" s="53">
        <f>YEAR(Table1[[#This Row],[Order Date]])</f>
        <v>2025</v>
      </c>
      <c r="E1736" s="2" t="s">
        <v>140</v>
      </c>
      <c r="F1736" s="2" t="s">
        <v>92</v>
      </c>
      <c r="G1736" s="2" t="s">
        <v>28</v>
      </c>
      <c r="H1736" s="23">
        <v>5000</v>
      </c>
      <c r="I1736" s="2">
        <v>2</v>
      </c>
      <c r="J1736" s="31">
        <v>15</v>
      </c>
      <c r="K1736" s="7">
        <f t="shared" si="108"/>
        <v>10000</v>
      </c>
      <c r="L1736" s="7">
        <f t="shared" si="109"/>
        <v>1500</v>
      </c>
      <c r="M1736" s="7">
        <f t="shared" si="110"/>
        <v>8500</v>
      </c>
      <c r="N1736" s="23">
        <v>30000</v>
      </c>
      <c r="O1736" s="7">
        <f t="shared" si="111"/>
        <v>38500</v>
      </c>
      <c r="P1736" s="2" t="s">
        <v>35</v>
      </c>
      <c r="Q1736" t="str">
        <f>_xlfn.XLOOKUP(B1736,Status!$A$2:$A$1867,Status!$B$2:$B$1867)</f>
        <v>Completed</v>
      </c>
      <c r="R1736" s="2" t="s">
        <v>82</v>
      </c>
      <c r="S1736" s="8">
        <v>2</v>
      </c>
      <c r="T1736" s="2" t="s">
        <v>24</v>
      </c>
      <c r="U1736" s="31" t="str" cm="1">
        <f t="array" ref="U1736">_xlfn.IFS(L1736&lt;=5000,$Z$3,AND(L1736&gt;5000,L1736&lt;=15000),$Z$4,AND(L1736&gt;15000,L1736&lt;=30000),$Z$5,AND(L1736&gt;30000,L1736&lt;=50000),$Z$6,L1736&gt;50000,$Z$7)</f>
        <v>Sangat Rendah</v>
      </c>
      <c r="V1736" s="2"/>
    </row>
    <row r="1737" spans="1:22" ht="15.75" customHeight="1" x14ac:dyDescent="0.25">
      <c r="A1737" s="26"/>
      <c r="B1737" s="2" t="s">
        <v>2103</v>
      </c>
      <c r="C1737" s="32">
        <v>45867.323414351849</v>
      </c>
      <c r="D1737" s="53">
        <f>YEAR(Table1[[#This Row],[Order Date]])</f>
        <v>2025</v>
      </c>
      <c r="E1737" s="2" t="s">
        <v>1313</v>
      </c>
      <c r="F1737" s="2" t="s">
        <v>103</v>
      </c>
      <c r="G1737" s="2" t="s">
        <v>110</v>
      </c>
      <c r="H1737" s="23">
        <v>6000</v>
      </c>
      <c r="I1737" s="2">
        <v>1</v>
      </c>
      <c r="J1737" s="31">
        <v>20</v>
      </c>
      <c r="K1737" s="7">
        <f t="shared" si="108"/>
        <v>6000</v>
      </c>
      <c r="L1737" s="7">
        <f t="shared" si="109"/>
        <v>1200</v>
      </c>
      <c r="M1737" s="7">
        <f t="shared" si="110"/>
        <v>4800</v>
      </c>
      <c r="N1737" s="23">
        <v>85000</v>
      </c>
      <c r="O1737" s="7">
        <f t="shared" si="111"/>
        <v>89800</v>
      </c>
      <c r="P1737" s="2" t="s">
        <v>22</v>
      </c>
      <c r="Q1737" t="str">
        <f>_xlfn.XLOOKUP(B1737,Status!$A$2:$A$1867,Status!$B$2:$B$1867)</f>
        <v>Completed</v>
      </c>
      <c r="R1737" s="2" t="s">
        <v>30</v>
      </c>
      <c r="S1737" s="8">
        <v>1</v>
      </c>
      <c r="T1737" s="2" t="s">
        <v>24</v>
      </c>
      <c r="U1737" s="31" t="str" cm="1">
        <f t="array" ref="U1737">_xlfn.IFS(L1737&lt;=5000,$Z$3,AND(L1737&gt;5000,L1737&lt;=15000),$Z$4,AND(L1737&gt;15000,L1737&lt;=30000),$Z$5,AND(L1737&gt;30000,L1737&lt;=50000),$Z$6,L1737&gt;50000,$Z$7)</f>
        <v>Sangat Rendah</v>
      </c>
      <c r="V1737" s="2"/>
    </row>
    <row r="1738" spans="1:22" ht="15.75" customHeight="1" x14ac:dyDescent="0.25">
      <c r="A1738" s="26"/>
      <c r="B1738" s="2" t="s">
        <v>2104</v>
      </c>
      <c r="C1738" s="32">
        <v>45867.372615740736</v>
      </c>
      <c r="D1738" s="53">
        <f>YEAR(Table1[[#This Row],[Order Date]])</f>
        <v>2025</v>
      </c>
      <c r="E1738" s="2" t="s">
        <v>225</v>
      </c>
      <c r="F1738" s="2" t="s">
        <v>189</v>
      </c>
      <c r="G1738" s="2" t="s">
        <v>81</v>
      </c>
      <c r="H1738" s="23">
        <v>17000</v>
      </c>
      <c r="I1738" s="2">
        <v>3</v>
      </c>
      <c r="J1738" s="31">
        <v>5</v>
      </c>
      <c r="K1738" s="7">
        <f t="shared" si="108"/>
        <v>51000</v>
      </c>
      <c r="L1738" s="7">
        <f t="shared" si="109"/>
        <v>2550</v>
      </c>
      <c r="M1738" s="7">
        <f t="shared" si="110"/>
        <v>48450</v>
      </c>
      <c r="N1738" s="23">
        <v>57000</v>
      </c>
      <c r="O1738" s="7">
        <f t="shared" si="111"/>
        <v>105450</v>
      </c>
      <c r="P1738" s="2" t="s">
        <v>63</v>
      </c>
      <c r="Q1738" t="str">
        <f>_xlfn.XLOOKUP(B1738,Status!$A$2:$A$1867,Status!$B$2:$B$1867)</f>
        <v>Returned</v>
      </c>
      <c r="R1738" s="2" t="s">
        <v>30</v>
      </c>
      <c r="S1738" s="8">
        <v>4</v>
      </c>
      <c r="T1738" s="2" t="s">
        <v>37</v>
      </c>
      <c r="U1738" s="31" t="str" cm="1">
        <f t="array" ref="U1738">_xlfn.IFS(L1738&lt;=5000,$Z$3,AND(L1738&gt;5000,L1738&lt;=15000),$Z$4,AND(L1738&gt;15000,L1738&lt;=30000),$Z$5,AND(L1738&gt;30000,L1738&lt;=50000),$Z$6,L1738&gt;50000,$Z$7)</f>
        <v>Sangat Rendah</v>
      </c>
      <c r="V1738" s="2"/>
    </row>
    <row r="1739" spans="1:22" ht="15.75" customHeight="1" x14ac:dyDescent="0.25">
      <c r="A1739" s="26"/>
      <c r="B1739" s="2" t="s">
        <v>2105</v>
      </c>
      <c r="C1739" s="32">
        <v>45867.550405092603</v>
      </c>
      <c r="D1739" s="53">
        <f>YEAR(Table1[[#This Row],[Order Date]])</f>
        <v>2025</v>
      </c>
      <c r="E1739" s="2" t="s">
        <v>1849</v>
      </c>
      <c r="F1739" s="2" t="s">
        <v>238</v>
      </c>
      <c r="G1739" s="2" t="s">
        <v>136</v>
      </c>
      <c r="H1739" s="23">
        <v>12000</v>
      </c>
      <c r="I1739" s="2">
        <v>2</v>
      </c>
      <c r="J1739" s="31">
        <v>0</v>
      </c>
      <c r="K1739" s="7">
        <f t="shared" si="108"/>
        <v>24000</v>
      </c>
      <c r="L1739" s="7">
        <f t="shared" si="109"/>
        <v>0</v>
      </c>
      <c r="M1739" s="7">
        <f t="shared" si="110"/>
        <v>24000</v>
      </c>
      <c r="N1739" s="23">
        <v>28000</v>
      </c>
      <c r="O1739" s="7">
        <f t="shared" si="111"/>
        <v>52000</v>
      </c>
      <c r="P1739" s="2" t="s">
        <v>29</v>
      </c>
      <c r="Q1739" t="str">
        <f>_xlfn.XLOOKUP(B1739,Status!$A$2:$A$1867,Status!$B$2:$B$1867)</f>
        <v>Completed</v>
      </c>
      <c r="R1739" s="2" t="s">
        <v>30</v>
      </c>
      <c r="S1739" s="8">
        <v>1</v>
      </c>
      <c r="T1739" s="2" t="s">
        <v>24</v>
      </c>
      <c r="U1739" s="31" t="str" cm="1">
        <f t="array" ref="U1739">_xlfn.IFS(L1739&lt;=5000,$Z$3,AND(L1739&gt;5000,L1739&lt;=15000),$Z$4,AND(L1739&gt;15000,L1739&lt;=30000),$Z$5,AND(L1739&gt;30000,L1739&lt;=50000),$Z$6,L1739&gt;50000,$Z$7)</f>
        <v>Sangat Rendah</v>
      </c>
      <c r="V1739" s="2"/>
    </row>
    <row r="1740" spans="1:22" ht="15.75" customHeight="1" x14ac:dyDescent="0.25">
      <c r="A1740" s="26"/>
      <c r="B1740" s="2" t="s">
        <v>2106</v>
      </c>
      <c r="C1740" s="32">
        <v>45867.628530092603</v>
      </c>
      <c r="D1740" s="53">
        <f>YEAR(Table1[[#This Row],[Order Date]])</f>
        <v>2025</v>
      </c>
      <c r="E1740" s="2" t="s">
        <v>389</v>
      </c>
      <c r="F1740" s="2" t="s">
        <v>182</v>
      </c>
      <c r="G1740" s="2" t="s">
        <v>136</v>
      </c>
      <c r="H1740" s="23">
        <v>12000</v>
      </c>
      <c r="I1740" s="2">
        <v>3</v>
      </c>
      <c r="J1740" s="31">
        <v>0</v>
      </c>
      <c r="K1740" s="7">
        <f t="shared" si="108"/>
        <v>36000</v>
      </c>
      <c r="L1740" s="7">
        <f t="shared" si="109"/>
        <v>0</v>
      </c>
      <c r="M1740" s="7">
        <f t="shared" si="110"/>
        <v>36000</v>
      </c>
      <c r="N1740" s="23">
        <v>48000</v>
      </c>
      <c r="O1740" s="7">
        <f t="shared" si="111"/>
        <v>84000</v>
      </c>
      <c r="P1740" s="2" t="s">
        <v>22</v>
      </c>
      <c r="Q1740" t="str">
        <f>_xlfn.XLOOKUP(B1740,Status!$A$2:$A$1867,Status!$B$2:$B$1867)</f>
        <v>Returned</v>
      </c>
      <c r="R1740" s="2" t="s">
        <v>46</v>
      </c>
      <c r="S1740" s="8">
        <v>5</v>
      </c>
      <c r="T1740" s="2" t="s">
        <v>24</v>
      </c>
      <c r="U1740" s="31" t="str" cm="1">
        <f t="array" ref="U1740">_xlfn.IFS(L1740&lt;=5000,$Z$3,AND(L1740&gt;5000,L1740&lt;=15000),$Z$4,AND(L1740&gt;15000,L1740&lt;=30000),$Z$5,AND(L1740&gt;30000,L1740&lt;=50000),$Z$6,L1740&gt;50000,$Z$7)</f>
        <v>Sangat Rendah</v>
      </c>
      <c r="V1740" s="2"/>
    </row>
    <row r="1741" spans="1:22" ht="15.75" customHeight="1" x14ac:dyDescent="0.25">
      <c r="A1741" s="26"/>
      <c r="B1741" s="2" t="s">
        <v>2107</v>
      </c>
      <c r="C1741" s="32">
        <v>45867.758287037039</v>
      </c>
      <c r="D1741" s="53">
        <f>YEAR(Table1[[#This Row],[Order Date]])</f>
        <v>2025</v>
      </c>
      <c r="E1741" s="2" t="s">
        <v>192</v>
      </c>
      <c r="F1741" s="2" t="s">
        <v>107</v>
      </c>
      <c r="G1741" s="2" t="s">
        <v>75</v>
      </c>
      <c r="H1741" s="23">
        <v>55000</v>
      </c>
      <c r="I1741" s="2">
        <v>3</v>
      </c>
      <c r="J1741" s="31">
        <v>0</v>
      </c>
      <c r="K1741" s="7">
        <f t="shared" si="108"/>
        <v>165000</v>
      </c>
      <c r="L1741" s="7">
        <f t="shared" si="109"/>
        <v>0</v>
      </c>
      <c r="M1741" s="7">
        <f t="shared" si="110"/>
        <v>165000</v>
      </c>
      <c r="N1741" s="23">
        <v>97000</v>
      </c>
      <c r="O1741" s="7">
        <f t="shared" si="111"/>
        <v>262000</v>
      </c>
      <c r="P1741" s="2" t="s">
        <v>35</v>
      </c>
      <c r="Q1741" t="str">
        <f>_xlfn.XLOOKUP(B1741,Status!$A$2:$A$1867,Status!$B$2:$B$1867)</f>
        <v>Completed</v>
      </c>
      <c r="R1741" s="2" t="s">
        <v>46</v>
      </c>
      <c r="S1741" s="8">
        <v>1</v>
      </c>
      <c r="T1741" s="2" t="s">
        <v>24</v>
      </c>
      <c r="U1741" s="31" t="str" cm="1">
        <f t="array" ref="U1741">_xlfn.IFS(L1741&lt;=5000,$Z$3,AND(L1741&gt;5000,L1741&lt;=15000),$Z$4,AND(L1741&gt;15000,L1741&lt;=30000),$Z$5,AND(L1741&gt;30000,L1741&lt;=50000),$Z$6,L1741&gt;50000,$Z$7)</f>
        <v>Sangat Rendah</v>
      </c>
      <c r="V1741" s="2"/>
    </row>
    <row r="1742" spans="1:22" ht="15.75" customHeight="1" x14ac:dyDescent="0.25">
      <c r="A1742" s="26"/>
      <c r="B1742" s="2" t="s">
        <v>2108</v>
      </c>
      <c r="C1742" s="32">
        <v>45868.071631944447</v>
      </c>
      <c r="D1742" s="53">
        <f>YEAR(Table1[[#This Row],[Order Date]])</f>
        <v>2025</v>
      </c>
      <c r="E1742" s="2" t="s">
        <v>1098</v>
      </c>
      <c r="F1742" s="2" t="s">
        <v>126</v>
      </c>
      <c r="G1742" s="2" t="s">
        <v>58</v>
      </c>
      <c r="H1742" s="23">
        <v>16000</v>
      </c>
      <c r="I1742" s="2">
        <v>5</v>
      </c>
      <c r="J1742" s="31">
        <v>5</v>
      </c>
      <c r="K1742" s="7">
        <f t="shared" si="108"/>
        <v>80000</v>
      </c>
      <c r="L1742" s="7">
        <f t="shared" si="109"/>
        <v>4000</v>
      </c>
      <c r="M1742" s="7">
        <f t="shared" si="110"/>
        <v>76000</v>
      </c>
      <c r="N1742" s="23">
        <v>84000</v>
      </c>
      <c r="O1742" s="7">
        <f t="shared" si="111"/>
        <v>160000</v>
      </c>
      <c r="P1742" s="2" t="s">
        <v>35</v>
      </c>
      <c r="Q1742" t="str">
        <f>_xlfn.XLOOKUP(B1742,Status!$A$2:$A$1867,Status!$B$2:$B$1867)</f>
        <v>Returned</v>
      </c>
      <c r="R1742" s="2" t="s">
        <v>23</v>
      </c>
      <c r="S1742" s="8">
        <v>5</v>
      </c>
      <c r="T1742" s="2" t="s">
        <v>37</v>
      </c>
      <c r="U1742" s="31" t="str" cm="1">
        <f t="array" ref="U1742">_xlfn.IFS(L1742&lt;=5000,$Z$3,AND(L1742&gt;5000,L1742&lt;=15000),$Z$4,AND(L1742&gt;15000,L1742&lt;=30000),$Z$5,AND(L1742&gt;30000,L1742&lt;=50000),$Z$6,L1742&gt;50000,$Z$7)</f>
        <v>Sangat Rendah</v>
      </c>
      <c r="V1742" s="2"/>
    </row>
    <row r="1743" spans="1:22" ht="15.75" customHeight="1" x14ac:dyDescent="0.25">
      <c r="A1743" s="26"/>
      <c r="B1743" s="2" t="s">
        <v>2109</v>
      </c>
      <c r="C1743" s="32">
        <v>45868.445451388892</v>
      </c>
      <c r="D1743" s="53">
        <f>YEAR(Table1[[#This Row],[Order Date]])</f>
        <v>2025</v>
      </c>
      <c r="E1743" s="2" t="s">
        <v>473</v>
      </c>
      <c r="F1743" s="2" t="s">
        <v>122</v>
      </c>
      <c r="G1743" s="2" t="s">
        <v>58</v>
      </c>
      <c r="H1743" s="23">
        <v>16000</v>
      </c>
      <c r="I1743" s="2">
        <v>2</v>
      </c>
      <c r="J1743" s="31">
        <v>15</v>
      </c>
      <c r="K1743" s="7">
        <f t="shared" si="108"/>
        <v>32000</v>
      </c>
      <c r="L1743" s="7">
        <f t="shared" si="109"/>
        <v>4800</v>
      </c>
      <c r="M1743" s="7">
        <f t="shared" si="110"/>
        <v>27200</v>
      </c>
      <c r="N1743" s="23">
        <v>78000</v>
      </c>
      <c r="O1743" s="7">
        <f t="shared" si="111"/>
        <v>105200</v>
      </c>
      <c r="P1743" s="2" t="s">
        <v>35</v>
      </c>
      <c r="Q1743" t="str">
        <f>_xlfn.XLOOKUP(B1743,Status!$A$2:$A$1867,Status!$B$2:$B$1867)</f>
        <v>Returned</v>
      </c>
      <c r="R1743" s="2" t="s">
        <v>82</v>
      </c>
      <c r="S1743" s="8">
        <v>5</v>
      </c>
      <c r="T1743" s="2" t="s">
        <v>24</v>
      </c>
      <c r="U1743" s="31" t="str" cm="1">
        <f t="array" ref="U1743">_xlfn.IFS(L1743&lt;=5000,$Z$3,AND(L1743&gt;5000,L1743&lt;=15000),$Z$4,AND(L1743&gt;15000,L1743&lt;=30000),$Z$5,AND(L1743&gt;30000,L1743&lt;=50000),$Z$6,L1743&gt;50000,$Z$7)</f>
        <v>Sangat Rendah</v>
      </c>
      <c r="V1743" s="2"/>
    </row>
    <row r="1744" spans="1:22" ht="15.75" customHeight="1" x14ac:dyDescent="0.25">
      <c r="A1744" s="26"/>
      <c r="B1744" s="2" t="s">
        <v>2110</v>
      </c>
      <c r="C1744" s="32">
        <v>45868.843668981477</v>
      </c>
      <c r="D1744" s="53">
        <f>YEAR(Table1[[#This Row],[Order Date]])</f>
        <v>2025</v>
      </c>
      <c r="E1744" s="2" t="s">
        <v>812</v>
      </c>
      <c r="F1744" s="2" t="s">
        <v>33</v>
      </c>
      <c r="G1744" s="2" t="s">
        <v>50</v>
      </c>
      <c r="H1744" s="23">
        <v>14000</v>
      </c>
      <c r="I1744" s="2">
        <v>3</v>
      </c>
      <c r="J1744" s="31">
        <v>0</v>
      </c>
      <c r="K1744" s="7">
        <f t="shared" si="108"/>
        <v>42000</v>
      </c>
      <c r="L1744" s="7">
        <f t="shared" si="109"/>
        <v>0</v>
      </c>
      <c r="M1744" s="7">
        <f t="shared" si="110"/>
        <v>42000</v>
      </c>
      <c r="N1744" s="23">
        <v>76000</v>
      </c>
      <c r="O1744" s="7">
        <f t="shared" si="111"/>
        <v>118000</v>
      </c>
      <c r="P1744" s="2" t="s">
        <v>63</v>
      </c>
      <c r="Q1744" t="str">
        <f>_xlfn.XLOOKUP(B1744,Status!$A$2:$A$1867,Status!$B$2:$B$1867)</f>
        <v>Returned</v>
      </c>
      <c r="R1744" s="2" t="s">
        <v>82</v>
      </c>
      <c r="S1744" s="8">
        <v>3</v>
      </c>
      <c r="T1744" s="2" t="s">
        <v>24</v>
      </c>
      <c r="U1744" s="31" t="str" cm="1">
        <f t="array" ref="U1744">_xlfn.IFS(L1744&lt;=5000,$Z$3,AND(L1744&gt;5000,L1744&lt;=15000),$Z$4,AND(L1744&gt;15000,L1744&lt;=30000),$Z$5,AND(L1744&gt;30000,L1744&lt;=50000),$Z$6,L1744&gt;50000,$Z$7)</f>
        <v>Sangat Rendah</v>
      </c>
      <c r="V1744" s="2"/>
    </row>
    <row r="1745" spans="1:22" ht="15.75" customHeight="1" x14ac:dyDescent="0.25">
      <c r="A1745" s="26"/>
      <c r="B1745" s="2" t="s">
        <v>2111</v>
      </c>
      <c r="C1745" s="32">
        <v>45868.919363425928</v>
      </c>
      <c r="D1745" s="53">
        <f>YEAR(Table1[[#This Row],[Order Date]])</f>
        <v>2025</v>
      </c>
      <c r="E1745" s="2" t="s">
        <v>19</v>
      </c>
      <c r="F1745" s="2" t="s">
        <v>20</v>
      </c>
      <c r="G1745" s="2" t="s">
        <v>85</v>
      </c>
      <c r="H1745" s="23">
        <v>35000</v>
      </c>
      <c r="I1745" s="2">
        <v>3</v>
      </c>
      <c r="J1745" s="31">
        <v>5</v>
      </c>
      <c r="K1745" s="7">
        <f t="shared" si="108"/>
        <v>105000</v>
      </c>
      <c r="L1745" s="7">
        <f t="shared" si="109"/>
        <v>5250</v>
      </c>
      <c r="M1745" s="7">
        <f t="shared" si="110"/>
        <v>99750</v>
      </c>
      <c r="N1745" s="23">
        <v>15000</v>
      </c>
      <c r="O1745" s="7">
        <f t="shared" si="111"/>
        <v>114750</v>
      </c>
      <c r="P1745" s="2" t="s">
        <v>29</v>
      </c>
      <c r="Q1745" t="str">
        <f>_xlfn.XLOOKUP(B1745,Status!$A$2:$A$1867,Status!$B$2:$B$1867)</f>
        <v>Completed</v>
      </c>
      <c r="R1745" s="2" t="s">
        <v>30</v>
      </c>
      <c r="S1745" s="8">
        <v>2</v>
      </c>
      <c r="T1745" s="2" t="s">
        <v>24</v>
      </c>
      <c r="U1745" s="31" t="str" cm="1">
        <f t="array" ref="U1745">_xlfn.IFS(L1745&lt;=5000,$Z$3,AND(L1745&gt;5000,L1745&lt;=15000),$Z$4,AND(L1745&gt;15000,L1745&lt;=30000),$Z$5,AND(L1745&gt;30000,L1745&lt;=50000),$Z$6,L1745&gt;50000,$Z$7)</f>
        <v>Rendah</v>
      </c>
      <c r="V1745" s="2"/>
    </row>
    <row r="1746" spans="1:22" ht="15.75" customHeight="1" x14ac:dyDescent="0.25">
      <c r="A1746" s="26"/>
      <c r="B1746" s="2" t="s">
        <v>2112</v>
      </c>
      <c r="C1746" s="32">
        <v>45869.196898148148</v>
      </c>
      <c r="D1746" s="53">
        <f>YEAR(Table1[[#This Row],[Order Date]])</f>
        <v>2025</v>
      </c>
      <c r="E1746" s="2" t="s">
        <v>181</v>
      </c>
      <c r="F1746" s="2" t="s">
        <v>182</v>
      </c>
      <c r="G1746" s="2" t="s">
        <v>123</v>
      </c>
      <c r="H1746" s="23">
        <v>22000</v>
      </c>
      <c r="I1746" s="2">
        <v>3</v>
      </c>
      <c r="J1746" s="31">
        <v>5</v>
      </c>
      <c r="K1746" s="7">
        <f t="shared" si="108"/>
        <v>66000</v>
      </c>
      <c r="L1746" s="7">
        <f t="shared" si="109"/>
        <v>3300</v>
      </c>
      <c r="M1746" s="7">
        <f t="shared" si="110"/>
        <v>62700</v>
      </c>
      <c r="N1746" s="23">
        <v>48000</v>
      </c>
      <c r="O1746" s="7">
        <f t="shared" si="111"/>
        <v>110700</v>
      </c>
      <c r="P1746" s="2" t="s">
        <v>22</v>
      </c>
      <c r="Q1746" t="str">
        <f>_xlfn.XLOOKUP(B1746,Status!$A$2:$A$1867,Status!$B$2:$B$1867)</f>
        <v>Completed</v>
      </c>
      <c r="R1746" s="2" t="s">
        <v>82</v>
      </c>
      <c r="S1746" s="8">
        <v>2</v>
      </c>
      <c r="T1746" s="2" t="s">
        <v>24</v>
      </c>
      <c r="U1746" s="31" t="str" cm="1">
        <f t="array" ref="U1746">_xlfn.IFS(L1746&lt;=5000,$Z$3,AND(L1746&gt;5000,L1746&lt;=15000),$Z$4,AND(L1746&gt;15000,L1746&lt;=30000),$Z$5,AND(L1746&gt;30000,L1746&lt;=50000),$Z$6,L1746&gt;50000,$Z$7)</f>
        <v>Sangat Rendah</v>
      </c>
      <c r="V1746" s="2"/>
    </row>
    <row r="1747" spans="1:22" ht="15.75" customHeight="1" x14ac:dyDescent="0.25">
      <c r="A1747" s="26"/>
      <c r="B1747" s="2" t="s">
        <v>2113</v>
      </c>
      <c r="C1747" s="32">
        <v>45869.816377314812</v>
      </c>
      <c r="D1747" s="53">
        <f>YEAR(Table1[[#This Row],[Order Date]])</f>
        <v>2025</v>
      </c>
      <c r="E1747" s="2" t="s">
        <v>459</v>
      </c>
      <c r="F1747" s="2" t="s">
        <v>61</v>
      </c>
      <c r="G1747" s="2" t="s">
        <v>186</v>
      </c>
      <c r="H1747" s="23">
        <v>45000</v>
      </c>
      <c r="I1747" s="2">
        <v>4</v>
      </c>
      <c r="J1747" s="31">
        <v>15</v>
      </c>
      <c r="K1747" s="7">
        <f t="shared" si="108"/>
        <v>180000</v>
      </c>
      <c r="L1747" s="7">
        <f t="shared" si="109"/>
        <v>27000</v>
      </c>
      <c r="M1747" s="7">
        <f t="shared" si="110"/>
        <v>153000</v>
      </c>
      <c r="N1747" s="23">
        <v>26000</v>
      </c>
      <c r="O1747" s="7">
        <f t="shared" si="111"/>
        <v>179000</v>
      </c>
      <c r="P1747" s="2" t="s">
        <v>63</v>
      </c>
      <c r="Q1747" t="str">
        <f>_xlfn.XLOOKUP(B1747,Status!$A$2:$A$1867,Status!$B$2:$B$1867)</f>
        <v>Completed</v>
      </c>
      <c r="R1747" s="2" t="s">
        <v>82</v>
      </c>
      <c r="S1747" s="8">
        <v>5</v>
      </c>
      <c r="T1747" s="2" t="s">
        <v>24</v>
      </c>
      <c r="U1747" s="31" t="str" cm="1">
        <f t="array" ref="U1747">_xlfn.IFS(L1747&lt;=5000,$Z$3,AND(L1747&gt;5000,L1747&lt;=15000),$Z$4,AND(L1747&gt;15000,L1747&lt;=30000),$Z$5,AND(L1747&gt;30000,L1747&lt;=50000),$Z$6,L1747&gt;50000,$Z$7)</f>
        <v>Normal</v>
      </c>
      <c r="V1747" s="2"/>
    </row>
    <row r="1748" spans="1:22" ht="15.75" customHeight="1" x14ac:dyDescent="0.25">
      <c r="A1748" s="26"/>
      <c r="B1748" s="2" t="s">
        <v>2114</v>
      </c>
      <c r="C1748" s="32">
        <v>45869.988287037027</v>
      </c>
      <c r="D1748" s="53">
        <f>YEAR(Table1[[#This Row],[Order Date]])</f>
        <v>2025</v>
      </c>
      <c r="E1748" s="2" t="s">
        <v>656</v>
      </c>
      <c r="F1748" s="2" t="s">
        <v>195</v>
      </c>
      <c r="G1748" s="2" t="s">
        <v>104</v>
      </c>
      <c r="H1748" s="23">
        <v>30000</v>
      </c>
      <c r="I1748" s="2">
        <v>2</v>
      </c>
      <c r="J1748" s="31">
        <v>10</v>
      </c>
      <c r="K1748" s="7">
        <f t="shared" si="108"/>
        <v>60000</v>
      </c>
      <c r="L1748" s="7">
        <f t="shared" si="109"/>
        <v>6000</v>
      </c>
      <c r="M1748" s="7">
        <f t="shared" si="110"/>
        <v>54000</v>
      </c>
      <c r="N1748" s="23">
        <v>87000</v>
      </c>
      <c r="O1748" s="7">
        <f t="shared" si="111"/>
        <v>141000</v>
      </c>
      <c r="P1748" s="2" t="s">
        <v>63</v>
      </c>
      <c r="Q1748" t="str">
        <f>_xlfn.XLOOKUP(B1748,Status!$A$2:$A$1867,Status!$B$2:$B$1867)</f>
        <v>Completed</v>
      </c>
      <c r="R1748" s="2" t="s">
        <v>23</v>
      </c>
      <c r="S1748" s="8">
        <v>4</v>
      </c>
      <c r="T1748" s="2" t="s">
        <v>37</v>
      </c>
      <c r="U1748" s="31" t="str" cm="1">
        <f t="array" ref="U1748">_xlfn.IFS(L1748&lt;=5000,$Z$3,AND(L1748&gt;5000,L1748&lt;=15000),$Z$4,AND(L1748&gt;15000,L1748&lt;=30000),$Z$5,AND(L1748&gt;30000,L1748&lt;=50000),$Z$6,L1748&gt;50000,$Z$7)</f>
        <v>Rendah</v>
      </c>
      <c r="V1748" s="2"/>
    </row>
    <row r="1749" spans="1:22" ht="15.75" customHeight="1" x14ac:dyDescent="0.25">
      <c r="A1749" s="26"/>
      <c r="B1749" s="2" t="s">
        <v>2115</v>
      </c>
      <c r="C1749" s="32">
        <v>45870.3825</v>
      </c>
      <c r="D1749" s="53">
        <f>YEAR(Table1[[#This Row],[Order Date]])</f>
        <v>2025</v>
      </c>
      <c r="E1749" s="2" t="s">
        <v>1985</v>
      </c>
      <c r="F1749" s="2" t="s">
        <v>20</v>
      </c>
      <c r="G1749" s="2" t="s">
        <v>250</v>
      </c>
      <c r="H1749" s="23">
        <v>18000</v>
      </c>
      <c r="I1749" s="2">
        <v>3</v>
      </c>
      <c r="J1749" s="31">
        <v>10</v>
      </c>
      <c r="K1749" s="7">
        <f t="shared" si="108"/>
        <v>54000</v>
      </c>
      <c r="L1749" s="7">
        <f t="shared" si="109"/>
        <v>5400</v>
      </c>
      <c r="M1749" s="7">
        <f t="shared" si="110"/>
        <v>48600</v>
      </c>
      <c r="N1749" s="23">
        <v>15000</v>
      </c>
      <c r="O1749" s="7">
        <f t="shared" si="111"/>
        <v>63600</v>
      </c>
      <c r="P1749" s="2" t="s">
        <v>35</v>
      </c>
      <c r="Q1749" t="str">
        <f>_xlfn.XLOOKUP(B1749,Status!$A$2:$A$1867,Status!$B$2:$B$1867)</f>
        <v>Completed</v>
      </c>
      <c r="R1749" s="2" t="s">
        <v>82</v>
      </c>
      <c r="S1749" s="8">
        <v>2</v>
      </c>
      <c r="T1749" s="2" t="s">
        <v>24</v>
      </c>
      <c r="U1749" s="31" t="str" cm="1">
        <f t="array" ref="U1749">_xlfn.IFS(L1749&lt;=5000,$Z$3,AND(L1749&gt;5000,L1749&lt;=15000),$Z$4,AND(L1749&gt;15000,L1749&lt;=30000),$Z$5,AND(L1749&gt;30000,L1749&lt;=50000),$Z$6,L1749&gt;50000,$Z$7)</f>
        <v>Rendah</v>
      </c>
      <c r="V1749" s="2"/>
    </row>
    <row r="1750" spans="1:22" ht="15.75" customHeight="1" x14ac:dyDescent="0.25">
      <c r="A1750" s="26"/>
      <c r="B1750" s="2" t="s">
        <v>2116</v>
      </c>
      <c r="C1750" s="32">
        <v>45870.79791666667</v>
      </c>
      <c r="D1750" s="53">
        <f>YEAR(Table1[[#This Row],[Order Date]])</f>
        <v>2025</v>
      </c>
      <c r="E1750" s="2" t="s">
        <v>1038</v>
      </c>
      <c r="F1750" s="2" t="s">
        <v>53</v>
      </c>
      <c r="G1750" s="2" t="s">
        <v>62</v>
      </c>
      <c r="H1750" s="23">
        <v>50000</v>
      </c>
      <c r="I1750" s="2">
        <v>3</v>
      </c>
      <c r="J1750" s="31">
        <v>20</v>
      </c>
      <c r="K1750" s="7">
        <f t="shared" si="108"/>
        <v>150000</v>
      </c>
      <c r="L1750" s="7">
        <f t="shared" si="109"/>
        <v>30000</v>
      </c>
      <c r="M1750" s="7">
        <f t="shared" si="110"/>
        <v>120000</v>
      </c>
      <c r="N1750" s="23">
        <v>18000</v>
      </c>
      <c r="O1750" s="7">
        <f t="shared" si="111"/>
        <v>138000</v>
      </c>
      <c r="P1750" s="2" t="s">
        <v>22</v>
      </c>
      <c r="Q1750" t="str">
        <f>_xlfn.XLOOKUP(B1750,Status!$A$2:$A$1867,Status!$B$2:$B$1867)</f>
        <v>Shipped</v>
      </c>
      <c r="R1750" s="2" t="s">
        <v>30</v>
      </c>
      <c r="S1750" s="8">
        <v>3</v>
      </c>
      <c r="T1750" s="2" t="s">
        <v>24</v>
      </c>
      <c r="U1750" s="31" t="str" cm="1">
        <f t="array" ref="U1750">_xlfn.IFS(L1750&lt;=5000,$Z$3,AND(L1750&gt;5000,L1750&lt;=15000),$Z$4,AND(L1750&gt;15000,L1750&lt;=30000),$Z$5,AND(L1750&gt;30000,L1750&lt;=50000),$Z$6,L1750&gt;50000,$Z$7)</f>
        <v>Normal</v>
      </c>
      <c r="V1750" s="2"/>
    </row>
    <row r="1751" spans="1:22" ht="15.75" customHeight="1" x14ac:dyDescent="0.25">
      <c r="A1751" s="26"/>
      <c r="B1751" s="2" t="s">
        <v>2117</v>
      </c>
      <c r="C1751" s="32">
        <v>45871.337280092594</v>
      </c>
      <c r="D1751" s="53">
        <f>YEAR(Table1[[#This Row],[Order Date]])</f>
        <v>2025</v>
      </c>
      <c r="E1751" s="2" t="s">
        <v>368</v>
      </c>
      <c r="F1751" s="2" t="s">
        <v>113</v>
      </c>
      <c r="G1751" s="2" t="s">
        <v>34</v>
      </c>
      <c r="H1751" s="23">
        <v>16000</v>
      </c>
      <c r="I1751" s="2">
        <v>4</v>
      </c>
      <c r="J1751" s="31">
        <v>5</v>
      </c>
      <c r="K1751" s="7">
        <f t="shared" si="108"/>
        <v>64000</v>
      </c>
      <c r="L1751" s="7">
        <f t="shared" si="109"/>
        <v>3200</v>
      </c>
      <c r="M1751" s="7">
        <f t="shared" si="110"/>
        <v>60800</v>
      </c>
      <c r="N1751" s="23">
        <v>18000</v>
      </c>
      <c r="O1751" s="7">
        <f t="shared" si="111"/>
        <v>78800</v>
      </c>
      <c r="P1751" s="2" t="s">
        <v>22</v>
      </c>
      <c r="Q1751" t="str">
        <f>_xlfn.XLOOKUP(B1751,Status!$A$2:$A$1867,Status!$B$2:$B$1867)</f>
        <v>Shipped</v>
      </c>
      <c r="R1751" s="2" t="s">
        <v>30</v>
      </c>
      <c r="S1751" s="8">
        <v>5</v>
      </c>
      <c r="T1751" s="2" t="s">
        <v>37</v>
      </c>
      <c r="U1751" s="31" t="str" cm="1">
        <f t="array" ref="U1751">_xlfn.IFS(L1751&lt;=5000,$Z$3,AND(L1751&gt;5000,L1751&lt;=15000),$Z$4,AND(L1751&gt;15000,L1751&lt;=30000),$Z$5,AND(L1751&gt;30000,L1751&lt;=50000),$Z$6,L1751&gt;50000,$Z$7)</f>
        <v>Sangat Rendah</v>
      </c>
      <c r="V1751" s="2"/>
    </row>
    <row r="1752" spans="1:22" ht="15.75" customHeight="1" x14ac:dyDescent="0.25">
      <c r="A1752" s="26"/>
      <c r="B1752" s="2" t="s">
        <v>2118</v>
      </c>
      <c r="C1752" s="32">
        <v>45871.490358796298</v>
      </c>
      <c r="D1752" s="53">
        <f>YEAR(Table1[[#This Row],[Order Date]])</f>
        <v>2025</v>
      </c>
      <c r="E1752" s="2" t="s">
        <v>683</v>
      </c>
      <c r="F1752" s="2" t="s">
        <v>27</v>
      </c>
      <c r="G1752" s="2" t="s">
        <v>250</v>
      </c>
      <c r="H1752" s="23">
        <v>18000</v>
      </c>
      <c r="I1752" s="2">
        <v>3</v>
      </c>
      <c r="J1752" s="31">
        <v>0</v>
      </c>
      <c r="K1752" s="7">
        <f t="shared" si="108"/>
        <v>54000</v>
      </c>
      <c r="L1752" s="7">
        <f t="shared" si="109"/>
        <v>0</v>
      </c>
      <c r="M1752" s="7">
        <f t="shared" si="110"/>
        <v>54000</v>
      </c>
      <c r="N1752" s="23">
        <v>17000</v>
      </c>
      <c r="O1752" s="7">
        <f t="shared" si="111"/>
        <v>71000</v>
      </c>
      <c r="P1752" s="2" t="s">
        <v>35</v>
      </c>
      <c r="Q1752" t="str">
        <f>_xlfn.XLOOKUP(B1752,Status!$A$2:$A$1867,Status!$B$2:$B$1867)</f>
        <v>Pending</v>
      </c>
      <c r="R1752" s="2" t="s">
        <v>36</v>
      </c>
      <c r="S1752" s="8">
        <v>4</v>
      </c>
      <c r="T1752" s="2" t="s">
        <v>37</v>
      </c>
      <c r="U1752" s="31" t="str" cm="1">
        <f t="array" ref="U1752">_xlfn.IFS(L1752&lt;=5000,$Z$3,AND(L1752&gt;5000,L1752&lt;=15000),$Z$4,AND(L1752&gt;15000,L1752&lt;=30000),$Z$5,AND(L1752&gt;30000,L1752&lt;=50000),$Z$6,L1752&gt;50000,$Z$7)</f>
        <v>Sangat Rendah</v>
      </c>
      <c r="V1752" s="2"/>
    </row>
    <row r="1753" spans="1:22" ht="15.75" customHeight="1" x14ac:dyDescent="0.25">
      <c r="A1753" s="26"/>
      <c r="B1753" s="2" t="s">
        <v>2119</v>
      </c>
      <c r="C1753" s="32">
        <v>45871.750162037039</v>
      </c>
      <c r="D1753" s="53">
        <f>YEAR(Table1[[#This Row],[Order Date]])</f>
        <v>2025</v>
      </c>
      <c r="E1753" s="2" t="s">
        <v>644</v>
      </c>
      <c r="F1753" s="2" t="s">
        <v>244</v>
      </c>
      <c r="G1753" s="2" t="s">
        <v>104</v>
      </c>
      <c r="H1753" s="23">
        <v>30000</v>
      </c>
      <c r="I1753" s="2">
        <v>4</v>
      </c>
      <c r="J1753" s="31">
        <v>0</v>
      </c>
      <c r="K1753" s="7">
        <f t="shared" si="108"/>
        <v>120000</v>
      </c>
      <c r="L1753" s="7">
        <f t="shared" si="109"/>
        <v>0</v>
      </c>
      <c r="M1753" s="7">
        <f t="shared" si="110"/>
        <v>120000</v>
      </c>
      <c r="N1753" s="23">
        <v>80000</v>
      </c>
      <c r="O1753" s="7">
        <f t="shared" si="111"/>
        <v>200000</v>
      </c>
      <c r="P1753" s="2" t="s">
        <v>63</v>
      </c>
      <c r="Q1753" t="str">
        <f>_xlfn.XLOOKUP(B1753,Status!$A$2:$A$1867,Status!$B$2:$B$1867)</f>
        <v>Pending</v>
      </c>
      <c r="R1753" s="2" t="s">
        <v>30</v>
      </c>
      <c r="S1753" s="8">
        <v>5</v>
      </c>
      <c r="T1753" s="2" t="s">
        <v>24</v>
      </c>
      <c r="U1753" s="31" t="str" cm="1">
        <f t="array" ref="U1753">_xlfn.IFS(L1753&lt;=5000,$Z$3,AND(L1753&gt;5000,L1753&lt;=15000),$Z$4,AND(L1753&gt;15000,L1753&lt;=30000),$Z$5,AND(L1753&gt;30000,L1753&lt;=50000),$Z$6,L1753&gt;50000,$Z$7)</f>
        <v>Sangat Rendah</v>
      </c>
      <c r="V1753" s="2"/>
    </row>
    <row r="1754" spans="1:22" ht="15.75" customHeight="1" x14ac:dyDescent="0.25">
      <c r="A1754" s="26"/>
      <c r="B1754" s="2" t="s">
        <v>2120</v>
      </c>
      <c r="C1754" s="32">
        <v>45872.077731481477</v>
      </c>
      <c r="D1754" s="53">
        <f>YEAR(Table1[[#This Row],[Order Date]])</f>
        <v>2025</v>
      </c>
      <c r="E1754" s="2" t="s">
        <v>176</v>
      </c>
      <c r="F1754" s="2" t="s">
        <v>177</v>
      </c>
      <c r="G1754" s="2" t="s">
        <v>93</v>
      </c>
      <c r="H1754" s="23">
        <v>25000</v>
      </c>
      <c r="I1754" s="2">
        <v>1</v>
      </c>
      <c r="J1754" s="31">
        <v>20</v>
      </c>
      <c r="K1754" s="7">
        <f t="shared" si="108"/>
        <v>25000</v>
      </c>
      <c r="L1754" s="7">
        <f t="shared" si="109"/>
        <v>5000</v>
      </c>
      <c r="M1754" s="7">
        <f t="shared" si="110"/>
        <v>20000</v>
      </c>
      <c r="N1754" s="23">
        <v>56000</v>
      </c>
      <c r="O1754" s="7">
        <f t="shared" si="111"/>
        <v>76000</v>
      </c>
      <c r="P1754" s="2" t="s">
        <v>35</v>
      </c>
      <c r="Q1754" t="str">
        <f>_xlfn.XLOOKUP(B1754,Status!$A$2:$A$1867,Status!$B$2:$B$1867)</f>
        <v>Pending</v>
      </c>
      <c r="R1754" s="2" t="s">
        <v>46</v>
      </c>
      <c r="S1754" s="8">
        <v>5</v>
      </c>
      <c r="T1754" s="2" t="s">
        <v>24</v>
      </c>
      <c r="U1754" s="31" t="str" cm="1">
        <f t="array" ref="U1754">_xlfn.IFS(L1754&lt;=5000,$Z$3,AND(L1754&gt;5000,L1754&lt;=15000),$Z$4,AND(L1754&gt;15000,L1754&lt;=30000),$Z$5,AND(L1754&gt;30000,L1754&lt;=50000),$Z$6,L1754&gt;50000,$Z$7)</f>
        <v>Sangat Rendah</v>
      </c>
      <c r="V1754" s="2"/>
    </row>
    <row r="1755" spans="1:22" ht="15.75" customHeight="1" x14ac:dyDescent="0.25">
      <c r="A1755" s="26"/>
      <c r="B1755" s="2" t="s">
        <v>2121</v>
      </c>
      <c r="C1755" s="32">
        <v>45872.096770833326</v>
      </c>
      <c r="D1755" s="53">
        <f>YEAR(Table1[[#This Row],[Order Date]])</f>
        <v>2025</v>
      </c>
      <c r="E1755" s="2" t="s">
        <v>311</v>
      </c>
      <c r="F1755" s="2" t="s">
        <v>116</v>
      </c>
      <c r="G1755" s="2" t="s">
        <v>21</v>
      </c>
      <c r="H1755" s="23">
        <v>45000</v>
      </c>
      <c r="I1755" s="2">
        <v>5</v>
      </c>
      <c r="J1755" s="31">
        <v>0</v>
      </c>
      <c r="K1755" s="7">
        <f t="shared" si="108"/>
        <v>225000</v>
      </c>
      <c r="L1755" s="7">
        <f t="shared" si="109"/>
        <v>0</v>
      </c>
      <c r="M1755" s="7">
        <f t="shared" si="110"/>
        <v>225000</v>
      </c>
      <c r="N1755" s="23">
        <v>72000</v>
      </c>
      <c r="O1755" s="7">
        <f t="shared" si="111"/>
        <v>297000</v>
      </c>
      <c r="P1755" s="2" t="s">
        <v>29</v>
      </c>
      <c r="Q1755" t="str">
        <f>_xlfn.XLOOKUP(B1755,Status!$A$2:$A$1867,Status!$B$2:$B$1867)</f>
        <v>Returned</v>
      </c>
      <c r="R1755" s="2" t="s">
        <v>30</v>
      </c>
      <c r="S1755" s="8">
        <v>3</v>
      </c>
      <c r="T1755" s="2" t="s">
        <v>24</v>
      </c>
      <c r="U1755" s="31" t="str" cm="1">
        <f t="array" ref="U1755">_xlfn.IFS(L1755&lt;=5000,$Z$3,AND(L1755&gt;5000,L1755&lt;=15000),$Z$4,AND(L1755&gt;15000,L1755&lt;=30000),$Z$5,AND(L1755&gt;30000,L1755&lt;=50000),$Z$6,L1755&gt;50000,$Z$7)</f>
        <v>Sangat Rendah</v>
      </c>
      <c r="V1755" s="2"/>
    </row>
    <row r="1756" spans="1:22" ht="15.75" customHeight="1" x14ac:dyDescent="0.25">
      <c r="A1756" s="26"/>
      <c r="B1756" s="2" t="s">
        <v>2122</v>
      </c>
      <c r="C1756" s="32">
        <v>45872.123749999999</v>
      </c>
      <c r="D1756" s="53">
        <f>YEAR(Table1[[#This Row],[Order Date]])</f>
        <v>2025</v>
      </c>
      <c r="E1756" s="2" t="s">
        <v>118</v>
      </c>
      <c r="F1756" s="2" t="s">
        <v>119</v>
      </c>
      <c r="G1756" s="2" t="s">
        <v>250</v>
      </c>
      <c r="H1756" s="23">
        <v>18000</v>
      </c>
      <c r="I1756" s="2">
        <v>4</v>
      </c>
      <c r="J1756" s="31">
        <v>5</v>
      </c>
      <c r="K1756" s="7">
        <f t="shared" si="108"/>
        <v>72000</v>
      </c>
      <c r="L1756" s="7">
        <f t="shared" si="109"/>
        <v>3600</v>
      </c>
      <c r="M1756" s="7">
        <f t="shared" si="110"/>
        <v>68400</v>
      </c>
      <c r="N1756" s="23">
        <v>0</v>
      </c>
      <c r="O1756" s="7">
        <f t="shared" si="111"/>
        <v>68400</v>
      </c>
      <c r="P1756" s="2" t="s">
        <v>29</v>
      </c>
      <c r="Q1756" t="str">
        <f>_xlfn.XLOOKUP(B1756,Status!$A$2:$A$1867,Status!$B$2:$B$1867)</f>
        <v>Completed</v>
      </c>
      <c r="R1756" s="2" t="s">
        <v>46</v>
      </c>
      <c r="S1756" s="8">
        <v>3</v>
      </c>
      <c r="T1756" s="2" t="s">
        <v>24</v>
      </c>
      <c r="U1756" s="31" t="str" cm="1">
        <f t="array" ref="U1756">_xlfn.IFS(L1756&lt;=5000,$Z$3,AND(L1756&gt;5000,L1756&lt;=15000),$Z$4,AND(L1756&gt;15000,L1756&lt;=30000),$Z$5,AND(L1756&gt;30000,L1756&lt;=50000),$Z$6,L1756&gt;50000,$Z$7)</f>
        <v>Sangat Rendah</v>
      </c>
      <c r="V1756" s="2"/>
    </row>
    <row r="1757" spans="1:22" ht="15.75" customHeight="1" x14ac:dyDescent="0.25">
      <c r="A1757" s="26"/>
      <c r="B1757" s="2" t="s">
        <v>2123</v>
      </c>
      <c r="C1757" s="32">
        <v>45872.378136574072</v>
      </c>
      <c r="D1757" s="53">
        <f>YEAR(Table1[[#This Row],[Order Date]])</f>
        <v>2025</v>
      </c>
      <c r="E1757" s="2" t="s">
        <v>2124</v>
      </c>
      <c r="F1757" s="2" t="s">
        <v>151</v>
      </c>
      <c r="G1757" s="2" t="s">
        <v>186</v>
      </c>
      <c r="H1757" s="23">
        <v>45000</v>
      </c>
      <c r="I1757" s="2">
        <v>1</v>
      </c>
      <c r="J1757" s="31">
        <v>5</v>
      </c>
      <c r="K1757" s="7">
        <f t="shared" si="108"/>
        <v>45000</v>
      </c>
      <c r="L1757" s="7">
        <f t="shared" si="109"/>
        <v>2250</v>
      </c>
      <c r="M1757" s="7">
        <f t="shared" si="110"/>
        <v>42750</v>
      </c>
      <c r="N1757" s="23">
        <v>55000</v>
      </c>
      <c r="O1757" s="7">
        <f t="shared" si="111"/>
        <v>97750</v>
      </c>
      <c r="P1757" s="2" t="s">
        <v>35</v>
      </c>
      <c r="Q1757" t="str">
        <f>_xlfn.XLOOKUP(B1757,Status!$A$2:$A$1867,Status!$B$2:$B$1867)</f>
        <v>Completed</v>
      </c>
      <c r="R1757" s="2" t="s">
        <v>46</v>
      </c>
      <c r="S1757" s="8">
        <v>1</v>
      </c>
      <c r="T1757" s="2" t="s">
        <v>37</v>
      </c>
      <c r="U1757" s="31" t="str" cm="1">
        <f t="array" ref="U1757">_xlfn.IFS(L1757&lt;=5000,$Z$3,AND(L1757&gt;5000,L1757&lt;=15000),$Z$4,AND(L1757&gt;15000,L1757&lt;=30000),$Z$5,AND(L1757&gt;30000,L1757&lt;=50000),$Z$6,L1757&gt;50000,$Z$7)</f>
        <v>Sangat Rendah</v>
      </c>
      <c r="V1757" s="2"/>
    </row>
    <row r="1758" spans="1:22" ht="15.75" customHeight="1" x14ac:dyDescent="0.25">
      <c r="A1758" s="26"/>
      <c r="B1758" s="2" t="s">
        <v>2125</v>
      </c>
      <c r="C1758" s="32">
        <v>45872.387523148151</v>
      </c>
      <c r="D1758" s="53">
        <f>YEAR(Table1[[#This Row],[Order Date]])</f>
        <v>2025</v>
      </c>
      <c r="E1758" s="2" t="s">
        <v>860</v>
      </c>
      <c r="F1758" s="2" t="s">
        <v>44</v>
      </c>
      <c r="G1758" s="2" t="s">
        <v>88</v>
      </c>
      <c r="H1758" s="23">
        <v>14000</v>
      </c>
      <c r="I1758" s="2">
        <v>1</v>
      </c>
      <c r="J1758" s="31">
        <v>5</v>
      </c>
      <c r="K1758" s="7">
        <f t="shared" si="108"/>
        <v>14000</v>
      </c>
      <c r="L1758" s="7">
        <f t="shared" si="109"/>
        <v>700</v>
      </c>
      <c r="M1758" s="7">
        <f t="shared" si="110"/>
        <v>13300</v>
      </c>
      <c r="N1758" s="23">
        <v>93000</v>
      </c>
      <c r="O1758" s="7">
        <f t="shared" si="111"/>
        <v>106300</v>
      </c>
      <c r="P1758" s="2" t="s">
        <v>22</v>
      </c>
      <c r="Q1758" t="str">
        <f>_xlfn.XLOOKUP(B1758,Status!$A$2:$A$1867,Status!$B$2:$B$1867)</f>
        <v>Returned</v>
      </c>
      <c r="R1758" s="2" t="s">
        <v>36</v>
      </c>
      <c r="S1758" s="8">
        <v>2</v>
      </c>
      <c r="T1758" s="2" t="s">
        <v>37</v>
      </c>
      <c r="U1758" s="31" t="str" cm="1">
        <f t="array" ref="U1758">_xlfn.IFS(L1758&lt;=5000,$Z$3,AND(L1758&gt;5000,L1758&lt;=15000),$Z$4,AND(L1758&gt;15000,L1758&lt;=30000),$Z$5,AND(L1758&gt;30000,L1758&lt;=50000),$Z$6,L1758&gt;50000,$Z$7)</f>
        <v>Sangat Rendah</v>
      </c>
      <c r="V1758" s="2"/>
    </row>
    <row r="1759" spans="1:22" ht="15.75" customHeight="1" x14ac:dyDescent="0.25">
      <c r="A1759" s="26"/>
      <c r="B1759" s="2" t="s">
        <v>2126</v>
      </c>
      <c r="C1759" s="32">
        <v>45872.414965277778</v>
      </c>
      <c r="D1759" s="53">
        <f>YEAR(Table1[[#This Row],[Order Date]])</f>
        <v>2025</v>
      </c>
      <c r="E1759" s="2" t="s">
        <v>570</v>
      </c>
      <c r="F1759" s="2" t="s">
        <v>80</v>
      </c>
      <c r="G1759" s="2" t="s">
        <v>62</v>
      </c>
      <c r="H1759" s="23">
        <v>50000</v>
      </c>
      <c r="I1759" s="2">
        <v>5</v>
      </c>
      <c r="J1759" s="31">
        <v>10</v>
      </c>
      <c r="K1759" s="7">
        <f t="shared" si="108"/>
        <v>250000</v>
      </c>
      <c r="L1759" s="7">
        <f t="shared" si="109"/>
        <v>25000</v>
      </c>
      <c r="M1759" s="7">
        <f t="shared" si="110"/>
        <v>225000</v>
      </c>
      <c r="N1759" s="23">
        <v>74000</v>
      </c>
      <c r="O1759" s="7">
        <f t="shared" si="111"/>
        <v>299000</v>
      </c>
      <c r="P1759" s="2" t="s">
        <v>63</v>
      </c>
      <c r="Q1759" t="str">
        <f>_xlfn.XLOOKUP(B1759,Status!$A$2:$A$1867,Status!$B$2:$B$1867)</f>
        <v>Shipped</v>
      </c>
      <c r="R1759" s="2" t="s">
        <v>30</v>
      </c>
      <c r="S1759" s="8">
        <v>5</v>
      </c>
      <c r="T1759" s="2" t="s">
        <v>24</v>
      </c>
      <c r="U1759" s="31" t="str" cm="1">
        <f t="array" ref="U1759">_xlfn.IFS(L1759&lt;=5000,$Z$3,AND(L1759&gt;5000,L1759&lt;=15000),$Z$4,AND(L1759&gt;15000,L1759&lt;=30000),$Z$5,AND(L1759&gt;30000,L1759&lt;=50000),$Z$6,L1759&gt;50000,$Z$7)</f>
        <v>Normal</v>
      </c>
      <c r="V1759" s="2"/>
    </row>
    <row r="1760" spans="1:22" ht="15.75" customHeight="1" x14ac:dyDescent="0.25">
      <c r="A1760" s="26"/>
      <c r="B1760" s="2" t="s">
        <v>2126</v>
      </c>
      <c r="C1760" s="32">
        <v>45872.414965277778</v>
      </c>
      <c r="D1760" s="53">
        <f>YEAR(Table1[[#This Row],[Order Date]])</f>
        <v>2025</v>
      </c>
      <c r="E1760" s="2" t="s">
        <v>570</v>
      </c>
      <c r="F1760" s="2" t="s">
        <v>80</v>
      </c>
      <c r="G1760" s="2" t="s">
        <v>41</v>
      </c>
      <c r="H1760" s="23">
        <v>4000</v>
      </c>
      <c r="I1760" s="2">
        <v>2</v>
      </c>
      <c r="J1760" s="31">
        <v>0</v>
      </c>
      <c r="K1760" s="7">
        <f t="shared" si="108"/>
        <v>8000</v>
      </c>
      <c r="L1760" s="7">
        <f t="shared" si="109"/>
        <v>0</v>
      </c>
      <c r="M1760" s="7">
        <f t="shared" si="110"/>
        <v>8000</v>
      </c>
      <c r="N1760" s="23">
        <v>0</v>
      </c>
      <c r="O1760" s="7">
        <f t="shared" si="111"/>
        <v>8000</v>
      </c>
      <c r="P1760" s="2" t="s">
        <v>63</v>
      </c>
      <c r="Q1760" t="str">
        <f>_xlfn.XLOOKUP(B1760,Status!$A$2:$A$1867,Status!$B$2:$B$1867)</f>
        <v>Shipped</v>
      </c>
      <c r="R1760" s="2" t="s">
        <v>30</v>
      </c>
      <c r="S1760" s="8">
        <v>5</v>
      </c>
      <c r="T1760" s="2" t="s">
        <v>24</v>
      </c>
      <c r="U1760" s="31" t="str" cm="1">
        <f t="array" ref="U1760">_xlfn.IFS(L1760&lt;=5000,$Z$3,AND(L1760&gt;5000,L1760&lt;=15000),$Z$4,AND(L1760&gt;15000,L1760&lt;=30000),$Z$5,AND(L1760&gt;30000,L1760&lt;=50000),$Z$6,L1760&gt;50000,$Z$7)</f>
        <v>Sangat Rendah</v>
      </c>
      <c r="V1760" s="2"/>
    </row>
    <row r="1761" spans="1:22" ht="15.75" customHeight="1" x14ac:dyDescent="0.25">
      <c r="A1761" s="26"/>
      <c r="B1761" s="2" t="s">
        <v>2127</v>
      </c>
      <c r="C1761" s="32">
        <v>45872.512638888889</v>
      </c>
      <c r="D1761" s="53">
        <f>YEAR(Table1[[#This Row],[Order Date]])</f>
        <v>2025</v>
      </c>
      <c r="E1761" s="2" t="s">
        <v>1263</v>
      </c>
      <c r="F1761" s="2" t="s">
        <v>435</v>
      </c>
      <c r="G1761" s="2" t="s">
        <v>136</v>
      </c>
      <c r="H1761" s="23">
        <v>12000</v>
      </c>
      <c r="I1761" s="2">
        <v>4</v>
      </c>
      <c r="J1761" s="31">
        <v>20</v>
      </c>
      <c r="K1761" s="7">
        <f t="shared" si="108"/>
        <v>48000</v>
      </c>
      <c r="L1761" s="7">
        <f t="shared" si="109"/>
        <v>9600</v>
      </c>
      <c r="M1761" s="7">
        <f t="shared" si="110"/>
        <v>38400</v>
      </c>
      <c r="N1761" s="23">
        <v>67000</v>
      </c>
      <c r="O1761" s="7">
        <f t="shared" si="111"/>
        <v>105400</v>
      </c>
      <c r="P1761" s="2" t="s">
        <v>63</v>
      </c>
      <c r="Q1761" t="str">
        <f>_xlfn.XLOOKUP(B1761,Status!$A$2:$A$1867,Status!$B$2:$B$1867)</f>
        <v>Completed</v>
      </c>
      <c r="R1761" s="2" t="s">
        <v>23</v>
      </c>
      <c r="S1761" s="8">
        <v>1</v>
      </c>
      <c r="T1761" s="2" t="s">
        <v>24</v>
      </c>
      <c r="U1761" s="31" t="str" cm="1">
        <f t="array" ref="U1761">_xlfn.IFS(L1761&lt;=5000,$Z$3,AND(L1761&gt;5000,L1761&lt;=15000),$Z$4,AND(L1761&gt;15000,L1761&lt;=30000),$Z$5,AND(L1761&gt;30000,L1761&lt;=50000),$Z$6,L1761&gt;50000,$Z$7)</f>
        <v>Rendah</v>
      </c>
      <c r="V1761" s="2"/>
    </row>
    <row r="1762" spans="1:22" ht="15.75" customHeight="1" x14ac:dyDescent="0.25">
      <c r="A1762" s="26"/>
      <c r="B1762" s="2" t="s">
        <v>2128</v>
      </c>
      <c r="C1762" s="32">
        <v>45872.690312500003</v>
      </c>
      <c r="D1762" s="53">
        <f>YEAR(Table1[[#This Row],[Order Date]])</f>
        <v>2025</v>
      </c>
      <c r="E1762" s="2" t="s">
        <v>179</v>
      </c>
      <c r="F1762" s="2" t="s">
        <v>66</v>
      </c>
      <c r="G1762" s="2" t="s">
        <v>67</v>
      </c>
      <c r="H1762" s="23">
        <v>15000</v>
      </c>
      <c r="I1762" s="2">
        <v>3</v>
      </c>
      <c r="J1762" s="31">
        <v>15</v>
      </c>
      <c r="K1762" s="7">
        <f t="shared" si="108"/>
        <v>45000</v>
      </c>
      <c r="L1762" s="7">
        <f t="shared" si="109"/>
        <v>6750</v>
      </c>
      <c r="M1762" s="7">
        <f t="shared" si="110"/>
        <v>38250</v>
      </c>
      <c r="N1762" s="23">
        <v>59000</v>
      </c>
      <c r="O1762" s="7">
        <f t="shared" si="111"/>
        <v>97250</v>
      </c>
      <c r="P1762" s="2" t="s">
        <v>22</v>
      </c>
      <c r="Q1762" t="str">
        <f>_xlfn.XLOOKUP(B1762,Status!$A$2:$A$1867,Status!$B$2:$B$1867)</f>
        <v>Completed</v>
      </c>
      <c r="R1762" s="2" t="s">
        <v>46</v>
      </c>
      <c r="S1762" s="8">
        <v>2</v>
      </c>
      <c r="T1762" s="2" t="s">
        <v>24</v>
      </c>
      <c r="U1762" s="31" t="str" cm="1">
        <f t="array" ref="U1762">_xlfn.IFS(L1762&lt;=5000,$Z$3,AND(L1762&gt;5000,L1762&lt;=15000),$Z$4,AND(L1762&gt;15000,L1762&lt;=30000),$Z$5,AND(L1762&gt;30000,L1762&lt;=50000),$Z$6,L1762&gt;50000,$Z$7)</f>
        <v>Rendah</v>
      </c>
      <c r="V1762" s="2"/>
    </row>
    <row r="1763" spans="1:22" ht="15.75" customHeight="1" x14ac:dyDescent="0.25">
      <c r="A1763" s="26"/>
      <c r="B1763" s="2" t="s">
        <v>2129</v>
      </c>
      <c r="C1763" s="32">
        <v>45872.704386574071</v>
      </c>
      <c r="D1763" s="53">
        <f>YEAR(Table1[[#This Row],[Order Date]])</f>
        <v>2025</v>
      </c>
      <c r="E1763" s="2" t="s">
        <v>133</v>
      </c>
      <c r="F1763" s="2" t="s">
        <v>33</v>
      </c>
      <c r="G1763" s="2" t="s">
        <v>88</v>
      </c>
      <c r="H1763" s="23">
        <v>14000</v>
      </c>
      <c r="I1763" s="2">
        <v>2</v>
      </c>
      <c r="J1763" s="31">
        <v>0</v>
      </c>
      <c r="K1763" s="7">
        <f t="shared" si="108"/>
        <v>28000</v>
      </c>
      <c r="L1763" s="7">
        <f t="shared" si="109"/>
        <v>0</v>
      </c>
      <c r="M1763" s="7">
        <f t="shared" si="110"/>
        <v>28000</v>
      </c>
      <c r="N1763" s="23">
        <v>76000</v>
      </c>
      <c r="O1763" s="7">
        <f t="shared" si="111"/>
        <v>104000</v>
      </c>
      <c r="P1763" s="2" t="s">
        <v>22</v>
      </c>
      <c r="Q1763" t="str">
        <f>_xlfn.XLOOKUP(B1763,Status!$A$2:$A$1867,Status!$B$2:$B$1867)</f>
        <v>Pending</v>
      </c>
      <c r="R1763" s="2" t="s">
        <v>82</v>
      </c>
      <c r="S1763" s="8">
        <v>4</v>
      </c>
      <c r="T1763" s="2" t="s">
        <v>24</v>
      </c>
      <c r="U1763" s="31" t="str" cm="1">
        <f t="array" ref="U1763">_xlfn.IFS(L1763&lt;=5000,$Z$3,AND(L1763&gt;5000,L1763&lt;=15000),$Z$4,AND(L1763&gt;15000,L1763&lt;=30000),$Z$5,AND(L1763&gt;30000,L1763&lt;=50000),$Z$6,L1763&gt;50000,$Z$7)</f>
        <v>Sangat Rendah</v>
      </c>
      <c r="V1763" s="2"/>
    </row>
    <row r="1764" spans="1:22" ht="15.75" customHeight="1" x14ac:dyDescent="0.25">
      <c r="A1764" s="26"/>
      <c r="B1764" s="2" t="s">
        <v>2130</v>
      </c>
      <c r="C1764" s="32">
        <v>45873.405289351853</v>
      </c>
      <c r="D1764" s="53">
        <f>YEAR(Table1[[#This Row],[Order Date]])</f>
        <v>2025</v>
      </c>
      <c r="E1764" s="2" t="s">
        <v>549</v>
      </c>
      <c r="F1764" s="2" t="s">
        <v>107</v>
      </c>
      <c r="G1764" s="2" t="s">
        <v>58</v>
      </c>
      <c r="H1764" s="23">
        <v>16000</v>
      </c>
      <c r="I1764" s="2">
        <v>1</v>
      </c>
      <c r="J1764" s="31">
        <v>5</v>
      </c>
      <c r="K1764" s="7">
        <f t="shared" si="108"/>
        <v>16000</v>
      </c>
      <c r="L1764" s="7">
        <f t="shared" si="109"/>
        <v>800</v>
      </c>
      <c r="M1764" s="7">
        <f t="shared" si="110"/>
        <v>15200</v>
      </c>
      <c r="N1764" s="23">
        <v>97000</v>
      </c>
      <c r="O1764" s="7">
        <f t="shared" si="111"/>
        <v>112200</v>
      </c>
      <c r="P1764" s="2" t="s">
        <v>29</v>
      </c>
      <c r="Q1764" t="str">
        <f>_xlfn.XLOOKUP(B1764,Status!$A$2:$A$1867,Status!$B$2:$B$1867)</f>
        <v>Completed</v>
      </c>
      <c r="R1764" s="2" t="s">
        <v>30</v>
      </c>
      <c r="S1764" s="8">
        <v>2</v>
      </c>
      <c r="T1764" s="2" t="s">
        <v>24</v>
      </c>
      <c r="U1764" s="31" t="str" cm="1">
        <f t="array" ref="U1764">_xlfn.IFS(L1764&lt;=5000,$Z$3,AND(L1764&gt;5000,L1764&lt;=15000),$Z$4,AND(L1764&gt;15000,L1764&lt;=30000),$Z$5,AND(L1764&gt;30000,L1764&lt;=50000),$Z$6,L1764&gt;50000,$Z$7)</f>
        <v>Sangat Rendah</v>
      </c>
      <c r="V1764" s="2"/>
    </row>
    <row r="1765" spans="1:22" ht="15.75" customHeight="1" x14ac:dyDescent="0.25">
      <c r="A1765" s="26"/>
      <c r="B1765" s="2" t="s">
        <v>2131</v>
      </c>
      <c r="C1765" s="32">
        <v>45873.464270833327</v>
      </c>
      <c r="D1765" s="53">
        <f>YEAR(Table1[[#This Row],[Order Date]])</f>
        <v>2025</v>
      </c>
      <c r="E1765" s="2" t="s">
        <v>203</v>
      </c>
      <c r="F1765" s="2" t="s">
        <v>20</v>
      </c>
      <c r="G1765" s="2" t="s">
        <v>250</v>
      </c>
      <c r="H1765" s="23">
        <v>18000</v>
      </c>
      <c r="I1765" s="2">
        <v>4</v>
      </c>
      <c r="J1765" s="31">
        <v>15</v>
      </c>
      <c r="K1765" s="7">
        <f t="shared" si="108"/>
        <v>72000</v>
      </c>
      <c r="L1765" s="7">
        <f t="shared" si="109"/>
        <v>10800</v>
      </c>
      <c r="M1765" s="7">
        <f t="shared" si="110"/>
        <v>61200</v>
      </c>
      <c r="N1765" s="23">
        <v>15000</v>
      </c>
      <c r="O1765" s="7">
        <f t="shared" si="111"/>
        <v>76200</v>
      </c>
      <c r="P1765" s="2" t="s">
        <v>22</v>
      </c>
      <c r="Q1765" t="str">
        <f>_xlfn.XLOOKUP(B1765,Status!$A$2:$A$1867,Status!$B$2:$B$1867)</f>
        <v>Completed</v>
      </c>
      <c r="R1765" s="2" t="s">
        <v>82</v>
      </c>
      <c r="S1765" s="8">
        <v>1</v>
      </c>
      <c r="T1765" s="2" t="s">
        <v>24</v>
      </c>
      <c r="U1765" s="31" t="str" cm="1">
        <f t="array" ref="U1765">_xlfn.IFS(L1765&lt;=5000,$Z$3,AND(L1765&gt;5000,L1765&lt;=15000),$Z$4,AND(L1765&gt;15000,L1765&lt;=30000),$Z$5,AND(L1765&gt;30000,L1765&lt;=50000),$Z$6,L1765&gt;50000,$Z$7)</f>
        <v>Rendah</v>
      </c>
      <c r="V1765" s="2"/>
    </row>
    <row r="1766" spans="1:22" ht="15.75" customHeight="1" x14ac:dyDescent="0.25">
      <c r="A1766" s="26"/>
      <c r="B1766" s="2" t="s">
        <v>2132</v>
      </c>
      <c r="C1766" s="32">
        <v>45873.633842592593</v>
      </c>
      <c r="D1766" s="53">
        <f>YEAR(Table1[[#This Row],[Order Date]])</f>
        <v>2025</v>
      </c>
      <c r="E1766" s="2" t="s">
        <v>394</v>
      </c>
      <c r="F1766" s="2" t="s">
        <v>53</v>
      </c>
      <c r="G1766" s="2" t="s">
        <v>190</v>
      </c>
      <c r="H1766" s="23">
        <v>35000</v>
      </c>
      <c r="I1766" s="2">
        <v>4</v>
      </c>
      <c r="J1766" s="31">
        <v>20</v>
      </c>
      <c r="K1766" s="7">
        <f t="shared" si="108"/>
        <v>140000</v>
      </c>
      <c r="L1766" s="7">
        <f t="shared" si="109"/>
        <v>28000</v>
      </c>
      <c r="M1766" s="7">
        <f t="shared" si="110"/>
        <v>112000</v>
      </c>
      <c r="N1766" s="23">
        <v>18000</v>
      </c>
      <c r="O1766" s="7">
        <f t="shared" si="111"/>
        <v>130000</v>
      </c>
      <c r="P1766" s="2" t="s">
        <v>29</v>
      </c>
      <c r="Q1766" t="str">
        <f>_xlfn.XLOOKUP(B1766,Status!$A$2:$A$1867,Status!$B$2:$B$1867)</f>
        <v>Completed</v>
      </c>
      <c r="R1766" s="2" t="s">
        <v>36</v>
      </c>
      <c r="S1766" s="8">
        <v>5</v>
      </c>
      <c r="T1766" s="2" t="s">
        <v>24</v>
      </c>
      <c r="U1766" s="31" t="str" cm="1">
        <f t="array" ref="U1766">_xlfn.IFS(L1766&lt;=5000,$Z$3,AND(L1766&gt;5000,L1766&lt;=15000),$Z$4,AND(L1766&gt;15000,L1766&lt;=30000),$Z$5,AND(L1766&gt;30000,L1766&lt;=50000),$Z$6,L1766&gt;50000,$Z$7)</f>
        <v>Normal</v>
      </c>
      <c r="V1766" s="2"/>
    </row>
    <row r="1767" spans="1:22" ht="15.75" customHeight="1" x14ac:dyDescent="0.25">
      <c r="A1767" s="26"/>
      <c r="B1767" s="2" t="s">
        <v>2133</v>
      </c>
      <c r="C1767" s="32">
        <v>45873.718784722223</v>
      </c>
      <c r="D1767" s="53">
        <f>YEAR(Table1[[#This Row],[Order Date]])</f>
        <v>2025</v>
      </c>
      <c r="E1767" s="2" t="s">
        <v>398</v>
      </c>
      <c r="F1767" s="2" t="s">
        <v>182</v>
      </c>
      <c r="G1767" s="2" t="s">
        <v>186</v>
      </c>
      <c r="H1767" s="23">
        <v>45000</v>
      </c>
      <c r="I1767" s="2">
        <v>4</v>
      </c>
      <c r="J1767" s="31">
        <v>15</v>
      </c>
      <c r="K1767" s="7">
        <f t="shared" si="108"/>
        <v>180000</v>
      </c>
      <c r="L1767" s="7">
        <f t="shared" si="109"/>
        <v>27000</v>
      </c>
      <c r="M1767" s="7">
        <f t="shared" si="110"/>
        <v>153000</v>
      </c>
      <c r="N1767" s="23">
        <v>48000</v>
      </c>
      <c r="O1767" s="7">
        <f t="shared" si="111"/>
        <v>201000</v>
      </c>
      <c r="P1767" s="2" t="s">
        <v>29</v>
      </c>
      <c r="Q1767" t="str">
        <f>_xlfn.XLOOKUP(B1767,Status!$A$2:$A$1867,Status!$B$2:$B$1867)</f>
        <v>Completed</v>
      </c>
      <c r="R1767" s="2" t="s">
        <v>82</v>
      </c>
      <c r="S1767" s="8">
        <v>5</v>
      </c>
      <c r="T1767" s="2" t="s">
        <v>24</v>
      </c>
      <c r="U1767" s="31" t="str" cm="1">
        <f t="array" ref="U1767">_xlfn.IFS(L1767&lt;=5000,$Z$3,AND(L1767&gt;5000,L1767&lt;=15000),$Z$4,AND(L1767&gt;15000,L1767&lt;=30000),$Z$5,AND(L1767&gt;30000,L1767&lt;=50000),$Z$6,L1767&gt;50000,$Z$7)</f>
        <v>Normal</v>
      </c>
      <c r="V1767" s="2"/>
    </row>
    <row r="1768" spans="1:22" ht="15.75" customHeight="1" x14ac:dyDescent="0.25">
      <c r="A1768" s="26"/>
      <c r="B1768" s="2" t="s">
        <v>2134</v>
      </c>
      <c r="C1768" s="32">
        <v>45873.952962962961</v>
      </c>
      <c r="D1768" s="53">
        <f>YEAR(Table1[[#This Row],[Order Date]])</f>
        <v>2025</v>
      </c>
      <c r="E1768" s="2" t="s">
        <v>431</v>
      </c>
      <c r="F1768" s="2" t="s">
        <v>33</v>
      </c>
      <c r="G1768" s="2" t="s">
        <v>85</v>
      </c>
      <c r="H1768" s="23">
        <v>35000</v>
      </c>
      <c r="I1768" s="2">
        <v>5</v>
      </c>
      <c r="J1768" s="31">
        <v>5</v>
      </c>
      <c r="K1768" s="7">
        <f t="shared" si="108"/>
        <v>175000</v>
      </c>
      <c r="L1768" s="7">
        <f t="shared" si="109"/>
        <v>8750</v>
      </c>
      <c r="M1768" s="7">
        <f t="shared" si="110"/>
        <v>166250</v>
      </c>
      <c r="N1768" s="23">
        <v>76000</v>
      </c>
      <c r="O1768" s="7">
        <f t="shared" si="111"/>
        <v>242250</v>
      </c>
      <c r="P1768" s="2" t="s">
        <v>29</v>
      </c>
      <c r="Q1768" t="str">
        <f>_xlfn.XLOOKUP(B1768,Status!$A$2:$A$1867,Status!$B$2:$B$1867)</f>
        <v>Shipped</v>
      </c>
      <c r="R1768" s="2" t="s">
        <v>36</v>
      </c>
      <c r="S1768" s="8">
        <v>5</v>
      </c>
      <c r="T1768" s="2" t="s">
        <v>24</v>
      </c>
      <c r="U1768" s="31" t="str" cm="1">
        <f t="array" ref="U1768">_xlfn.IFS(L1768&lt;=5000,$Z$3,AND(L1768&gt;5000,L1768&lt;=15000),$Z$4,AND(L1768&gt;15000,L1768&lt;=30000),$Z$5,AND(L1768&gt;30000,L1768&lt;=50000),$Z$6,L1768&gt;50000,$Z$7)</f>
        <v>Rendah</v>
      </c>
      <c r="V1768" s="2"/>
    </row>
    <row r="1769" spans="1:22" ht="15.75" customHeight="1" x14ac:dyDescent="0.25">
      <c r="A1769" s="26"/>
      <c r="B1769" s="2" t="s">
        <v>2135</v>
      </c>
      <c r="C1769" s="32">
        <v>45874.015775462962</v>
      </c>
      <c r="D1769" s="53">
        <f>YEAR(Table1[[#This Row],[Order Date]])</f>
        <v>2025</v>
      </c>
      <c r="E1769" s="2" t="s">
        <v>201</v>
      </c>
      <c r="F1769" s="2" t="s">
        <v>107</v>
      </c>
      <c r="G1769" s="2" t="s">
        <v>28</v>
      </c>
      <c r="H1769" s="23">
        <v>5000</v>
      </c>
      <c r="I1769" s="2">
        <v>3</v>
      </c>
      <c r="J1769" s="31">
        <v>10</v>
      </c>
      <c r="K1769" s="7">
        <f t="shared" si="108"/>
        <v>15000</v>
      </c>
      <c r="L1769" s="7">
        <f t="shared" si="109"/>
        <v>1500</v>
      </c>
      <c r="M1769" s="7">
        <f t="shared" si="110"/>
        <v>13500</v>
      </c>
      <c r="N1769" s="23">
        <v>97000</v>
      </c>
      <c r="O1769" s="7">
        <f t="shared" si="111"/>
        <v>110500</v>
      </c>
      <c r="P1769" s="2" t="s">
        <v>35</v>
      </c>
      <c r="Q1769" t="str">
        <f>_xlfn.XLOOKUP(B1769,Status!$A$2:$A$1867,Status!$B$2:$B$1867)</f>
        <v>Completed</v>
      </c>
      <c r="R1769" s="2" t="s">
        <v>82</v>
      </c>
      <c r="S1769" s="8">
        <v>5</v>
      </c>
      <c r="T1769" s="2" t="s">
        <v>24</v>
      </c>
      <c r="U1769" s="31" t="str" cm="1">
        <f t="array" ref="U1769">_xlfn.IFS(L1769&lt;=5000,$Z$3,AND(L1769&gt;5000,L1769&lt;=15000),$Z$4,AND(L1769&gt;15000,L1769&lt;=30000),$Z$5,AND(L1769&gt;30000,L1769&lt;=50000),$Z$6,L1769&gt;50000,$Z$7)</f>
        <v>Sangat Rendah</v>
      </c>
      <c r="V1769" s="2"/>
    </row>
    <row r="1770" spans="1:22" ht="15.75" customHeight="1" x14ac:dyDescent="0.25">
      <c r="A1770" s="26"/>
      <c r="B1770" s="2" t="s">
        <v>2135</v>
      </c>
      <c r="C1770" s="32">
        <v>45874.015775462962</v>
      </c>
      <c r="D1770" s="53">
        <f>YEAR(Table1[[#This Row],[Order Date]])</f>
        <v>2025</v>
      </c>
      <c r="E1770" s="2" t="s">
        <v>201</v>
      </c>
      <c r="F1770" s="2" t="s">
        <v>107</v>
      </c>
      <c r="G1770" s="2" t="s">
        <v>136</v>
      </c>
      <c r="H1770" s="23">
        <v>12000</v>
      </c>
      <c r="I1770" s="2">
        <v>4</v>
      </c>
      <c r="J1770" s="31">
        <v>0</v>
      </c>
      <c r="K1770" s="7">
        <f t="shared" si="108"/>
        <v>48000</v>
      </c>
      <c r="L1770" s="7">
        <f t="shared" si="109"/>
        <v>0</v>
      </c>
      <c r="M1770" s="7">
        <f t="shared" si="110"/>
        <v>48000</v>
      </c>
      <c r="N1770" s="23">
        <v>0</v>
      </c>
      <c r="O1770" s="7">
        <f t="shared" si="111"/>
        <v>48000</v>
      </c>
      <c r="P1770" s="2" t="s">
        <v>35</v>
      </c>
      <c r="Q1770" t="str">
        <f>_xlfn.XLOOKUP(B1770,Status!$A$2:$A$1867,Status!$B$2:$B$1867)</f>
        <v>Completed</v>
      </c>
      <c r="R1770" s="2" t="s">
        <v>82</v>
      </c>
      <c r="S1770" s="8">
        <v>5</v>
      </c>
      <c r="T1770" s="2" t="s">
        <v>24</v>
      </c>
      <c r="U1770" s="31" t="str" cm="1">
        <f t="array" ref="U1770">_xlfn.IFS(L1770&lt;=5000,$Z$3,AND(L1770&gt;5000,L1770&lt;=15000),$Z$4,AND(L1770&gt;15000,L1770&lt;=30000),$Z$5,AND(L1770&gt;30000,L1770&lt;=50000),$Z$6,L1770&gt;50000,$Z$7)</f>
        <v>Sangat Rendah</v>
      </c>
      <c r="V1770" s="2"/>
    </row>
    <row r="1771" spans="1:22" ht="15.75" customHeight="1" x14ac:dyDescent="0.25">
      <c r="A1771" s="26"/>
      <c r="B1771" s="2" t="s">
        <v>2136</v>
      </c>
      <c r="C1771" s="32">
        <v>45874.054560185177</v>
      </c>
      <c r="D1771" s="53">
        <f>YEAR(Table1[[#This Row],[Order Date]])</f>
        <v>2025</v>
      </c>
      <c r="E1771" s="2" t="s">
        <v>1259</v>
      </c>
      <c r="F1771" s="2" t="s">
        <v>107</v>
      </c>
      <c r="G1771" s="2" t="s">
        <v>50</v>
      </c>
      <c r="H1771" s="23">
        <v>14000</v>
      </c>
      <c r="I1771" s="2">
        <v>4</v>
      </c>
      <c r="J1771" s="31">
        <v>5</v>
      </c>
      <c r="K1771" s="7">
        <f t="shared" si="108"/>
        <v>56000</v>
      </c>
      <c r="L1771" s="7">
        <f t="shared" si="109"/>
        <v>2800</v>
      </c>
      <c r="M1771" s="7">
        <f t="shared" si="110"/>
        <v>53200</v>
      </c>
      <c r="N1771" s="23">
        <v>97000</v>
      </c>
      <c r="O1771" s="7">
        <f t="shared" si="111"/>
        <v>150200</v>
      </c>
      <c r="P1771" s="2" t="s">
        <v>22</v>
      </c>
      <c r="Q1771" t="str">
        <f>_xlfn.XLOOKUP(B1771,Status!$A$2:$A$1867,Status!$B$2:$B$1867)</f>
        <v>Pending</v>
      </c>
      <c r="R1771" s="2" t="s">
        <v>30</v>
      </c>
      <c r="S1771" s="8">
        <v>5</v>
      </c>
      <c r="T1771" s="2" t="s">
        <v>37</v>
      </c>
      <c r="U1771" s="31" t="str" cm="1">
        <f t="array" ref="U1771">_xlfn.IFS(L1771&lt;=5000,$Z$3,AND(L1771&gt;5000,L1771&lt;=15000),$Z$4,AND(L1771&gt;15000,L1771&lt;=30000),$Z$5,AND(L1771&gt;30000,L1771&lt;=50000),$Z$6,L1771&gt;50000,$Z$7)</f>
        <v>Sangat Rendah</v>
      </c>
      <c r="V1771" s="2"/>
    </row>
    <row r="1772" spans="1:22" ht="15.75" customHeight="1" x14ac:dyDescent="0.25">
      <c r="A1772" s="26"/>
      <c r="B1772" s="2" t="s">
        <v>2137</v>
      </c>
      <c r="C1772" s="32">
        <v>45874.185694444437</v>
      </c>
      <c r="D1772" s="53">
        <f>YEAR(Table1[[#This Row],[Order Date]])</f>
        <v>2025</v>
      </c>
      <c r="E1772" s="2" t="s">
        <v>269</v>
      </c>
      <c r="F1772" s="2" t="s">
        <v>173</v>
      </c>
      <c r="G1772" s="2" t="s">
        <v>21</v>
      </c>
      <c r="H1772" s="23">
        <v>45000</v>
      </c>
      <c r="I1772" s="2">
        <v>3</v>
      </c>
      <c r="J1772" s="31">
        <v>20</v>
      </c>
      <c r="K1772" s="7">
        <f t="shared" si="108"/>
        <v>135000</v>
      </c>
      <c r="L1772" s="7">
        <f t="shared" si="109"/>
        <v>27000</v>
      </c>
      <c r="M1772" s="7">
        <f t="shared" si="110"/>
        <v>108000</v>
      </c>
      <c r="N1772" s="23">
        <v>49000</v>
      </c>
      <c r="O1772" s="7">
        <f t="shared" si="111"/>
        <v>157000</v>
      </c>
      <c r="P1772" s="2" t="s">
        <v>35</v>
      </c>
      <c r="Q1772" t="str">
        <f>_xlfn.XLOOKUP(B1772,Status!$A$2:$A$1867,Status!$B$2:$B$1867)</f>
        <v>Pending</v>
      </c>
      <c r="R1772" s="2" t="s">
        <v>46</v>
      </c>
      <c r="S1772" s="8">
        <v>3</v>
      </c>
      <c r="T1772" s="2" t="s">
        <v>37</v>
      </c>
      <c r="U1772" s="31" t="str" cm="1">
        <f t="array" ref="U1772">_xlfn.IFS(L1772&lt;=5000,$Z$3,AND(L1772&gt;5000,L1772&lt;=15000),$Z$4,AND(L1772&gt;15000,L1772&lt;=30000),$Z$5,AND(L1772&gt;30000,L1772&lt;=50000),$Z$6,L1772&gt;50000,$Z$7)</f>
        <v>Normal</v>
      </c>
      <c r="V1772" s="2"/>
    </row>
    <row r="1773" spans="1:22" ht="15.75" customHeight="1" x14ac:dyDescent="0.25">
      <c r="A1773" s="26"/>
      <c r="B1773" s="2" t="s">
        <v>2138</v>
      </c>
      <c r="C1773" s="32">
        <v>45874.239999999998</v>
      </c>
      <c r="D1773" s="53">
        <f>YEAR(Table1[[#This Row],[Order Date]])</f>
        <v>2025</v>
      </c>
      <c r="E1773" s="2" t="s">
        <v>812</v>
      </c>
      <c r="F1773" s="2" t="s">
        <v>33</v>
      </c>
      <c r="G1773" s="2" t="s">
        <v>28</v>
      </c>
      <c r="H1773" s="23">
        <v>5000</v>
      </c>
      <c r="I1773" s="2">
        <v>3</v>
      </c>
      <c r="J1773" s="31">
        <v>20</v>
      </c>
      <c r="K1773" s="7">
        <f t="shared" si="108"/>
        <v>15000</v>
      </c>
      <c r="L1773" s="7">
        <f t="shared" si="109"/>
        <v>3000</v>
      </c>
      <c r="M1773" s="7">
        <f t="shared" si="110"/>
        <v>12000</v>
      </c>
      <c r="N1773" s="23">
        <v>76000</v>
      </c>
      <c r="O1773" s="7">
        <f t="shared" si="111"/>
        <v>88000</v>
      </c>
      <c r="P1773" s="2" t="s">
        <v>29</v>
      </c>
      <c r="Q1773" t="str">
        <f>_xlfn.XLOOKUP(B1773,Status!$A$2:$A$1867,Status!$B$2:$B$1867)</f>
        <v>Pending</v>
      </c>
      <c r="R1773" s="2" t="s">
        <v>46</v>
      </c>
      <c r="S1773" s="8">
        <v>3</v>
      </c>
      <c r="T1773" s="2" t="s">
        <v>24</v>
      </c>
      <c r="U1773" s="31" t="str" cm="1">
        <f t="array" ref="U1773">_xlfn.IFS(L1773&lt;=5000,$Z$3,AND(L1773&gt;5000,L1773&lt;=15000),$Z$4,AND(L1773&gt;15000,L1773&lt;=30000),$Z$5,AND(L1773&gt;30000,L1773&lt;=50000),$Z$6,L1773&gt;50000,$Z$7)</f>
        <v>Sangat Rendah</v>
      </c>
      <c r="V1773" s="2"/>
    </row>
    <row r="1774" spans="1:22" ht="15.75" customHeight="1" x14ac:dyDescent="0.25">
      <c r="A1774" s="26"/>
      <c r="B1774" s="2" t="s">
        <v>2139</v>
      </c>
      <c r="C1774" s="32">
        <v>45874.34065972222</v>
      </c>
      <c r="D1774" s="53">
        <f>YEAR(Table1[[#This Row],[Order Date]])</f>
        <v>2025</v>
      </c>
      <c r="E1774" s="2" t="s">
        <v>853</v>
      </c>
      <c r="F1774" s="2" t="s">
        <v>151</v>
      </c>
      <c r="G1774" s="2" t="s">
        <v>21</v>
      </c>
      <c r="H1774" s="23">
        <v>45000</v>
      </c>
      <c r="I1774" s="2">
        <v>3</v>
      </c>
      <c r="J1774" s="31">
        <v>15</v>
      </c>
      <c r="K1774" s="7">
        <f t="shared" si="108"/>
        <v>135000</v>
      </c>
      <c r="L1774" s="7">
        <f t="shared" si="109"/>
        <v>20250</v>
      </c>
      <c r="M1774" s="7">
        <f t="shared" si="110"/>
        <v>114750</v>
      </c>
      <c r="N1774" s="23">
        <v>55000</v>
      </c>
      <c r="O1774" s="7">
        <f t="shared" si="111"/>
        <v>169750</v>
      </c>
      <c r="P1774" s="2" t="s">
        <v>63</v>
      </c>
      <c r="Q1774" t="str">
        <f>_xlfn.XLOOKUP(B1774,Status!$A$2:$A$1867,Status!$B$2:$B$1867)</f>
        <v>Shipped</v>
      </c>
      <c r="R1774" s="2" t="s">
        <v>46</v>
      </c>
      <c r="S1774" s="8">
        <v>2</v>
      </c>
      <c r="T1774" s="2" t="s">
        <v>24</v>
      </c>
      <c r="U1774" s="31" t="str" cm="1">
        <f t="array" ref="U1774">_xlfn.IFS(L1774&lt;=5000,$Z$3,AND(L1774&gt;5000,L1774&lt;=15000),$Z$4,AND(L1774&gt;15000,L1774&lt;=30000),$Z$5,AND(L1774&gt;30000,L1774&lt;=50000),$Z$6,L1774&gt;50000,$Z$7)</f>
        <v>Normal</v>
      </c>
      <c r="V1774" s="2"/>
    </row>
    <row r="1775" spans="1:22" ht="15.75" customHeight="1" x14ac:dyDescent="0.25">
      <c r="A1775" s="26"/>
      <c r="B1775" s="2" t="s">
        <v>2140</v>
      </c>
      <c r="C1775" s="32">
        <v>45874.576701388891</v>
      </c>
      <c r="D1775" s="53">
        <f>YEAR(Table1[[#This Row],[Order Date]])</f>
        <v>2025</v>
      </c>
      <c r="E1775" s="2" t="s">
        <v>1053</v>
      </c>
      <c r="F1775" s="2" t="s">
        <v>80</v>
      </c>
      <c r="G1775" s="2" t="s">
        <v>62</v>
      </c>
      <c r="H1775" s="23">
        <v>50000</v>
      </c>
      <c r="I1775" s="2">
        <v>4</v>
      </c>
      <c r="J1775" s="31">
        <v>0</v>
      </c>
      <c r="K1775" s="7">
        <f t="shared" si="108"/>
        <v>200000</v>
      </c>
      <c r="L1775" s="7">
        <f t="shared" si="109"/>
        <v>0</v>
      </c>
      <c r="M1775" s="7">
        <f t="shared" si="110"/>
        <v>200000</v>
      </c>
      <c r="N1775" s="23">
        <v>74000</v>
      </c>
      <c r="O1775" s="7">
        <f t="shared" si="111"/>
        <v>274000</v>
      </c>
      <c r="P1775" s="2" t="s">
        <v>35</v>
      </c>
      <c r="Q1775" t="str">
        <f>_xlfn.XLOOKUP(B1775,Status!$A$2:$A$1867,Status!$B$2:$B$1867)</f>
        <v>Completed</v>
      </c>
      <c r="R1775" s="2" t="s">
        <v>36</v>
      </c>
      <c r="S1775" s="8">
        <v>2</v>
      </c>
      <c r="T1775" s="2" t="s">
        <v>24</v>
      </c>
      <c r="U1775" s="31" t="str" cm="1">
        <f t="array" ref="U1775">_xlfn.IFS(L1775&lt;=5000,$Z$3,AND(L1775&gt;5000,L1775&lt;=15000),$Z$4,AND(L1775&gt;15000,L1775&lt;=30000),$Z$5,AND(L1775&gt;30000,L1775&lt;=50000),$Z$6,L1775&gt;50000,$Z$7)</f>
        <v>Sangat Rendah</v>
      </c>
      <c r="V1775" s="2"/>
    </row>
    <row r="1776" spans="1:22" ht="15.75" customHeight="1" x14ac:dyDescent="0.25">
      <c r="A1776" s="26"/>
      <c r="B1776" s="2" t="s">
        <v>2141</v>
      </c>
      <c r="C1776" s="32">
        <v>45874.582118055558</v>
      </c>
      <c r="D1776" s="53">
        <f>YEAR(Table1[[#This Row],[Order Date]])</f>
        <v>2025</v>
      </c>
      <c r="E1776" s="2" t="s">
        <v>133</v>
      </c>
      <c r="F1776" s="2" t="s">
        <v>33</v>
      </c>
      <c r="G1776" s="2" t="s">
        <v>41</v>
      </c>
      <c r="H1776" s="23">
        <v>4000</v>
      </c>
      <c r="I1776" s="2">
        <v>1</v>
      </c>
      <c r="J1776" s="31">
        <v>0</v>
      </c>
      <c r="K1776" s="7">
        <f t="shared" si="108"/>
        <v>4000</v>
      </c>
      <c r="L1776" s="7">
        <f t="shared" si="109"/>
        <v>0</v>
      </c>
      <c r="M1776" s="7">
        <f t="shared" si="110"/>
        <v>4000</v>
      </c>
      <c r="N1776" s="23">
        <v>76000</v>
      </c>
      <c r="O1776" s="7">
        <f t="shared" si="111"/>
        <v>80000</v>
      </c>
      <c r="P1776" s="2" t="s">
        <v>63</v>
      </c>
      <c r="Q1776" t="str">
        <f>_xlfn.XLOOKUP(B1776,Status!$A$2:$A$1867,Status!$B$2:$B$1867)</f>
        <v>Pending</v>
      </c>
      <c r="R1776" s="2" t="s">
        <v>46</v>
      </c>
      <c r="S1776" s="8">
        <v>1</v>
      </c>
      <c r="T1776" s="2" t="s">
        <v>24</v>
      </c>
      <c r="U1776" s="31" t="str" cm="1">
        <f t="array" ref="U1776">_xlfn.IFS(L1776&lt;=5000,$Z$3,AND(L1776&gt;5000,L1776&lt;=15000),$Z$4,AND(L1776&gt;15000,L1776&lt;=30000),$Z$5,AND(L1776&gt;30000,L1776&lt;=50000),$Z$6,L1776&gt;50000,$Z$7)</f>
        <v>Sangat Rendah</v>
      </c>
      <c r="V1776" s="2"/>
    </row>
    <row r="1777" spans="1:22" ht="15.75" customHeight="1" x14ac:dyDescent="0.25">
      <c r="A1777" s="26"/>
      <c r="B1777" s="2" t="s">
        <v>2142</v>
      </c>
      <c r="C1777" s="32">
        <v>45874.707152777781</v>
      </c>
      <c r="D1777" s="53">
        <f>YEAR(Table1[[#This Row],[Order Date]])</f>
        <v>2025</v>
      </c>
      <c r="E1777" s="2" t="s">
        <v>1321</v>
      </c>
      <c r="F1777" s="2" t="s">
        <v>113</v>
      </c>
      <c r="G1777" s="2" t="s">
        <v>136</v>
      </c>
      <c r="H1777" s="23">
        <v>12000</v>
      </c>
      <c r="I1777" s="2">
        <v>2</v>
      </c>
      <c r="J1777" s="31">
        <v>20</v>
      </c>
      <c r="K1777" s="7">
        <f t="shared" si="108"/>
        <v>24000</v>
      </c>
      <c r="L1777" s="7">
        <f t="shared" si="109"/>
        <v>4800</v>
      </c>
      <c r="M1777" s="7">
        <f t="shared" si="110"/>
        <v>19200</v>
      </c>
      <c r="N1777" s="23">
        <v>18000</v>
      </c>
      <c r="O1777" s="7">
        <f t="shared" si="111"/>
        <v>37200</v>
      </c>
      <c r="P1777" s="2" t="s">
        <v>35</v>
      </c>
      <c r="Q1777" t="str">
        <f>_xlfn.XLOOKUP(B1777,Status!$A$2:$A$1867,Status!$B$2:$B$1867)</f>
        <v>Shipped</v>
      </c>
      <c r="R1777" s="2" t="s">
        <v>36</v>
      </c>
      <c r="S1777" s="8">
        <v>5</v>
      </c>
      <c r="T1777" s="2" t="s">
        <v>24</v>
      </c>
      <c r="U1777" s="31" t="str" cm="1">
        <f t="array" ref="U1777">_xlfn.IFS(L1777&lt;=5000,$Z$3,AND(L1777&gt;5000,L1777&lt;=15000),$Z$4,AND(L1777&gt;15000,L1777&lt;=30000),$Z$5,AND(L1777&gt;30000,L1777&lt;=50000),$Z$6,L1777&gt;50000,$Z$7)</f>
        <v>Sangat Rendah</v>
      </c>
      <c r="V1777" s="2"/>
    </row>
    <row r="1778" spans="1:22" ht="15.75" customHeight="1" x14ac:dyDescent="0.25">
      <c r="A1778" s="26"/>
      <c r="B1778" s="2" t="s">
        <v>2143</v>
      </c>
      <c r="C1778" s="32">
        <v>45875.015324074076</v>
      </c>
      <c r="D1778" s="53">
        <f>YEAR(Table1[[#This Row],[Order Date]])</f>
        <v>2025</v>
      </c>
      <c r="E1778" s="2" t="s">
        <v>437</v>
      </c>
      <c r="F1778" s="2" t="s">
        <v>375</v>
      </c>
      <c r="G1778" s="2" t="s">
        <v>250</v>
      </c>
      <c r="H1778" s="23">
        <v>18000</v>
      </c>
      <c r="I1778" s="2">
        <v>2</v>
      </c>
      <c r="J1778" s="31">
        <v>10</v>
      </c>
      <c r="K1778" s="7">
        <f t="shared" si="108"/>
        <v>36000</v>
      </c>
      <c r="L1778" s="7">
        <f t="shared" si="109"/>
        <v>3600</v>
      </c>
      <c r="M1778" s="7">
        <f t="shared" si="110"/>
        <v>32400</v>
      </c>
      <c r="N1778" s="23">
        <v>21000</v>
      </c>
      <c r="O1778" s="7">
        <f t="shared" si="111"/>
        <v>53400</v>
      </c>
      <c r="P1778" s="2" t="s">
        <v>63</v>
      </c>
      <c r="Q1778" t="str">
        <f>_xlfn.XLOOKUP(B1778,Status!$A$2:$A$1867,Status!$B$2:$B$1867)</f>
        <v>Shipped</v>
      </c>
      <c r="R1778" s="2" t="s">
        <v>82</v>
      </c>
      <c r="S1778" s="8">
        <v>2</v>
      </c>
      <c r="T1778" s="2" t="s">
        <v>24</v>
      </c>
      <c r="U1778" s="31" t="str" cm="1">
        <f t="array" ref="U1778">_xlfn.IFS(L1778&lt;=5000,$Z$3,AND(L1778&gt;5000,L1778&lt;=15000),$Z$4,AND(L1778&gt;15000,L1778&lt;=30000),$Z$5,AND(L1778&gt;30000,L1778&lt;=50000),$Z$6,L1778&gt;50000,$Z$7)</f>
        <v>Sangat Rendah</v>
      </c>
      <c r="V1778" s="2"/>
    </row>
    <row r="1779" spans="1:22" ht="15.75" customHeight="1" x14ac:dyDescent="0.25">
      <c r="A1779" s="26"/>
      <c r="B1779" s="2" t="s">
        <v>2144</v>
      </c>
      <c r="C1779" s="32">
        <v>45875.319328703707</v>
      </c>
      <c r="D1779" s="53">
        <f>YEAR(Table1[[#This Row],[Order Date]])</f>
        <v>2025</v>
      </c>
      <c r="E1779" s="2" t="s">
        <v>1311</v>
      </c>
      <c r="F1779" s="2" t="s">
        <v>49</v>
      </c>
      <c r="G1779" s="2" t="s">
        <v>81</v>
      </c>
      <c r="H1779" s="23">
        <v>17000</v>
      </c>
      <c r="I1779" s="2">
        <v>4</v>
      </c>
      <c r="J1779" s="31">
        <v>15</v>
      </c>
      <c r="K1779" s="7">
        <f t="shared" si="108"/>
        <v>68000</v>
      </c>
      <c r="L1779" s="7">
        <f t="shared" si="109"/>
        <v>10200</v>
      </c>
      <c r="M1779" s="7">
        <f t="shared" si="110"/>
        <v>57800</v>
      </c>
      <c r="N1779" s="23">
        <v>43000</v>
      </c>
      <c r="O1779" s="7">
        <f t="shared" si="111"/>
        <v>100800</v>
      </c>
      <c r="P1779" s="2" t="s">
        <v>29</v>
      </c>
      <c r="Q1779" t="str">
        <f>_xlfn.XLOOKUP(B1779,Status!$A$2:$A$1867,Status!$B$2:$B$1867)</f>
        <v>Shipped</v>
      </c>
      <c r="R1779" s="2" t="s">
        <v>23</v>
      </c>
      <c r="S1779" s="8">
        <v>5</v>
      </c>
      <c r="T1779" s="2" t="s">
        <v>24</v>
      </c>
      <c r="U1779" s="31" t="str" cm="1">
        <f t="array" ref="U1779">_xlfn.IFS(L1779&lt;=5000,$Z$3,AND(L1779&gt;5000,L1779&lt;=15000),$Z$4,AND(L1779&gt;15000,L1779&lt;=30000),$Z$5,AND(L1779&gt;30000,L1779&lt;=50000),$Z$6,L1779&gt;50000,$Z$7)</f>
        <v>Rendah</v>
      </c>
      <c r="V1779" s="2"/>
    </row>
    <row r="1780" spans="1:22" ht="15.75" customHeight="1" x14ac:dyDescent="0.25">
      <c r="A1780" s="26"/>
      <c r="B1780" s="2" t="s">
        <v>2145</v>
      </c>
      <c r="C1780" s="32">
        <v>45875.344236111108</v>
      </c>
      <c r="D1780" s="53">
        <f>YEAR(Table1[[#This Row],[Order Date]])</f>
        <v>2025</v>
      </c>
      <c r="E1780" s="2" t="s">
        <v>716</v>
      </c>
      <c r="F1780" s="2" t="s">
        <v>66</v>
      </c>
      <c r="G1780" s="2" t="s">
        <v>85</v>
      </c>
      <c r="H1780" s="23">
        <v>35000</v>
      </c>
      <c r="I1780" s="2">
        <v>1</v>
      </c>
      <c r="J1780" s="31">
        <v>20</v>
      </c>
      <c r="K1780" s="7">
        <f t="shared" si="108"/>
        <v>35000</v>
      </c>
      <c r="L1780" s="7">
        <f t="shared" si="109"/>
        <v>7000</v>
      </c>
      <c r="M1780" s="7">
        <f t="shared" si="110"/>
        <v>28000</v>
      </c>
      <c r="N1780" s="23">
        <v>59000</v>
      </c>
      <c r="O1780" s="7">
        <f t="shared" si="111"/>
        <v>87000</v>
      </c>
      <c r="P1780" s="2" t="s">
        <v>63</v>
      </c>
      <c r="Q1780" t="str">
        <f>_xlfn.XLOOKUP(B1780,Status!$A$2:$A$1867,Status!$B$2:$B$1867)</f>
        <v>Shipped</v>
      </c>
      <c r="R1780" s="2" t="s">
        <v>82</v>
      </c>
      <c r="S1780" s="8">
        <v>4</v>
      </c>
      <c r="T1780" s="2" t="s">
        <v>24</v>
      </c>
      <c r="U1780" s="31" t="str" cm="1">
        <f t="array" ref="U1780">_xlfn.IFS(L1780&lt;=5000,$Z$3,AND(L1780&gt;5000,L1780&lt;=15000),$Z$4,AND(L1780&gt;15000,L1780&lt;=30000),$Z$5,AND(L1780&gt;30000,L1780&lt;=50000),$Z$6,L1780&gt;50000,$Z$7)</f>
        <v>Rendah</v>
      </c>
      <c r="V1780" s="2"/>
    </row>
    <row r="1781" spans="1:22" ht="15.75" customHeight="1" x14ac:dyDescent="0.25">
      <c r="A1781" s="26"/>
      <c r="B1781" s="2" t="s">
        <v>2146</v>
      </c>
      <c r="C1781" s="32">
        <v>45875.380266203712</v>
      </c>
      <c r="D1781" s="53">
        <f>YEAR(Table1[[#This Row],[Order Date]])</f>
        <v>2025</v>
      </c>
      <c r="E1781" s="2" t="s">
        <v>387</v>
      </c>
      <c r="F1781" s="2" t="s">
        <v>49</v>
      </c>
      <c r="G1781" s="2" t="s">
        <v>138</v>
      </c>
      <c r="H1781" s="23">
        <v>17000</v>
      </c>
      <c r="I1781" s="2">
        <v>3</v>
      </c>
      <c r="J1781" s="31">
        <v>0</v>
      </c>
      <c r="K1781" s="7">
        <f t="shared" si="108"/>
        <v>51000</v>
      </c>
      <c r="L1781" s="7">
        <f t="shared" si="109"/>
        <v>0</v>
      </c>
      <c r="M1781" s="7">
        <f t="shared" si="110"/>
        <v>51000</v>
      </c>
      <c r="N1781" s="23">
        <v>43000</v>
      </c>
      <c r="O1781" s="7">
        <f t="shared" si="111"/>
        <v>94000</v>
      </c>
      <c r="P1781" s="2" t="s">
        <v>29</v>
      </c>
      <c r="Q1781" t="str">
        <f>_xlfn.XLOOKUP(B1781,Status!$A$2:$A$1867,Status!$B$2:$B$1867)</f>
        <v>Shipped</v>
      </c>
      <c r="R1781" s="2" t="s">
        <v>36</v>
      </c>
      <c r="S1781" s="8">
        <v>1</v>
      </c>
      <c r="T1781" s="2" t="s">
        <v>37</v>
      </c>
      <c r="U1781" s="31" t="str" cm="1">
        <f t="array" ref="U1781">_xlfn.IFS(L1781&lt;=5000,$Z$3,AND(L1781&gt;5000,L1781&lt;=15000),$Z$4,AND(L1781&gt;15000,L1781&lt;=30000),$Z$5,AND(L1781&gt;30000,L1781&lt;=50000),$Z$6,L1781&gt;50000,$Z$7)</f>
        <v>Sangat Rendah</v>
      </c>
      <c r="V1781" s="2"/>
    </row>
    <row r="1782" spans="1:22" ht="15.75" customHeight="1" x14ac:dyDescent="0.25">
      <c r="A1782" s="26"/>
      <c r="B1782" s="2" t="s">
        <v>2147</v>
      </c>
      <c r="C1782" s="32">
        <v>45875.524074074077</v>
      </c>
      <c r="D1782" s="53">
        <f>YEAR(Table1[[#This Row],[Order Date]])</f>
        <v>2025</v>
      </c>
      <c r="E1782" s="2" t="s">
        <v>754</v>
      </c>
      <c r="F1782" s="2" t="s">
        <v>238</v>
      </c>
      <c r="G1782" s="2" t="s">
        <v>186</v>
      </c>
      <c r="H1782" s="23">
        <v>45000</v>
      </c>
      <c r="I1782" s="2">
        <v>2</v>
      </c>
      <c r="J1782" s="31">
        <v>5</v>
      </c>
      <c r="K1782" s="7">
        <f t="shared" si="108"/>
        <v>90000</v>
      </c>
      <c r="L1782" s="7">
        <f t="shared" si="109"/>
        <v>4500</v>
      </c>
      <c r="M1782" s="7">
        <f t="shared" si="110"/>
        <v>85500</v>
      </c>
      <c r="N1782" s="23">
        <v>28000</v>
      </c>
      <c r="O1782" s="7">
        <f t="shared" si="111"/>
        <v>113500</v>
      </c>
      <c r="P1782" s="2" t="s">
        <v>35</v>
      </c>
      <c r="Q1782" t="str">
        <f>_xlfn.XLOOKUP(B1782,Status!$A$2:$A$1867,Status!$B$2:$B$1867)</f>
        <v>Completed</v>
      </c>
      <c r="R1782" s="2" t="s">
        <v>30</v>
      </c>
      <c r="S1782" s="8">
        <v>5</v>
      </c>
      <c r="T1782" s="2" t="s">
        <v>37</v>
      </c>
      <c r="U1782" s="31" t="str" cm="1">
        <f t="array" ref="U1782">_xlfn.IFS(L1782&lt;=5000,$Z$3,AND(L1782&gt;5000,L1782&lt;=15000),$Z$4,AND(L1782&gt;15000,L1782&lt;=30000),$Z$5,AND(L1782&gt;30000,L1782&lt;=50000),$Z$6,L1782&gt;50000,$Z$7)</f>
        <v>Sangat Rendah</v>
      </c>
      <c r="V1782" s="2"/>
    </row>
    <row r="1783" spans="1:22" ht="15.75" customHeight="1" x14ac:dyDescent="0.25">
      <c r="A1783" s="26"/>
      <c r="B1783" s="2" t="s">
        <v>2148</v>
      </c>
      <c r="C1783" s="32">
        <v>45875.9299537037</v>
      </c>
      <c r="D1783" s="53">
        <f>YEAR(Table1[[#This Row],[Order Date]])</f>
        <v>2025</v>
      </c>
      <c r="E1783" s="2" t="s">
        <v>197</v>
      </c>
      <c r="F1783" s="2" t="s">
        <v>119</v>
      </c>
      <c r="G1783" s="2" t="s">
        <v>88</v>
      </c>
      <c r="H1783" s="23">
        <v>14000</v>
      </c>
      <c r="I1783" s="2">
        <v>2</v>
      </c>
      <c r="J1783" s="31">
        <v>15</v>
      </c>
      <c r="K1783" s="7">
        <f t="shared" si="108"/>
        <v>28000</v>
      </c>
      <c r="L1783" s="7">
        <f t="shared" si="109"/>
        <v>4200</v>
      </c>
      <c r="M1783" s="7">
        <f t="shared" si="110"/>
        <v>23800</v>
      </c>
      <c r="N1783" s="23">
        <v>0</v>
      </c>
      <c r="O1783" s="7">
        <f t="shared" si="111"/>
        <v>23800</v>
      </c>
      <c r="P1783" s="2" t="s">
        <v>63</v>
      </c>
      <c r="Q1783" t="str">
        <f>_xlfn.XLOOKUP(B1783,Status!$A$2:$A$1867,Status!$B$2:$B$1867)</f>
        <v>Completed</v>
      </c>
      <c r="R1783" s="2" t="s">
        <v>23</v>
      </c>
      <c r="S1783" s="8">
        <v>1</v>
      </c>
      <c r="T1783" s="2" t="s">
        <v>37</v>
      </c>
      <c r="U1783" s="31" t="str" cm="1">
        <f t="array" ref="U1783">_xlfn.IFS(L1783&lt;=5000,$Z$3,AND(L1783&gt;5000,L1783&lt;=15000),$Z$4,AND(L1783&gt;15000,L1783&lt;=30000),$Z$5,AND(L1783&gt;30000,L1783&lt;=50000),$Z$6,L1783&gt;50000,$Z$7)</f>
        <v>Sangat Rendah</v>
      </c>
      <c r="V1783" s="2"/>
    </row>
    <row r="1784" spans="1:22" ht="15.75" customHeight="1" x14ac:dyDescent="0.25">
      <c r="A1784" s="26"/>
      <c r="B1784" s="2" t="s">
        <v>2149</v>
      </c>
      <c r="C1784" s="32">
        <v>45876.420243055552</v>
      </c>
      <c r="D1784" s="53">
        <f>YEAR(Table1[[#This Row],[Order Date]])</f>
        <v>2025</v>
      </c>
      <c r="E1784" s="2" t="s">
        <v>1523</v>
      </c>
      <c r="F1784" s="2" t="s">
        <v>96</v>
      </c>
      <c r="G1784" s="2" t="s">
        <v>28</v>
      </c>
      <c r="H1784" s="23">
        <v>5000</v>
      </c>
      <c r="I1784" s="2">
        <v>2</v>
      </c>
      <c r="J1784" s="31">
        <v>5</v>
      </c>
      <c r="K1784" s="7">
        <f t="shared" si="108"/>
        <v>10000</v>
      </c>
      <c r="L1784" s="7">
        <f t="shared" si="109"/>
        <v>500</v>
      </c>
      <c r="M1784" s="7">
        <f t="shared" si="110"/>
        <v>9500</v>
      </c>
      <c r="N1784" s="23">
        <v>49000</v>
      </c>
      <c r="O1784" s="7">
        <f t="shared" si="111"/>
        <v>58500</v>
      </c>
      <c r="P1784" s="2" t="s">
        <v>22</v>
      </c>
      <c r="Q1784" t="str">
        <f>_xlfn.XLOOKUP(B1784,Status!$A$2:$A$1867,Status!$B$2:$B$1867)</f>
        <v>Completed</v>
      </c>
      <c r="R1784" s="2" t="s">
        <v>46</v>
      </c>
      <c r="S1784" s="8">
        <v>1</v>
      </c>
      <c r="T1784" s="2" t="s">
        <v>24</v>
      </c>
      <c r="U1784" s="31" t="str" cm="1">
        <f t="array" ref="U1784">_xlfn.IFS(L1784&lt;=5000,$Z$3,AND(L1784&gt;5000,L1784&lt;=15000),$Z$4,AND(L1784&gt;15000,L1784&lt;=30000),$Z$5,AND(L1784&gt;30000,L1784&lt;=50000),$Z$6,L1784&gt;50000,$Z$7)</f>
        <v>Sangat Rendah</v>
      </c>
      <c r="V1784" s="2"/>
    </row>
    <row r="1785" spans="1:22" ht="15.75" customHeight="1" x14ac:dyDescent="0.25">
      <c r="A1785" s="26"/>
      <c r="B1785" s="2" t="s">
        <v>2149</v>
      </c>
      <c r="C1785" s="32">
        <v>45876.420243055552</v>
      </c>
      <c r="D1785" s="53">
        <f>YEAR(Table1[[#This Row],[Order Date]])</f>
        <v>2025</v>
      </c>
      <c r="E1785" s="2" t="s">
        <v>1523</v>
      </c>
      <c r="F1785" s="2" t="s">
        <v>96</v>
      </c>
      <c r="G1785" s="2" t="s">
        <v>93</v>
      </c>
      <c r="H1785" s="23">
        <v>25000</v>
      </c>
      <c r="I1785" s="2">
        <v>5</v>
      </c>
      <c r="J1785" s="31">
        <v>5</v>
      </c>
      <c r="K1785" s="7">
        <f t="shared" si="108"/>
        <v>125000</v>
      </c>
      <c r="L1785" s="7">
        <f t="shared" si="109"/>
        <v>6250</v>
      </c>
      <c r="M1785" s="7">
        <f t="shared" si="110"/>
        <v>118750</v>
      </c>
      <c r="N1785" s="23">
        <v>0</v>
      </c>
      <c r="O1785" s="7">
        <f t="shared" si="111"/>
        <v>118750</v>
      </c>
      <c r="P1785" s="2" t="s">
        <v>22</v>
      </c>
      <c r="Q1785" t="str">
        <f>_xlfn.XLOOKUP(B1785,Status!$A$2:$A$1867,Status!$B$2:$B$1867)</f>
        <v>Completed</v>
      </c>
      <c r="R1785" s="2" t="s">
        <v>46</v>
      </c>
      <c r="S1785" s="8">
        <v>1</v>
      </c>
      <c r="T1785" s="2" t="s">
        <v>24</v>
      </c>
      <c r="U1785" s="31" t="str" cm="1">
        <f t="array" ref="U1785">_xlfn.IFS(L1785&lt;=5000,$Z$3,AND(L1785&gt;5000,L1785&lt;=15000),$Z$4,AND(L1785&gt;15000,L1785&lt;=30000),$Z$5,AND(L1785&gt;30000,L1785&lt;=50000),$Z$6,L1785&gt;50000,$Z$7)</f>
        <v>Rendah</v>
      </c>
      <c r="V1785" s="2"/>
    </row>
    <row r="1786" spans="1:22" ht="15.75" customHeight="1" x14ac:dyDescent="0.25">
      <c r="A1786" s="26"/>
      <c r="B1786" s="2" t="s">
        <v>2150</v>
      </c>
      <c r="C1786" s="32">
        <v>45876.465196759258</v>
      </c>
      <c r="D1786" s="53">
        <f>YEAR(Table1[[#This Row],[Order Date]])</f>
        <v>2025</v>
      </c>
      <c r="E1786" s="2" t="s">
        <v>513</v>
      </c>
      <c r="F1786" s="2" t="s">
        <v>182</v>
      </c>
      <c r="G1786" s="2" t="s">
        <v>45</v>
      </c>
      <c r="H1786" s="23">
        <v>40000</v>
      </c>
      <c r="I1786" s="2">
        <v>1</v>
      </c>
      <c r="J1786" s="31">
        <v>5</v>
      </c>
      <c r="K1786" s="7">
        <f t="shared" si="108"/>
        <v>40000</v>
      </c>
      <c r="L1786" s="7">
        <f t="shared" si="109"/>
        <v>2000</v>
      </c>
      <c r="M1786" s="7">
        <f t="shared" si="110"/>
        <v>38000</v>
      </c>
      <c r="N1786" s="23">
        <v>48000</v>
      </c>
      <c r="O1786" s="7">
        <f t="shared" si="111"/>
        <v>86000</v>
      </c>
      <c r="P1786" s="2" t="s">
        <v>35</v>
      </c>
      <c r="Q1786" t="str">
        <f>_xlfn.XLOOKUP(B1786,Status!$A$2:$A$1867,Status!$B$2:$B$1867)</f>
        <v>Completed</v>
      </c>
      <c r="R1786" s="2" t="s">
        <v>46</v>
      </c>
      <c r="S1786" s="8">
        <v>4</v>
      </c>
      <c r="T1786" s="2" t="s">
        <v>24</v>
      </c>
      <c r="U1786" s="31" t="str" cm="1">
        <f t="array" ref="U1786">_xlfn.IFS(L1786&lt;=5000,$Z$3,AND(L1786&gt;5000,L1786&lt;=15000),$Z$4,AND(L1786&gt;15000,L1786&lt;=30000),$Z$5,AND(L1786&gt;30000,L1786&lt;=50000),$Z$6,L1786&gt;50000,$Z$7)</f>
        <v>Sangat Rendah</v>
      </c>
      <c r="V1786" s="2"/>
    </row>
    <row r="1787" spans="1:22" ht="15.75" customHeight="1" x14ac:dyDescent="0.25">
      <c r="A1787" s="26"/>
      <c r="B1787" s="2" t="s">
        <v>2151</v>
      </c>
      <c r="C1787" s="32">
        <v>45876.647361111107</v>
      </c>
      <c r="D1787" s="53">
        <f>YEAR(Table1[[#This Row],[Order Date]])</f>
        <v>2025</v>
      </c>
      <c r="E1787" s="2" t="s">
        <v>40</v>
      </c>
      <c r="F1787" s="2" t="s">
        <v>27</v>
      </c>
      <c r="G1787" s="2" t="s">
        <v>21</v>
      </c>
      <c r="H1787" s="23">
        <v>45000</v>
      </c>
      <c r="I1787" s="2">
        <v>2</v>
      </c>
      <c r="J1787" s="31">
        <v>0</v>
      </c>
      <c r="K1787" s="7">
        <f t="shared" si="108"/>
        <v>90000</v>
      </c>
      <c r="L1787" s="7">
        <f t="shared" si="109"/>
        <v>0</v>
      </c>
      <c r="M1787" s="7">
        <f t="shared" si="110"/>
        <v>90000</v>
      </c>
      <c r="N1787" s="23">
        <v>17000</v>
      </c>
      <c r="O1787" s="7">
        <f t="shared" si="111"/>
        <v>107000</v>
      </c>
      <c r="P1787" s="2" t="s">
        <v>63</v>
      </c>
      <c r="Q1787" t="str">
        <f>_xlfn.XLOOKUP(B1787,Status!$A$2:$A$1867,Status!$B$2:$B$1867)</f>
        <v>Completed</v>
      </c>
      <c r="R1787" s="2" t="s">
        <v>82</v>
      </c>
      <c r="S1787" s="8">
        <v>3</v>
      </c>
      <c r="T1787" s="2" t="s">
        <v>24</v>
      </c>
      <c r="U1787" s="31" t="str" cm="1">
        <f t="array" ref="U1787">_xlfn.IFS(L1787&lt;=5000,$Z$3,AND(L1787&gt;5000,L1787&lt;=15000),$Z$4,AND(L1787&gt;15000,L1787&lt;=30000),$Z$5,AND(L1787&gt;30000,L1787&lt;=50000),$Z$6,L1787&gt;50000,$Z$7)</f>
        <v>Sangat Rendah</v>
      </c>
      <c r="V1787" s="2"/>
    </row>
    <row r="1788" spans="1:22" ht="15.75" customHeight="1" x14ac:dyDescent="0.25">
      <c r="A1788" s="26"/>
      <c r="B1788" s="2" t="s">
        <v>2152</v>
      </c>
      <c r="C1788" s="32">
        <v>45876.78701388889</v>
      </c>
      <c r="D1788" s="53">
        <f>YEAR(Table1[[#This Row],[Order Date]])</f>
        <v>2025</v>
      </c>
      <c r="E1788" s="2" t="s">
        <v>172</v>
      </c>
      <c r="F1788" s="2" t="s">
        <v>173</v>
      </c>
      <c r="G1788" s="2" t="s">
        <v>174</v>
      </c>
      <c r="H1788" s="23">
        <v>10000</v>
      </c>
      <c r="I1788" s="2">
        <v>1</v>
      </c>
      <c r="J1788" s="31">
        <v>20</v>
      </c>
      <c r="K1788" s="7">
        <f t="shared" si="108"/>
        <v>10000</v>
      </c>
      <c r="L1788" s="7">
        <f t="shared" si="109"/>
        <v>2000</v>
      </c>
      <c r="M1788" s="7">
        <f t="shared" si="110"/>
        <v>8000</v>
      </c>
      <c r="N1788" s="23">
        <v>49000</v>
      </c>
      <c r="O1788" s="7">
        <f t="shared" si="111"/>
        <v>57000</v>
      </c>
      <c r="P1788" s="2" t="s">
        <v>35</v>
      </c>
      <c r="Q1788" t="str">
        <f>_xlfn.XLOOKUP(B1788,Status!$A$2:$A$1867,Status!$B$2:$B$1867)</f>
        <v>Pending</v>
      </c>
      <c r="R1788" s="2" t="s">
        <v>36</v>
      </c>
      <c r="S1788" s="8">
        <v>1</v>
      </c>
      <c r="T1788" s="2" t="s">
        <v>24</v>
      </c>
      <c r="U1788" s="31" t="str" cm="1">
        <f t="array" ref="U1788">_xlfn.IFS(L1788&lt;=5000,$Z$3,AND(L1788&gt;5000,L1788&lt;=15000),$Z$4,AND(L1788&gt;15000,L1788&lt;=30000),$Z$5,AND(L1788&gt;30000,L1788&lt;=50000),$Z$6,L1788&gt;50000,$Z$7)</f>
        <v>Sangat Rendah</v>
      </c>
      <c r="V1788" s="2"/>
    </row>
    <row r="1789" spans="1:22" ht="15.75" customHeight="1" x14ac:dyDescent="0.25">
      <c r="A1789" s="26"/>
      <c r="B1789" s="2" t="s">
        <v>2153</v>
      </c>
      <c r="C1789" s="32">
        <v>45876.900497685187</v>
      </c>
      <c r="D1789" s="53">
        <f>YEAR(Table1[[#This Row],[Order Date]])</f>
        <v>2025</v>
      </c>
      <c r="E1789" s="2" t="s">
        <v>311</v>
      </c>
      <c r="F1789" s="2" t="s">
        <v>116</v>
      </c>
      <c r="G1789" s="2" t="s">
        <v>71</v>
      </c>
      <c r="H1789" s="23">
        <v>40000</v>
      </c>
      <c r="I1789" s="2">
        <v>4</v>
      </c>
      <c r="J1789" s="31">
        <v>10</v>
      </c>
      <c r="K1789" s="7">
        <f t="shared" si="108"/>
        <v>160000</v>
      </c>
      <c r="L1789" s="7">
        <f t="shared" si="109"/>
        <v>16000</v>
      </c>
      <c r="M1789" s="7">
        <f t="shared" si="110"/>
        <v>144000</v>
      </c>
      <c r="N1789" s="23">
        <v>72000</v>
      </c>
      <c r="O1789" s="7">
        <f t="shared" si="111"/>
        <v>216000</v>
      </c>
      <c r="P1789" s="2" t="s">
        <v>35</v>
      </c>
      <c r="Q1789" t="str">
        <f>_xlfn.XLOOKUP(B1789,Status!$A$2:$A$1867,Status!$B$2:$B$1867)</f>
        <v>Shipped</v>
      </c>
      <c r="R1789" s="2" t="s">
        <v>82</v>
      </c>
      <c r="S1789" s="8">
        <v>5</v>
      </c>
      <c r="T1789" s="2" t="s">
        <v>24</v>
      </c>
      <c r="U1789" s="31" t="str" cm="1">
        <f t="array" ref="U1789">_xlfn.IFS(L1789&lt;=5000,$Z$3,AND(L1789&gt;5000,L1789&lt;=15000),$Z$4,AND(L1789&gt;15000,L1789&lt;=30000),$Z$5,AND(L1789&gt;30000,L1789&lt;=50000),$Z$6,L1789&gt;50000,$Z$7)</f>
        <v>Normal</v>
      </c>
      <c r="V1789" s="2"/>
    </row>
    <row r="1790" spans="1:22" ht="15.75" customHeight="1" x14ac:dyDescent="0.25">
      <c r="A1790" s="26"/>
      <c r="B1790" s="2" t="s">
        <v>2154</v>
      </c>
      <c r="C1790" s="32">
        <v>45877.313981481479</v>
      </c>
      <c r="D1790" s="53">
        <f>YEAR(Table1[[#This Row],[Order Date]])</f>
        <v>2025</v>
      </c>
      <c r="E1790" s="2" t="s">
        <v>84</v>
      </c>
      <c r="F1790" s="2" t="s">
        <v>57</v>
      </c>
      <c r="G1790" s="2" t="s">
        <v>190</v>
      </c>
      <c r="H1790" s="23">
        <v>35000</v>
      </c>
      <c r="I1790" s="2">
        <v>4</v>
      </c>
      <c r="J1790" s="31">
        <v>20</v>
      </c>
      <c r="K1790" s="7">
        <f t="shared" si="108"/>
        <v>140000</v>
      </c>
      <c r="L1790" s="7">
        <f t="shared" si="109"/>
        <v>28000</v>
      </c>
      <c r="M1790" s="7">
        <f t="shared" si="110"/>
        <v>112000</v>
      </c>
      <c r="N1790" s="23">
        <v>80000</v>
      </c>
      <c r="O1790" s="7">
        <f t="shared" si="111"/>
        <v>192000</v>
      </c>
      <c r="P1790" s="2" t="s">
        <v>29</v>
      </c>
      <c r="Q1790" t="str">
        <f>_xlfn.XLOOKUP(B1790,Status!$A$2:$A$1867,Status!$B$2:$B$1867)</f>
        <v>Pending</v>
      </c>
      <c r="R1790" s="2" t="s">
        <v>30</v>
      </c>
      <c r="S1790" s="8">
        <v>5</v>
      </c>
      <c r="T1790" s="2" t="s">
        <v>37</v>
      </c>
      <c r="U1790" s="31" t="str" cm="1">
        <f t="array" ref="U1790">_xlfn.IFS(L1790&lt;=5000,$Z$3,AND(L1790&gt;5000,L1790&lt;=15000),$Z$4,AND(L1790&gt;15000,L1790&lt;=30000),$Z$5,AND(L1790&gt;30000,L1790&lt;=50000),$Z$6,L1790&gt;50000,$Z$7)</f>
        <v>Normal</v>
      </c>
      <c r="V1790" s="2"/>
    </row>
    <row r="1791" spans="1:22" ht="15.75" customHeight="1" x14ac:dyDescent="0.25">
      <c r="A1791" s="26"/>
      <c r="B1791" s="2" t="s">
        <v>2155</v>
      </c>
      <c r="C1791" s="32">
        <v>45877.703877314823</v>
      </c>
      <c r="D1791" s="53">
        <f>YEAR(Table1[[#This Row],[Order Date]])</f>
        <v>2025</v>
      </c>
      <c r="E1791" s="2" t="s">
        <v>1083</v>
      </c>
      <c r="F1791" s="2" t="s">
        <v>170</v>
      </c>
      <c r="G1791" s="2" t="s">
        <v>45</v>
      </c>
      <c r="H1791" s="23">
        <v>40000</v>
      </c>
      <c r="I1791" s="2">
        <v>4</v>
      </c>
      <c r="J1791" s="31">
        <v>20</v>
      </c>
      <c r="K1791" s="7">
        <f t="shared" si="108"/>
        <v>160000</v>
      </c>
      <c r="L1791" s="7">
        <f t="shared" si="109"/>
        <v>32000</v>
      </c>
      <c r="M1791" s="7">
        <f t="shared" si="110"/>
        <v>128000</v>
      </c>
      <c r="N1791" s="23">
        <v>46000</v>
      </c>
      <c r="O1791" s="7">
        <f t="shared" si="111"/>
        <v>174000</v>
      </c>
      <c r="P1791" s="2" t="s">
        <v>35</v>
      </c>
      <c r="Q1791" t="str">
        <f>_xlfn.XLOOKUP(B1791,Status!$A$2:$A$1867,Status!$B$2:$B$1867)</f>
        <v>Pending</v>
      </c>
      <c r="R1791" s="2" t="s">
        <v>82</v>
      </c>
      <c r="S1791" s="8">
        <v>5</v>
      </c>
      <c r="T1791" s="2" t="s">
        <v>24</v>
      </c>
      <c r="U1791" s="31" t="str" cm="1">
        <f t="array" ref="U1791">_xlfn.IFS(L1791&lt;=5000,$Z$3,AND(L1791&gt;5000,L1791&lt;=15000),$Z$4,AND(L1791&gt;15000,L1791&lt;=30000),$Z$5,AND(L1791&gt;30000,L1791&lt;=50000),$Z$6,L1791&gt;50000,$Z$7)</f>
        <v>Tinggi</v>
      </c>
      <c r="V1791" s="2"/>
    </row>
    <row r="1792" spans="1:22" ht="15.75" customHeight="1" x14ac:dyDescent="0.25">
      <c r="A1792" s="26"/>
      <c r="B1792" s="2" t="s">
        <v>2156</v>
      </c>
      <c r="C1792" s="32">
        <v>45877.751006944447</v>
      </c>
      <c r="D1792" s="53">
        <f>YEAR(Table1[[#This Row],[Order Date]])</f>
        <v>2025</v>
      </c>
      <c r="E1792" s="2" t="s">
        <v>355</v>
      </c>
      <c r="F1792" s="2" t="s">
        <v>116</v>
      </c>
      <c r="G1792" s="2" t="s">
        <v>58</v>
      </c>
      <c r="H1792" s="23">
        <v>16000</v>
      </c>
      <c r="I1792" s="2">
        <v>1</v>
      </c>
      <c r="J1792" s="31">
        <v>20</v>
      </c>
      <c r="K1792" s="7">
        <f t="shared" si="108"/>
        <v>16000</v>
      </c>
      <c r="L1792" s="7">
        <f t="shared" si="109"/>
        <v>3200</v>
      </c>
      <c r="M1792" s="7">
        <f t="shared" si="110"/>
        <v>12800</v>
      </c>
      <c r="N1792" s="23">
        <v>72000</v>
      </c>
      <c r="O1792" s="7">
        <f t="shared" si="111"/>
        <v>84800</v>
      </c>
      <c r="P1792" s="2" t="s">
        <v>22</v>
      </c>
      <c r="Q1792" t="str">
        <f>_xlfn.XLOOKUP(B1792,Status!$A$2:$A$1867,Status!$B$2:$B$1867)</f>
        <v>Pending</v>
      </c>
      <c r="R1792" s="2" t="s">
        <v>36</v>
      </c>
      <c r="S1792" s="8">
        <v>5</v>
      </c>
      <c r="T1792" s="2" t="s">
        <v>24</v>
      </c>
      <c r="U1792" s="31" t="str" cm="1">
        <f t="array" ref="U1792">_xlfn.IFS(L1792&lt;=5000,$Z$3,AND(L1792&gt;5000,L1792&lt;=15000),$Z$4,AND(L1792&gt;15000,L1792&lt;=30000),$Z$5,AND(L1792&gt;30000,L1792&lt;=50000),$Z$6,L1792&gt;50000,$Z$7)</f>
        <v>Sangat Rendah</v>
      </c>
      <c r="V1792" s="2"/>
    </row>
    <row r="1793" spans="1:22" ht="15.75" customHeight="1" x14ac:dyDescent="0.25">
      <c r="A1793" s="26"/>
      <c r="B1793" s="2" t="s">
        <v>2157</v>
      </c>
      <c r="C1793" s="32">
        <v>45877.798298611109</v>
      </c>
      <c r="D1793" s="53">
        <f>YEAR(Table1[[#This Row],[Order Date]])</f>
        <v>2025</v>
      </c>
      <c r="E1793" s="2" t="s">
        <v>316</v>
      </c>
      <c r="F1793" s="2" t="s">
        <v>244</v>
      </c>
      <c r="G1793" s="2" t="s">
        <v>123</v>
      </c>
      <c r="H1793" s="23">
        <v>22000</v>
      </c>
      <c r="I1793" s="2">
        <v>5</v>
      </c>
      <c r="J1793" s="31">
        <v>0</v>
      </c>
      <c r="K1793" s="7">
        <f t="shared" si="108"/>
        <v>110000</v>
      </c>
      <c r="L1793" s="7">
        <f t="shared" si="109"/>
        <v>0</v>
      </c>
      <c r="M1793" s="7">
        <f t="shared" si="110"/>
        <v>110000</v>
      </c>
      <c r="N1793" s="23">
        <v>80000</v>
      </c>
      <c r="O1793" s="7">
        <f t="shared" si="111"/>
        <v>190000</v>
      </c>
      <c r="P1793" s="2" t="s">
        <v>29</v>
      </c>
      <c r="Q1793" t="str">
        <f>_xlfn.XLOOKUP(B1793,Status!$A$2:$A$1867,Status!$B$2:$B$1867)</f>
        <v>Completed</v>
      </c>
      <c r="R1793" s="2" t="s">
        <v>82</v>
      </c>
      <c r="S1793" s="8">
        <v>1</v>
      </c>
      <c r="T1793" s="2" t="s">
        <v>24</v>
      </c>
      <c r="U1793" s="31" t="str" cm="1">
        <f t="array" ref="U1793">_xlfn.IFS(L1793&lt;=5000,$Z$3,AND(L1793&gt;5000,L1793&lt;=15000),$Z$4,AND(L1793&gt;15000,L1793&lt;=30000),$Z$5,AND(L1793&gt;30000,L1793&lt;=50000),$Z$6,L1793&gt;50000,$Z$7)</f>
        <v>Sangat Rendah</v>
      </c>
      <c r="V1793" s="2"/>
    </row>
    <row r="1794" spans="1:22" ht="15.75" customHeight="1" x14ac:dyDescent="0.25">
      <c r="A1794" s="26"/>
      <c r="B1794" s="2" t="s">
        <v>2158</v>
      </c>
      <c r="C1794" s="32">
        <v>45877.870844907397</v>
      </c>
      <c r="D1794" s="53">
        <f>YEAR(Table1[[#This Row],[Order Date]])</f>
        <v>2025</v>
      </c>
      <c r="E1794" s="2" t="s">
        <v>990</v>
      </c>
      <c r="F1794" s="2" t="s">
        <v>173</v>
      </c>
      <c r="G1794" s="2" t="s">
        <v>62</v>
      </c>
      <c r="H1794" s="23">
        <v>50000</v>
      </c>
      <c r="I1794" s="2">
        <v>1</v>
      </c>
      <c r="J1794" s="31">
        <v>10</v>
      </c>
      <c r="K1794" s="7">
        <f t="shared" si="108"/>
        <v>50000</v>
      </c>
      <c r="L1794" s="7">
        <f t="shared" si="109"/>
        <v>5000</v>
      </c>
      <c r="M1794" s="7">
        <f t="shared" si="110"/>
        <v>45000</v>
      </c>
      <c r="N1794" s="23">
        <v>49000</v>
      </c>
      <c r="O1794" s="7">
        <f t="shared" si="111"/>
        <v>94000</v>
      </c>
      <c r="P1794" s="2" t="s">
        <v>63</v>
      </c>
      <c r="Q1794" t="str">
        <f>_xlfn.XLOOKUP(B1794,Status!$A$2:$A$1867,Status!$B$2:$B$1867)</f>
        <v>Pending</v>
      </c>
      <c r="R1794" s="2" t="s">
        <v>30</v>
      </c>
      <c r="S1794" s="8">
        <v>5</v>
      </c>
      <c r="T1794" s="2" t="s">
        <v>24</v>
      </c>
      <c r="U1794" s="31" t="str" cm="1">
        <f t="array" ref="U1794">_xlfn.IFS(L1794&lt;=5000,$Z$3,AND(L1794&gt;5000,L1794&lt;=15000),$Z$4,AND(L1794&gt;15000,L1794&lt;=30000),$Z$5,AND(L1794&gt;30000,L1794&lt;=50000),$Z$6,L1794&gt;50000,$Z$7)</f>
        <v>Sangat Rendah</v>
      </c>
      <c r="V1794" s="2"/>
    </row>
    <row r="1795" spans="1:22" ht="15.75" customHeight="1" x14ac:dyDescent="0.25">
      <c r="A1795" s="26"/>
      <c r="B1795" s="2" t="s">
        <v>2159</v>
      </c>
      <c r="C1795" s="32">
        <v>45877.960509259261</v>
      </c>
      <c r="D1795" s="53">
        <f>YEAR(Table1[[#This Row],[Order Date]])</f>
        <v>2025</v>
      </c>
      <c r="E1795" s="2" t="s">
        <v>570</v>
      </c>
      <c r="F1795" s="2" t="s">
        <v>80</v>
      </c>
      <c r="G1795" s="2" t="s">
        <v>250</v>
      </c>
      <c r="H1795" s="23">
        <v>18000</v>
      </c>
      <c r="I1795" s="2">
        <v>3</v>
      </c>
      <c r="J1795" s="31">
        <v>20</v>
      </c>
      <c r="K1795" s="7">
        <f t="shared" si="108"/>
        <v>54000</v>
      </c>
      <c r="L1795" s="7">
        <f t="shared" si="109"/>
        <v>10800</v>
      </c>
      <c r="M1795" s="7">
        <f t="shared" si="110"/>
        <v>43200</v>
      </c>
      <c r="N1795" s="23">
        <v>74000</v>
      </c>
      <c r="O1795" s="7">
        <f t="shared" si="111"/>
        <v>117200</v>
      </c>
      <c r="P1795" s="2" t="s">
        <v>35</v>
      </c>
      <c r="Q1795" t="str">
        <f>_xlfn.XLOOKUP(B1795,Status!$A$2:$A$1867,Status!$B$2:$B$1867)</f>
        <v>Pending</v>
      </c>
      <c r="R1795" s="2" t="s">
        <v>82</v>
      </c>
      <c r="S1795" s="8">
        <v>1</v>
      </c>
      <c r="T1795" s="2" t="s">
        <v>24</v>
      </c>
      <c r="U1795" s="31" t="str" cm="1">
        <f t="array" ref="U1795">_xlfn.IFS(L1795&lt;=5000,$Z$3,AND(L1795&gt;5000,L1795&lt;=15000),$Z$4,AND(L1795&gt;15000,L1795&lt;=30000),$Z$5,AND(L1795&gt;30000,L1795&lt;=50000),$Z$6,L1795&gt;50000,$Z$7)</f>
        <v>Rendah</v>
      </c>
      <c r="V1795" s="2"/>
    </row>
    <row r="1796" spans="1:22" ht="15.75" customHeight="1" x14ac:dyDescent="0.25">
      <c r="A1796" s="26"/>
      <c r="B1796" s="2" t="s">
        <v>2160</v>
      </c>
      <c r="C1796" s="32">
        <v>45878.346064814818</v>
      </c>
      <c r="D1796" s="53">
        <f>YEAR(Table1[[#This Row],[Order Date]])</f>
        <v>2025</v>
      </c>
      <c r="E1796" s="2" t="s">
        <v>1530</v>
      </c>
      <c r="F1796" s="2" t="s">
        <v>122</v>
      </c>
      <c r="G1796" s="2" t="s">
        <v>75</v>
      </c>
      <c r="H1796" s="23">
        <v>55000</v>
      </c>
      <c r="I1796" s="2">
        <v>4</v>
      </c>
      <c r="J1796" s="31">
        <v>5</v>
      </c>
      <c r="K1796" s="7">
        <f t="shared" ref="K1796:K1859" si="112">H1796*I1796</f>
        <v>220000</v>
      </c>
      <c r="L1796" s="7">
        <f t="shared" ref="L1796:L1859" si="113">K1796*(J1796/100)</f>
        <v>11000</v>
      </c>
      <c r="M1796" s="7">
        <f t="shared" ref="M1796:M1859" si="114">K1796-L1796</f>
        <v>209000</v>
      </c>
      <c r="N1796" s="23">
        <v>78000</v>
      </c>
      <c r="O1796" s="7">
        <f t="shared" ref="O1796:O1859" si="115">SUM(M1796:N1796)</f>
        <v>287000</v>
      </c>
      <c r="P1796" s="2" t="s">
        <v>29</v>
      </c>
      <c r="Q1796" t="str">
        <f>_xlfn.XLOOKUP(B1796,Status!$A$2:$A$1867,Status!$B$2:$B$1867)</f>
        <v>Completed</v>
      </c>
      <c r="R1796" s="2" t="s">
        <v>23</v>
      </c>
      <c r="S1796" s="8">
        <v>4</v>
      </c>
      <c r="T1796" s="2" t="s">
        <v>24</v>
      </c>
      <c r="U1796" s="31" t="str" cm="1">
        <f t="array" ref="U1796">_xlfn.IFS(L1796&lt;=5000,$Z$3,AND(L1796&gt;5000,L1796&lt;=15000),$Z$4,AND(L1796&gt;15000,L1796&lt;=30000),$Z$5,AND(L1796&gt;30000,L1796&lt;=50000),$Z$6,L1796&gt;50000,$Z$7)</f>
        <v>Rendah</v>
      </c>
      <c r="V1796" s="2"/>
    </row>
    <row r="1797" spans="1:22" ht="15.75" customHeight="1" x14ac:dyDescent="0.25">
      <c r="A1797" s="26"/>
      <c r="B1797" s="2" t="s">
        <v>2161</v>
      </c>
      <c r="C1797" s="32">
        <v>45878.467604166668</v>
      </c>
      <c r="D1797" s="53">
        <f>YEAR(Table1[[#This Row],[Order Date]])</f>
        <v>2025</v>
      </c>
      <c r="E1797" s="2" t="s">
        <v>353</v>
      </c>
      <c r="F1797" s="2" t="s">
        <v>66</v>
      </c>
      <c r="G1797" s="2" t="s">
        <v>190</v>
      </c>
      <c r="H1797" s="23">
        <v>35000</v>
      </c>
      <c r="I1797" s="2">
        <v>2</v>
      </c>
      <c r="J1797" s="31">
        <v>10</v>
      </c>
      <c r="K1797" s="7">
        <f t="shared" si="112"/>
        <v>70000</v>
      </c>
      <c r="L1797" s="7">
        <f t="shared" si="113"/>
        <v>7000</v>
      </c>
      <c r="M1797" s="7">
        <f t="shared" si="114"/>
        <v>63000</v>
      </c>
      <c r="N1797" s="23">
        <v>59000</v>
      </c>
      <c r="O1797" s="7">
        <f t="shared" si="115"/>
        <v>122000</v>
      </c>
      <c r="P1797" s="2" t="s">
        <v>22</v>
      </c>
      <c r="Q1797" t="str">
        <f>_xlfn.XLOOKUP(B1797,Status!$A$2:$A$1867,Status!$B$2:$B$1867)</f>
        <v>Pending</v>
      </c>
      <c r="R1797" s="2" t="s">
        <v>46</v>
      </c>
      <c r="S1797" s="8">
        <v>5</v>
      </c>
      <c r="T1797" s="2" t="s">
        <v>24</v>
      </c>
      <c r="U1797" s="31" t="str" cm="1">
        <f t="array" ref="U1797">_xlfn.IFS(L1797&lt;=5000,$Z$3,AND(L1797&gt;5000,L1797&lt;=15000),$Z$4,AND(L1797&gt;15000,L1797&lt;=30000),$Z$5,AND(L1797&gt;30000,L1797&lt;=50000),$Z$6,L1797&gt;50000,$Z$7)</f>
        <v>Rendah</v>
      </c>
      <c r="V1797" s="2"/>
    </row>
    <row r="1798" spans="1:22" ht="15.75" customHeight="1" x14ac:dyDescent="0.25">
      <c r="A1798" s="26"/>
      <c r="B1798" s="2" t="s">
        <v>2161</v>
      </c>
      <c r="C1798" s="32">
        <v>45878.467604166668</v>
      </c>
      <c r="D1798" s="53">
        <f>YEAR(Table1[[#This Row],[Order Date]])</f>
        <v>2025</v>
      </c>
      <c r="E1798" s="2" t="s">
        <v>353</v>
      </c>
      <c r="F1798" s="2" t="s">
        <v>66</v>
      </c>
      <c r="G1798" s="2" t="s">
        <v>58</v>
      </c>
      <c r="H1798" s="23">
        <v>16000</v>
      </c>
      <c r="I1798" s="2">
        <v>3</v>
      </c>
      <c r="J1798" s="31">
        <v>10</v>
      </c>
      <c r="K1798" s="7">
        <f t="shared" si="112"/>
        <v>48000</v>
      </c>
      <c r="L1798" s="7">
        <f t="shared" si="113"/>
        <v>4800</v>
      </c>
      <c r="M1798" s="7">
        <f t="shared" si="114"/>
        <v>43200</v>
      </c>
      <c r="N1798" s="23">
        <v>0</v>
      </c>
      <c r="O1798" s="7">
        <f t="shared" si="115"/>
        <v>43200</v>
      </c>
      <c r="P1798" s="2" t="s">
        <v>22</v>
      </c>
      <c r="Q1798" t="str">
        <f>_xlfn.XLOOKUP(B1798,Status!$A$2:$A$1867,Status!$B$2:$B$1867)</f>
        <v>Pending</v>
      </c>
      <c r="R1798" s="2" t="s">
        <v>46</v>
      </c>
      <c r="S1798" s="8">
        <v>5</v>
      </c>
      <c r="T1798" s="2" t="s">
        <v>24</v>
      </c>
      <c r="U1798" s="31" t="str" cm="1">
        <f t="array" ref="U1798">_xlfn.IFS(L1798&lt;=5000,$Z$3,AND(L1798&gt;5000,L1798&lt;=15000),$Z$4,AND(L1798&gt;15000,L1798&lt;=30000),$Z$5,AND(L1798&gt;30000,L1798&lt;=50000),$Z$6,L1798&gt;50000,$Z$7)</f>
        <v>Sangat Rendah</v>
      </c>
      <c r="V1798" s="2"/>
    </row>
    <row r="1799" spans="1:22" ht="15.75" customHeight="1" x14ac:dyDescent="0.25">
      <c r="A1799" s="26"/>
      <c r="B1799" s="2" t="s">
        <v>2162</v>
      </c>
      <c r="C1799" s="32">
        <v>45878.521331018521</v>
      </c>
      <c r="D1799" s="53">
        <f>YEAR(Table1[[#This Row],[Order Date]])</f>
        <v>2025</v>
      </c>
      <c r="E1799" s="2" t="s">
        <v>695</v>
      </c>
      <c r="F1799" s="2" t="s">
        <v>119</v>
      </c>
      <c r="G1799" s="2" t="s">
        <v>67</v>
      </c>
      <c r="H1799" s="23">
        <v>15000</v>
      </c>
      <c r="I1799" s="2">
        <v>3</v>
      </c>
      <c r="J1799" s="31">
        <v>10</v>
      </c>
      <c r="K1799" s="7">
        <f t="shared" si="112"/>
        <v>45000</v>
      </c>
      <c r="L1799" s="7">
        <f t="shared" si="113"/>
        <v>4500</v>
      </c>
      <c r="M1799" s="7">
        <f t="shared" si="114"/>
        <v>40500</v>
      </c>
      <c r="N1799" s="23">
        <v>0</v>
      </c>
      <c r="O1799" s="7">
        <f t="shared" si="115"/>
        <v>40500</v>
      </c>
      <c r="P1799" s="2" t="s">
        <v>29</v>
      </c>
      <c r="Q1799" t="str">
        <f>_xlfn.XLOOKUP(B1799,Status!$A$2:$A$1867,Status!$B$2:$B$1867)</f>
        <v>Completed</v>
      </c>
      <c r="R1799" s="2" t="s">
        <v>36</v>
      </c>
      <c r="S1799" s="8">
        <v>4</v>
      </c>
      <c r="T1799" s="2" t="s">
        <v>24</v>
      </c>
      <c r="U1799" s="31" t="str" cm="1">
        <f t="array" ref="U1799">_xlfn.IFS(L1799&lt;=5000,$Z$3,AND(L1799&gt;5000,L1799&lt;=15000),$Z$4,AND(L1799&gt;15000,L1799&lt;=30000),$Z$5,AND(L1799&gt;30000,L1799&lt;=50000),$Z$6,L1799&gt;50000,$Z$7)</f>
        <v>Sangat Rendah</v>
      </c>
      <c r="V1799" s="2"/>
    </row>
    <row r="1800" spans="1:22" ht="15.75" customHeight="1" x14ac:dyDescent="0.25">
      <c r="A1800" s="26"/>
      <c r="B1800" s="2" t="s">
        <v>2163</v>
      </c>
      <c r="C1800" s="32">
        <v>45879.030081018522</v>
      </c>
      <c r="D1800" s="53">
        <f>YEAR(Table1[[#This Row],[Order Date]])</f>
        <v>2025</v>
      </c>
      <c r="E1800" s="2" t="s">
        <v>246</v>
      </c>
      <c r="F1800" s="2" t="s">
        <v>238</v>
      </c>
      <c r="G1800" s="2" t="s">
        <v>58</v>
      </c>
      <c r="H1800" s="23">
        <v>16000</v>
      </c>
      <c r="I1800" s="2">
        <v>3</v>
      </c>
      <c r="J1800" s="31">
        <v>20</v>
      </c>
      <c r="K1800" s="7">
        <f t="shared" si="112"/>
        <v>48000</v>
      </c>
      <c r="L1800" s="7">
        <f t="shared" si="113"/>
        <v>9600</v>
      </c>
      <c r="M1800" s="7">
        <f t="shared" si="114"/>
        <v>38400</v>
      </c>
      <c r="N1800" s="23">
        <v>28000</v>
      </c>
      <c r="O1800" s="7">
        <f t="shared" si="115"/>
        <v>66400</v>
      </c>
      <c r="P1800" s="2" t="s">
        <v>63</v>
      </c>
      <c r="Q1800" t="str">
        <f>_xlfn.XLOOKUP(B1800,Status!$A$2:$A$1867,Status!$B$2:$B$1867)</f>
        <v>Completed</v>
      </c>
      <c r="R1800" s="2" t="s">
        <v>46</v>
      </c>
      <c r="S1800" s="8">
        <v>4</v>
      </c>
      <c r="T1800" s="2" t="s">
        <v>24</v>
      </c>
      <c r="U1800" s="31" t="str" cm="1">
        <f t="array" ref="U1800">_xlfn.IFS(L1800&lt;=5000,$Z$3,AND(L1800&gt;5000,L1800&lt;=15000),$Z$4,AND(L1800&gt;15000,L1800&lt;=30000),$Z$5,AND(L1800&gt;30000,L1800&lt;=50000),$Z$6,L1800&gt;50000,$Z$7)</f>
        <v>Rendah</v>
      </c>
      <c r="V1800" s="2"/>
    </row>
    <row r="1801" spans="1:22" ht="15.75" customHeight="1" x14ac:dyDescent="0.25">
      <c r="A1801" s="26"/>
      <c r="B1801" s="2" t="s">
        <v>2164</v>
      </c>
      <c r="C1801" s="32">
        <v>45879.776076388887</v>
      </c>
      <c r="D1801" s="53">
        <f>YEAR(Table1[[#This Row],[Order Date]])</f>
        <v>2025</v>
      </c>
      <c r="E1801" s="2" t="s">
        <v>758</v>
      </c>
      <c r="F1801" s="2" t="s">
        <v>238</v>
      </c>
      <c r="G1801" s="2" t="s">
        <v>88</v>
      </c>
      <c r="H1801" s="23">
        <v>14000</v>
      </c>
      <c r="I1801" s="2">
        <v>5</v>
      </c>
      <c r="J1801" s="31">
        <v>5</v>
      </c>
      <c r="K1801" s="7">
        <f t="shared" si="112"/>
        <v>70000</v>
      </c>
      <c r="L1801" s="7">
        <f t="shared" si="113"/>
        <v>3500</v>
      </c>
      <c r="M1801" s="7">
        <f t="shared" si="114"/>
        <v>66500</v>
      </c>
      <c r="N1801" s="23">
        <v>28000</v>
      </c>
      <c r="O1801" s="7">
        <f t="shared" si="115"/>
        <v>94500</v>
      </c>
      <c r="P1801" s="2" t="s">
        <v>29</v>
      </c>
      <c r="Q1801" t="str">
        <f>_xlfn.XLOOKUP(B1801,Status!$A$2:$A$1867,Status!$B$2:$B$1867)</f>
        <v>Shipped</v>
      </c>
      <c r="R1801" s="2" t="s">
        <v>82</v>
      </c>
      <c r="S1801" s="8">
        <v>2</v>
      </c>
      <c r="T1801" s="2" t="s">
        <v>24</v>
      </c>
      <c r="U1801" s="31" t="str" cm="1">
        <f t="array" ref="U1801">_xlfn.IFS(L1801&lt;=5000,$Z$3,AND(L1801&gt;5000,L1801&lt;=15000),$Z$4,AND(L1801&gt;15000,L1801&lt;=30000),$Z$5,AND(L1801&gt;30000,L1801&lt;=50000),$Z$6,L1801&gt;50000,$Z$7)</f>
        <v>Sangat Rendah</v>
      </c>
      <c r="V1801" s="2"/>
    </row>
    <row r="1802" spans="1:22" ht="15.75" customHeight="1" x14ac:dyDescent="0.25">
      <c r="A1802" s="26"/>
      <c r="B1802" s="2" t="s">
        <v>2165</v>
      </c>
      <c r="C1802" s="32">
        <v>45880.23296296296</v>
      </c>
      <c r="D1802" s="53">
        <f>YEAR(Table1[[#This Row],[Order Date]])</f>
        <v>2025</v>
      </c>
      <c r="E1802" s="2" t="s">
        <v>784</v>
      </c>
      <c r="F1802" s="2" t="s">
        <v>116</v>
      </c>
      <c r="G1802" s="2" t="s">
        <v>34</v>
      </c>
      <c r="H1802" s="23">
        <v>16000</v>
      </c>
      <c r="I1802" s="2">
        <v>1</v>
      </c>
      <c r="J1802" s="31">
        <v>15</v>
      </c>
      <c r="K1802" s="7">
        <f t="shared" si="112"/>
        <v>16000</v>
      </c>
      <c r="L1802" s="7">
        <f t="shared" si="113"/>
        <v>2400</v>
      </c>
      <c r="M1802" s="7">
        <f t="shared" si="114"/>
        <v>13600</v>
      </c>
      <c r="N1802" s="23">
        <v>72000</v>
      </c>
      <c r="O1802" s="7">
        <f t="shared" si="115"/>
        <v>85600</v>
      </c>
      <c r="P1802" s="2" t="s">
        <v>35</v>
      </c>
      <c r="Q1802" t="str">
        <f>_xlfn.XLOOKUP(B1802,Status!$A$2:$A$1867,Status!$B$2:$B$1867)</f>
        <v>Pending</v>
      </c>
      <c r="R1802" s="2" t="s">
        <v>23</v>
      </c>
      <c r="S1802" s="8">
        <v>4</v>
      </c>
      <c r="T1802" s="2" t="s">
        <v>24</v>
      </c>
      <c r="U1802" s="31" t="str" cm="1">
        <f t="array" ref="U1802">_xlfn.IFS(L1802&lt;=5000,$Z$3,AND(L1802&gt;5000,L1802&lt;=15000),$Z$4,AND(L1802&gt;15000,L1802&lt;=30000),$Z$5,AND(L1802&gt;30000,L1802&lt;=50000),$Z$6,L1802&gt;50000,$Z$7)</f>
        <v>Sangat Rendah</v>
      </c>
      <c r="V1802" s="2"/>
    </row>
    <row r="1803" spans="1:22" ht="15.75" customHeight="1" x14ac:dyDescent="0.25">
      <c r="A1803" s="26"/>
      <c r="B1803" s="2" t="s">
        <v>2166</v>
      </c>
      <c r="C1803" s="32">
        <v>45880.303738425922</v>
      </c>
      <c r="D1803" s="53">
        <f>YEAR(Table1[[#This Row],[Order Date]])</f>
        <v>2025</v>
      </c>
      <c r="E1803" s="2" t="s">
        <v>40</v>
      </c>
      <c r="F1803" s="2" t="s">
        <v>27</v>
      </c>
      <c r="G1803" s="2" t="s">
        <v>85</v>
      </c>
      <c r="H1803" s="23">
        <v>35000</v>
      </c>
      <c r="I1803" s="2">
        <v>4</v>
      </c>
      <c r="J1803" s="31">
        <v>20</v>
      </c>
      <c r="K1803" s="7">
        <f t="shared" si="112"/>
        <v>140000</v>
      </c>
      <c r="L1803" s="7">
        <f t="shared" si="113"/>
        <v>28000</v>
      </c>
      <c r="M1803" s="7">
        <f t="shared" si="114"/>
        <v>112000</v>
      </c>
      <c r="N1803" s="23">
        <v>17000</v>
      </c>
      <c r="O1803" s="7">
        <f t="shared" si="115"/>
        <v>129000</v>
      </c>
      <c r="P1803" s="2" t="s">
        <v>29</v>
      </c>
      <c r="Q1803" t="str">
        <f>_xlfn.XLOOKUP(B1803,Status!$A$2:$A$1867,Status!$B$2:$B$1867)</f>
        <v>Pending</v>
      </c>
      <c r="R1803" s="2" t="s">
        <v>30</v>
      </c>
      <c r="S1803" s="8">
        <v>5</v>
      </c>
      <c r="T1803" s="2" t="s">
        <v>24</v>
      </c>
      <c r="U1803" s="31" t="str" cm="1">
        <f t="array" ref="U1803">_xlfn.IFS(L1803&lt;=5000,$Z$3,AND(L1803&gt;5000,L1803&lt;=15000),$Z$4,AND(L1803&gt;15000,L1803&lt;=30000),$Z$5,AND(L1803&gt;30000,L1803&lt;=50000),$Z$6,L1803&gt;50000,$Z$7)</f>
        <v>Normal</v>
      </c>
      <c r="V1803" s="2"/>
    </row>
    <row r="1804" spans="1:22" ht="15.75" customHeight="1" x14ac:dyDescent="0.25">
      <c r="A1804" s="26"/>
      <c r="B1804" s="2" t="s">
        <v>2167</v>
      </c>
      <c r="C1804" s="32">
        <v>45881.002187500002</v>
      </c>
      <c r="D1804" s="53">
        <f>YEAR(Table1[[#This Row],[Order Date]])</f>
        <v>2025</v>
      </c>
      <c r="E1804" s="2" t="s">
        <v>784</v>
      </c>
      <c r="F1804" s="2" t="s">
        <v>116</v>
      </c>
      <c r="G1804" s="2" t="s">
        <v>88</v>
      </c>
      <c r="H1804" s="23">
        <v>14000</v>
      </c>
      <c r="I1804" s="2">
        <v>3</v>
      </c>
      <c r="J1804" s="31">
        <v>10</v>
      </c>
      <c r="K1804" s="7">
        <f t="shared" si="112"/>
        <v>42000</v>
      </c>
      <c r="L1804" s="7">
        <f t="shared" si="113"/>
        <v>4200</v>
      </c>
      <c r="M1804" s="7">
        <f t="shared" si="114"/>
        <v>37800</v>
      </c>
      <c r="N1804" s="23">
        <v>72000</v>
      </c>
      <c r="O1804" s="7">
        <f t="shared" si="115"/>
        <v>109800</v>
      </c>
      <c r="P1804" s="2" t="s">
        <v>22</v>
      </c>
      <c r="Q1804" t="str">
        <f>_xlfn.XLOOKUP(B1804,Status!$A$2:$A$1867,Status!$B$2:$B$1867)</f>
        <v>Completed</v>
      </c>
      <c r="R1804" s="2" t="s">
        <v>36</v>
      </c>
      <c r="S1804" s="8">
        <v>4</v>
      </c>
      <c r="T1804" s="2" t="s">
        <v>24</v>
      </c>
      <c r="U1804" s="31" t="str" cm="1">
        <f t="array" ref="U1804">_xlfn.IFS(L1804&lt;=5000,$Z$3,AND(L1804&gt;5000,L1804&lt;=15000),$Z$4,AND(L1804&gt;15000,L1804&lt;=30000),$Z$5,AND(L1804&gt;30000,L1804&lt;=50000),$Z$6,L1804&gt;50000,$Z$7)</f>
        <v>Sangat Rendah</v>
      </c>
      <c r="V1804" s="2"/>
    </row>
    <row r="1805" spans="1:22" ht="15.75" customHeight="1" x14ac:dyDescent="0.25">
      <c r="A1805" s="26"/>
      <c r="B1805" s="2" t="s">
        <v>2168</v>
      </c>
      <c r="C1805" s="32">
        <v>45881.182939814818</v>
      </c>
      <c r="D1805" s="53">
        <f>YEAR(Table1[[#This Row],[Order Date]])</f>
        <v>2025</v>
      </c>
      <c r="E1805" s="2" t="s">
        <v>739</v>
      </c>
      <c r="F1805" s="2" t="s">
        <v>177</v>
      </c>
      <c r="G1805" s="2" t="s">
        <v>144</v>
      </c>
      <c r="H1805" s="23">
        <v>18000</v>
      </c>
      <c r="I1805" s="2">
        <v>5</v>
      </c>
      <c r="J1805" s="31">
        <v>15</v>
      </c>
      <c r="K1805" s="7">
        <f t="shared" si="112"/>
        <v>90000</v>
      </c>
      <c r="L1805" s="7">
        <f t="shared" si="113"/>
        <v>13500</v>
      </c>
      <c r="M1805" s="7">
        <f t="shared" si="114"/>
        <v>76500</v>
      </c>
      <c r="N1805" s="23">
        <v>56000</v>
      </c>
      <c r="O1805" s="7">
        <f t="shared" si="115"/>
        <v>132500</v>
      </c>
      <c r="P1805" s="2" t="s">
        <v>29</v>
      </c>
      <c r="Q1805" t="str">
        <f>_xlfn.XLOOKUP(B1805,Status!$A$2:$A$1867,Status!$B$2:$B$1867)</f>
        <v>Completed</v>
      </c>
      <c r="R1805" s="2" t="s">
        <v>23</v>
      </c>
      <c r="S1805" s="8">
        <v>3</v>
      </c>
      <c r="T1805" s="2" t="s">
        <v>24</v>
      </c>
      <c r="U1805" s="31" t="str" cm="1">
        <f t="array" ref="U1805">_xlfn.IFS(L1805&lt;=5000,$Z$3,AND(L1805&gt;5000,L1805&lt;=15000),$Z$4,AND(L1805&gt;15000,L1805&lt;=30000),$Z$5,AND(L1805&gt;30000,L1805&lt;=50000),$Z$6,L1805&gt;50000,$Z$7)</f>
        <v>Rendah</v>
      </c>
      <c r="V1805" s="2"/>
    </row>
    <row r="1806" spans="1:22" ht="15.75" customHeight="1" x14ac:dyDescent="0.25">
      <c r="A1806" s="26"/>
      <c r="B1806" s="2" t="s">
        <v>2169</v>
      </c>
      <c r="C1806" s="32">
        <v>45881.384444444448</v>
      </c>
      <c r="D1806" s="53">
        <f>YEAR(Table1[[#This Row],[Order Date]])</f>
        <v>2025</v>
      </c>
      <c r="E1806" s="2" t="s">
        <v>121</v>
      </c>
      <c r="F1806" s="2" t="s">
        <v>122</v>
      </c>
      <c r="G1806" s="2" t="s">
        <v>123</v>
      </c>
      <c r="H1806" s="23">
        <v>22000</v>
      </c>
      <c r="I1806" s="2">
        <v>1</v>
      </c>
      <c r="J1806" s="31">
        <v>15</v>
      </c>
      <c r="K1806" s="7">
        <f t="shared" si="112"/>
        <v>22000</v>
      </c>
      <c r="L1806" s="7">
        <f t="shared" si="113"/>
        <v>3300</v>
      </c>
      <c r="M1806" s="7">
        <f t="shared" si="114"/>
        <v>18700</v>
      </c>
      <c r="N1806" s="23">
        <v>78000</v>
      </c>
      <c r="O1806" s="7">
        <f t="shared" si="115"/>
        <v>96700</v>
      </c>
      <c r="P1806" s="2" t="s">
        <v>35</v>
      </c>
      <c r="Q1806" t="str">
        <f>_xlfn.XLOOKUP(B1806,Status!$A$2:$A$1867,Status!$B$2:$B$1867)</f>
        <v>Shipped</v>
      </c>
      <c r="R1806" s="2" t="s">
        <v>36</v>
      </c>
      <c r="S1806" s="8">
        <v>2</v>
      </c>
      <c r="T1806" s="2" t="s">
        <v>24</v>
      </c>
      <c r="U1806" s="31" t="str" cm="1">
        <f t="array" ref="U1806">_xlfn.IFS(L1806&lt;=5000,$Z$3,AND(L1806&gt;5000,L1806&lt;=15000),$Z$4,AND(L1806&gt;15000,L1806&lt;=30000),$Z$5,AND(L1806&gt;30000,L1806&lt;=50000),$Z$6,L1806&gt;50000,$Z$7)</f>
        <v>Sangat Rendah</v>
      </c>
      <c r="V1806" s="2"/>
    </row>
    <row r="1807" spans="1:22" ht="15.75" customHeight="1" x14ac:dyDescent="0.25">
      <c r="A1807" s="26"/>
      <c r="B1807" s="2" t="s">
        <v>2170</v>
      </c>
      <c r="C1807" s="32">
        <v>45882.316493055558</v>
      </c>
      <c r="D1807" s="53">
        <f>YEAR(Table1[[#This Row],[Order Date]])</f>
        <v>2025</v>
      </c>
      <c r="E1807" s="2" t="s">
        <v>157</v>
      </c>
      <c r="F1807" s="2" t="s">
        <v>20</v>
      </c>
      <c r="G1807" s="2" t="s">
        <v>93</v>
      </c>
      <c r="H1807" s="23">
        <v>25000</v>
      </c>
      <c r="I1807" s="2">
        <v>4</v>
      </c>
      <c r="J1807" s="31">
        <v>20</v>
      </c>
      <c r="K1807" s="7">
        <f t="shared" si="112"/>
        <v>100000</v>
      </c>
      <c r="L1807" s="7">
        <f t="shared" si="113"/>
        <v>20000</v>
      </c>
      <c r="M1807" s="7">
        <f t="shared" si="114"/>
        <v>80000</v>
      </c>
      <c r="N1807" s="23">
        <v>15000</v>
      </c>
      <c r="O1807" s="7">
        <f t="shared" si="115"/>
        <v>95000</v>
      </c>
      <c r="P1807" s="2" t="s">
        <v>22</v>
      </c>
      <c r="Q1807" t="str">
        <f>_xlfn.XLOOKUP(B1807,Status!$A$2:$A$1867,Status!$B$2:$B$1867)</f>
        <v>Completed</v>
      </c>
      <c r="R1807" s="2" t="s">
        <v>36</v>
      </c>
      <c r="S1807" s="8">
        <v>4</v>
      </c>
      <c r="T1807" s="2" t="s">
        <v>24</v>
      </c>
      <c r="U1807" s="31" t="str" cm="1">
        <f t="array" ref="U1807">_xlfn.IFS(L1807&lt;=5000,$Z$3,AND(L1807&gt;5000,L1807&lt;=15000),$Z$4,AND(L1807&gt;15000,L1807&lt;=30000),$Z$5,AND(L1807&gt;30000,L1807&lt;=50000),$Z$6,L1807&gt;50000,$Z$7)</f>
        <v>Normal</v>
      </c>
      <c r="V1807" s="2"/>
    </row>
    <row r="1808" spans="1:22" ht="15.75" customHeight="1" x14ac:dyDescent="0.25">
      <c r="A1808" s="26"/>
      <c r="B1808" s="2" t="s">
        <v>2171</v>
      </c>
      <c r="C1808" s="32">
        <v>45883.342638888891</v>
      </c>
      <c r="D1808" s="53">
        <f>YEAR(Table1[[#This Row],[Order Date]])</f>
        <v>2025</v>
      </c>
      <c r="E1808" s="2" t="s">
        <v>557</v>
      </c>
      <c r="F1808" s="2" t="s">
        <v>173</v>
      </c>
      <c r="G1808" s="2" t="s">
        <v>136</v>
      </c>
      <c r="H1808" s="23">
        <v>12000</v>
      </c>
      <c r="I1808" s="2">
        <v>1</v>
      </c>
      <c r="J1808" s="31">
        <v>15</v>
      </c>
      <c r="K1808" s="7">
        <f t="shared" si="112"/>
        <v>12000</v>
      </c>
      <c r="L1808" s="7">
        <f t="shared" si="113"/>
        <v>1800</v>
      </c>
      <c r="M1808" s="7">
        <f t="shared" si="114"/>
        <v>10200</v>
      </c>
      <c r="N1808" s="23">
        <v>49000</v>
      </c>
      <c r="O1808" s="7">
        <f t="shared" si="115"/>
        <v>59200</v>
      </c>
      <c r="P1808" s="2" t="s">
        <v>29</v>
      </c>
      <c r="Q1808" t="str">
        <f>_xlfn.XLOOKUP(B1808,Status!$A$2:$A$1867,Status!$B$2:$B$1867)</f>
        <v>Pending</v>
      </c>
      <c r="R1808" s="2" t="s">
        <v>36</v>
      </c>
      <c r="S1808" s="8">
        <v>2</v>
      </c>
      <c r="T1808" s="2" t="s">
        <v>24</v>
      </c>
      <c r="U1808" s="31" t="str" cm="1">
        <f t="array" ref="U1808">_xlfn.IFS(L1808&lt;=5000,$Z$3,AND(L1808&gt;5000,L1808&lt;=15000),$Z$4,AND(L1808&gt;15000,L1808&lt;=30000),$Z$5,AND(L1808&gt;30000,L1808&lt;=50000),$Z$6,L1808&gt;50000,$Z$7)</f>
        <v>Sangat Rendah</v>
      </c>
      <c r="V1808" s="2"/>
    </row>
    <row r="1809" spans="1:22" ht="15.75" customHeight="1" x14ac:dyDescent="0.25">
      <c r="A1809" s="26"/>
      <c r="B1809" s="2" t="s">
        <v>2172</v>
      </c>
      <c r="C1809" s="32">
        <v>45883.39135416667</v>
      </c>
      <c r="D1809" s="53">
        <f>YEAR(Table1[[#This Row],[Order Date]])</f>
        <v>2025</v>
      </c>
      <c r="E1809" s="2" t="s">
        <v>429</v>
      </c>
      <c r="F1809" s="2" t="s">
        <v>177</v>
      </c>
      <c r="G1809" s="2" t="s">
        <v>104</v>
      </c>
      <c r="H1809" s="23">
        <v>30000</v>
      </c>
      <c r="I1809" s="2">
        <v>5</v>
      </c>
      <c r="J1809" s="31">
        <v>5</v>
      </c>
      <c r="K1809" s="7">
        <f t="shared" si="112"/>
        <v>150000</v>
      </c>
      <c r="L1809" s="7">
        <f t="shared" si="113"/>
        <v>7500</v>
      </c>
      <c r="M1809" s="7">
        <f t="shared" si="114"/>
        <v>142500</v>
      </c>
      <c r="N1809" s="23">
        <v>56000</v>
      </c>
      <c r="O1809" s="7">
        <f t="shared" si="115"/>
        <v>198500</v>
      </c>
      <c r="P1809" s="2" t="s">
        <v>35</v>
      </c>
      <c r="Q1809" t="str">
        <f>_xlfn.XLOOKUP(B1809,Status!$A$2:$A$1867,Status!$B$2:$B$1867)</f>
        <v>Pending</v>
      </c>
      <c r="R1809" s="2" t="s">
        <v>30</v>
      </c>
      <c r="S1809" s="8">
        <v>5</v>
      </c>
      <c r="T1809" s="2" t="s">
        <v>37</v>
      </c>
      <c r="U1809" s="31" t="str" cm="1">
        <f t="array" ref="U1809">_xlfn.IFS(L1809&lt;=5000,$Z$3,AND(L1809&gt;5000,L1809&lt;=15000),$Z$4,AND(L1809&gt;15000,L1809&lt;=30000),$Z$5,AND(L1809&gt;30000,L1809&lt;=50000),$Z$6,L1809&gt;50000,$Z$7)</f>
        <v>Rendah</v>
      </c>
      <c r="V1809" s="2"/>
    </row>
    <row r="1810" spans="1:22" ht="15.75" customHeight="1" x14ac:dyDescent="0.25">
      <c r="A1810" s="26"/>
      <c r="B1810" s="2" t="s">
        <v>2173</v>
      </c>
      <c r="C1810" s="32">
        <v>45883.829699074071</v>
      </c>
      <c r="D1810" s="53">
        <f>YEAR(Table1[[#This Row],[Order Date]])</f>
        <v>2025</v>
      </c>
      <c r="E1810" s="2" t="s">
        <v>603</v>
      </c>
      <c r="F1810" s="2" t="s">
        <v>53</v>
      </c>
      <c r="G1810" s="2" t="s">
        <v>85</v>
      </c>
      <c r="H1810" s="23">
        <v>35000</v>
      </c>
      <c r="I1810" s="2">
        <v>3</v>
      </c>
      <c r="J1810" s="31">
        <v>20</v>
      </c>
      <c r="K1810" s="7">
        <f t="shared" si="112"/>
        <v>105000</v>
      </c>
      <c r="L1810" s="7">
        <f t="shared" si="113"/>
        <v>21000</v>
      </c>
      <c r="M1810" s="7">
        <f t="shared" si="114"/>
        <v>84000</v>
      </c>
      <c r="N1810" s="23">
        <v>18000</v>
      </c>
      <c r="O1810" s="7">
        <f t="shared" si="115"/>
        <v>102000</v>
      </c>
      <c r="P1810" s="2" t="s">
        <v>22</v>
      </c>
      <c r="Q1810" t="str">
        <f>_xlfn.XLOOKUP(B1810,Status!$A$2:$A$1867,Status!$B$2:$B$1867)</f>
        <v>Shipped</v>
      </c>
      <c r="R1810" s="2" t="s">
        <v>46</v>
      </c>
      <c r="S1810" s="8">
        <v>4</v>
      </c>
      <c r="T1810" s="2" t="s">
        <v>24</v>
      </c>
      <c r="U1810" s="31" t="str" cm="1">
        <f t="array" ref="U1810">_xlfn.IFS(L1810&lt;=5000,$Z$3,AND(L1810&gt;5000,L1810&lt;=15000),$Z$4,AND(L1810&gt;15000,L1810&lt;=30000),$Z$5,AND(L1810&gt;30000,L1810&lt;=50000),$Z$6,L1810&gt;50000,$Z$7)</f>
        <v>Normal</v>
      </c>
      <c r="V1810" s="2"/>
    </row>
    <row r="1811" spans="1:22" ht="15.75" customHeight="1" x14ac:dyDescent="0.25">
      <c r="A1811" s="26"/>
      <c r="B1811" s="2" t="s">
        <v>2174</v>
      </c>
      <c r="C1811" s="32">
        <v>45883.929212962961</v>
      </c>
      <c r="D1811" s="53">
        <f>YEAR(Table1[[#This Row],[Order Date]])</f>
        <v>2025</v>
      </c>
      <c r="E1811" s="2" t="s">
        <v>557</v>
      </c>
      <c r="F1811" s="2" t="s">
        <v>173</v>
      </c>
      <c r="G1811" s="2" t="s">
        <v>88</v>
      </c>
      <c r="H1811" s="23">
        <v>14000</v>
      </c>
      <c r="I1811" s="2">
        <v>5</v>
      </c>
      <c r="J1811" s="31">
        <v>15</v>
      </c>
      <c r="K1811" s="7">
        <f t="shared" si="112"/>
        <v>70000</v>
      </c>
      <c r="L1811" s="7">
        <f t="shared" si="113"/>
        <v>10500</v>
      </c>
      <c r="M1811" s="7">
        <f t="shared" si="114"/>
        <v>59500</v>
      </c>
      <c r="N1811" s="23">
        <v>49000</v>
      </c>
      <c r="O1811" s="7">
        <f t="shared" si="115"/>
        <v>108500</v>
      </c>
      <c r="P1811" s="2" t="s">
        <v>35</v>
      </c>
      <c r="Q1811" t="str">
        <f>_xlfn.XLOOKUP(B1811,Status!$A$2:$A$1867,Status!$B$2:$B$1867)</f>
        <v>Shipped</v>
      </c>
      <c r="R1811" s="2" t="s">
        <v>30</v>
      </c>
      <c r="S1811" s="8">
        <v>2</v>
      </c>
      <c r="T1811" s="2" t="s">
        <v>24</v>
      </c>
      <c r="U1811" s="31" t="str" cm="1">
        <f t="array" ref="U1811">_xlfn.IFS(L1811&lt;=5000,$Z$3,AND(L1811&gt;5000,L1811&lt;=15000),$Z$4,AND(L1811&gt;15000,L1811&lt;=30000),$Z$5,AND(L1811&gt;30000,L1811&lt;=50000),$Z$6,L1811&gt;50000,$Z$7)</f>
        <v>Rendah</v>
      </c>
      <c r="V1811" s="2"/>
    </row>
    <row r="1812" spans="1:22" ht="15.75" customHeight="1" x14ac:dyDescent="0.25">
      <c r="A1812" s="26"/>
      <c r="B1812" s="2" t="s">
        <v>2175</v>
      </c>
      <c r="C1812" s="32">
        <v>45884.454189814824</v>
      </c>
      <c r="D1812" s="53">
        <f>YEAR(Table1[[#This Row],[Order Date]])</f>
        <v>2025</v>
      </c>
      <c r="E1812" s="2" t="s">
        <v>661</v>
      </c>
      <c r="F1812" s="2" t="s">
        <v>49</v>
      </c>
      <c r="G1812" s="2" t="s">
        <v>28</v>
      </c>
      <c r="H1812" s="23">
        <v>5000</v>
      </c>
      <c r="I1812" s="2">
        <v>1</v>
      </c>
      <c r="J1812" s="31">
        <v>15</v>
      </c>
      <c r="K1812" s="7">
        <f t="shared" si="112"/>
        <v>5000</v>
      </c>
      <c r="L1812" s="7">
        <f t="shared" si="113"/>
        <v>750</v>
      </c>
      <c r="M1812" s="7">
        <f t="shared" si="114"/>
        <v>4250</v>
      </c>
      <c r="N1812" s="23">
        <v>43000</v>
      </c>
      <c r="O1812" s="7">
        <f t="shared" si="115"/>
        <v>47250</v>
      </c>
      <c r="P1812" s="2" t="s">
        <v>35</v>
      </c>
      <c r="Q1812" t="str">
        <f>_xlfn.XLOOKUP(B1812,Status!$A$2:$A$1867,Status!$B$2:$B$1867)</f>
        <v>Completed</v>
      </c>
      <c r="R1812" s="2" t="s">
        <v>82</v>
      </c>
      <c r="S1812" s="8">
        <v>4</v>
      </c>
      <c r="T1812" s="2" t="s">
        <v>24</v>
      </c>
      <c r="U1812" s="31" t="str" cm="1">
        <f t="array" ref="U1812">_xlfn.IFS(L1812&lt;=5000,$Z$3,AND(L1812&gt;5000,L1812&lt;=15000),$Z$4,AND(L1812&gt;15000,L1812&lt;=30000),$Z$5,AND(L1812&gt;30000,L1812&lt;=50000),$Z$6,L1812&gt;50000,$Z$7)</f>
        <v>Sangat Rendah</v>
      </c>
      <c r="V1812" s="2"/>
    </row>
    <row r="1813" spans="1:22" ht="15.75" customHeight="1" x14ac:dyDescent="0.25">
      <c r="A1813" s="26"/>
      <c r="B1813" s="2" t="s">
        <v>2176</v>
      </c>
      <c r="C1813" s="32">
        <v>45884.779317129629</v>
      </c>
      <c r="D1813" s="53">
        <f>YEAR(Table1[[#This Row],[Order Date]])</f>
        <v>2025</v>
      </c>
      <c r="E1813" s="2" t="s">
        <v>954</v>
      </c>
      <c r="F1813" s="2" t="s">
        <v>44</v>
      </c>
      <c r="G1813" s="2" t="s">
        <v>88</v>
      </c>
      <c r="H1813" s="23">
        <v>14000</v>
      </c>
      <c r="I1813" s="2">
        <v>4</v>
      </c>
      <c r="J1813" s="31">
        <v>0</v>
      </c>
      <c r="K1813" s="7">
        <f t="shared" si="112"/>
        <v>56000</v>
      </c>
      <c r="L1813" s="7">
        <f t="shared" si="113"/>
        <v>0</v>
      </c>
      <c r="M1813" s="7">
        <f t="shared" si="114"/>
        <v>56000</v>
      </c>
      <c r="N1813" s="23">
        <v>93000</v>
      </c>
      <c r="O1813" s="7">
        <f t="shared" si="115"/>
        <v>149000</v>
      </c>
      <c r="P1813" s="2" t="s">
        <v>29</v>
      </c>
      <c r="Q1813" t="str">
        <f>_xlfn.XLOOKUP(B1813,Status!$A$2:$A$1867,Status!$B$2:$B$1867)</f>
        <v>Completed</v>
      </c>
      <c r="R1813" s="2" t="s">
        <v>36</v>
      </c>
      <c r="S1813" s="8">
        <v>1</v>
      </c>
      <c r="T1813" s="2" t="s">
        <v>24</v>
      </c>
      <c r="U1813" s="31" t="str" cm="1">
        <f t="array" ref="U1813">_xlfn.IFS(L1813&lt;=5000,$Z$3,AND(L1813&gt;5000,L1813&lt;=15000),$Z$4,AND(L1813&gt;15000,L1813&lt;=30000),$Z$5,AND(L1813&gt;30000,L1813&lt;=50000),$Z$6,L1813&gt;50000,$Z$7)</f>
        <v>Sangat Rendah</v>
      </c>
      <c r="V1813" s="2"/>
    </row>
    <row r="1814" spans="1:22" ht="15.75" customHeight="1" x14ac:dyDescent="0.25">
      <c r="A1814" s="26"/>
      <c r="B1814" s="2" t="s">
        <v>2177</v>
      </c>
      <c r="C1814" s="32">
        <v>45884.830428240741</v>
      </c>
      <c r="D1814" s="53">
        <f>YEAR(Table1[[#This Row],[Order Date]])</f>
        <v>2025</v>
      </c>
      <c r="E1814" s="2" t="s">
        <v>609</v>
      </c>
      <c r="F1814" s="2" t="s">
        <v>80</v>
      </c>
      <c r="G1814" s="2" t="s">
        <v>250</v>
      </c>
      <c r="H1814" s="23">
        <v>18000</v>
      </c>
      <c r="I1814" s="2">
        <v>1</v>
      </c>
      <c r="J1814" s="31">
        <v>0</v>
      </c>
      <c r="K1814" s="7">
        <f t="shared" si="112"/>
        <v>18000</v>
      </c>
      <c r="L1814" s="7">
        <f t="shared" si="113"/>
        <v>0</v>
      </c>
      <c r="M1814" s="7">
        <f t="shared" si="114"/>
        <v>18000</v>
      </c>
      <c r="N1814" s="23">
        <v>74000</v>
      </c>
      <c r="O1814" s="7">
        <f t="shared" si="115"/>
        <v>92000</v>
      </c>
      <c r="P1814" s="2" t="s">
        <v>29</v>
      </c>
      <c r="Q1814" t="str">
        <f>_xlfn.XLOOKUP(B1814,Status!$A$2:$A$1867,Status!$B$2:$B$1867)</f>
        <v>Cancelled</v>
      </c>
      <c r="R1814" s="2" t="s">
        <v>46</v>
      </c>
      <c r="S1814" s="8">
        <v>5</v>
      </c>
      <c r="T1814" s="2" t="s">
        <v>24</v>
      </c>
      <c r="U1814" s="31" t="str" cm="1">
        <f t="array" ref="U1814">_xlfn.IFS(L1814&lt;=5000,$Z$3,AND(L1814&gt;5000,L1814&lt;=15000),$Z$4,AND(L1814&gt;15000,L1814&lt;=30000),$Z$5,AND(L1814&gt;30000,L1814&lt;=50000),$Z$6,L1814&gt;50000,$Z$7)</f>
        <v>Sangat Rendah</v>
      </c>
      <c r="V1814" s="2"/>
    </row>
    <row r="1815" spans="1:22" ht="15.75" customHeight="1" x14ac:dyDescent="0.25">
      <c r="A1815" s="26"/>
      <c r="B1815" s="2" t="s">
        <v>2178</v>
      </c>
      <c r="C1815" s="32">
        <v>45884.947256944448</v>
      </c>
      <c r="D1815" s="53">
        <f>YEAR(Table1[[#This Row],[Order Date]])</f>
        <v>2025</v>
      </c>
      <c r="E1815" s="2" t="s">
        <v>1741</v>
      </c>
      <c r="F1815" s="2" t="s">
        <v>44</v>
      </c>
      <c r="G1815" s="2" t="s">
        <v>81</v>
      </c>
      <c r="H1815" s="23">
        <v>17000</v>
      </c>
      <c r="I1815" s="2">
        <v>2</v>
      </c>
      <c r="J1815" s="31">
        <v>0</v>
      </c>
      <c r="K1815" s="7">
        <f t="shared" si="112"/>
        <v>34000</v>
      </c>
      <c r="L1815" s="7">
        <f t="shared" si="113"/>
        <v>0</v>
      </c>
      <c r="M1815" s="7">
        <f t="shared" si="114"/>
        <v>34000</v>
      </c>
      <c r="N1815" s="23">
        <v>93000</v>
      </c>
      <c r="O1815" s="7">
        <f t="shared" si="115"/>
        <v>127000</v>
      </c>
      <c r="P1815" s="2" t="s">
        <v>63</v>
      </c>
      <c r="Q1815" t="str">
        <f>_xlfn.XLOOKUP(B1815,Status!$A$2:$A$1867,Status!$B$2:$B$1867)</f>
        <v>Shipped</v>
      </c>
      <c r="R1815" s="2" t="s">
        <v>82</v>
      </c>
      <c r="S1815" s="8">
        <v>2</v>
      </c>
      <c r="T1815" s="2" t="s">
        <v>24</v>
      </c>
      <c r="U1815" s="31" t="str" cm="1">
        <f t="array" ref="U1815">_xlfn.IFS(L1815&lt;=5000,$Z$3,AND(L1815&gt;5000,L1815&lt;=15000),$Z$4,AND(L1815&gt;15000,L1815&lt;=30000),$Z$5,AND(L1815&gt;30000,L1815&lt;=50000),$Z$6,L1815&gt;50000,$Z$7)</f>
        <v>Sangat Rendah</v>
      </c>
      <c r="V1815" s="2"/>
    </row>
    <row r="1816" spans="1:22" ht="15.75" customHeight="1" x14ac:dyDescent="0.25">
      <c r="A1816" s="26"/>
      <c r="B1816" s="2" t="s">
        <v>2179</v>
      </c>
      <c r="C1816" s="32">
        <v>45885.059756944444</v>
      </c>
      <c r="D1816" s="53">
        <f>YEAR(Table1[[#This Row],[Order Date]])</f>
        <v>2025</v>
      </c>
      <c r="E1816" s="2" t="s">
        <v>1130</v>
      </c>
      <c r="F1816" s="2" t="s">
        <v>122</v>
      </c>
      <c r="G1816" s="2" t="s">
        <v>123</v>
      </c>
      <c r="H1816" s="23">
        <v>22000</v>
      </c>
      <c r="I1816" s="2">
        <v>5</v>
      </c>
      <c r="J1816" s="31">
        <v>0</v>
      </c>
      <c r="K1816" s="7">
        <f t="shared" si="112"/>
        <v>110000</v>
      </c>
      <c r="L1816" s="7">
        <f t="shared" si="113"/>
        <v>0</v>
      </c>
      <c r="M1816" s="7">
        <f t="shared" si="114"/>
        <v>110000</v>
      </c>
      <c r="N1816" s="23">
        <v>78000</v>
      </c>
      <c r="O1816" s="7">
        <f t="shared" si="115"/>
        <v>188000</v>
      </c>
      <c r="P1816" s="2" t="s">
        <v>22</v>
      </c>
      <c r="Q1816" t="str">
        <f>_xlfn.XLOOKUP(B1816,Status!$A$2:$A$1867,Status!$B$2:$B$1867)</f>
        <v>Shipped</v>
      </c>
      <c r="R1816" s="2" t="s">
        <v>23</v>
      </c>
      <c r="S1816" s="8">
        <v>2</v>
      </c>
      <c r="T1816" s="2" t="s">
        <v>24</v>
      </c>
      <c r="U1816" s="31" t="str" cm="1">
        <f t="array" ref="U1816">_xlfn.IFS(L1816&lt;=5000,$Z$3,AND(L1816&gt;5000,L1816&lt;=15000),$Z$4,AND(L1816&gt;15000,L1816&lt;=30000),$Z$5,AND(L1816&gt;30000,L1816&lt;=50000),$Z$6,L1816&gt;50000,$Z$7)</f>
        <v>Sangat Rendah</v>
      </c>
      <c r="V1816" s="2"/>
    </row>
    <row r="1817" spans="1:22" ht="15.75" customHeight="1" x14ac:dyDescent="0.25">
      <c r="A1817" s="26"/>
      <c r="B1817" s="2" t="s">
        <v>2180</v>
      </c>
      <c r="C1817" s="32">
        <v>45885.09584490741</v>
      </c>
      <c r="D1817" s="53">
        <f>YEAR(Table1[[#This Row],[Order Date]])</f>
        <v>2025</v>
      </c>
      <c r="E1817" s="2" t="s">
        <v>1270</v>
      </c>
      <c r="F1817" s="2" t="s">
        <v>182</v>
      </c>
      <c r="G1817" s="2" t="s">
        <v>85</v>
      </c>
      <c r="H1817" s="23">
        <v>35000</v>
      </c>
      <c r="I1817" s="2">
        <v>3</v>
      </c>
      <c r="J1817" s="31">
        <v>15</v>
      </c>
      <c r="K1817" s="7">
        <f t="shared" si="112"/>
        <v>105000</v>
      </c>
      <c r="L1817" s="7">
        <f t="shared" si="113"/>
        <v>15750</v>
      </c>
      <c r="M1817" s="7">
        <f t="shared" si="114"/>
        <v>89250</v>
      </c>
      <c r="N1817" s="23">
        <v>48000</v>
      </c>
      <c r="O1817" s="7">
        <f t="shared" si="115"/>
        <v>137250</v>
      </c>
      <c r="P1817" s="2" t="s">
        <v>63</v>
      </c>
      <c r="Q1817" t="str">
        <f>_xlfn.XLOOKUP(B1817,Status!$A$2:$A$1867,Status!$B$2:$B$1867)</f>
        <v>Pending</v>
      </c>
      <c r="R1817" s="2" t="s">
        <v>82</v>
      </c>
      <c r="S1817" s="8">
        <v>5</v>
      </c>
      <c r="T1817" s="2" t="s">
        <v>24</v>
      </c>
      <c r="U1817" s="31" t="str" cm="1">
        <f t="array" ref="U1817">_xlfn.IFS(L1817&lt;=5000,$Z$3,AND(L1817&gt;5000,L1817&lt;=15000),$Z$4,AND(L1817&gt;15000,L1817&lt;=30000),$Z$5,AND(L1817&gt;30000,L1817&lt;=50000),$Z$6,L1817&gt;50000,$Z$7)</f>
        <v>Normal</v>
      </c>
      <c r="V1817" s="2"/>
    </row>
    <row r="1818" spans="1:22" ht="15.75" customHeight="1" x14ac:dyDescent="0.25">
      <c r="A1818" s="26"/>
      <c r="B1818" s="2" t="s">
        <v>2181</v>
      </c>
      <c r="C1818" s="32">
        <v>45885.577060185176</v>
      </c>
      <c r="D1818" s="53">
        <f>YEAR(Table1[[#This Row],[Order Date]])</f>
        <v>2025</v>
      </c>
      <c r="E1818" s="2" t="s">
        <v>486</v>
      </c>
      <c r="F1818" s="2" t="s">
        <v>182</v>
      </c>
      <c r="G1818" s="2" t="s">
        <v>45</v>
      </c>
      <c r="H1818" s="23">
        <v>40000</v>
      </c>
      <c r="I1818" s="2">
        <v>2</v>
      </c>
      <c r="J1818" s="31">
        <v>15</v>
      </c>
      <c r="K1818" s="7">
        <f t="shared" si="112"/>
        <v>80000</v>
      </c>
      <c r="L1818" s="7">
        <f t="shared" si="113"/>
        <v>12000</v>
      </c>
      <c r="M1818" s="7">
        <f t="shared" si="114"/>
        <v>68000</v>
      </c>
      <c r="N1818" s="23">
        <v>48000</v>
      </c>
      <c r="O1818" s="7">
        <f t="shared" si="115"/>
        <v>116000</v>
      </c>
      <c r="P1818" s="2" t="s">
        <v>63</v>
      </c>
      <c r="Q1818" t="str">
        <f>_xlfn.XLOOKUP(B1818,Status!$A$2:$A$1867,Status!$B$2:$B$1867)</f>
        <v>Pending</v>
      </c>
      <c r="R1818" s="2" t="s">
        <v>46</v>
      </c>
      <c r="S1818" s="8">
        <v>3</v>
      </c>
      <c r="T1818" s="2" t="s">
        <v>24</v>
      </c>
      <c r="U1818" s="31" t="str" cm="1">
        <f t="array" ref="U1818">_xlfn.IFS(L1818&lt;=5000,$Z$3,AND(L1818&gt;5000,L1818&lt;=15000),$Z$4,AND(L1818&gt;15000,L1818&lt;=30000),$Z$5,AND(L1818&gt;30000,L1818&lt;=50000),$Z$6,L1818&gt;50000,$Z$7)</f>
        <v>Rendah</v>
      </c>
      <c r="V1818" s="2"/>
    </row>
    <row r="1819" spans="1:22" ht="15.75" customHeight="1" x14ac:dyDescent="0.25">
      <c r="A1819" s="26"/>
      <c r="B1819" s="2" t="s">
        <v>2182</v>
      </c>
      <c r="C1819" s="32">
        <v>45885.601134259261</v>
      </c>
      <c r="D1819" s="53">
        <f>YEAR(Table1[[#This Row],[Order Date]])</f>
        <v>2025</v>
      </c>
      <c r="E1819" s="2" t="s">
        <v>499</v>
      </c>
      <c r="F1819" s="2" t="s">
        <v>131</v>
      </c>
      <c r="G1819" s="2" t="s">
        <v>190</v>
      </c>
      <c r="H1819" s="23">
        <v>35000</v>
      </c>
      <c r="I1819" s="2">
        <v>4</v>
      </c>
      <c r="J1819" s="31">
        <v>0</v>
      </c>
      <c r="K1819" s="7">
        <f t="shared" si="112"/>
        <v>140000</v>
      </c>
      <c r="L1819" s="7">
        <f t="shared" si="113"/>
        <v>0</v>
      </c>
      <c r="M1819" s="7">
        <f t="shared" si="114"/>
        <v>140000</v>
      </c>
      <c r="N1819" s="23">
        <v>59000</v>
      </c>
      <c r="O1819" s="7">
        <f t="shared" si="115"/>
        <v>199000</v>
      </c>
      <c r="P1819" s="2" t="s">
        <v>35</v>
      </c>
      <c r="Q1819" t="str">
        <f>_xlfn.XLOOKUP(B1819,Status!$A$2:$A$1867,Status!$B$2:$B$1867)</f>
        <v>Completed</v>
      </c>
      <c r="R1819" s="2" t="s">
        <v>30</v>
      </c>
      <c r="S1819" s="8">
        <v>1</v>
      </c>
      <c r="T1819" s="2" t="s">
        <v>24</v>
      </c>
      <c r="U1819" s="31" t="str" cm="1">
        <f t="array" ref="U1819">_xlfn.IFS(L1819&lt;=5000,$Z$3,AND(L1819&gt;5000,L1819&lt;=15000),$Z$4,AND(L1819&gt;15000,L1819&lt;=30000),$Z$5,AND(L1819&gt;30000,L1819&lt;=50000),$Z$6,L1819&gt;50000,$Z$7)</f>
        <v>Sangat Rendah</v>
      </c>
      <c r="V1819" s="2"/>
    </row>
    <row r="1820" spans="1:22" ht="15.75" customHeight="1" x14ac:dyDescent="0.25">
      <c r="A1820" s="26"/>
      <c r="B1820" s="2" t="s">
        <v>2183</v>
      </c>
      <c r="C1820" s="32">
        <v>45885.71199074074</v>
      </c>
      <c r="D1820" s="53">
        <f>YEAR(Table1[[#This Row],[Order Date]])</f>
        <v>2025</v>
      </c>
      <c r="E1820" s="2" t="s">
        <v>1087</v>
      </c>
      <c r="F1820" s="2" t="s">
        <v>143</v>
      </c>
      <c r="G1820" s="2" t="s">
        <v>28</v>
      </c>
      <c r="H1820" s="23">
        <v>5000</v>
      </c>
      <c r="I1820" s="2">
        <v>2</v>
      </c>
      <c r="J1820" s="31">
        <v>15</v>
      </c>
      <c r="K1820" s="7">
        <f t="shared" si="112"/>
        <v>10000</v>
      </c>
      <c r="L1820" s="7">
        <f t="shared" si="113"/>
        <v>1500</v>
      </c>
      <c r="M1820" s="7">
        <f t="shared" si="114"/>
        <v>8500</v>
      </c>
      <c r="N1820" s="23">
        <v>50000</v>
      </c>
      <c r="O1820" s="7">
        <f t="shared" si="115"/>
        <v>58500</v>
      </c>
      <c r="P1820" s="2" t="s">
        <v>35</v>
      </c>
      <c r="Q1820" t="str">
        <f>_xlfn.XLOOKUP(B1820,Status!$A$2:$A$1867,Status!$B$2:$B$1867)</f>
        <v>Completed</v>
      </c>
      <c r="R1820" s="2" t="s">
        <v>30</v>
      </c>
      <c r="S1820" s="8">
        <v>5</v>
      </c>
      <c r="T1820" s="2" t="s">
        <v>24</v>
      </c>
      <c r="U1820" s="31" t="str" cm="1">
        <f t="array" ref="U1820">_xlfn.IFS(L1820&lt;=5000,$Z$3,AND(L1820&gt;5000,L1820&lt;=15000),$Z$4,AND(L1820&gt;15000,L1820&lt;=30000),$Z$5,AND(L1820&gt;30000,L1820&lt;=50000),$Z$6,L1820&gt;50000,$Z$7)</f>
        <v>Sangat Rendah</v>
      </c>
      <c r="V1820" s="2"/>
    </row>
    <row r="1821" spans="1:22" ht="15.75" customHeight="1" x14ac:dyDescent="0.25">
      <c r="A1821" s="26"/>
      <c r="B1821" s="2" t="s">
        <v>2184</v>
      </c>
      <c r="C1821" s="32">
        <v>45885.823240740741</v>
      </c>
      <c r="D1821" s="53">
        <f>YEAR(Table1[[#This Row],[Order Date]])</f>
        <v>2025</v>
      </c>
      <c r="E1821" s="2" t="s">
        <v>233</v>
      </c>
      <c r="F1821" s="2" t="s">
        <v>113</v>
      </c>
      <c r="G1821" s="2" t="s">
        <v>21</v>
      </c>
      <c r="H1821" s="23">
        <v>45000</v>
      </c>
      <c r="I1821" s="2">
        <v>3</v>
      </c>
      <c r="J1821" s="31">
        <v>0</v>
      </c>
      <c r="K1821" s="7">
        <f t="shared" si="112"/>
        <v>135000</v>
      </c>
      <c r="L1821" s="7">
        <f t="shared" si="113"/>
        <v>0</v>
      </c>
      <c r="M1821" s="7">
        <f t="shared" si="114"/>
        <v>135000</v>
      </c>
      <c r="N1821" s="23">
        <v>18000</v>
      </c>
      <c r="O1821" s="7">
        <f t="shared" si="115"/>
        <v>153000</v>
      </c>
      <c r="P1821" s="2" t="s">
        <v>63</v>
      </c>
      <c r="Q1821" t="str">
        <f>_xlfn.XLOOKUP(B1821,Status!$A$2:$A$1867,Status!$B$2:$B$1867)</f>
        <v>Pending</v>
      </c>
      <c r="R1821" s="2" t="s">
        <v>30</v>
      </c>
      <c r="S1821" s="8">
        <v>3</v>
      </c>
      <c r="T1821" s="2" t="s">
        <v>37</v>
      </c>
      <c r="U1821" s="31" t="str" cm="1">
        <f t="array" ref="U1821">_xlfn.IFS(L1821&lt;=5000,$Z$3,AND(L1821&gt;5000,L1821&lt;=15000),$Z$4,AND(L1821&gt;15000,L1821&lt;=30000),$Z$5,AND(L1821&gt;30000,L1821&lt;=50000),$Z$6,L1821&gt;50000,$Z$7)</f>
        <v>Sangat Rendah</v>
      </c>
      <c r="V1821" s="2"/>
    </row>
    <row r="1822" spans="1:22" ht="15.75" customHeight="1" x14ac:dyDescent="0.25">
      <c r="A1822" s="26"/>
      <c r="B1822" s="2" t="s">
        <v>2185</v>
      </c>
      <c r="C1822" s="32">
        <v>45885.877523148149</v>
      </c>
      <c r="D1822" s="53">
        <f>YEAR(Table1[[#This Row],[Order Date]])</f>
        <v>2025</v>
      </c>
      <c r="E1822" s="2" t="s">
        <v>2080</v>
      </c>
      <c r="F1822" s="2" t="s">
        <v>262</v>
      </c>
      <c r="G1822" s="2" t="s">
        <v>110</v>
      </c>
      <c r="H1822" s="23">
        <v>6000</v>
      </c>
      <c r="I1822" s="2">
        <v>4</v>
      </c>
      <c r="J1822" s="31">
        <v>20</v>
      </c>
      <c r="K1822" s="7">
        <f t="shared" si="112"/>
        <v>24000</v>
      </c>
      <c r="L1822" s="7">
        <f t="shared" si="113"/>
        <v>4800</v>
      </c>
      <c r="M1822" s="7">
        <f t="shared" si="114"/>
        <v>19200</v>
      </c>
      <c r="N1822" s="23">
        <v>18000</v>
      </c>
      <c r="O1822" s="7">
        <f t="shared" si="115"/>
        <v>37200</v>
      </c>
      <c r="P1822" s="2" t="s">
        <v>22</v>
      </c>
      <c r="Q1822" t="str">
        <f>_xlfn.XLOOKUP(B1822,Status!$A$2:$A$1867,Status!$B$2:$B$1867)</f>
        <v>Cancelled</v>
      </c>
      <c r="R1822" s="2" t="s">
        <v>46</v>
      </c>
      <c r="S1822" s="8">
        <v>1</v>
      </c>
      <c r="T1822" s="2" t="s">
        <v>24</v>
      </c>
      <c r="U1822" s="31" t="str" cm="1">
        <f t="array" ref="U1822">_xlfn.IFS(L1822&lt;=5000,$Z$3,AND(L1822&gt;5000,L1822&lt;=15000),$Z$4,AND(L1822&gt;15000,L1822&lt;=30000),$Z$5,AND(L1822&gt;30000,L1822&lt;=50000),$Z$6,L1822&gt;50000,$Z$7)</f>
        <v>Sangat Rendah</v>
      </c>
      <c r="V1822" s="2"/>
    </row>
    <row r="1823" spans="1:22" ht="15.75" customHeight="1" x14ac:dyDescent="0.25">
      <c r="A1823" s="26"/>
      <c r="B1823" s="2" t="s">
        <v>2186</v>
      </c>
      <c r="C1823" s="32">
        <v>45886.045578703714</v>
      </c>
      <c r="D1823" s="53">
        <f>YEAR(Table1[[#This Row],[Order Date]])</f>
        <v>2025</v>
      </c>
      <c r="E1823" s="2" t="s">
        <v>443</v>
      </c>
      <c r="F1823" s="2" t="s">
        <v>53</v>
      </c>
      <c r="G1823" s="2" t="s">
        <v>71</v>
      </c>
      <c r="H1823" s="23">
        <v>40000</v>
      </c>
      <c r="I1823" s="2">
        <v>2</v>
      </c>
      <c r="J1823" s="31">
        <v>15</v>
      </c>
      <c r="K1823" s="7">
        <f t="shared" si="112"/>
        <v>80000</v>
      </c>
      <c r="L1823" s="7">
        <f t="shared" si="113"/>
        <v>12000</v>
      </c>
      <c r="M1823" s="7">
        <f t="shared" si="114"/>
        <v>68000</v>
      </c>
      <c r="N1823" s="23">
        <v>18000</v>
      </c>
      <c r="O1823" s="7">
        <f t="shared" si="115"/>
        <v>86000</v>
      </c>
      <c r="P1823" s="2" t="s">
        <v>29</v>
      </c>
      <c r="Q1823" t="str">
        <f>_xlfn.XLOOKUP(B1823,Status!$A$2:$A$1867,Status!$B$2:$B$1867)</f>
        <v>Shipped</v>
      </c>
      <c r="R1823" s="2" t="s">
        <v>30</v>
      </c>
      <c r="S1823" s="8">
        <v>1</v>
      </c>
      <c r="T1823" s="2" t="s">
        <v>24</v>
      </c>
      <c r="U1823" s="31" t="str" cm="1">
        <f t="array" ref="U1823">_xlfn.IFS(L1823&lt;=5000,$Z$3,AND(L1823&gt;5000,L1823&lt;=15000),$Z$4,AND(L1823&gt;15000,L1823&lt;=30000),$Z$5,AND(L1823&gt;30000,L1823&lt;=50000),$Z$6,L1823&gt;50000,$Z$7)</f>
        <v>Rendah</v>
      </c>
      <c r="V1823" s="2"/>
    </row>
    <row r="1824" spans="1:22" ht="15.75" customHeight="1" x14ac:dyDescent="0.25">
      <c r="A1824" s="26"/>
      <c r="B1824" s="2" t="s">
        <v>2187</v>
      </c>
      <c r="C1824" s="32">
        <v>45886.046724537038</v>
      </c>
      <c r="D1824" s="53">
        <f>YEAR(Table1[[#This Row],[Order Date]])</f>
        <v>2025</v>
      </c>
      <c r="E1824" s="2" t="s">
        <v>464</v>
      </c>
      <c r="F1824" s="2" t="s">
        <v>296</v>
      </c>
      <c r="G1824" s="2" t="s">
        <v>38</v>
      </c>
      <c r="H1824" s="23">
        <v>28000</v>
      </c>
      <c r="I1824" s="2">
        <v>3</v>
      </c>
      <c r="J1824" s="31">
        <v>0</v>
      </c>
      <c r="K1824" s="7">
        <f t="shared" si="112"/>
        <v>84000</v>
      </c>
      <c r="L1824" s="7">
        <f t="shared" si="113"/>
        <v>0</v>
      </c>
      <c r="M1824" s="7">
        <f t="shared" si="114"/>
        <v>84000</v>
      </c>
      <c r="N1824" s="23">
        <v>79000</v>
      </c>
      <c r="O1824" s="7">
        <f t="shared" si="115"/>
        <v>163000</v>
      </c>
      <c r="P1824" s="2" t="s">
        <v>29</v>
      </c>
      <c r="Q1824" t="str">
        <f>_xlfn.XLOOKUP(B1824,Status!$A$2:$A$1867,Status!$B$2:$B$1867)</f>
        <v>Returned</v>
      </c>
      <c r="R1824" s="2" t="s">
        <v>46</v>
      </c>
      <c r="S1824" s="8">
        <v>4</v>
      </c>
      <c r="T1824" s="2" t="s">
        <v>37</v>
      </c>
      <c r="U1824" s="31" t="str" cm="1">
        <f t="array" ref="U1824">_xlfn.IFS(L1824&lt;=5000,$Z$3,AND(L1824&gt;5000,L1824&lt;=15000),$Z$4,AND(L1824&gt;15000,L1824&lt;=30000),$Z$5,AND(L1824&gt;30000,L1824&lt;=50000),$Z$6,L1824&gt;50000,$Z$7)</f>
        <v>Sangat Rendah</v>
      </c>
      <c r="V1824" s="2"/>
    </row>
    <row r="1825" spans="1:22" ht="15.75" customHeight="1" x14ac:dyDescent="0.25">
      <c r="A1825" s="26"/>
      <c r="B1825" s="2" t="s">
        <v>2188</v>
      </c>
      <c r="C1825" s="32">
        <v>45886.194131944438</v>
      </c>
      <c r="D1825" s="53">
        <f>YEAR(Table1[[#This Row],[Order Date]])</f>
        <v>2025</v>
      </c>
      <c r="E1825" s="2" t="s">
        <v>283</v>
      </c>
      <c r="F1825" s="2" t="s">
        <v>92</v>
      </c>
      <c r="G1825" s="2" t="s">
        <v>174</v>
      </c>
      <c r="H1825" s="23">
        <v>10000</v>
      </c>
      <c r="I1825" s="2">
        <v>2</v>
      </c>
      <c r="J1825" s="31">
        <v>5</v>
      </c>
      <c r="K1825" s="7">
        <f t="shared" si="112"/>
        <v>20000</v>
      </c>
      <c r="L1825" s="7">
        <f t="shared" si="113"/>
        <v>1000</v>
      </c>
      <c r="M1825" s="7">
        <f t="shared" si="114"/>
        <v>19000</v>
      </c>
      <c r="N1825" s="23">
        <v>30000</v>
      </c>
      <c r="O1825" s="7">
        <f t="shared" si="115"/>
        <v>49000</v>
      </c>
      <c r="P1825" s="2" t="s">
        <v>63</v>
      </c>
      <c r="Q1825" t="str">
        <f>_xlfn.XLOOKUP(B1825,Status!$A$2:$A$1867,Status!$B$2:$B$1867)</f>
        <v>Cancelled</v>
      </c>
      <c r="R1825" s="2" t="s">
        <v>36</v>
      </c>
      <c r="S1825" s="8">
        <v>5</v>
      </c>
      <c r="T1825" s="2" t="s">
        <v>24</v>
      </c>
      <c r="U1825" s="31" t="str" cm="1">
        <f t="array" ref="U1825">_xlfn.IFS(L1825&lt;=5000,$Z$3,AND(L1825&gt;5000,L1825&lt;=15000),$Z$4,AND(L1825&gt;15000,L1825&lt;=30000),$Z$5,AND(L1825&gt;30000,L1825&lt;=50000),$Z$6,L1825&gt;50000,$Z$7)</f>
        <v>Sangat Rendah</v>
      </c>
      <c r="V1825" s="2"/>
    </row>
    <row r="1826" spans="1:22" ht="15.75" customHeight="1" x14ac:dyDescent="0.25">
      <c r="A1826" s="26"/>
      <c r="B1826" s="2" t="s">
        <v>2188</v>
      </c>
      <c r="C1826" s="32">
        <v>45886.194131944438</v>
      </c>
      <c r="D1826" s="53">
        <f>YEAR(Table1[[#This Row],[Order Date]])</f>
        <v>2025</v>
      </c>
      <c r="E1826" s="2" t="s">
        <v>283</v>
      </c>
      <c r="F1826" s="2" t="s">
        <v>92</v>
      </c>
      <c r="G1826" s="2" t="s">
        <v>38</v>
      </c>
      <c r="H1826" s="23">
        <v>28000</v>
      </c>
      <c r="I1826" s="2">
        <v>2</v>
      </c>
      <c r="J1826" s="31">
        <v>0</v>
      </c>
      <c r="K1826" s="7">
        <f t="shared" si="112"/>
        <v>56000</v>
      </c>
      <c r="L1826" s="7">
        <f t="shared" si="113"/>
        <v>0</v>
      </c>
      <c r="M1826" s="7">
        <f t="shared" si="114"/>
        <v>56000</v>
      </c>
      <c r="N1826" s="23">
        <v>0</v>
      </c>
      <c r="O1826" s="7">
        <f t="shared" si="115"/>
        <v>56000</v>
      </c>
      <c r="P1826" s="2" t="s">
        <v>63</v>
      </c>
      <c r="Q1826" t="str">
        <f>_xlfn.XLOOKUP(B1826,Status!$A$2:$A$1867,Status!$B$2:$B$1867)</f>
        <v>Cancelled</v>
      </c>
      <c r="R1826" s="2" t="s">
        <v>36</v>
      </c>
      <c r="S1826" s="8">
        <v>5</v>
      </c>
      <c r="T1826" s="2" t="s">
        <v>24</v>
      </c>
      <c r="U1826" s="31" t="str" cm="1">
        <f t="array" ref="U1826">_xlfn.IFS(L1826&lt;=5000,$Z$3,AND(L1826&gt;5000,L1826&lt;=15000),$Z$4,AND(L1826&gt;15000,L1826&lt;=30000),$Z$5,AND(L1826&gt;30000,L1826&lt;=50000),$Z$6,L1826&gt;50000,$Z$7)</f>
        <v>Sangat Rendah</v>
      </c>
      <c r="V1826" s="2"/>
    </row>
    <row r="1827" spans="1:22" ht="15.75" customHeight="1" x14ac:dyDescent="0.25">
      <c r="A1827" s="26"/>
      <c r="B1827" s="2" t="s">
        <v>2189</v>
      </c>
      <c r="C1827" s="32">
        <v>45886.232314814813</v>
      </c>
      <c r="D1827" s="53">
        <f>YEAR(Table1[[#This Row],[Order Date]])</f>
        <v>2025</v>
      </c>
      <c r="E1827" s="2" t="s">
        <v>774</v>
      </c>
      <c r="F1827" s="2" t="s">
        <v>262</v>
      </c>
      <c r="G1827" s="2" t="s">
        <v>50</v>
      </c>
      <c r="H1827" s="23">
        <v>14000</v>
      </c>
      <c r="I1827" s="2">
        <v>3</v>
      </c>
      <c r="J1827" s="31">
        <v>0</v>
      </c>
      <c r="K1827" s="7">
        <f t="shared" si="112"/>
        <v>42000</v>
      </c>
      <c r="L1827" s="7">
        <f t="shared" si="113"/>
        <v>0</v>
      </c>
      <c r="M1827" s="7">
        <f t="shared" si="114"/>
        <v>42000</v>
      </c>
      <c r="N1827" s="23">
        <v>18000</v>
      </c>
      <c r="O1827" s="7">
        <f t="shared" si="115"/>
        <v>60000</v>
      </c>
      <c r="P1827" s="2" t="s">
        <v>22</v>
      </c>
      <c r="Q1827" t="str">
        <f>_xlfn.XLOOKUP(B1827,Status!$A$2:$A$1867,Status!$B$2:$B$1867)</f>
        <v>Completed</v>
      </c>
      <c r="R1827" s="2" t="s">
        <v>36</v>
      </c>
      <c r="S1827" s="8">
        <v>5</v>
      </c>
      <c r="T1827" s="2" t="s">
        <v>24</v>
      </c>
      <c r="U1827" s="31" t="str" cm="1">
        <f t="array" ref="U1827">_xlfn.IFS(L1827&lt;=5000,$Z$3,AND(L1827&gt;5000,L1827&lt;=15000),$Z$4,AND(L1827&gt;15000,L1827&lt;=30000),$Z$5,AND(L1827&gt;30000,L1827&lt;=50000),$Z$6,L1827&gt;50000,$Z$7)</f>
        <v>Sangat Rendah</v>
      </c>
      <c r="V1827" s="2"/>
    </row>
    <row r="1828" spans="1:22" ht="15.75" customHeight="1" x14ac:dyDescent="0.25">
      <c r="A1828" s="26"/>
      <c r="B1828" s="2" t="s">
        <v>2190</v>
      </c>
      <c r="C1828" s="32">
        <v>45886.373888888891</v>
      </c>
      <c r="D1828" s="53">
        <f>YEAR(Table1[[#This Row],[Order Date]])</f>
        <v>2025</v>
      </c>
      <c r="E1828" s="2" t="s">
        <v>1098</v>
      </c>
      <c r="F1828" s="2" t="s">
        <v>126</v>
      </c>
      <c r="G1828" s="2" t="s">
        <v>174</v>
      </c>
      <c r="H1828" s="23">
        <v>10000</v>
      </c>
      <c r="I1828" s="2">
        <v>4</v>
      </c>
      <c r="J1828" s="31">
        <v>20</v>
      </c>
      <c r="K1828" s="7">
        <f t="shared" si="112"/>
        <v>40000</v>
      </c>
      <c r="L1828" s="7">
        <f t="shared" si="113"/>
        <v>8000</v>
      </c>
      <c r="M1828" s="7">
        <f t="shared" si="114"/>
        <v>32000</v>
      </c>
      <c r="N1828" s="23">
        <v>84000</v>
      </c>
      <c r="O1828" s="7">
        <f t="shared" si="115"/>
        <v>116000</v>
      </c>
      <c r="P1828" s="2" t="s">
        <v>35</v>
      </c>
      <c r="Q1828" t="str">
        <f>_xlfn.XLOOKUP(B1828,Status!$A$2:$A$1867,Status!$B$2:$B$1867)</f>
        <v>Completed</v>
      </c>
      <c r="R1828" s="2" t="s">
        <v>30</v>
      </c>
      <c r="S1828" s="8">
        <v>1</v>
      </c>
      <c r="T1828" s="2" t="s">
        <v>37</v>
      </c>
      <c r="U1828" s="31" t="str" cm="1">
        <f t="array" ref="U1828">_xlfn.IFS(L1828&lt;=5000,$Z$3,AND(L1828&gt;5000,L1828&lt;=15000),$Z$4,AND(L1828&gt;15000,L1828&lt;=30000),$Z$5,AND(L1828&gt;30000,L1828&lt;=50000),$Z$6,L1828&gt;50000,$Z$7)</f>
        <v>Rendah</v>
      </c>
      <c r="V1828" s="2"/>
    </row>
    <row r="1829" spans="1:22" ht="15.75" customHeight="1" x14ac:dyDescent="0.25">
      <c r="A1829" s="26"/>
      <c r="B1829" s="2" t="s">
        <v>2191</v>
      </c>
      <c r="C1829" s="32">
        <v>45886.488275462973</v>
      </c>
      <c r="D1829" s="53">
        <f>YEAR(Table1[[#This Row],[Order Date]])</f>
        <v>2025</v>
      </c>
      <c r="E1829" s="2" t="s">
        <v>1066</v>
      </c>
      <c r="F1829" s="2" t="s">
        <v>113</v>
      </c>
      <c r="G1829" s="2" t="s">
        <v>110</v>
      </c>
      <c r="H1829" s="23">
        <v>6000</v>
      </c>
      <c r="I1829" s="2">
        <v>3</v>
      </c>
      <c r="J1829" s="31">
        <v>15</v>
      </c>
      <c r="K1829" s="7">
        <f t="shared" si="112"/>
        <v>18000</v>
      </c>
      <c r="L1829" s="7">
        <f t="shared" si="113"/>
        <v>2700</v>
      </c>
      <c r="M1829" s="7">
        <f t="shared" si="114"/>
        <v>15300</v>
      </c>
      <c r="N1829" s="23">
        <v>18000</v>
      </c>
      <c r="O1829" s="7">
        <f t="shared" si="115"/>
        <v>33300</v>
      </c>
      <c r="P1829" s="2" t="s">
        <v>22</v>
      </c>
      <c r="Q1829" t="str">
        <f>_xlfn.XLOOKUP(B1829,Status!$A$2:$A$1867,Status!$B$2:$B$1867)</f>
        <v>Shipped</v>
      </c>
      <c r="R1829" s="2" t="s">
        <v>82</v>
      </c>
      <c r="S1829" s="8">
        <v>4</v>
      </c>
      <c r="T1829" s="2" t="s">
        <v>24</v>
      </c>
      <c r="U1829" s="31" t="str" cm="1">
        <f t="array" ref="U1829">_xlfn.IFS(L1829&lt;=5000,$Z$3,AND(L1829&gt;5000,L1829&lt;=15000),$Z$4,AND(L1829&gt;15000,L1829&lt;=30000),$Z$5,AND(L1829&gt;30000,L1829&lt;=50000),$Z$6,L1829&gt;50000,$Z$7)</f>
        <v>Sangat Rendah</v>
      </c>
      <c r="V1829" s="2"/>
    </row>
    <row r="1830" spans="1:22" ht="15.75" customHeight="1" x14ac:dyDescent="0.25">
      <c r="A1830" s="26"/>
      <c r="B1830" s="2" t="s">
        <v>2192</v>
      </c>
      <c r="C1830" s="32">
        <v>45886.649131944447</v>
      </c>
      <c r="D1830" s="53">
        <f>YEAR(Table1[[#This Row],[Order Date]])</f>
        <v>2025</v>
      </c>
      <c r="E1830" s="2" t="s">
        <v>441</v>
      </c>
      <c r="F1830" s="2" t="s">
        <v>116</v>
      </c>
      <c r="G1830" s="2" t="s">
        <v>110</v>
      </c>
      <c r="H1830" s="23">
        <v>6000</v>
      </c>
      <c r="I1830" s="2">
        <v>5</v>
      </c>
      <c r="J1830" s="31">
        <v>0</v>
      </c>
      <c r="K1830" s="7">
        <f t="shared" si="112"/>
        <v>30000</v>
      </c>
      <c r="L1830" s="7">
        <f t="shared" si="113"/>
        <v>0</v>
      </c>
      <c r="M1830" s="7">
        <f t="shared" si="114"/>
        <v>30000</v>
      </c>
      <c r="N1830" s="23">
        <v>72000</v>
      </c>
      <c r="O1830" s="7">
        <f t="shared" si="115"/>
        <v>102000</v>
      </c>
      <c r="P1830" s="2" t="s">
        <v>22</v>
      </c>
      <c r="Q1830" t="str">
        <f>_xlfn.XLOOKUP(B1830,Status!$A$2:$A$1867,Status!$B$2:$B$1867)</f>
        <v>Pending</v>
      </c>
      <c r="R1830" s="2" t="s">
        <v>82</v>
      </c>
      <c r="S1830" s="8">
        <v>2</v>
      </c>
      <c r="T1830" s="2" t="s">
        <v>37</v>
      </c>
      <c r="U1830" s="31" t="str" cm="1">
        <f t="array" ref="U1830">_xlfn.IFS(L1830&lt;=5000,$Z$3,AND(L1830&gt;5000,L1830&lt;=15000),$Z$4,AND(L1830&gt;15000,L1830&lt;=30000),$Z$5,AND(L1830&gt;30000,L1830&lt;=50000),$Z$6,L1830&gt;50000,$Z$7)</f>
        <v>Sangat Rendah</v>
      </c>
      <c r="V1830" s="2"/>
    </row>
    <row r="1831" spans="1:22" ht="15.75" customHeight="1" x14ac:dyDescent="0.25">
      <c r="A1831" s="26"/>
      <c r="B1831" s="2" t="s">
        <v>2193</v>
      </c>
      <c r="C1831" s="32">
        <v>45886.809108796297</v>
      </c>
      <c r="D1831" s="53">
        <f>YEAR(Table1[[#This Row],[Order Date]])</f>
        <v>2025</v>
      </c>
      <c r="E1831" s="2" t="s">
        <v>218</v>
      </c>
      <c r="F1831" s="2" t="s">
        <v>170</v>
      </c>
      <c r="G1831" s="2" t="s">
        <v>62</v>
      </c>
      <c r="H1831" s="23">
        <v>50000</v>
      </c>
      <c r="I1831" s="2">
        <v>3</v>
      </c>
      <c r="J1831" s="31">
        <v>15</v>
      </c>
      <c r="K1831" s="7">
        <f t="shared" si="112"/>
        <v>150000</v>
      </c>
      <c r="L1831" s="7">
        <f t="shared" si="113"/>
        <v>22500</v>
      </c>
      <c r="M1831" s="7">
        <f t="shared" si="114"/>
        <v>127500</v>
      </c>
      <c r="N1831" s="23">
        <v>46000</v>
      </c>
      <c r="O1831" s="7">
        <f t="shared" si="115"/>
        <v>173500</v>
      </c>
      <c r="P1831" s="2" t="s">
        <v>22</v>
      </c>
      <c r="Q1831" t="str">
        <f>_xlfn.XLOOKUP(B1831,Status!$A$2:$A$1867,Status!$B$2:$B$1867)</f>
        <v>Completed</v>
      </c>
      <c r="R1831" s="2" t="s">
        <v>30</v>
      </c>
      <c r="S1831" s="8">
        <v>2</v>
      </c>
      <c r="T1831" s="2" t="s">
        <v>24</v>
      </c>
      <c r="U1831" s="31" t="str" cm="1">
        <f t="array" ref="U1831">_xlfn.IFS(L1831&lt;=5000,$Z$3,AND(L1831&gt;5000,L1831&lt;=15000),$Z$4,AND(L1831&gt;15000,L1831&lt;=30000),$Z$5,AND(L1831&gt;30000,L1831&lt;=50000),$Z$6,L1831&gt;50000,$Z$7)</f>
        <v>Normal</v>
      </c>
      <c r="V1831" s="2"/>
    </row>
    <row r="1832" spans="1:22" ht="15.75" customHeight="1" x14ac:dyDescent="0.25">
      <c r="A1832" s="26"/>
      <c r="B1832" s="2" t="s">
        <v>2194</v>
      </c>
      <c r="C1832" s="32">
        <v>45886.835694444453</v>
      </c>
      <c r="D1832" s="53">
        <f>YEAR(Table1[[#This Row],[Order Date]])</f>
        <v>2025</v>
      </c>
      <c r="E1832" s="2" t="s">
        <v>2195</v>
      </c>
      <c r="F1832" s="2" t="s">
        <v>238</v>
      </c>
      <c r="G1832" s="2" t="s">
        <v>41</v>
      </c>
      <c r="H1832" s="23">
        <v>4000</v>
      </c>
      <c r="I1832" s="2">
        <v>5</v>
      </c>
      <c r="J1832" s="31">
        <v>5</v>
      </c>
      <c r="K1832" s="7">
        <f t="shared" si="112"/>
        <v>20000</v>
      </c>
      <c r="L1832" s="7">
        <f t="shared" si="113"/>
        <v>1000</v>
      </c>
      <c r="M1832" s="7">
        <f t="shared" si="114"/>
        <v>19000</v>
      </c>
      <c r="N1832" s="23">
        <v>28000</v>
      </c>
      <c r="O1832" s="7">
        <f t="shared" si="115"/>
        <v>47000</v>
      </c>
      <c r="P1832" s="2" t="s">
        <v>29</v>
      </c>
      <c r="Q1832" t="str">
        <f>_xlfn.XLOOKUP(B1832,Status!$A$2:$A$1867,Status!$B$2:$B$1867)</f>
        <v>Pending</v>
      </c>
      <c r="R1832" s="2" t="s">
        <v>23</v>
      </c>
      <c r="S1832" s="8">
        <v>1</v>
      </c>
      <c r="T1832" s="2" t="s">
        <v>24</v>
      </c>
      <c r="U1832" s="31" t="str" cm="1">
        <f t="array" ref="U1832">_xlfn.IFS(L1832&lt;=5000,$Z$3,AND(L1832&gt;5000,L1832&lt;=15000),$Z$4,AND(L1832&gt;15000,L1832&lt;=30000),$Z$5,AND(L1832&gt;30000,L1832&lt;=50000),$Z$6,L1832&gt;50000,$Z$7)</f>
        <v>Sangat Rendah</v>
      </c>
      <c r="V1832" s="2"/>
    </row>
    <row r="1833" spans="1:22" ht="15.75" customHeight="1" x14ac:dyDescent="0.25">
      <c r="A1833" s="26"/>
      <c r="B1833" s="2" t="s">
        <v>2196</v>
      </c>
      <c r="C1833" s="32">
        <v>45887.202337962961</v>
      </c>
      <c r="D1833" s="53">
        <f>YEAR(Table1[[#This Row],[Order Date]])</f>
        <v>2025</v>
      </c>
      <c r="E1833" s="2" t="s">
        <v>194</v>
      </c>
      <c r="F1833" s="2" t="s">
        <v>195</v>
      </c>
      <c r="G1833" s="2" t="s">
        <v>34</v>
      </c>
      <c r="H1833" s="23">
        <v>16000</v>
      </c>
      <c r="I1833" s="2">
        <v>4</v>
      </c>
      <c r="J1833" s="31">
        <v>5</v>
      </c>
      <c r="K1833" s="7">
        <f t="shared" si="112"/>
        <v>64000</v>
      </c>
      <c r="L1833" s="7">
        <f t="shared" si="113"/>
        <v>3200</v>
      </c>
      <c r="M1833" s="7">
        <f t="shared" si="114"/>
        <v>60800</v>
      </c>
      <c r="N1833" s="23">
        <v>87000</v>
      </c>
      <c r="O1833" s="7">
        <f t="shared" si="115"/>
        <v>147800</v>
      </c>
      <c r="P1833" s="2" t="s">
        <v>29</v>
      </c>
      <c r="Q1833" t="str">
        <f>_xlfn.XLOOKUP(B1833,Status!$A$2:$A$1867,Status!$B$2:$B$1867)</f>
        <v>Pending</v>
      </c>
      <c r="R1833" s="2" t="s">
        <v>23</v>
      </c>
      <c r="S1833" s="8">
        <v>4</v>
      </c>
      <c r="T1833" s="2" t="s">
        <v>24</v>
      </c>
      <c r="U1833" s="31" t="str" cm="1">
        <f t="array" ref="U1833">_xlfn.IFS(L1833&lt;=5000,$Z$3,AND(L1833&gt;5000,L1833&lt;=15000),$Z$4,AND(L1833&gt;15000,L1833&lt;=30000),$Z$5,AND(L1833&gt;30000,L1833&lt;=50000),$Z$6,L1833&gt;50000,$Z$7)</f>
        <v>Sangat Rendah</v>
      </c>
      <c r="V1833" s="2"/>
    </row>
    <row r="1834" spans="1:22" ht="15.75" customHeight="1" x14ac:dyDescent="0.25">
      <c r="A1834" s="26"/>
      <c r="B1834" s="2" t="s">
        <v>2197</v>
      </c>
      <c r="C1834" s="32">
        <v>45887.460578703707</v>
      </c>
      <c r="D1834" s="53">
        <f>YEAR(Table1[[#This Row],[Order Date]])</f>
        <v>2025</v>
      </c>
      <c r="E1834" s="2" t="s">
        <v>331</v>
      </c>
      <c r="F1834" s="2" t="s">
        <v>20</v>
      </c>
      <c r="G1834" s="2" t="s">
        <v>186</v>
      </c>
      <c r="H1834" s="23">
        <v>45000</v>
      </c>
      <c r="I1834" s="2">
        <v>2</v>
      </c>
      <c r="J1834" s="31">
        <v>10</v>
      </c>
      <c r="K1834" s="7">
        <f t="shared" si="112"/>
        <v>90000</v>
      </c>
      <c r="L1834" s="7">
        <f t="shared" si="113"/>
        <v>9000</v>
      </c>
      <c r="M1834" s="7">
        <f t="shared" si="114"/>
        <v>81000</v>
      </c>
      <c r="N1834" s="23">
        <v>15000</v>
      </c>
      <c r="O1834" s="7">
        <f t="shared" si="115"/>
        <v>96000</v>
      </c>
      <c r="P1834" s="2" t="s">
        <v>35</v>
      </c>
      <c r="Q1834" t="str">
        <f>_xlfn.XLOOKUP(B1834,Status!$A$2:$A$1867,Status!$B$2:$B$1867)</f>
        <v>Completed</v>
      </c>
      <c r="R1834" s="2" t="s">
        <v>36</v>
      </c>
      <c r="S1834" s="8">
        <v>5</v>
      </c>
      <c r="T1834" s="2" t="s">
        <v>37</v>
      </c>
      <c r="U1834" s="31" t="str" cm="1">
        <f t="array" ref="U1834">_xlfn.IFS(L1834&lt;=5000,$Z$3,AND(L1834&gt;5000,L1834&lt;=15000),$Z$4,AND(L1834&gt;15000,L1834&lt;=30000),$Z$5,AND(L1834&gt;30000,L1834&lt;=50000),$Z$6,L1834&gt;50000,$Z$7)</f>
        <v>Rendah</v>
      </c>
      <c r="V1834" s="2"/>
    </row>
    <row r="1835" spans="1:22" ht="15.75" customHeight="1" x14ac:dyDescent="0.25">
      <c r="A1835" s="26"/>
      <c r="B1835" s="2" t="s">
        <v>2198</v>
      </c>
      <c r="C1835" s="32">
        <v>45887.619583333333</v>
      </c>
      <c r="D1835" s="53">
        <f>YEAR(Table1[[#This Row],[Order Date]])</f>
        <v>2025</v>
      </c>
      <c r="E1835" s="2" t="s">
        <v>451</v>
      </c>
      <c r="F1835" s="2" t="s">
        <v>116</v>
      </c>
      <c r="G1835" s="2" t="s">
        <v>75</v>
      </c>
      <c r="H1835" s="23">
        <v>55000</v>
      </c>
      <c r="I1835" s="2">
        <v>5</v>
      </c>
      <c r="J1835" s="31">
        <v>10</v>
      </c>
      <c r="K1835" s="7">
        <f t="shared" si="112"/>
        <v>275000</v>
      </c>
      <c r="L1835" s="7">
        <f t="shared" si="113"/>
        <v>27500</v>
      </c>
      <c r="M1835" s="7">
        <f t="shared" si="114"/>
        <v>247500</v>
      </c>
      <c r="N1835" s="23">
        <v>72000</v>
      </c>
      <c r="O1835" s="7">
        <f t="shared" si="115"/>
        <v>319500</v>
      </c>
      <c r="P1835" s="2" t="s">
        <v>29</v>
      </c>
      <c r="Q1835" t="str">
        <f>_xlfn.XLOOKUP(B1835,Status!$A$2:$A$1867,Status!$B$2:$B$1867)</f>
        <v>Completed</v>
      </c>
      <c r="R1835" s="2" t="s">
        <v>46</v>
      </c>
      <c r="S1835" s="8">
        <v>4</v>
      </c>
      <c r="T1835" s="2" t="s">
        <v>24</v>
      </c>
      <c r="U1835" s="31" t="str" cm="1">
        <f t="array" ref="U1835">_xlfn.IFS(L1835&lt;=5000,$Z$3,AND(L1835&gt;5000,L1835&lt;=15000),$Z$4,AND(L1835&gt;15000,L1835&lt;=30000),$Z$5,AND(L1835&gt;30000,L1835&lt;=50000),$Z$6,L1835&gt;50000,$Z$7)</f>
        <v>Normal</v>
      </c>
      <c r="V1835" s="2"/>
    </row>
    <row r="1836" spans="1:22" ht="15.75" customHeight="1" x14ac:dyDescent="0.25">
      <c r="A1836" s="26"/>
      <c r="B1836" s="2" t="s">
        <v>2199</v>
      </c>
      <c r="C1836" s="32">
        <v>45887.642928240741</v>
      </c>
      <c r="D1836" s="53">
        <f>YEAR(Table1[[#This Row],[Order Date]])</f>
        <v>2025</v>
      </c>
      <c r="E1836" s="2" t="s">
        <v>468</v>
      </c>
      <c r="F1836" s="2" t="s">
        <v>163</v>
      </c>
      <c r="G1836" s="2" t="s">
        <v>93</v>
      </c>
      <c r="H1836" s="23">
        <v>25000</v>
      </c>
      <c r="I1836" s="2">
        <v>4</v>
      </c>
      <c r="J1836" s="31">
        <v>20</v>
      </c>
      <c r="K1836" s="7">
        <f t="shared" si="112"/>
        <v>100000</v>
      </c>
      <c r="L1836" s="7">
        <f t="shared" si="113"/>
        <v>20000</v>
      </c>
      <c r="M1836" s="7">
        <f t="shared" si="114"/>
        <v>80000</v>
      </c>
      <c r="N1836" s="23">
        <v>50000</v>
      </c>
      <c r="O1836" s="7">
        <f t="shared" si="115"/>
        <v>130000</v>
      </c>
      <c r="P1836" s="2" t="s">
        <v>63</v>
      </c>
      <c r="Q1836" t="str">
        <f>_xlfn.XLOOKUP(B1836,Status!$A$2:$A$1867,Status!$B$2:$B$1867)</f>
        <v>Shipped</v>
      </c>
      <c r="R1836" s="2" t="s">
        <v>30</v>
      </c>
      <c r="S1836" s="8">
        <v>5</v>
      </c>
      <c r="T1836" s="2" t="s">
        <v>24</v>
      </c>
      <c r="U1836" s="31" t="str" cm="1">
        <f t="array" ref="U1836">_xlfn.IFS(L1836&lt;=5000,$Z$3,AND(L1836&gt;5000,L1836&lt;=15000),$Z$4,AND(L1836&gt;15000,L1836&lt;=30000),$Z$5,AND(L1836&gt;30000,L1836&lt;=50000),$Z$6,L1836&gt;50000,$Z$7)</f>
        <v>Normal</v>
      </c>
      <c r="V1836" s="2"/>
    </row>
    <row r="1837" spans="1:22" ht="15.75" customHeight="1" x14ac:dyDescent="0.25">
      <c r="A1837" s="26"/>
      <c r="B1837" s="2" t="s">
        <v>2200</v>
      </c>
      <c r="C1837" s="32">
        <v>45887.850115740737</v>
      </c>
      <c r="D1837" s="53">
        <f>YEAR(Table1[[#This Row],[Order Date]])</f>
        <v>2025</v>
      </c>
      <c r="E1837" s="2" t="s">
        <v>985</v>
      </c>
      <c r="F1837" s="2" t="s">
        <v>53</v>
      </c>
      <c r="G1837" s="2" t="s">
        <v>50</v>
      </c>
      <c r="H1837" s="23">
        <v>14000</v>
      </c>
      <c r="I1837" s="2">
        <v>2</v>
      </c>
      <c r="J1837" s="31">
        <v>10</v>
      </c>
      <c r="K1837" s="7">
        <f t="shared" si="112"/>
        <v>28000</v>
      </c>
      <c r="L1837" s="7">
        <f t="shared" si="113"/>
        <v>2800</v>
      </c>
      <c r="M1837" s="7">
        <f t="shared" si="114"/>
        <v>25200</v>
      </c>
      <c r="N1837" s="23">
        <v>18000</v>
      </c>
      <c r="O1837" s="7">
        <f t="shared" si="115"/>
        <v>43200</v>
      </c>
      <c r="P1837" s="2" t="s">
        <v>29</v>
      </c>
      <c r="Q1837" t="str">
        <f>_xlfn.XLOOKUP(B1837,Status!$A$2:$A$1867,Status!$B$2:$B$1867)</f>
        <v>Shipped</v>
      </c>
      <c r="R1837" s="2" t="s">
        <v>46</v>
      </c>
      <c r="S1837" s="8">
        <v>2</v>
      </c>
      <c r="T1837" s="2" t="s">
        <v>24</v>
      </c>
      <c r="U1837" s="31" t="str" cm="1">
        <f t="array" ref="U1837">_xlfn.IFS(L1837&lt;=5000,$Z$3,AND(L1837&gt;5000,L1837&lt;=15000),$Z$4,AND(L1837&gt;15000,L1837&lt;=30000),$Z$5,AND(L1837&gt;30000,L1837&lt;=50000),$Z$6,L1837&gt;50000,$Z$7)</f>
        <v>Sangat Rendah</v>
      </c>
      <c r="V1837" s="2"/>
    </row>
    <row r="1838" spans="1:22" ht="15.75" customHeight="1" x14ac:dyDescent="0.25">
      <c r="A1838" s="26"/>
      <c r="B1838" s="2" t="s">
        <v>2201</v>
      </c>
      <c r="C1838" s="32">
        <v>45888.047418981478</v>
      </c>
      <c r="D1838" s="53">
        <f>YEAR(Table1[[#This Row],[Order Date]])</f>
        <v>2025</v>
      </c>
      <c r="E1838" s="2" t="s">
        <v>1757</v>
      </c>
      <c r="F1838" s="2" t="s">
        <v>74</v>
      </c>
      <c r="G1838" s="2" t="s">
        <v>190</v>
      </c>
      <c r="H1838" s="23">
        <v>35000</v>
      </c>
      <c r="I1838" s="2">
        <v>5</v>
      </c>
      <c r="J1838" s="31">
        <v>0</v>
      </c>
      <c r="K1838" s="7">
        <f t="shared" si="112"/>
        <v>175000</v>
      </c>
      <c r="L1838" s="7">
        <f t="shared" si="113"/>
        <v>0</v>
      </c>
      <c r="M1838" s="7">
        <f t="shared" si="114"/>
        <v>175000</v>
      </c>
      <c r="N1838" s="23">
        <v>87000</v>
      </c>
      <c r="O1838" s="7">
        <f t="shared" si="115"/>
        <v>262000</v>
      </c>
      <c r="P1838" s="2" t="s">
        <v>63</v>
      </c>
      <c r="Q1838" t="str">
        <f>_xlfn.XLOOKUP(B1838,Status!$A$2:$A$1867,Status!$B$2:$B$1867)</f>
        <v>Shipped</v>
      </c>
      <c r="R1838" s="2" t="s">
        <v>23</v>
      </c>
      <c r="S1838" s="8">
        <v>4</v>
      </c>
      <c r="T1838" s="2" t="s">
        <v>37</v>
      </c>
      <c r="U1838" s="31" t="str" cm="1">
        <f t="array" ref="U1838">_xlfn.IFS(L1838&lt;=5000,$Z$3,AND(L1838&gt;5000,L1838&lt;=15000),$Z$4,AND(L1838&gt;15000,L1838&lt;=30000),$Z$5,AND(L1838&gt;30000,L1838&lt;=50000),$Z$6,L1838&gt;50000,$Z$7)</f>
        <v>Sangat Rendah</v>
      </c>
      <c r="V1838" s="2"/>
    </row>
    <row r="1839" spans="1:22" ht="15.75" customHeight="1" x14ac:dyDescent="0.25">
      <c r="A1839" s="26"/>
      <c r="B1839" s="2" t="s">
        <v>2202</v>
      </c>
      <c r="C1839" s="32">
        <v>45888.12636574074</v>
      </c>
      <c r="D1839" s="53">
        <f>YEAR(Table1[[#This Row],[Order Date]])</f>
        <v>2025</v>
      </c>
      <c r="E1839" s="2" t="s">
        <v>856</v>
      </c>
      <c r="F1839" s="2" t="s">
        <v>244</v>
      </c>
      <c r="G1839" s="2" t="s">
        <v>136</v>
      </c>
      <c r="H1839" s="23">
        <v>12000</v>
      </c>
      <c r="I1839" s="2">
        <v>1</v>
      </c>
      <c r="J1839" s="31">
        <v>10</v>
      </c>
      <c r="K1839" s="7">
        <f t="shared" si="112"/>
        <v>12000</v>
      </c>
      <c r="L1839" s="7">
        <f t="shared" si="113"/>
        <v>1200</v>
      </c>
      <c r="M1839" s="7">
        <f t="shared" si="114"/>
        <v>10800</v>
      </c>
      <c r="N1839" s="23">
        <v>80000</v>
      </c>
      <c r="O1839" s="7">
        <f t="shared" si="115"/>
        <v>90800</v>
      </c>
      <c r="P1839" s="2" t="s">
        <v>35</v>
      </c>
      <c r="Q1839" t="str">
        <f>_xlfn.XLOOKUP(B1839,Status!$A$2:$A$1867,Status!$B$2:$B$1867)</f>
        <v>Completed</v>
      </c>
      <c r="R1839" s="2" t="s">
        <v>82</v>
      </c>
      <c r="S1839" s="8">
        <v>4</v>
      </c>
      <c r="T1839" s="2" t="s">
        <v>24</v>
      </c>
      <c r="U1839" s="31" t="str" cm="1">
        <f t="array" ref="U1839">_xlfn.IFS(L1839&lt;=5000,$Z$3,AND(L1839&gt;5000,L1839&lt;=15000),$Z$4,AND(L1839&gt;15000,L1839&lt;=30000),$Z$5,AND(L1839&gt;30000,L1839&lt;=50000),$Z$6,L1839&gt;50000,$Z$7)</f>
        <v>Sangat Rendah</v>
      </c>
      <c r="V1839" s="2"/>
    </row>
    <row r="1840" spans="1:22" ht="15.75" customHeight="1" x14ac:dyDescent="0.25">
      <c r="A1840" s="26"/>
      <c r="B1840" s="2" t="s">
        <v>2202</v>
      </c>
      <c r="C1840" s="32">
        <v>45888.12636574074</v>
      </c>
      <c r="D1840" s="53">
        <f>YEAR(Table1[[#This Row],[Order Date]])</f>
        <v>2025</v>
      </c>
      <c r="E1840" s="2" t="s">
        <v>856</v>
      </c>
      <c r="F1840" s="2" t="s">
        <v>244</v>
      </c>
      <c r="G1840" s="2" t="s">
        <v>110</v>
      </c>
      <c r="H1840" s="23">
        <v>6000</v>
      </c>
      <c r="I1840" s="2">
        <v>4</v>
      </c>
      <c r="J1840" s="31">
        <v>5</v>
      </c>
      <c r="K1840" s="7">
        <f t="shared" si="112"/>
        <v>24000</v>
      </c>
      <c r="L1840" s="7">
        <f t="shared" si="113"/>
        <v>1200</v>
      </c>
      <c r="M1840" s="7">
        <f t="shared" si="114"/>
        <v>22800</v>
      </c>
      <c r="N1840" s="23">
        <v>0</v>
      </c>
      <c r="O1840" s="7">
        <f t="shared" si="115"/>
        <v>22800</v>
      </c>
      <c r="P1840" s="2" t="s">
        <v>35</v>
      </c>
      <c r="Q1840" t="str">
        <f>_xlfn.XLOOKUP(B1840,Status!$A$2:$A$1867,Status!$B$2:$B$1867)</f>
        <v>Completed</v>
      </c>
      <c r="R1840" s="2" t="s">
        <v>82</v>
      </c>
      <c r="S1840" s="8">
        <v>4</v>
      </c>
      <c r="T1840" s="2" t="s">
        <v>24</v>
      </c>
      <c r="U1840" s="31" t="str" cm="1">
        <f t="array" ref="U1840">_xlfn.IFS(L1840&lt;=5000,$Z$3,AND(L1840&gt;5000,L1840&lt;=15000),$Z$4,AND(L1840&gt;15000,L1840&lt;=30000),$Z$5,AND(L1840&gt;30000,L1840&lt;=50000),$Z$6,L1840&gt;50000,$Z$7)</f>
        <v>Sangat Rendah</v>
      </c>
      <c r="V1840" s="2"/>
    </row>
    <row r="1841" spans="1:22" ht="15.75" customHeight="1" x14ac:dyDescent="0.25">
      <c r="A1841" s="26"/>
      <c r="B1841" s="2" t="s">
        <v>2203</v>
      </c>
      <c r="C1841" s="32">
        <v>45888.334062499998</v>
      </c>
      <c r="D1841" s="53">
        <f>YEAR(Table1[[#This Row],[Order Date]])</f>
        <v>2025</v>
      </c>
      <c r="E1841" s="2" t="s">
        <v>311</v>
      </c>
      <c r="F1841" s="2" t="s">
        <v>116</v>
      </c>
      <c r="G1841" s="2" t="s">
        <v>136</v>
      </c>
      <c r="H1841" s="23">
        <v>12000</v>
      </c>
      <c r="I1841" s="2">
        <v>2</v>
      </c>
      <c r="J1841" s="31">
        <v>20</v>
      </c>
      <c r="K1841" s="7">
        <f t="shared" si="112"/>
        <v>24000</v>
      </c>
      <c r="L1841" s="7">
        <f t="shared" si="113"/>
        <v>4800</v>
      </c>
      <c r="M1841" s="7">
        <f t="shared" si="114"/>
        <v>19200</v>
      </c>
      <c r="N1841" s="23">
        <v>72000</v>
      </c>
      <c r="O1841" s="7">
        <f t="shared" si="115"/>
        <v>91200</v>
      </c>
      <c r="P1841" s="2" t="s">
        <v>63</v>
      </c>
      <c r="Q1841" t="str">
        <f>_xlfn.XLOOKUP(B1841,Status!$A$2:$A$1867,Status!$B$2:$B$1867)</f>
        <v>Completed</v>
      </c>
      <c r="R1841" s="2" t="s">
        <v>30</v>
      </c>
      <c r="S1841" s="8">
        <v>1</v>
      </c>
      <c r="T1841" s="2" t="s">
        <v>24</v>
      </c>
      <c r="U1841" s="31" t="str" cm="1">
        <f t="array" ref="U1841">_xlfn.IFS(L1841&lt;=5000,$Z$3,AND(L1841&gt;5000,L1841&lt;=15000),$Z$4,AND(L1841&gt;15000,L1841&lt;=30000),$Z$5,AND(L1841&gt;30000,L1841&lt;=50000),$Z$6,L1841&gt;50000,$Z$7)</f>
        <v>Sangat Rendah</v>
      </c>
      <c r="V1841" s="2"/>
    </row>
    <row r="1842" spans="1:22" ht="15.75" customHeight="1" x14ac:dyDescent="0.25">
      <c r="A1842" s="26"/>
      <c r="B1842" s="2" t="s">
        <v>2204</v>
      </c>
      <c r="C1842" s="32">
        <v>45888.621793981481</v>
      </c>
      <c r="D1842" s="53">
        <f>YEAR(Table1[[#This Row],[Order Date]])</f>
        <v>2025</v>
      </c>
      <c r="E1842" s="2" t="s">
        <v>26</v>
      </c>
      <c r="F1842" s="2" t="s">
        <v>27</v>
      </c>
      <c r="G1842" s="2" t="s">
        <v>93</v>
      </c>
      <c r="H1842" s="23">
        <v>25000</v>
      </c>
      <c r="I1842" s="2">
        <v>4</v>
      </c>
      <c r="J1842" s="31">
        <v>5</v>
      </c>
      <c r="K1842" s="7">
        <f t="shared" si="112"/>
        <v>100000</v>
      </c>
      <c r="L1842" s="7">
        <f t="shared" si="113"/>
        <v>5000</v>
      </c>
      <c r="M1842" s="7">
        <f t="shared" si="114"/>
        <v>95000</v>
      </c>
      <c r="N1842" s="23">
        <v>17000</v>
      </c>
      <c r="O1842" s="7">
        <f t="shared" si="115"/>
        <v>112000</v>
      </c>
      <c r="P1842" s="2" t="s">
        <v>63</v>
      </c>
      <c r="Q1842" t="str">
        <f>_xlfn.XLOOKUP(B1842,Status!$A$2:$A$1867,Status!$B$2:$B$1867)</f>
        <v>Completed</v>
      </c>
      <c r="R1842" s="2" t="s">
        <v>23</v>
      </c>
      <c r="S1842" s="8">
        <v>5</v>
      </c>
      <c r="T1842" s="2" t="s">
        <v>24</v>
      </c>
      <c r="U1842" s="31" t="str" cm="1">
        <f t="array" ref="U1842">_xlfn.IFS(L1842&lt;=5000,$Z$3,AND(L1842&gt;5000,L1842&lt;=15000),$Z$4,AND(L1842&gt;15000,L1842&lt;=30000),$Z$5,AND(L1842&gt;30000,L1842&lt;=50000),$Z$6,L1842&gt;50000,$Z$7)</f>
        <v>Sangat Rendah</v>
      </c>
      <c r="V1842" s="2"/>
    </row>
    <row r="1843" spans="1:22" ht="15.75" customHeight="1" x14ac:dyDescent="0.25">
      <c r="A1843" s="26"/>
      <c r="B1843" s="2" t="s">
        <v>2205</v>
      </c>
      <c r="C1843" s="32">
        <v>45888.760451388887</v>
      </c>
      <c r="D1843" s="53">
        <f>YEAR(Table1[[#This Row],[Order Date]])</f>
        <v>2025</v>
      </c>
      <c r="E1843" s="2" t="s">
        <v>1887</v>
      </c>
      <c r="F1843" s="2" t="s">
        <v>238</v>
      </c>
      <c r="G1843" s="2" t="s">
        <v>250</v>
      </c>
      <c r="H1843" s="23">
        <v>18000</v>
      </c>
      <c r="I1843" s="2">
        <v>2</v>
      </c>
      <c r="J1843" s="31">
        <v>10</v>
      </c>
      <c r="K1843" s="7">
        <f t="shared" si="112"/>
        <v>36000</v>
      </c>
      <c r="L1843" s="7">
        <f t="shared" si="113"/>
        <v>3600</v>
      </c>
      <c r="M1843" s="7">
        <f t="shared" si="114"/>
        <v>32400</v>
      </c>
      <c r="N1843" s="23">
        <v>28000</v>
      </c>
      <c r="O1843" s="7">
        <f t="shared" si="115"/>
        <v>60400</v>
      </c>
      <c r="P1843" s="2" t="s">
        <v>22</v>
      </c>
      <c r="Q1843" t="str">
        <f>_xlfn.XLOOKUP(B1843,Status!$A$2:$A$1867,Status!$B$2:$B$1867)</f>
        <v>Completed</v>
      </c>
      <c r="R1843" s="2" t="s">
        <v>30</v>
      </c>
      <c r="S1843" s="8">
        <v>1</v>
      </c>
      <c r="T1843" s="2" t="s">
        <v>24</v>
      </c>
      <c r="U1843" s="31" t="str" cm="1">
        <f t="array" ref="U1843">_xlfn.IFS(L1843&lt;=5000,$Z$3,AND(L1843&gt;5000,L1843&lt;=15000),$Z$4,AND(L1843&gt;15000,L1843&lt;=30000),$Z$5,AND(L1843&gt;30000,L1843&lt;=50000),$Z$6,L1843&gt;50000,$Z$7)</f>
        <v>Sangat Rendah</v>
      </c>
      <c r="V1843" s="2"/>
    </row>
    <row r="1844" spans="1:22" ht="15.75" customHeight="1" x14ac:dyDescent="0.25">
      <c r="A1844" s="26"/>
      <c r="B1844" s="2" t="s">
        <v>2206</v>
      </c>
      <c r="C1844" s="32">
        <v>45888.770277777781</v>
      </c>
      <c r="D1844" s="53">
        <f>YEAR(Table1[[#This Row],[Order Date]])</f>
        <v>2025</v>
      </c>
      <c r="E1844" s="2" t="s">
        <v>155</v>
      </c>
      <c r="F1844" s="2" t="s">
        <v>92</v>
      </c>
      <c r="G1844" s="2" t="s">
        <v>50</v>
      </c>
      <c r="H1844" s="23">
        <v>14000</v>
      </c>
      <c r="I1844" s="2">
        <v>1</v>
      </c>
      <c r="J1844" s="31">
        <v>10</v>
      </c>
      <c r="K1844" s="7">
        <f t="shared" si="112"/>
        <v>14000</v>
      </c>
      <c r="L1844" s="7">
        <f t="shared" si="113"/>
        <v>1400</v>
      </c>
      <c r="M1844" s="7">
        <f t="shared" si="114"/>
        <v>12600</v>
      </c>
      <c r="N1844" s="23">
        <v>30000</v>
      </c>
      <c r="O1844" s="7">
        <f t="shared" si="115"/>
        <v>42600</v>
      </c>
      <c r="P1844" s="2" t="s">
        <v>63</v>
      </c>
      <c r="Q1844" t="str">
        <f>_xlfn.XLOOKUP(B1844,Status!$A$2:$A$1867,Status!$B$2:$B$1867)</f>
        <v>Shipped</v>
      </c>
      <c r="R1844" s="2" t="s">
        <v>36</v>
      </c>
      <c r="S1844" s="8">
        <v>5</v>
      </c>
      <c r="T1844" s="2" t="s">
        <v>24</v>
      </c>
      <c r="U1844" s="31" t="str" cm="1">
        <f t="array" ref="U1844">_xlfn.IFS(L1844&lt;=5000,$Z$3,AND(L1844&gt;5000,L1844&lt;=15000),$Z$4,AND(L1844&gt;15000,L1844&lt;=30000),$Z$5,AND(L1844&gt;30000,L1844&lt;=50000),$Z$6,L1844&gt;50000,$Z$7)</f>
        <v>Sangat Rendah</v>
      </c>
      <c r="V1844" s="2"/>
    </row>
    <row r="1845" spans="1:22" ht="15.75" customHeight="1" x14ac:dyDescent="0.25">
      <c r="A1845" s="26"/>
      <c r="B1845" s="2" t="s">
        <v>2207</v>
      </c>
      <c r="C1845" s="32">
        <v>45889.011504629627</v>
      </c>
      <c r="D1845" s="53">
        <f>YEAR(Table1[[#This Row],[Order Date]])</f>
        <v>2025</v>
      </c>
      <c r="E1845" s="2" t="s">
        <v>218</v>
      </c>
      <c r="F1845" s="2" t="s">
        <v>170</v>
      </c>
      <c r="G1845" s="2" t="s">
        <v>41</v>
      </c>
      <c r="H1845" s="23">
        <v>4000</v>
      </c>
      <c r="I1845" s="2">
        <v>4</v>
      </c>
      <c r="J1845" s="31">
        <v>10</v>
      </c>
      <c r="K1845" s="7">
        <f t="shared" si="112"/>
        <v>16000</v>
      </c>
      <c r="L1845" s="7">
        <f t="shared" si="113"/>
        <v>1600</v>
      </c>
      <c r="M1845" s="7">
        <f t="shared" si="114"/>
        <v>14400</v>
      </c>
      <c r="N1845" s="23">
        <v>46000</v>
      </c>
      <c r="O1845" s="7">
        <f t="shared" si="115"/>
        <v>60400</v>
      </c>
      <c r="P1845" s="2" t="s">
        <v>22</v>
      </c>
      <c r="Q1845" t="str">
        <f>_xlfn.XLOOKUP(B1845,Status!$A$2:$A$1867,Status!$B$2:$B$1867)</f>
        <v>Completed</v>
      </c>
      <c r="R1845" s="2" t="s">
        <v>46</v>
      </c>
      <c r="S1845" s="8">
        <v>5</v>
      </c>
      <c r="T1845" s="2" t="s">
        <v>24</v>
      </c>
      <c r="U1845" s="31" t="str" cm="1">
        <f t="array" ref="U1845">_xlfn.IFS(L1845&lt;=5000,$Z$3,AND(L1845&gt;5000,L1845&lt;=15000),$Z$4,AND(L1845&gt;15000,L1845&lt;=30000),$Z$5,AND(L1845&gt;30000,L1845&lt;=50000),$Z$6,L1845&gt;50000,$Z$7)</f>
        <v>Sangat Rendah</v>
      </c>
      <c r="V1845" s="2"/>
    </row>
    <row r="1846" spans="1:22" ht="15.75" customHeight="1" x14ac:dyDescent="0.25">
      <c r="A1846" s="26"/>
      <c r="B1846" s="2" t="s">
        <v>2208</v>
      </c>
      <c r="C1846" s="32">
        <v>45889.588425925933</v>
      </c>
      <c r="D1846" s="53">
        <f>YEAR(Table1[[#This Row],[Order Date]])</f>
        <v>2025</v>
      </c>
      <c r="E1846" s="2" t="s">
        <v>79</v>
      </c>
      <c r="F1846" s="2" t="s">
        <v>80</v>
      </c>
      <c r="G1846" s="2" t="s">
        <v>104</v>
      </c>
      <c r="H1846" s="23">
        <v>30000</v>
      </c>
      <c r="I1846" s="2">
        <v>1</v>
      </c>
      <c r="J1846" s="31">
        <v>10</v>
      </c>
      <c r="K1846" s="7">
        <f t="shared" si="112"/>
        <v>30000</v>
      </c>
      <c r="L1846" s="7">
        <f t="shared" si="113"/>
        <v>3000</v>
      </c>
      <c r="M1846" s="7">
        <f t="shared" si="114"/>
        <v>27000</v>
      </c>
      <c r="N1846" s="23">
        <v>74000</v>
      </c>
      <c r="O1846" s="7">
        <f t="shared" si="115"/>
        <v>101000</v>
      </c>
      <c r="P1846" s="2" t="s">
        <v>22</v>
      </c>
      <c r="Q1846" t="str">
        <f>_xlfn.XLOOKUP(B1846,Status!$A$2:$A$1867,Status!$B$2:$B$1867)</f>
        <v>Shipped</v>
      </c>
      <c r="R1846" s="2" t="s">
        <v>46</v>
      </c>
      <c r="S1846" s="8">
        <v>1</v>
      </c>
      <c r="T1846" s="2" t="s">
        <v>24</v>
      </c>
      <c r="U1846" s="31" t="str" cm="1">
        <f t="array" ref="U1846">_xlfn.IFS(L1846&lt;=5000,$Z$3,AND(L1846&gt;5000,L1846&lt;=15000),$Z$4,AND(L1846&gt;15000,L1846&lt;=30000),$Z$5,AND(L1846&gt;30000,L1846&lt;=50000),$Z$6,L1846&gt;50000,$Z$7)</f>
        <v>Sangat Rendah</v>
      </c>
      <c r="V1846" s="2"/>
    </row>
    <row r="1847" spans="1:22" ht="15.75" customHeight="1" x14ac:dyDescent="0.25">
      <c r="A1847" s="26"/>
      <c r="B1847" s="2" t="s">
        <v>2209</v>
      </c>
      <c r="C1847" s="32">
        <v>45889.622465277767</v>
      </c>
      <c r="D1847" s="53">
        <f>YEAR(Table1[[#This Row],[Order Date]])</f>
        <v>2025</v>
      </c>
      <c r="E1847" s="2" t="s">
        <v>2210</v>
      </c>
      <c r="F1847" s="2" t="s">
        <v>126</v>
      </c>
      <c r="G1847" s="2" t="s">
        <v>21</v>
      </c>
      <c r="H1847" s="23">
        <v>45000</v>
      </c>
      <c r="I1847" s="2">
        <v>4</v>
      </c>
      <c r="J1847" s="31">
        <v>15</v>
      </c>
      <c r="K1847" s="7">
        <f t="shared" si="112"/>
        <v>180000</v>
      </c>
      <c r="L1847" s="7">
        <f t="shared" si="113"/>
        <v>27000</v>
      </c>
      <c r="M1847" s="7">
        <f t="shared" si="114"/>
        <v>153000</v>
      </c>
      <c r="N1847" s="23">
        <v>84000</v>
      </c>
      <c r="O1847" s="7">
        <f t="shared" si="115"/>
        <v>237000</v>
      </c>
      <c r="P1847" s="2" t="s">
        <v>22</v>
      </c>
      <c r="Q1847" t="str">
        <f>_xlfn.XLOOKUP(B1847,Status!$A$2:$A$1867,Status!$B$2:$B$1867)</f>
        <v>Completed</v>
      </c>
      <c r="R1847" s="2" t="s">
        <v>46</v>
      </c>
      <c r="S1847" s="8">
        <v>1</v>
      </c>
      <c r="T1847" s="2" t="s">
        <v>24</v>
      </c>
      <c r="U1847" s="31" t="str" cm="1">
        <f t="array" ref="U1847">_xlfn.IFS(L1847&lt;=5000,$Z$3,AND(L1847&gt;5000,L1847&lt;=15000),$Z$4,AND(L1847&gt;15000,L1847&lt;=30000),$Z$5,AND(L1847&gt;30000,L1847&lt;=50000),$Z$6,L1847&gt;50000,$Z$7)</f>
        <v>Normal</v>
      </c>
      <c r="V1847" s="2"/>
    </row>
    <row r="1848" spans="1:22" ht="15.75" customHeight="1" x14ac:dyDescent="0.25">
      <c r="A1848" s="26"/>
      <c r="B1848" s="2" t="s">
        <v>2211</v>
      </c>
      <c r="C1848" s="32">
        <v>45889.630648148152</v>
      </c>
      <c r="D1848" s="53">
        <f>YEAR(Table1[[#This Row],[Order Date]])</f>
        <v>2025</v>
      </c>
      <c r="E1848" s="2" t="s">
        <v>100</v>
      </c>
      <c r="F1848" s="2" t="s">
        <v>66</v>
      </c>
      <c r="G1848" s="2" t="s">
        <v>174</v>
      </c>
      <c r="H1848" s="23">
        <v>10000</v>
      </c>
      <c r="I1848" s="2">
        <v>3</v>
      </c>
      <c r="J1848" s="31">
        <v>0</v>
      </c>
      <c r="K1848" s="7">
        <f t="shared" si="112"/>
        <v>30000</v>
      </c>
      <c r="L1848" s="7">
        <f t="shared" si="113"/>
        <v>0</v>
      </c>
      <c r="M1848" s="7">
        <f t="shared" si="114"/>
        <v>30000</v>
      </c>
      <c r="N1848" s="23">
        <v>59000</v>
      </c>
      <c r="O1848" s="7">
        <f t="shared" si="115"/>
        <v>89000</v>
      </c>
      <c r="P1848" s="2" t="s">
        <v>35</v>
      </c>
      <c r="Q1848" t="str">
        <f>_xlfn.XLOOKUP(B1848,Status!$A$2:$A$1867,Status!$B$2:$B$1867)</f>
        <v>Pending</v>
      </c>
      <c r="R1848" s="2" t="s">
        <v>23</v>
      </c>
      <c r="S1848" s="8">
        <v>1</v>
      </c>
      <c r="T1848" s="2" t="s">
        <v>24</v>
      </c>
      <c r="U1848" s="31" t="str" cm="1">
        <f t="array" ref="U1848">_xlfn.IFS(L1848&lt;=5000,$Z$3,AND(L1848&gt;5000,L1848&lt;=15000),$Z$4,AND(L1848&gt;15000,L1848&lt;=30000),$Z$5,AND(L1848&gt;30000,L1848&lt;=50000),$Z$6,L1848&gt;50000,$Z$7)</f>
        <v>Sangat Rendah</v>
      </c>
      <c r="V1848" s="2"/>
    </row>
    <row r="1849" spans="1:22" ht="15.75" customHeight="1" x14ac:dyDescent="0.25">
      <c r="A1849" s="26"/>
      <c r="B1849" s="2" t="s">
        <v>2212</v>
      </c>
      <c r="C1849" s="32">
        <v>45889.908275462964</v>
      </c>
      <c r="D1849" s="53">
        <f>YEAR(Table1[[#This Row],[Order Date]])</f>
        <v>2025</v>
      </c>
      <c r="E1849" s="2" t="s">
        <v>323</v>
      </c>
      <c r="F1849" s="2" t="s">
        <v>103</v>
      </c>
      <c r="G1849" s="2" t="s">
        <v>62</v>
      </c>
      <c r="H1849" s="23">
        <v>50000</v>
      </c>
      <c r="I1849" s="2">
        <v>2</v>
      </c>
      <c r="J1849" s="31">
        <v>10</v>
      </c>
      <c r="K1849" s="7">
        <f t="shared" si="112"/>
        <v>100000</v>
      </c>
      <c r="L1849" s="7">
        <f t="shared" si="113"/>
        <v>10000</v>
      </c>
      <c r="M1849" s="7">
        <f t="shared" si="114"/>
        <v>90000</v>
      </c>
      <c r="N1849" s="23">
        <v>85000</v>
      </c>
      <c r="O1849" s="7">
        <f t="shared" si="115"/>
        <v>175000</v>
      </c>
      <c r="P1849" s="2" t="s">
        <v>22</v>
      </c>
      <c r="Q1849" t="str">
        <f>_xlfn.XLOOKUP(B1849,Status!$A$2:$A$1867,Status!$B$2:$B$1867)</f>
        <v>Shipped</v>
      </c>
      <c r="R1849" s="2" t="s">
        <v>23</v>
      </c>
      <c r="S1849" s="8">
        <v>2</v>
      </c>
      <c r="T1849" s="2" t="s">
        <v>24</v>
      </c>
      <c r="U1849" s="31" t="str" cm="1">
        <f t="array" ref="U1849">_xlfn.IFS(L1849&lt;=5000,$Z$3,AND(L1849&gt;5000,L1849&lt;=15000),$Z$4,AND(L1849&gt;15000,L1849&lt;=30000),$Z$5,AND(L1849&gt;30000,L1849&lt;=50000),$Z$6,L1849&gt;50000,$Z$7)</f>
        <v>Rendah</v>
      </c>
      <c r="V1849" s="2"/>
    </row>
    <row r="1850" spans="1:22" ht="15.75" customHeight="1" x14ac:dyDescent="0.25">
      <c r="A1850" s="26"/>
      <c r="B1850" s="2" t="s">
        <v>2213</v>
      </c>
      <c r="C1850" s="32">
        <v>45889.971701388888</v>
      </c>
      <c r="D1850" s="53">
        <f>YEAR(Table1[[#This Row],[Order Date]])</f>
        <v>2025</v>
      </c>
      <c r="E1850" s="2" t="s">
        <v>1293</v>
      </c>
      <c r="F1850" s="2" t="s">
        <v>44</v>
      </c>
      <c r="G1850" s="2" t="s">
        <v>58</v>
      </c>
      <c r="H1850" s="23">
        <v>16000</v>
      </c>
      <c r="I1850" s="2">
        <v>2</v>
      </c>
      <c r="J1850" s="31">
        <v>0</v>
      </c>
      <c r="K1850" s="7">
        <f t="shared" si="112"/>
        <v>32000</v>
      </c>
      <c r="L1850" s="7">
        <f t="shared" si="113"/>
        <v>0</v>
      </c>
      <c r="M1850" s="7">
        <f t="shared" si="114"/>
        <v>32000</v>
      </c>
      <c r="N1850" s="23">
        <v>93000</v>
      </c>
      <c r="O1850" s="7">
        <f t="shared" si="115"/>
        <v>125000</v>
      </c>
      <c r="P1850" s="2" t="s">
        <v>29</v>
      </c>
      <c r="Q1850" t="str">
        <f>_xlfn.XLOOKUP(B1850,Status!$A$2:$A$1867,Status!$B$2:$B$1867)</f>
        <v>Completed</v>
      </c>
      <c r="R1850" s="2" t="s">
        <v>36</v>
      </c>
      <c r="S1850" s="8">
        <v>5</v>
      </c>
      <c r="T1850" s="2" t="s">
        <v>24</v>
      </c>
      <c r="U1850" s="31" t="str" cm="1">
        <f t="array" ref="U1850">_xlfn.IFS(L1850&lt;=5000,$Z$3,AND(L1850&gt;5000,L1850&lt;=15000),$Z$4,AND(L1850&gt;15000,L1850&lt;=30000),$Z$5,AND(L1850&gt;30000,L1850&lt;=50000),$Z$6,L1850&gt;50000,$Z$7)</f>
        <v>Sangat Rendah</v>
      </c>
      <c r="V1850" s="2"/>
    </row>
    <row r="1851" spans="1:22" ht="15.75" customHeight="1" x14ac:dyDescent="0.25">
      <c r="A1851" s="26"/>
      <c r="B1851" s="2" t="s">
        <v>2214</v>
      </c>
      <c r="C1851" s="32">
        <v>45890.084027777782</v>
      </c>
      <c r="D1851" s="53">
        <f>YEAR(Table1[[#This Row],[Order Date]])</f>
        <v>2025</v>
      </c>
      <c r="E1851" s="2" t="s">
        <v>483</v>
      </c>
      <c r="F1851" s="2" t="s">
        <v>170</v>
      </c>
      <c r="G1851" s="2" t="s">
        <v>38</v>
      </c>
      <c r="H1851" s="23">
        <v>28000</v>
      </c>
      <c r="I1851" s="2">
        <v>5</v>
      </c>
      <c r="J1851" s="31">
        <v>20</v>
      </c>
      <c r="K1851" s="7">
        <f t="shared" si="112"/>
        <v>140000</v>
      </c>
      <c r="L1851" s="7">
        <f t="shared" si="113"/>
        <v>28000</v>
      </c>
      <c r="M1851" s="7">
        <f t="shared" si="114"/>
        <v>112000</v>
      </c>
      <c r="N1851" s="23">
        <v>46000</v>
      </c>
      <c r="O1851" s="7">
        <f t="shared" si="115"/>
        <v>158000</v>
      </c>
      <c r="P1851" s="2" t="s">
        <v>35</v>
      </c>
      <c r="Q1851" t="str">
        <f>_xlfn.XLOOKUP(B1851,Status!$A$2:$A$1867,Status!$B$2:$B$1867)</f>
        <v>Completed</v>
      </c>
      <c r="R1851" s="2" t="s">
        <v>30</v>
      </c>
      <c r="S1851" s="8">
        <v>5</v>
      </c>
      <c r="T1851" s="2" t="s">
        <v>24</v>
      </c>
      <c r="U1851" s="31" t="str" cm="1">
        <f t="array" ref="U1851">_xlfn.IFS(L1851&lt;=5000,$Z$3,AND(L1851&gt;5000,L1851&lt;=15000),$Z$4,AND(L1851&gt;15000,L1851&lt;=30000),$Z$5,AND(L1851&gt;30000,L1851&lt;=50000),$Z$6,L1851&gt;50000,$Z$7)</f>
        <v>Normal</v>
      </c>
      <c r="V1851" s="2"/>
    </row>
    <row r="1852" spans="1:22" ht="15.75" customHeight="1" x14ac:dyDescent="0.25">
      <c r="A1852" s="26"/>
      <c r="B1852" s="2" t="s">
        <v>2215</v>
      </c>
      <c r="C1852" s="32">
        <v>45890.516875000001</v>
      </c>
      <c r="D1852" s="53">
        <f>YEAR(Table1[[#This Row],[Order Date]])</f>
        <v>2025</v>
      </c>
      <c r="E1852" s="2" t="s">
        <v>729</v>
      </c>
      <c r="F1852" s="2" t="s">
        <v>74</v>
      </c>
      <c r="G1852" s="2" t="s">
        <v>41</v>
      </c>
      <c r="H1852" s="23">
        <v>4000</v>
      </c>
      <c r="I1852" s="2">
        <v>5</v>
      </c>
      <c r="J1852" s="31">
        <v>20</v>
      </c>
      <c r="K1852" s="7">
        <f t="shared" si="112"/>
        <v>20000</v>
      </c>
      <c r="L1852" s="7">
        <f t="shared" si="113"/>
        <v>4000</v>
      </c>
      <c r="M1852" s="7">
        <f t="shared" si="114"/>
        <v>16000</v>
      </c>
      <c r="N1852" s="23">
        <v>87000</v>
      </c>
      <c r="O1852" s="7">
        <f t="shared" si="115"/>
        <v>103000</v>
      </c>
      <c r="P1852" s="2" t="s">
        <v>29</v>
      </c>
      <c r="Q1852" t="str">
        <f>_xlfn.XLOOKUP(B1852,Status!$A$2:$A$1867,Status!$B$2:$B$1867)</f>
        <v>Completed</v>
      </c>
      <c r="R1852" s="2" t="s">
        <v>82</v>
      </c>
      <c r="S1852" s="8">
        <v>1</v>
      </c>
      <c r="T1852" s="2" t="s">
        <v>24</v>
      </c>
      <c r="U1852" s="31" t="str" cm="1">
        <f t="array" ref="U1852">_xlfn.IFS(L1852&lt;=5000,$Z$3,AND(L1852&gt;5000,L1852&lt;=15000),$Z$4,AND(L1852&gt;15000,L1852&lt;=30000),$Z$5,AND(L1852&gt;30000,L1852&lt;=50000),$Z$6,L1852&gt;50000,$Z$7)</f>
        <v>Sangat Rendah</v>
      </c>
      <c r="V1852" s="2"/>
    </row>
    <row r="1853" spans="1:22" ht="15.75" customHeight="1" x14ac:dyDescent="0.25">
      <c r="A1853" s="26"/>
      <c r="B1853" s="2" t="s">
        <v>2215</v>
      </c>
      <c r="C1853" s="32">
        <v>45890.516875000001</v>
      </c>
      <c r="D1853" s="53">
        <f>YEAR(Table1[[#This Row],[Order Date]])</f>
        <v>2025</v>
      </c>
      <c r="E1853" s="2" t="s">
        <v>729</v>
      </c>
      <c r="F1853" s="2" t="s">
        <v>74</v>
      </c>
      <c r="G1853" s="2" t="s">
        <v>144</v>
      </c>
      <c r="H1853" s="23">
        <v>18000</v>
      </c>
      <c r="I1853" s="2">
        <v>1</v>
      </c>
      <c r="J1853" s="31">
        <v>15</v>
      </c>
      <c r="K1853" s="7">
        <f t="shared" si="112"/>
        <v>18000</v>
      </c>
      <c r="L1853" s="7">
        <f t="shared" si="113"/>
        <v>2700</v>
      </c>
      <c r="M1853" s="7">
        <f t="shared" si="114"/>
        <v>15300</v>
      </c>
      <c r="N1853" s="23">
        <v>0</v>
      </c>
      <c r="O1853" s="7">
        <f t="shared" si="115"/>
        <v>15300</v>
      </c>
      <c r="P1853" s="2" t="s">
        <v>29</v>
      </c>
      <c r="Q1853" t="str">
        <f>_xlfn.XLOOKUP(B1853,Status!$A$2:$A$1867,Status!$B$2:$B$1867)</f>
        <v>Completed</v>
      </c>
      <c r="R1853" s="2" t="s">
        <v>82</v>
      </c>
      <c r="S1853" s="8">
        <v>1</v>
      </c>
      <c r="T1853" s="2" t="s">
        <v>24</v>
      </c>
      <c r="U1853" s="31" t="str" cm="1">
        <f t="array" ref="U1853">_xlfn.IFS(L1853&lt;=5000,$Z$3,AND(L1853&gt;5000,L1853&lt;=15000),$Z$4,AND(L1853&gt;15000,L1853&lt;=30000),$Z$5,AND(L1853&gt;30000,L1853&lt;=50000),$Z$6,L1853&gt;50000,$Z$7)</f>
        <v>Sangat Rendah</v>
      </c>
      <c r="V1853" s="2"/>
    </row>
    <row r="1854" spans="1:22" ht="15.75" customHeight="1" x14ac:dyDescent="0.25">
      <c r="A1854" s="26"/>
      <c r="B1854" s="2" t="s">
        <v>2216</v>
      </c>
      <c r="C1854" s="32">
        <v>45890.546898148154</v>
      </c>
      <c r="D1854" s="53">
        <f>YEAR(Table1[[#This Row],[Order Date]])</f>
        <v>2025</v>
      </c>
      <c r="E1854" s="2" t="s">
        <v>184</v>
      </c>
      <c r="F1854" s="2" t="s">
        <v>103</v>
      </c>
      <c r="G1854" s="2" t="s">
        <v>136</v>
      </c>
      <c r="H1854" s="23">
        <v>12000</v>
      </c>
      <c r="I1854" s="2">
        <v>5</v>
      </c>
      <c r="J1854" s="31">
        <v>10</v>
      </c>
      <c r="K1854" s="7">
        <f t="shared" si="112"/>
        <v>60000</v>
      </c>
      <c r="L1854" s="7">
        <f t="shared" si="113"/>
        <v>6000</v>
      </c>
      <c r="M1854" s="7">
        <f t="shared" si="114"/>
        <v>54000</v>
      </c>
      <c r="N1854" s="23">
        <v>85000</v>
      </c>
      <c r="O1854" s="7">
        <f t="shared" si="115"/>
        <v>139000</v>
      </c>
      <c r="P1854" s="2" t="s">
        <v>63</v>
      </c>
      <c r="Q1854" t="str">
        <f>_xlfn.XLOOKUP(B1854,Status!$A$2:$A$1867,Status!$B$2:$B$1867)</f>
        <v>Completed</v>
      </c>
      <c r="R1854" s="2" t="s">
        <v>23</v>
      </c>
      <c r="S1854" s="8">
        <v>3</v>
      </c>
      <c r="T1854" s="2" t="s">
        <v>24</v>
      </c>
      <c r="U1854" s="31" t="str" cm="1">
        <f t="array" ref="U1854">_xlfn.IFS(L1854&lt;=5000,$Z$3,AND(L1854&gt;5000,L1854&lt;=15000),$Z$4,AND(L1854&gt;15000,L1854&lt;=30000),$Z$5,AND(L1854&gt;30000,L1854&lt;=50000),$Z$6,L1854&gt;50000,$Z$7)</f>
        <v>Rendah</v>
      </c>
      <c r="V1854" s="2"/>
    </row>
    <row r="1855" spans="1:22" ht="15.75" customHeight="1" x14ac:dyDescent="0.25">
      <c r="A1855" s="26"/>
      <c r="B1855" s="2" t="s">
        <v>2217</v>
      </c>
      <c r="C1855" s="32">
        <v>45890.834965277783</v>
      </c>
      <c r="D1855" s="53">
        <f>YEAR(Table1[[#This Row],[Order Date]])</f>
        <v>2025</v>
      </c>
      <c r="E1855" s="2" t="s">
        <v>1979</v>
      </c>
      <c r="F1855" s="2" t="s">
        <v>103</v>
      </c>
      <c r="G1855" s="2" t="s">
        <v>45</v>
      </c>
      <c r="H1855" s="23">
        <v>40000</v>
      </c>
      <c r="I1855" s="2">
        <v>2</v>
      </c>
      <c r="J1855" s="31">
        <v>5</v>
      </c>
      <c r="K1855" s="7">
        <f t="shared" si="112"/>
        <v>80000</v>
      </c>
      <c r="L1855" s="7">
        <f t="shared" si="113"/>
        <v>4000</v>
      </c>
      <c r="M1855" s="7">
        <f t="shared" si="114"/>
        <v>76000</v>
      </c>
      <c r="N1855" s="23">
        <v>85000</v>
      </c>
      <c r="O1855" s="7">
        <f t="shared" si="115"/>
        <v>161000</v>
      </c>
      <c r="P1855" s="2" t="s">
        <v>29</v>
      </c>
      <c r="Q1855" t="str">
        <f>_xlfn.XLOOKUP(B1855,Status!$A$2:$A$1867,Status!$B$2:$B$1867)</f>
        <v>Pending</v>
      </c>
      <c r="R1855" s="2" t="s">
        <v>46</v>
      </c>
      <c r="S1855" s="8">
        <v>5</v>
      </c>
      <c r="T1855" s="2" t="s">
        <v>24</v>
      </c>
      <c r="U1855" s="31" t="str" cm="1">
        <f t="array" ref="U1855">_xlfn.IFS(L1855&lt;=5000,$Z$3,AND(L1855&gt;5000,L1855&lt;=15000),$Z$4,AND(L1855&gt;15000,L1855&lt;=30000),$Z$5,AND(L1855&gt;30000,L1855&lt;=50000),$Z$6,L1855&gt;50000,$Z$7)</f>
        <v>Sangat Rendah</v>
      </c>
      <c r="V1855" s="2"/>
    </row>
    <row r="1856" spans="1:22" ht="15.75" customHeight="1" x14ac:dyDescent="0.25">
      <c r="A1856" s="26"/>
      <c r="B1856" s="2" t="s">
        <v>2218</v>
      </c>
      <c r="C1856" s="32">
        <v>45891.047812500001</v>
      </c>
      <c r="D1856" s="53">
        <f>YEAR(Table1[[#This Row],[Order Date]])</f>
        <v>2025</v>
      </c>
      <c r="E1856" s="2" t="s">
        <v>918</v>
      </c>
      <c r="F1856" s="2" t="s">
        <v>296</v>
      </c>
      <c r="G1856" s="2" t="s">
        <v>28</v>
      </c>
      <c r="H1856" s="23">
        <v>5000</v>
      </c>
      <c r="I1856" s="2">
        <v>3</v>
      </c>
      <c r="J1856" s="31">
        <v>15</v>
      </c>
      <c r="K1856" s="7">
        <f t="shared" si="112"/>
        <v>15000</v>
      </c>
      <c r="L1856" s="7">
        <f t="shared" si="113"/>
        <v>2250</v>
      </c>
      <c r="M1856" s="7">
        <f t="shared" si="114"/>
        <v>12750</v>
      </c>
      <c r="N1856" s="23">
        <v>79000</v>
      </c>
      <c r="O1856" s="7">
        <f t="shared" si="115"/>
        <v>91750</v>
      </c>
      <c r="P1856" s="2" t="s">
        <v>22</v>
      </c>
      <c r="Q1856" t="str">
        <f>_xlfn.XLOOKUP(B1856,Status!$A$2:$A$1867,Status!$B$2:$B$1867)</f>
        <v>Completed</v>
      </c>
      <c r="R1856" s="2" t="s">
        <v>30</v>
      </c>
      <c r="S1856" s="8">
        <v>4</v>
      </c>
      <c r="T1856" s="2" t="s">
        <v>24</v>
      </c>
      <c r="U1856" s="31" t="str" cm="1">
        <f t="array" ref="U1856">_xlfn.IFS(L1856&lt;=5000,$Z$3,AND(L1856&gt;5000,L1856&lt;=15000),$Z$4,AND(L1856&gt;15000,L1856&lt;=30000),$Z$5,AND(L1856&gt;30000,L1856&lt;=50000),$Z$6,L1856&gt;50000,$Z$7)</f>
        <v>Sangat Rendah</v>
      </c>
      <c r="V1856" s="2"/>
    </row>
    <row r="1857" spans="1:22" ht="15.75" customHeight="1" x14ac:dyDescent="0.25">
      <c r="A1857" s="26"/>
      <c r="B1857" s="2" t="s">
        <v>2219</v>
      </c>
      <c r="C1857" s="32">
        <v>45891.173958333333</v>
      </c>
      <c r="D1857" s="53">
        <f>YEAR(Table1[[#This Row],[Order Date]])</f>
        <v>2025</v>
      </c>
      <c r="E1857" s="2" t="s">
        <v>128</v>
      </c>
      <c r="F1857" s="2" t="s">
        <v>103</v>
      </c>
      <c r="G1857" s="2" t="s">
        <v>41</v>
      </c>
      <c r="H1857" s="23">
        <v>4000</v>
      </c>
      <c r="I1857" s="2">
        <v>4</v>
      </c>
      <c r="J1857" s="31">
        <v>0</v>
      </c>
      <c r="K1857" s="7">
        <f t="shared" si="112"/>
        <v>16000</v>
      </c>
      <c r="L1857" s="7">
        <f t="shared" si="113"/>
        <v>0</v>
      </c>
      <c r="M1857" s="7">
        <f t="shared" si="114"/>
        <v>16000</v>
      </c>
      <c r="N1857" s="23">
        <v>85000</v>
      </c>
      <c r="O1857" s="7">
        <f t="shared" si="115"/>
        <v>101000</v>
      </c>
      <c r="P1857" s="2" t="s">
        <v>29</v>
      </c>
      <c r="Q1857" t="str">
        <f>_xlfn.XLOOKUP(B1857,Status!$A$2:$A$1867,Status!$B$2:$B$1867)</f>
        <v>Completed</v>
      </c>
      <c r="R1857" s="2" t="s">
        <v>23</v>
      </c>
      <c r="S1857" s="8">
        <v>4</v>
      </c>
      <c r="T1857" s="2" t="s">
        <v>37</v>
      </c>
      <c r="U1857" s="31" t="str" cm="1">
        <f t="array" ref="U1857">_xlfn.IFS(L1857&lt;=5000,$Z$3,AND(L1857&gt;5000,L1857&lt;=15000),$Z$4,AND(L1857&gt;15000,L1857&lt;=30000),$Z$5,AND(L1857&gt;30000,L1857&lt;=50000),$Z$6,L1857&gt;50000,$Z$7)</f>
        <v>Sangat Rendah</v>
      </c>
      <c r="V1857" s="2"/>
    </row>
    <row r="1858" spans="1:22" ht="15.75" customHeight="1" x14ac:dyDescent="0.25">
      <c r="A1858" s="26"/>
      <c r="B1858" s="2" t="s">
        <v>2219</v>
      </c>
      <c r="C1858" s="32">
        <v>45891.173958333333</v>
      </c>
      <c r="D1858" s="53">
        <f>YEAR(Table1[[#This Row],[Order Date]])</f>
        <v>2025</v>
      </c>
      <c r="E1858" s="2" t="s">
        <v>128</v>
      </c>
      <c r="F1858" s="2" t="s">
        <v>103</v>
      </c>
      <c r="G1858" s="2" t="s">
        <v>190</v>
      </c>
      <c r="H1858" s="23">
        <v>35000</v>
      </c>
      <c r="I1858" s="2">
        <v>3</v>
      </c>
      <c r="J1858" s="31">
        <v>20</v>
      </c>
      <c r="K1858" s="7">
        <f t="shared" si="112"/>
        <v>105000</v>
      </c>
      <c r="L1858" s="7">
        <f t="shared" si="113"/>
        <v>21000</v>
      </c>
      <c r="M1858" s="7">
        <f t="shared" si="114"/>
        <v>84000</v>
      </c>
      <c r="N1858" s="23">
        <v>0</v>
      </c>
      <c r="O1858" s="7">
        <f t="shared" si="115"/>
        <v>84000</v>
      </c>
      <c r="P1858" s="2" t="s">
        <v>29</v>
      </c>
      <c r="Q1858" t="str">
        <f>_xlfn.XLOOKUP(B1858,Status!$A$2:$A$1867,Status!$B$2:$B$1867)</f>
        <v>Completed</v>
      </c>
      <c r="R1858" s="2" t="s">
        <v>23</v>
      </c>
      <c r="S1858" s="8">
        <v>4</v>
      </c>
      <c r="T1858" s="2" t="s">
        <v>37</v>
      </c>
      <c r="U1858" s="31" t="str" cm="1">
        <f t="array" ref="U1858">_xlfn.IFS(L1858&lt;=5000,$Z$3,AND(L1858&gt;5000,L1858&lt;=15000),$Z$4,AND(L1858&gt;15000,L1858&lt;=30000),$Z$5,AND(L1858&gt;30000,L1858&lt;=50000),$Z$6,L1858&gt;50000,$Z$7)</f>
        <v>Normal</v>
      </c>
      <c r="V1858" s="2"/>
    </row>
    <row r="1859" spans="1:22" ht="15.75" customHeight="1" x14ac:dyDescent="0.25">
      <c r="A1859" s="26"/>
      <c r="B1859" s="2" t="s">
        <v>2220</v>
      </c>
      <c r="C1859" s="32">
        <v>45891.207881944443</v>
      </c>
      <c r="D1859" s="53">
        <f>YEAR(Table1[[#This Row],[Order Date]])</f>
        <v>2025</v>
      </c>
      <c r="E1859" s="2" t="s">
        <v>537</v>
      </c>
      <c r="F1859" s="2" t="s">
        <v>57</v>
      </c>
      <c r="G1859" s="2" t="s">
        <v>41</v>
      </c>
      <c r="H1859" s="23">
        <v>4000</v>
      </c>
      <c r="I1859" s="2">
        <v>4</v>
      </c>
      <c r="J1859" s="31">
        <v>0</v>
      </c>
      <c r="K1859" s="7">
        <f t="shared" si="112"/>
        <v>16000</v>
      </c>
      <c r="L1859" s="7">
        <f t="shared" si="113"/>
        <v>0</v>
      </c>
      <c r="M1859" s="7">
        <f t="shared" si="114"/>
        <v>16000</v>
      </c>
      <c r="N1859" s="23">
        <v>80000</v>
      </c>
      <c r="O1859" s="7">
        <f t="shared" si="115"/>
        <v>96000</v>
      </c>
      <c r="P1859" s="2" t="s">
        <v>35</v>
      </c>
      <c r="Q1859" t="str">
        <f>_xlfn.XLOOKUP(B1859,Status!$A$2:$A$1867,Status!$B$2:$B$1867)</f>
        <v>Cancelled</v>
      </c>
      <c r="R1859" s="2" t="s">
        <v>30</v>
      </c>
      <c r="S1859" s="8">
        <v>2</v>
      </c>
      <c r="T1859" s="2" t="s">
        <v>37</v>
      </c>
      <c r="U1859" s="31" t="str" cm="1">
        <f t="array" ref="U1859">_xlfn.IFS(L1859&lt;=5000,$Z$3,AND(L1859&gt;5000,L1859&lt;=15000),$Z$4,AND(L1859&gt;15000,L1859&lt;=30000),$Z$5,AND(L1859&gt;30000,L1859&lt;=50000),$Z$6,L1859&gt;50000,$Z$7)</f>
        <v>Sangat Rendah</v>
      </c>
      <c r="V1859" s="2"/>
    </row>
    <row r="1860" spans="1:22" ht="15.75" customHeight="1" x14ac:dyDescent="0.25">
      <c r="A1860" s="26"/>
      <c r="B1860" s="2" t="s">
        <v>2221</v>
      </c>
      <c r="C1860" s="32">
        <v>45891.30976851852</v>
      </c>
      <c r="D1860" s="53">
        <f>YEAR(Table1[[#This Row],[Order Date]])</f>
        <v>2025</v>
      </c>
      <c r="E1860" s="2" t="s">
        <v>464</v>
      </c>
      <c r="F1860" s="2" t="s">
        <v>296</v>
      </c>
      <c r="G1860" s="2" t="s">
        <v>250</v>
      </c>
      <c r="H1860" s="23">
        <v>18000</v>
      </c>
      <c r="I1860" s="2">
        <v>2</v>
      </c>
      <c r="J1860" s="31">
        <v>15</v>
      </c>
      <c r="K1860" s="7">
        <f t="shared" ref="K1860:K1923" si="116">H1860*I1860</f>
        <v>36000</v>
      </c>
      <c r="L1860" s="7">
        <f t="shared" ref="L1860:L1923" si="117">K1860*(J1860/100)</f>
        <v>5400</v>
      </c>
      <c r="M1860" s="7">
        <f t="shared" ref="M1860:M1923" si="118">K1860-L1860</f>
        <v>30600</v>
      </c>
      <c r="N1860" s="23">
        <v>79000</v>
      </c>
      <c r="O1860" s="7">
        <f t="shared" ref="O1860:O1923" si="119">SUM(M1860:N1860)</f>
        <v>109600</v>
      </c>
      <c r="P1860" s="2" t="s">
        <v>63</v>
      </c>
      <c r="Q1860" t="str">
        <f>_xlfn.XLOOKUP(B1860,Status!$A$2:$A$1867,Status!$B$2:$B$1867)</f>
        <v>Completed</v>
      </c>
      <c r="R1860" s="2" t="s">
        <v>46</v>
      </c>
      <c r="S1860" s="8">
        <v>3</v>
      </c>
      <c r="T1860" s="2" t="s">
        <v>37</v>
      </c>
      <c r="U1860" s="31" t="str" cm="1">
        <f t="array" ref="U1860">_xlfn.IFS(L1860&lt;=5000,$Z$3,AND(L1860&gt;5000,L1860&lt;=15000),$Z$4,AND(L1860&gt;15000,L1860&lt;=30000),$Z$5,AND(L1860&gt;30000,L1860&lt;=50000),$Z$6,L1860&gt;50000,$Z$7)</f>
        <v>Rendah</v>
      </c>
      <c r="V1860" s="2"/>
    </row>
    <row r="1861" spans="1:22" ht="15.75" customHeight="1" x14ac:dyDescent="0.25">
      <c r="A1861" s="26"/>
      <c r="B1861" s="2" t="s">
        <v>2222</v>
      </c>
      <c r="C1861" s="32">
        <v>45891.37023148148</v>
      </c>
      <c r="D1861" s="53">
        <f>YEAR(Table1[[#This Row],[Order Date]])</f>
        <v>2025</v>
      </c>
      <c r="E1861" s="2" t="s">
        <v>365</v>
      </c>
      <c r="F1861" s="2" t="s">
        <v>61</v>
      </c>
      <c r="G1861" s="2" t="s">
        <v>174</v>
      </c>
      <c r="H1861" s="23">
        <v>10000</v>
      </c>
      <c r="I1861" s="2">
        <v>1</v>
      </c>
      <c r="J1861" s="31">
        <v>20</v>
      </c>
      <c r="K1861" s="7">
        <f t="shared" si="116"/>
        <v>10000</v>
      </c>
      <c r="L1861" s="7">
        <f t="shared" si="117"/>
        <v>2000</v>
      </c>
      <c r="M1861" s="7">
        <f t="shared" si="118"/>
        <v>8000</v>
      </c>
      <c r="N1861" s="23">
        <v>26000</v>
      </c>
      <c r="O1861" s="7">
        <f t="shared" si="119"/>
        <v>34000</v>
      </c>
      <c r="P1861" s="2" t="s">
        <v>22</v>
      </c>
      <c r="Q1861" t="str">
        <f>_xlfn.XLOOKUP(B1861,Status!$A$2:$A$1867,Status!$B$2:$B$1867)</f>
        <v>Pending</v>
      </c>
      <c r="R1861" s="2" t="s">
        <v>36</v>
      </c>
      <c r="S1861" s="8">
        <v>2</v>
      </c>
      <c r="T1861" s="2" t="s">
        <v>24</v>
      </c>
      <c r="U1861" s="31" t="str" cm="1">
        <f t="array" ref="U1861">_xlfn.IFS(L1861&lt;=5000,$Z$3,AND(L1861&gt;5000,L1861&lt;=15000),$Z$4,AND(L1861&gt;15000,L1861&lt;=30000),$Z$5,AND(L1861&gt;30000,L1861&lt;=50000),$Z$6,L1861&gt;50000,$Z$7)</f>
        <v>Sangat Rendah</v>
      </c>
      <c r="V1861" s="2"/>
    </row>
    <row r="1862" spans="1:22" ht="15.75" customHeight="1" x14ac:dyDescent="0.25">
      <c r="A1862" s="26"/>
      <c r="B1862" s="2" t="s">
        <v>2223</v>
      </c>
      <c r="C1862" s="32">
        <v>45891.398877314823</v>
      </c>
      <c r="D1862" s="53">
        <f>YEAR(Table1[[#This Row],[Order Date]])</f>
        <v>2025</v>
      </c>
      <c r="E1862" s="2" t="s">
        <v>254</v>
      </c>
      <c r="F1862" s="2" t="s">
        <v>61</v>
      </c>
      <c r="G1862" s="2" t="s">
        <v>138</v>
      </c>
      <c r="H1862" s="23">
        <v>17000</v>
      </c>
      <c r="I1862" s="2">
        <v>4</v>
      </c>
      <c r="J1862" s="31">
        <v>0</v>
      </c>
      <c r="K1862" s="7">
        <f t="shared" si="116"/>
        <v>68000</v>
      </c>
      <c r="L1862" s="7">
        <f t="shared" si="117"/>
        <v>0</v>
      </c>
      <c r="M1862" s="7">
        <f t="shared" si="118"/>
        <v>68000</v>
      </c>
      <c r="N1862" s="23">
        <v>26000</v>
      </c>
      <c r="O1862" s="7">
        <f t="shared" si="119"/>
        <v>94000</v>
      </c>
      <c r="P1862" s="2" t="s">
        <v>29</v>
      </c>
      <c r="Q1862" t="str">
        <f>_xlfn.XLOOKUP(B1862,Status!$A$2:$A$1867,Status!$B$2:$B$1867)</f>
        <v>Completed</v>
      </c>
      <c r="R1862" s="2" t="s">
        <v>30</v>
      </c>
      <c r="S1862" s="8">
        <v>2</v>
      </c>
      <c r="T1862" s="2" t="s">
        <v>24</v>
      </c>
      <c r="U1862" s="31" t="str" cm="1">
        <f t="array" ref="U1862">_xlfn.IFS(L1862&lt;=5000,$Z$3,AND(L1862&gt;5000,L1862&lt;=15000),$Z$4,AND(L1862&gt;15000,L1862&lt;=30000),$Z$5,AND(L1862&gt;30000,L1862&lt;=50000),$Z$6,L1862&gt;50000,$Z$7)</f>
        <v>Sangat Rendah</v>
      </c>
      <c r="V1862" s="2"/>
    </row>
    <row r="1863" spans="1:22" ht="15.75" customHeight="1" x14ac:dyDescent="0.25">
      <c r="A1863" s="26"/>
      <c r="B1863" s="2" t="s">
        <v>2224</v>
      </c>
      <c r="C1863" s="32">
        <v>45891.445173611108</v>
      </c>
      <c r="D1863" s="53">
        <f>YEAR(Table1[[#This Row],[Order Date]])</f>
        <v>2025</v>
      </c>
      <c r="E1863" s="2" t="s">
        <v>1624</v>
      </c>
      <c r="F1863" s="2" t="s">
        <v>33</v>
      </c>
      <c r="G1863" s="2" t="s">
        <v>88</v>
      </c>
      <c r="H1863" s="23">
        <v>14000</v>
      </c>
      <c r="I1863" s="2">
        <v>4</v>
      </c>
      <c r="J1863" s="31">
        <v>0</v>
      </c>
      <c r="K1863" s="7">
        <f t="shared" si="116"/>
        <v>56000</v>
      </c>
      <c r="L1863" s="7">
        <f t="shared" si="117"/>
        <v>0</v>
      </c>
      <c r="M1863" s="7">
        <f t="shared" si="118"/>
        <v>56000</v>
      </c>
      <c r="N1863" s="23">
        <v>76000</v>
      </c>
      <c r="O1863" s="7">
        <f t="shared" si="119"/>
        <v>132000</v>
      </c>
      <c r="P1863" s="2" t="s">
        <v>63</v>
      </c>
      <c r="Q1863" t="str">
        <f>_xlfn.XLOOKUP(B1863,Status!$A$2:$A$1867,Status!$B$2:$B$1867)</f>
        <v>Completed</v>
      </c>
      <c r="R1863" s="2" t="s">
        <v>82</v>
      </c>
      <c r="S1863" s="8">
        <v>2</v>
      </c>
      <c r="T1863" s="2" t="s">
        <v>24</v>
      </c>
      <c r="U1863" s="31" t="str" cm="1">
        <f t="array" ref="U1863">_xlfn.IFS(L1863&lt;=5000,$Z$3,AND(L1863&gt;5000,L1863&lt;=15000),$Z$4,AND(L1863&gt;15000,L1863&lt;=30000),$Z$5,AND(L1863&gt;30000,L1863&lt;=50000),$Z$6,L1863&gt;50000,$Z$7)</f>
        <v>Sangat Rendah</v>
      </c>
      <c r="V1863" s="2"/>
    </row>
    <row r="1864" spans="1:22" ht="15.75" customHeight="1" x14ac:dyDescent="0.25">
      <c r="A1864" s="26"/>
      <c r="B1864" s="2" t="s">
        <v>2225</v>
      </c>
      <c r="C1864" s="32">
        <v>45891.520486111112</v>
      </c>
      <c r="D1864" s="53">
        <f>YEAR(Table1[[#This Row],[Order Date]])</f>
        <v>2025</v>
      </c>
      <c r="E1864" s="2" t="s">
        <v>73</v>
      </c>
      <c r="F1864" s="2" t="s">
        <v>74</v>
      </c>
      <c r="G1864" s="2" t="s">
        <v>186</v>
      </c>
      <c r="H1864" s="23">
        <v>45000</v>
      </c>
      <c r="I1864" s="2">
        <v>3</v>
      </c>
      <c r="J1864" s="31">
        <v>10</v>
      </c>
      <c r="K1864" s="7">
        <f t="shared" si="116"/>
        <v>135000</v>
      </c>
      <c r="L1864" s="7">
        <f t="shared" si="117"/>
        <v>13500</v>
      </c>
      <c r="M1864" s="7">
        <f t="shared" si="118"/>
        <v>121500</v>
      </c>
      <c r="N1864" s="23">
        <v>87000</v>
      </c>
      <c r="O1864" s="7">
        <f t="shared" si="119"/>
        <v>208500</v>
      </c>
      <c r="P1864" s="2" t="s">
        <v>63</v>
      </c>
      <c r="Q1864" t="str">
        <f>_xlfn.XLOOKUP(B1864,Status!$A$2:$A$1867,Status!$B$2:$B$1867)</f>
        <v>Pending</v>
      </c>
      <c r="R1864" s="2" t="s">
        <v>30</v>
      </c>
      <c r="S1864" s="8">
        <v>5</v>
      </c>
      <c r="T1864" s="2" t="s">
        <v>24</v>
      </c>
      <c r="U1864" s="31" t="str" cm="1">
        <f t="array" ref="U1864">_xlfn.IFS(L1864&lt;=5000,$Z$3,AND(L1864&gt;5000,L1864&lt;=15000),$Z$4,AND(L1864&gt;15000,L1864&lt;=30000),$Z$5,AND(L1864&gt;30000,L1864&lt;=50000),$Z$6,L1864&gt;50000,$Z$7)</f>
        <v>Rendah</v>
      </c>
      <c r="V1864" s="2"/>
    </row>
    <row r="1865" spans="1:22" ht="15.75" customHeight="1" x14ac:dyDescent="0.25">
      <c r="A1865" s="26"/>
      <c r="B1865" s="2" t="s">
        <v>2226</v>
      </c>
      <c r="C1865" s="32">
        <v>45891.725289351853</v>
      </c>
      <c r="D1865" s="53">
        <f>YEAR(Table1[[#This Row],[Order Date]])</f>
        <v>2025</v>
      </c>
      <c r="E1865" s="2" t="s">
        <v>333</v>
      </c>
      <c r="F1865" s="2" t="s">
        <v>107</v>
      </c>
      <c r="G1865" s="2" t="s">
        <v>21</v>
      </c>
      <c r="H1865" s="23">
        <v>45000</v>
      </c>
      <c r="I1865" s="2">
        <v>3</v>
      </c>
      <c r="J1865" s="31">
        <v>5</v>
      </c>
      <c r="K1865" s="7">
        <f t="shared" si="116"/>
        <v>135000</v>
      </c>
      <c r="L1865" s="7">
        <f t="shared" si="117"/>
        <v>6750</v>
      </c>
      <c r="M1865" s="7">
        <f t="shared" si="118"/>
        <v>128250</v>
      </c>
      <c r="N1865" s="23">
        <v>97000</v>
      </c>
      <c r="O1865" s="7">
        <f t="shared" si="119"/>
        <v>225250</v>
      </c>
      <c r="P1865" s="2" t="s">
        <v>29</v>
      </c>
      <c r="Q1865" t="str">
        <f>_xlfn.XLOOKUP(B1865,Status!$A$2:$A$1867,Status!$B$2:$B$1867)</f>
        <v>Shipped</v>
      </c>
      <c r="R1865" s="2" t="s">
        <v>30</v>
      </c>
      <c r="S1865" s="8">
        <v>4</v>
      </c>
      <c r="T1865" s="2" t="s">
        <v>37</v>
      </c>
      <c r="U1865" s="31" t="str" cm="1">
        <f t="array" ref="U1865">_xlfn.IFS(L1865&lt;=5000,$Z$3,AND(L1865&gt;5000,L1865&lt;=15000),$Z$4,AND(L1865&gt;15000,L1865&lt;=30000),$Z$5,AND(L1865&gt;30000,L1865&lt;=50000),$Z$6,L1865&gt;50000,$Z$7)</f>
        <v>Rendah</v>
      </c>
      <c r="V1865" s="2"/>
    </row>
    <row r="1866" spans="1:22" ht="15.75" customHeight="1" x14ac:dyDescent="0.25">
      <c r="A1866" s="26"/>
      <c r="B1866" s="2" t="s">
        <v>2227</v>
      </c>
      <c r="C1866" s="32">
        <v>45891.908796296288</v>
      </c>
      <c r="D1866" s="53">
        <f>YEAR(Table1[[#This Row],[Order Date]])</f>
        <v>2025</v>
      </c>
      <c r="E1866" s="2" t="s">
        <v>1530</v>
      </c>
      <c r="F1866" s="2" t="s">
        <v>122</v>
      </c>
      <c r="G1866" s="2" t="s">
        <v>85</v>
      </c>
      <c r="H1866" s="23">
        <v>35000</v>
      </c>
      <c r="I1866" s="2">
        <v>3</v>
      </c>
      <c r="J1866" s="31">
        <v>10</v>
      </c>
      <c r="K1866" s="7">
        <f t="shared" si="116"/>
        <v>105000</v>
      </c>
      <c r="L1866" s="7">
        <f t="shared" si="117"/>
        <v>10500</v>
      </c>
      <c r="M1866" s="7">
        <f t="shared" si="118"/>
        <v>94500</v>
      </c>
      <c r="N1866" s="23">
        <v>78000</v>
      </c>
      <c r="O1866" s="7">
        <f t="shared" si="119"/>
        <v>172500</v>
      </c>
      <c r="P1866" s="2" t="s">
        <v>22</v>
      </c>
      <c r="Q1866" t="str">
        <f>_xlfn.XLOOKUP(B1866,Status!$A$2:$A$1867,Status!$B$2:$B$1867)</f>
        <v>Completed</v>
      </c>
      <c r="R1866" s="2" t="s">
        <v>36</v>
      </c>
      <c r="S1866" s="8">
        <v>3</v>
      </c>
      <c r="T1866" s="2" t="s">
        <v>24</v>
      </c>
      <c r="U1866" s="31" t="str" cm="1">
        <f t="array" ref="U1866">_xlfn.IFS(L1866&lt;=5000,$Z$3,AND(L1866&gt;5000,L1866&lt;=15000),$Z$4,AND(L1866&gt;15000,L1866&lt;=30000),$Z$5,AND(L1866&gt;30000,L1866&lt;=50000),$Z$6,L1866&gt;50000,$Z$7)</f>
        <v>Rendah</v>
      </c>
      <c r="V1866" s="2"/>
    </row>
    <row r="1867" spans="1:22" ht="15.75" customHeight="1" x14ac:dyDescent="0.25">
      <c r="A1867" s="26"/>
      <c r="B1867" s="2" t="s">
        <v>2228</v>
      </c>
      <c r="C1867" s="32">
        <v>45891.950671296298</v>
      </c>
      <c r="D1867" s="53">
        <f>YEAR(Table1[[#This Row],[Order Date]])</f>
        <v>2025</v>
      </c>
      <c r="E1867" s="2" t="s">
        <v>273</v>
      </c>
      <c r="F1867" s="2" t="s">
        <v>195</v>
      </c>
      <c r="G1867" s="2" t="s">
        <v>38</v>
      </c>
      <c r="H1867" s="23">
        <v>28000</v>
      </c>
      <c r="I1867" s="2">
        <v>2</v>
      </c>
      <c r="J1867" s="31">
        <v>15</v>
      </c>
      <c r="K1867" s="7">
        <f t="shared" si="116"/>
        <v>56000</v>
      </c>
      <c r="L1867" s="7">
        <f t="shared" si="117"/>
        <v>8400</v>
      </c>
      <c r="M1867" s="7">
        <f t="shared" si="118"/>
        <v>47600</v>
      </c>
      <c r="N1867" s="23">
        <v>87000</v>
      </c>
      <c r="O1867" s="7">
        <f t="shared" si="119"/>
        <v>134600</v>
      </c>
      <c r="P1867" s="2" t="s">
        <v>35</v>
      </c>
      <c r="Q1867" t="str">
        <f>_xlfn.XLOOKUP(B1867,Status!$A$2:$A$1867,Status!$B$2:$B$1867)</f>
        <v>Completed</v>
      </c>
      <c r="R1867" s="2" t="s">
        <v>30</v>
      </c>
      <c r="S1867" s="8">
        <v>5</v>
      </c>
      <c r="T1867" s="2" t="s">
        <v>24</v>
      </c>
      <c r="U1867" s="31" t="str" cm="1">
        <f t="array" ref="U1867">_xlfn.IFS(L1867&lt;=5000,$Z$3,AND(L1867&gt;5000,L1867&lt;=15000),$Z$4,AND(L1867&gt;15000,L1867&lt;=30000),$Z$5,AND(L1867&gt;30000,L1867&lt;=50000),$Z$6,L1867&gt;50000,$Z$7)</f>
        <v>Rendah</v>
      </c>
      <c r="V1867" s="2"/>
    </row>
    <row r="1868" spans="1:22" ht="15.75" customHeight="1" x14ac:dyDescent="0.25">
      <c r="A1868" s="26"/>
      <c r="B1868" s="2" t="s">
        <v>2229</v>
      </c>
      <c r="C1868" s="32">
        <v>45891.95076388889</v>
      </c>
      <c r="D1868" s="53">
        <f>YEAR(Table1[[#This Row],[Order Date]])</f>
        <v>2025</v>
      </c>
      <c r="E1868" s="2" t="s">
        <v>453</v>
      </c>
      <c r="F1868" s="2" t="s">
        <v>27</v>
      </c>
      <c r="G1868" s="2" t="s">
        <v>174</v>
      </c>
      <c r="H1868" s="23">
        <v>10000</v>
      </c>
      <c r="I1868" s="2">
        <v>1</v>
      </c>
      <c r="J1868" s="31">
        <v>10</v>
      </c>
      <c r="K1868" s="7">
        <f t="shared" si="116"/>
        <v>10000</v>
      </c>
      <c r="L1868" s="7">
        <f t="shared" si="117"/>
        <v>1000</v>
      </c>
      <c r="M1868" s="7">
        <f t="shared" si="118"/>
        <v>9000</v>
      </c>
      <c r="N1868" s="23">
        <v>17000</v>
      </c>
      <c r="O1868" s="7">
        <f t="shared" si="119"/>
        <v>26000</v>
      </c>
      <c r="P1868" s="2" t="s">
        <v>35</v>
      </c>
      <c r="Q1868" t="str">
        <f>_xlfn.XLOOKUP(B1868,Status!$A$2:$A$1867,Status!$B$2:$B$1867)</f>
        <v>Shipped</v>
      </c>
      <c r="R1868" s="2" t="s">
        <v>36</v>
      </c>
      <c r="S1868" s="8">
        <v>1</v>
      </c>
      <c r="T1868" s="2" t="s">
        <v>37</v>
      </c>
      <c r="U1868" s="31" t="str" cm="1">
        <f t="array" ref="U1868">_xlfn.IFS(L1868&lt;=5000,$Z$3,AND(L1868&gt;5000,L1868&lt;=15000),$Z$4,AND(L1868&gt;15000,L1868&lt;=30000),$Z$5,AND(L1868&gt;30000,L1868&lt;=50000),$Z$6,L1868&gt;50000,$Z$7)</f>
        <v>Sangat Rendah</v>
      </c>
      <c r="V1868" s="2"/>
    </row>
    <row r="1869" spans="1:22" ht="15.75" customHeight="1" x14ac:dyDescent="0.25">
      <c r="A1869" s="26"/>
      <c r="B1869" s="2" t="s">
        <v>2230</v>
      </c>
      <c r="C1869" s="32">
        <v>45892.011446759258</v>
      </c>
      <c r="D1869" s="53">
        <f>YEAR(Table1[[#This Row],[Order Date]])</f>
        <v>2025</v>
      </c>
      <c r="E1869" s="2" t="s">
        <v>784</v>
      </c>
      <c r="F1869" s="2" t="s">
        <v>116</v>
      </c>
      <c r="G1869" s="2" t="s">
        <v>104</v>
      </c>
      <c r="H1869" s="23">
        <v>30000</v>
      </c>
      <c r="I1869" s="2">
        <v>2</v>
      </c>
      <c r="J1869" s="31">
        <v>5</v>
      </c>
      <c r="K1869" s="7">
        <f t="shared" si="116"/>
        <v>60000</v>
      </c>
      <c r="L1869" s="7">
        <f t="shared" si="117"/>
        <v>3000</v>
      </c>
      <c r="M1869" s="7">
        <f t="shared" si="118"/>
        <v>57000</v>
      </c>
      <c r="N1869" s="23">
        <v>72000</v>
      </c>
      <c r="O1869" s="7">
        <f t="shared" si="119"/>
        <v>129000</v>
      </c>
      <c r="P1869" s="2" t="s">
        <v>29</v>
      </c>
      <c r="Q1869" t="str">
        <f>_xlfn.XLOOKUP(B1869,Status!$A$2:$A$1867,Status!$B$2:$B$1867)</f>
        <v>Shipped</v>
      </c>
      <c r="R1869" s="2" t="s">
        <v>46</v>
      </c>
      <c r="S1869" s="8">
        <v>2</v>
      </c>
      <c r="T1869" s="2" t="s">
        <v>24</v>
      </c>
      <c r="U1869" s="31" t="str" cm="1">
        <f t="array" ref="U1869">_xlfn.IFS(L1869&lt;=5000,$Z$3,AND(L1869&gt;5000,L1869&lt;=15000),$Z$4,AND(L1869&gt;15000,L1869&lt;=30000),$Z$5,AND(L1869&gt;30000,L1869&lt;=50000),$Z$6,L1869&gt;50000,$Z$7)</f>
        <v>Sangat Rendah</v>
      </c>
      <c r="V1869" s="2"/>
    </row>
    <row r="1870" spans="1:22" ht="15.75" customHeight="1" x14ac:dyDescent="0.25">
      <c r="A1870" s="26"/>
      <c r="B1870" s="2" t="s">
        <v>2231</v>
      </c>
      <c r="C1870" s="32">
        <v>45892.069085648152</v>
      </c>
      <c r="D1870" s="53">
        <f>YEAR(Table1[[#This Row],[Order Date]])</f>
        <v>2025</v>
      </c>
      <c r="E1870" s="2" t="s">
        <v>635</v>
      </c>
      <c r="F1870" s="2" t="s">
        <v>103</v>
      </c>
      <c r="G1870" s="2" t="s">
        <v>62</v>
      </c>
      <c r="H1870" s="23">
        <v>50000</v>
      </c>
      <c r="I1870" s="2">
        <v>3</v>
      </c>
      <c r="J1870" s="31">
        <v>15</v>
      </c>
      <c r="K1870" s="7">
        <f t="shared" si="116"/>
        <v>150000</v>
      </c>
      <c r="L1870" s="7">
        <f t="shared" si="117"/>
        <v>22500</v>
      </c>
      <c r="M1870" s="7">
        <f t="shared" si="118"/>
        <v>127500</v>
      </c>
      <c r="N1870" s="23">
        <v>85000</v>
      </c>
      <c r="O1870" s="7">
        <f t="shared" si="119"/>
        <v>212500</v>
      </c>
      <c r="P1870" s="2" t="s">
        <v>29</v>
      </c>
      <c r="Q1870" t="str">
        <f>_xlfn.XLOOKUP(B1870,Status!$A$2:$A$1867,Status!$B$2:$B$1867)</f>
        <v>Pending</v>
      </c>
      <c r="R1870" s="2" t="s">
        <v>30</v>
      </c>
      <c r="S1870" s="8">
        <v>3</v>
      </c>
      <c r="T1870" s="2" t="s">
        <v>24</v>
      </c>
      <c r="U1870" s="31" t="str" cm="1">
        <f t="array" ref="U1870">_xlfn.IFS(L1870&lt;=5000,$Z$3,AND(L1870&gt;5000,L1870&lt;=15000),$Z$4,AND(L1870&gt;15000,L1870&lt;=30000),$Z$5,AND(L1870&gt;30000,L1870&lt;=50000),$Z$6,L1870&gt;50000,$Z$7)</f>
        <v>Normal</v>
      </c>
      <c r="V1870" s="2"/>
    </row>
    <row r="1871" spans="1:22" ht="15.75" customHeight="1" x14ac:dyDescent="0.25">
      <c r="A1871" s="26"/>
      <c r="B1871" s="2" t="s">
        <v>2232</v>
      </c>
      <c r="C1871" s="32">
        <v>45892.498379629629</v>
      </c>
      <c r="D1871" s="53">
        <f>YEAR(Table1[[#This Row],[Order Date]])</f>
        <v>2025</v>
      </c>
      <c r="E1871" s="2" t="s">
        <v>1122</v>
      </c>
      <c r="F1871" s="2" t="s">
        <v>33</v>
      </c>
      <c r="G1871" s="2" t="s">
        <v>186</v>
      </c>
      <c r="H1871" s="23">
        <v>45000</v>
      </c>
      <c r="I1871" s="2">
        <v>3</v>
      </c>
      <c r="J1871" s="31">
        <v>20</v>
      </c>
      <c r="K1871" s="7">
        <f t="shared" si="116"/>
        <v>135000</v>
      </c>
      <c r="L1871" s="7">
        <f t="shared" si="117"/>
        <v>27000</v>
      </c>
      <c r="M1871" s="7">
        <f t="shared" si="118"/>
        <v>108000</v>
      </c>
      <c r="N1871" s="23">
        <v>76000</v>
      </c>
      <c r="O1871" s="7">
        <f t="shared" si="119"/>
        <v>184000</v>
      </c>
      <c r="P1871" s="2" t="s">
        <v>35</v>
      </c>
      <c r="Q1871" t="str">
        <f>_xlfn.XLOOKUP(B1871,Status!$A$2:$A$1867,Status!$B$2:$B$1867)</f>
        <v>Cancelled</v>
      </c>
      <c r="R1871" s="2" t="s">
        <v>23</v>
      </c>
      <c r="S1871" s="8">
        <v>5</v>
      </c>
      <c r="T1871" s="2" t="s">
        <v>24</v>
      </c>
      <c r="U1871" s="31" t="str" cm="1">
        <f t="array" ref="U1871">_xlfn.IFS(L1871&lt;=5000,$Z$3,AND(L1871&gt;5000,L1871&lt;=15000),$Z$4,AND(L1871&gt;15000,L1871&lt;=30000),$Z$5,AND(L1871&gt;30000,L1871&lt;=50000),$Z$6,L1871&gt;50000,$Z$7)</f>
        <v>Normal</v>
      </c>
      <c r="V1871" s="2"/>
    </row>
    <row r="1872" spans="1:22" ht="15.75" customHeight="1" x14ac:dyDescent="0.25">
      <c r="A1872" s="26"/>
      <c r="B1872" s="2" t="s">
        <v>2233</v>
      </c>
      <c r="C1872" s="32">
        <v>45892.708252314813</v>
      </c>
      <c r="D1872" s="53">
        <f>YEAR(Table1[[#This Row],[Order Date]])</f>
        <v>2025</v>
      </c>
      <c r="E1872" s="2" t="s">
        <v>877</v>
      </c>
      <c r="F1872" s="2" t="s">
        <v>107</v>
      </c>
      <c r="G1872" s="2" t="s">
        <v>50</v>
      </c>
      <c r="H1872" s="23">
        <v>14000</v>
      </c>
      <c r="I1872" s="2">
        <v>3</v>
      </c>
      <c r="J1872" s="31">
        <v>20</v>
      </c>
      <c r="K1872" s="7">
        <f t="shared" si="116"/>
        <v>42000</v>
      </c>
      <c r="L1872" s="7">
        <f t="shared" si="117"/>
        <v>8400</v>
      </c>
      <c r="M1872" s="7">
        <f t="shared" si="118"/>
        <v>33600</v>
      </c>
      <c r="N1872" s="23">
        <v>97000</v>
      </c>
      <c r="O1872" s="7">
        <f t="shared" si="119"/>
        <v>130600</v>
      </c>
      <c r="P1872" s="2" t="s">
        <v>63</v>
      </c>
      <c r="Q1872" t="str">
        <f>_xlfn.XLOOKUP(B1872,Status!$A$2:$A$1867,Status!$B$2:$B$1867)</f>
        <v>Completed</v>
      </c>
      <c r="R1872" s="2" t="s">
        <v>30</v>
      </c>
      <c r="S1872" s="8">
        <v>3</v>
      </c>
      <c r="T1872" s="2" t="s">
        <v>24</v>
      </c>
      <c r="U1872" s="31" t="str" cm="1">
        <f t="array" ref="U1872">_xlfn.IFS(L1872&lt;=5000,$Z$3,AND(L1872&gt;5000,L1872&lt;=15000),$Z$4,AND(L1872&gt;15000,L1872&lt;=30000),$Z$5,AND(L1872&gt;30000,L1872&lt;=50000),$Z$6,L1872&gt;50000,$Z$7)</f>
        <v>Rendah</v>
      </c>
      <c r="V1872" s="2"/>
    </row>
    <row r="1873" spans="1:22" ht="15.75" customHeight="1" x14ac:dyDescent="0.25">
      <c r="A1873" s="26"/>
      <c r="B1873" s="2" t="s">
        <v>2234</v>
      </c>
      <c r="C1873" s="32">
        <v>45892.826863425929</v>
      </c>
      <c r="D1873" s="53">
        <f>YEAR(Table1[[#This Row],[Order Date]])</f>
        <v>2025</v>
      </c>
      <c r="E1873" s="2" t="s">
        <v>722</v>
      </c>
      <c r="F1873" s="2" t="s">
        <v>57</v>
      </c>
      <c r="G1873" s="2" t="s">
        <v>123</v>
      </c>
      <c r="H1873" s="23">
        <v>22000</v>
      </c>
      <c r="I1873" s="2">
        <v>5</v>
      </c>
      <c r="J1873" s="31">
        <v>5</v>
      </c>
      <c r="K1873" s="7">
        <f t="shared" si="116"/>
        <v>110000</v>
      </c>
      <c r="L1873" s="7">
        <f t="shared" si="117"/>
        <v>5500</v>
      </c>
      <c r="M1873" s="7">
        <f t="shared" si="118"/>
        <v>104500</v>
      </c>
      <c r="N1873" s="23">
        <v>80000</v>
      </c>
      <c r="O1873" s="7">
        <f t="shared" si="119"/>
        <v>184500</v>
      </c>
      <c r="P1873" s="2" t="s">
        <v>35</v>
      </c>
      <c r="Q1873" t="str">
        <f>_xlfn.XLOOKUP(B1873,Status!$A$2:$A$1867,Status!$B$2:$B$1867)</f>
        <v>Shipped</v>
      </c>
      <c r="R1873" s="2" t="s">
        <v>30</v>
      </c>
      <c r="S1873" s="8">
        <v>5</v>
      </c>
      <c r="T1873" s="2" t="s">
        <v>24</v>
      </c>
      <c r="U1873" s="31" t="str" cm="1">
        <f t="array" ref="U1873">_xlfn.IFS(L1873&lt;=5000,$Z$3,AND(L1873&gt;5000,L1873&lt;=15000),$Z$4,AND(L1873&gt;15000,L1873&lt;=30000),$Z$5,AND(L1873&gt;30000,L1873&lt;=50000),$Z$6,L1873&gt;50000,$Z$7)</f>
        <v>Rendah</v>
      </c>
      <c r="V1873" s="2"/>
    </row>
    <row r="1874" spans="1:22" ht="15.75" customHeight="1" x14ac:dyDescent="0.25">
      <c r="A1874" s="26"/>
      <c r="B1874" s="2" t="s">
        <v>2235</v>
      </c>
      <c r="C1874" s="32">
        <v>45893.044571759259</v>
      </c>
      <c r="D1874" s="53">
        <f>YEAR(Table1[[#This Row],[Order Date]])</f>
        <v>2025</v>
      </c>
      <c r="E1874" s="2" t="s">
        <v>19</v>
      </c>
      <c r="F1874" s="2" t="s">
        <v>20</v>
      </c>
      <c r="G1874" s="2" t="s">
        <v>104</v>
      </c>
      <c r="H1874" s="23">
        <v>30000</v>
      </c>
      <c r="I1874" s="2">
        <v>4</v>
      </c>
      <c r="J1874" s="31">
        <v>0</v>
      </c>
      <c r="K1874" s="7">
        <f t="shared" si="116"/>
        <v>120000</v>
      </c>
      <c r="L1874" s="7">
        <f t="shared" si="117"/>
        <v>0</v>
      </c>
      <c r="M1874" s="7">
        <f t="shared" si="118"/>
        <v>120000</v>
      </c>
      <c r="N1874" s="23">
        <v>15000</v>
      </c>
      <c r="O1874" s="7">
        <f t="shared" si="119"/>
        <v>135000</v>
      </c>
      <c r="P1874" s="2" t="s">
        <v>35</v>
      </c>
      <c r="Q1874" t="str">
        <f>_xlfn.XLOOKUP(B1874,Status!$A$2:$A$1867,Status!$B$2:$B$1867)</f>
        <v>Pending</v>
      </c>
      <c r="R1874" s="2" t="s">
        <v>82</v>
      </c>
      <c r="S1874" s="8">
        <v>2</v>
      </c>
      <c r="T1874" s="2" t="s">
        <v>24</v>
      </c>
      <c r="U1874" s="31" t="str" cm="1">
        <f t="array" ref="U1874">_xlfn.IFS(L1874&lt;=5000,$Z$3,AND(L1874&gt;5000,L1874&lt;=15000),$Z$4,AND(L1874&gt;15000,L1874&lt;=30000),$Z$5,AND(L1874&gt;30000,L1874&lt;=50000),$Z$6,L1874&gt;50000,$Z$7)</f>
        <v>Sangat Rendah</v>
      </c>
      <c r="V1874" s="2"/>
    </row>
    <row r="1875" spans="1:22" ht="15.75" customHeight="1" x14ac:dyDescent="0.25">
      <c r="A1875" s="26"/>
      <c r="B1875" s="2" t="s">
        <v>2236</v>
      </c>
      <c r="C1875" s="32">
        <v>45893.140682870369</v>
      </c>
      <c r="D1875" s="53">
        <f>YEAR(Table1[[#This Row],[Order Date]])</f>
        <v>2025</v>
      </c>
      <c r="E1875" s="2" t="s">
        <v>335</v>
      </c>
      <c r="F1875" s="2" t="s">
        <v>80</v>
      </c>
      <c r="G1875" s="2" t="s">
        <v>62</v>
      </c>
      <c r="H1875" s="23">
        <v>50000</v>
      </c>
      <c r="I1875" s="2">
        <v>1</v>
      </c>
      <c r="J1875" s="31">
        <v>15</v>
      </c>
      <c r="K1875" s="7">
        <f t="shared" si="116"/>
        <v>50000</v>
      </c>
      <c r="L1875" s="7">
        <f t="shared" si="117"/>
        <v>7500</v>
      </c>
      <c r="M1875" s="7">
        <f t="shared" si="118"/>
        <v>42500</v>
      </c>
      <c r="N1875" s="23">
        <v>74000</v>
      </c>
      <c r="O1875" s="7">
        <f t="shared" si="119"/>
        <v>116500</v>
      </c>
      <c r="P1875" s="2" t="s">
        <v>29</v>
      </c>
      <c r="Q1875" t="str">
        <f>_xlfn.XLOOKUP(B1875,Status!$A$2:$A$1867,Status!$B$2:$B$1867)</f>
        <v>Completed</v>
      </c>
      <c r="R1875" s="2" t="s">
        <v>82</v>
      </c>
      <c r="S1875" s="8">
        <v>1</v>
      </c>
      <c r="T1875" s="2" t="s">
        <v>37</v>
      </c>
      <c r="U1875" s="31" t="str" cm="1">
        <f t="array" ref="U1875">_xlfn.IFS(L1875&lt;=5000,$Z$3,AND(L1875&gt;5000,L1875&lt;=15000),$Z$4,AND(L1875&gt;15000,L1875&lt;=30000),$Z$5,AND(L1875&gt;30000,L1875&lt;=50000),$Z$6,L1875&gt;50000,$Z$7)</f>
        <v>Rendah</v>
      </c>
      <c r="V1875" s="2"/>
    </row>
    <row r="1876" spans="1:22" ht="15.75" customHeight="1" x14ac:dyDescent="0.25">
      <c r="A1876" s="26"/>
      <c r="B1876" s="2" t="s">
        <v>2237</v>
      </c>
      <c r="C1876" s="32">
        <v>45893.148043981477</v>
      </c>
      <c r="D1876" s="53">
        <f>YEAR(Table1[[#This Row],[Order Date]])</f>
        <v>2025</v>
      </c>
      <c r="E1876" s="2" t="s">
        <v>243</v>
      </c>
      <c r="F1876" s="2" t="s">
        <v>244</v>
      </c>
      <c r="G1876" s="2" t="s">
        <v>67</v>
      </c>
      <c r="H1876" s="23">
        <v>15000</v>
      </c>
      <c r="I1876" s="2">
        <v>1</v>
      </c>
      <c r="J1876" s="31">
        <v>20</v>
      </c>
      <c r="K1876" s="7">
        <f t="shared" si="116"/>
        <v>15000</v>
      </c>
      <c r="L1876" s="7">
        <f t="shared" si="117"/>
        <v>3000</v>
      </c>
      <c r="M1876" s="7">
        <f t="shared" si="118"/>
        <v>12000</v>
      </c>
      <c r="N1876" s="23">
        <v>80000</v>
      </c>
      <c r="O1876" s="7">
        <f t="shared" si="119"/>
        <v>92000</v>
      </c>
      <c r="P1876" s="2" t="s">
        <v>22</v>
      </c>
      <c r="Q1876" t="str">
        <f>_xlfn.XLOOKUP(B1876,Status!$A$2:$A$1867,Status!$B$2:$B$1867)</f>
        <v>Pending</v>
      </c>
      <c r="R1876" s="2" t="s">
        <v>30</v>
      </c>
      <c r="S1876" s="8">
        <v>1</v>
      </c>
      <c r="T1876" s="2" t="s">
        <v>37</v>
      </c>
      <c r="U1876" s="31" t="str" cm="1">
        <f t="array" ref="U1876">_xlfn.IFS(L1876&lt;=5000,$Z$3,AND(L1876&gt;5000,L1876&lt;=15000),$Z$4,AND(L1876&gt;15000,L1876&lt;=30000),$Z$5,AND(L1876&gt;30000,L1876&lt;=50000),$Z$6,L1876&gt;50000,$Z$7)</f>
        <v>Sangat Rendah</v>
      </c>
      <c r="V1876" s="2"/>
    </row>
    <row r="1877" spans="1:22" ht="15.75" customHeight="1" x14ac:dyDescent="0.25">
      <c r="A1877" s="26"/>
      <c r="B1877" s="2" t="s">
        <v>2238</v>
      </c>
      <c r="C1877" s="32">
        <v>45893.550451388888</v>
      </c>
      <c r="D1877" s="53">
        <f>YEAR(Table1[[#This Row],[Order Date]])</f>
        <v>2025</v>
      </c>
      <c r="E1877" s="2" t="s">
        <v>681</v>
      </c>
      <c r="F1877" s="2" t="s">
        <v>262</v>
      </c>
      <c r="G1877" s="2" t="s">
        <v>88</v>
      </c>
      <c r="H1877" s="23">
        <v>14000</v>
      </c>
      <c r="I1877" s="2">
        <v>3</v>
      </c>
      <c r="J1877" s="31">
        <v>15</v>
      </c>
      <c r="K1877" s="7">
        <f t="shared" si="116"/>
        <v>42000</v>
      </c>
      <c r="L1877" s="7">
        <f t="shared" si="117"/>
        <v>6300</v>
      </c>
      <c r="M1877" s="7">
        <f t="shared" si="118"/>
        <v>35700</v>
      </c>
      <c r="N1877" s="23">
        <v>18000</v>
      </c>
      <c r="O1877" s="7">
        <f t="shared" si="119"/>
        <v>53700</v>
      </c>
      <c r="P1877" s="2" t="s">
        <v>63</v>
      </c>
      <c r="Q1877" t="str">
        <f>_xlfn.XLOOKUP(B1877,Status!$A$2:$A$1867,Status!$B$2:$B$1867)</f>
        <v>Pending</v>
      </c>
      <c r="R1877" s="2" t="s">
        <v>23</v>
      </c>
      <c r="S1877" s="8">
        <v>1</v>
      </c>
      <c r="T1877" s="2" t="s">
        <v>24</v>
      </c>
      <c r="U1877" s="31" t="str" cm="1">
        <f t="array" ref="U1877">_xlfn.IFS(L1877&lt;=5000,$Z$3,AND(L1877&gt;5000,L1877&lt;=15000),$Z$4,AND(L1877&gt;15000,L1877&lt;=30000),$Z$5,AND(L1877&gt;30000,L1877&lt;=50000),$Z$6,L1877&gt;50000,$Z$7)</f>
        <v>Rendah</v>
      </c>
      <c r="V1877" s="2"/>
    </row>
    <row r="1878" spans="1:22" ht="15.75" customHeight="1" x14ac:dyDescent="0.25">
      <c r="A1878" s="26"/>
      <c r="B1878" s="2" t="s">
        <v>2239</v>
      </c>
      <c r="C1878" s="32">
        <v>45893.728634259263</v>
      </c>
      <c r="D1878" s="53">
        <f>YEAR(Table1[[#This Row],[Order Date]])</f>
        <v>2025</v>
      </c>
      <c r="E1878" s="2" t="s">
        <v>246</v>
      </c>
      <c r="F1878" s="2" t="s">
        <v>238</v>
      </c>
      <c r="G1878" s="2" t="s">
        <v>123</v>
      </c>
      <c r="H1878" s="23">
        <v>22000</v>
      </c>
      <c r="I1878" s="2">
        <v>5</v>
      </c>
      <c r="J1878" s="31">
        <v>15</v>
      </c>
      <c r="K1878" s="7">
        <f t="shared" si="116"/>
        <v>110000</v>
      </c>
      <c r="L1878" s="7">
        <f t="shared" si="117"/>
        <v>16500</v>
      </c>
      <c r="M1878" s="7">
        <f t="shared" si="118"/>
        <v>93500</v>
      </c>
      <c r="N1878" s="23">
        <v>28000</v>
      </c>
      <c r="O1878" s="7">
        <f t="shared" si="119"/>
        <v>121500</v>
      </c>
      <c r="P1878" s="2" t="s">
        <v>29</v>
      </c>
      <c r="Q1878" t="str">
        <f>_xlfn.XLOOKUP(B1878,Status!$A$2:$A$1867,Status!$B$2:$B$1867)</f>
        <v>Completed</v>
      </c>
      <c r="R1878" s="2" t="s">
        <v>36</v>
      </c>
      <c r="S1878" s="8">
        <v>2</v>
      </c>
      <c r="T1878" s="2" t="s">
        <v>24</v>
      </c>
      <c r="U1878" s="31" t="str" cm="1">
        <f t="array" ref="U1878">_xlfn.IFS(L1878&lt;=5000,$Z$3,AND(L1878&gt;5000,L1878&lt;=15000),$Z$4,AND(L1878&gt;15000,L1878&lt;=30000),$Z$5,AND(L1878&gt;30000,L1878&lt;=50000),$Z$6,L1878&gt;50000,$Z$7)</f>
        <v>Normal</v>
      </c>
      <c r="V1878" s="2"/>
    </row>
    <row r="1879" spans="1:22" ht="15.75" customHeight="1" x14ac:dyDescent="0.25">
      <c r="A1879" s="26"/>
      <c r="B1879" s="2" t="s">
        <v>2240</v>
      </c>
      <c r="C1879" s="32">
        <v>45893.997604166667</v>
      </c>
      <c r="D1879" s="53">
        <f>YEAR(Table1[[#This Row],[Order Date]])</f>
        <v>2025</v>
      </c>
      <c r="E1879" s="2" t="s">
        <v>1179</v>
      </c>
      <c r="F1879" s="2" t="s">
        <v>170</v>
      </c>
      <c r="G1879" s="2" t="s">
        <v>34</v>
      </c>
      <c r="H1879" s="23">
        <v>16000</v>
      </c>
      <c r="I1879" s="2">
        <v>3</v>
      </c>
      <c r="J1879" s="31">
        <v>20</v>
      </c>
      <c r="K1879" s="7">
        <f t="shared" si="116"/>
        <v>48000</v>
      </c>
      <c r="L1879" s="7">
        <f t="shared" si="117"/>
        <v>9600</v>
      </c>
      <c r="M1879" s="7">
        <f t="shared" si="118"/>
        <v>38400</v>
      </c>
      <c r="N1879" s="23">
        <v>46000</v>
      </c>
      <c r="O1879" s="7">
        <f t="shared" si="119"/>
        <v>84400</v>
      </c>
      <c r="P1879" s="2" t="s">
        <v>35</v>
      </c>
      <c r="Q1879" t="str">
        <f>_xlfn.XLOOKUP(B1879,Status!$A$2:$A$1867,Status!$B$2:$B$1867)</f>
        <v>Pending</v>
      </c>
      <c r="R1879" s="2" t="s">
        <v>82</v>
      </c>
      <c r="S1879" s="8">
        <v>2</v>
      </c>
      <c r="T1879" s="2" t="s">
        <v>24</v>
      </c>
      <c r="U1879" s="31" t="str" cm="1">
        <f t="array" ref="U1879">_xlfn.IFS(L1879&lt;=5000,$Z$3,AND(L1879&gt;5000,L1879&lt;=15000),$Z$4,AND(L1879&gt;15000,L1879&lt;=30000),$Z$5,AND(L1879&gt;30000,L1879&lt;=50000),$Z$6,L1879&gt;50000,$Z$7)</f>
        <v>Rendah</v>
      </c>
      <c r="V1879" s="2"/>
    </row>
    <row r="1880" spans="1:22" ht="15.75" customHeight="1" x14ac:dyDescent="0.25">
      <c r="A1880" s="26"/>
      <c r="B1880" s="2" t="s">
        <v>2241</v>
      </c>
      <c r="C1880" s="32">
        <v>45894.023888888893</v>
      </c>
      <c r="D1880" s="53">
        <f>YEAR(Table1[[#This Row],[Order Date]])</f>
        <v>2025</v>
      </c>
      <c r="E1880" s="2" t="s">
        <v>389</v>
      </c>
      <c r="F1880" s="2" t="s">
        <v>182</v>
      </c>
      <c r="G1880" s="2" t="s">
        <v>41</v>
      </c>
      <c r="H1880" s="23">
        <v>4000</v>
      </c>
      <c r="I1880" s="2">
        <v>4</v>
      </c>
      <c r="J1880" s="31">
        <v>0</v>
      </c>
      <c r="K1880" s="7">
        <f t="shared" si="116"/>
        <v>16000</v>
      </c>
      <c r="L1880" s="7">
        <f t="shared" si="117"/>
        <v>0</v>
      </c>
      <c r="M1880" s="7">
        <f t="shared" si="118"/>
        <v>16000</v>
      </c>
      <c r="N1880" s="23">
        <v>48000</v>
      </c>
      <c r="O1880" s="7">
        <f t="shared" si="119"/>
        <v>64000</v>
      </c>
      <c r="P1880" s="2" t="s">
        <v>35</v>
      </c>
      <c r="Q1880" t="str">
        <f>_xlfn.XLOOKUP(B1880,Status!$A$2:$A$1867,Status!$B$2:$B$1867)</f>
        <v>Pending</v>
      </c>
      <c r="R1880" s="2" t="s">
        <v>82</v>
      </c>
      <c r="S1880" s="8">
        <v>1</v>
      </c>
      <c r="T1880" s="2" t="s">
        <v>24</v>
      </c>
      <c r="U1880" s="31" t="str" cm="1">
        <f t="array" ref="U1880">_xlfn.IFS(L1880&lt;=5000,$Z$3,AND(L1880&gt;5000,L1880&lt;=15000),$Z$4,AND(L1880&gt;15000,L1880&lt;=30000),$Z$5,AND(L1880&gt;30000,L1880&lt;=50000),$Z$6,L1880&gt;50000,$Z$7)</f>
        <v>Sangat Rendah</v>
      </c>
      <c r="V1880" s="2"/>
    </row>
    <row r="1881" spans="1:22" ht="15.75" customHeight="1" x14ac:dyDescent="0.25">
      <c r="A1881" s="26"/>
      <c r="B1881" s="2" t="s">
        <v>2242</v>
      </c>
      <c r="C1881" s="32">
        <v>45894.120173611111</v>
      </c>
      <c r="D1881" s="53">
        <f>YEAR(Table1[[#This Row],[Order Date]])</f>
        <v>2025</v>
      </c>
      <c r="E1881" s="2" t="s">
        <v>155</v>
      </c>
      <c r="F1881" s="2" t="s">
        <v>92</v>
      </c>
      <c r="G1881" s="2" t="s">
        <v>41</v>
      </c>
      <c r="H1881" s="23">
        <v>4000</v>
      </c>
      <c r="I1881" s="2">
        <v>2</v>
      </c>
      <c r="J1881" s="31">
        <v>0</v>
      </c>
      <c r="K1881" s="7">
        <f t="shared" si="116"/>
        <v>8000</v>
      </c>
      <c r="L1881" s="7">
        <f t="shared" si="117"/>
        <v>0</v>
      </c>
      <c r="M1881" s="7">
        <f t="shared" si="118"/>
        <v>8000</v>
      </c>
      <c r="N1881" s="23">
        <v>30000</v>
      </c>
      <c r="O1881" s="7">
        <f t="shared" si="119"/>
        <v>38000</v>
      </c>
      <c r="P1881" s="2" t="s">
        <v>35</v>
      </c>
      <c r="Q1881" t="str">
        <f>_xlfn.XLOOKUP(B1881,Status!$A$2:$A$1867,Status!$B$2:$B$1867)</f>
        <v>Returned</v>
      </c>
      <c r="R1881" s="2" t="s">
        <v>30</v>
      </c>
      <c r="S1881" s="8">
        <v>2</v>
      </c>
      <c r="T1881" s="2" t="s">
        <v>24</v>
      </c>
      <c r="U1881" s="31" t="str" cm="1">
        <f t="array" ref="U1881">_xlfn.IFS(L1881&lt;=5000,$Z$3,AND(L1881&gt;5000,L1881&lt;=15000),$Z$4,AND(L1881&gt;15000,L1881&lt;=30000),$Z$5,AND(L1881&gt;30000,L1881&lt;=50000),$Z$6,L1881&gt;50000,$Z$7)</f>
        <v>Sangat Rendah</v>
      </c>
      <c r="V1881" s="2"/>
    </row>
    <row r="1882" spans="1:22" ht="15.75" customHeight="1" x14ac:dyDescent="0.25">
      <c r="A1882" s="26"/>
      <c r="B1882" s="2" t="s">
        <v>2243</v>
      </c>
      <c r="C1882" s="32">
        <v>45894.355023148149</v>
      </c>
      <c r="D1882" s="53">
        <f>YEAR(Table1[[#This Row],[Order Date]])</f>
        <v>2025</v>
      </c>
      <c r="E1882" s="2" t="s">
        <v>1808</v>
      </c>
      <c r="F1882" s="2" t="s">
        <v>80</v>
      </c>
      <c r="G1882" s="2" t="s">
        <v>62</v>
      </c>
      <c r="H1882" s="23">
        <v>50000</v>
      </c>
      <c r="I1882" s="2">
        <v>5</v>
      </c>
      <c r="J1882" s="31">
        <v>15</v>
      </c>
      <c r="K1882" s="7">
        <f t="shared" si="116"/>
        <v>250000</v>
      </c>
      <c r="L1882" s="7">
        <f t="shared" si="117"/>
        <v>37500</v>
      </c>
      <c r="M1882" s="7">
        <f t="shared" si="118"/>
        <v>212500</v>
      </c>
      <c r="N1882" s="23">
        <v>74000</v>
      </c>
      <c r="O1882" s="7">
        <f t="shared" si="119"/>
        <v>286500</v>
      </c>
      <c r="P1882" s="2" t="s">
        <v>35</v>
      </c>
      <c r="Q1882" t="str">
        <f>_xlfn.XLOOKUP(B1882,Status!$A$2:$A$1867,Status!$B$2:$B$1867)</f>
        <v>Shipped</v>
      </c>
      <c r="R1882" s="2" t="s">
        <v>36</v>
      </c>
      <c r="S1882" s="8">
        <v>3</v>
      </c>
      <c r="T1882" s="2" t="s">
        <v>24</v>
      </c>
      <c r="U1882" s="31" t="str" cm="1">
        <f t="array" ref="U1882">_xlfn.IFS(L1882&lt;=5000,$Z$3,AND(L1882&gt;5000,L1882&lt;=15000),$Z$4,AND(L1882&gt;15000,L1882&lt;=30000),$Z$5,AND(L1882&gt;30000,L1882&lt;=50000),$Z$6,L1882&gt;50000,$Z$7)</f>
        <v>Tinggi</v>
      </c>
      <c r="V1882" s="2"/>
    </row>
    <row r="1883" spans="1:22" ht="15.75" customHeight="1" x14ac:dyDescent="0.25">
      <c r="A1883" s="26"/>
      <c r="B1883" s="2" t="s">
        <v>2244</v>
      </c>
      <c r="C1883" s="32">
        <v>45894.400046296287</v>
      </c>
      <c r="D1883" s="53">
        <f>YEAR(Table1[[#This Row],[Order Date]])</f>
        <v>2025</v>
      </c>
      <c r="E1883" s="2" t="s">
        <v>302</v>
      </c>
      <c r="F1883" s="2" t="s">
        <v>74</v>
      </c>
      <c r="G1883" s="2" t="s">
        <v>45</v>
      </c>
      <c r="H1883" s="23">
        <v>40000</v>
      </c>
      <c r="I1883" s="2">
        <v>4</v>
      </c>
      <c r="J1883" s="31">
        <v>5</v>
      </c>
      <c r="K1883" s="7">
        <f t="shared" si="116"/>
        <v>160000</v>
      </c>
      <c r="L1883" s="7">
        <f t="shared" si="117"/>
        <v>8000</v>
      </c>
      <c r="M1883" s="7">
        <f t="shared" si="118"/>
        <v>152000</v>
      </c>
      <c r="N1883" s="23">
        <v>87000</v>
      </c>
      <c r="O1883" s="7">
        <f t="shared" si="119"/>
        <v>239000</v>
      </c>
      <c r="P1883" s="2" t="s">
        <v>63</v>
      </c>
      <c r="Q1883" t="str">
        <f>_xlfn.XLOOKUP(B1883,Status!$A$2:$A$1867,Status!$B$2:$B$1867)</f>
        <v>Shipped</v>
      </c>
      <c r="R1883" s="2" t="s">
        <v>23</v>
      </c>
      <c r="S1883" s="8">
        <v>2</v>
      </c>
      <c r="T1883" s="2" t="s">
        <v>24</v>
      </c>
      <c r="U1883" s="31" t="str" cm="1">
        <f t="array" ref="U1883">_xlfn.IFS(L1883&lt;=5000,$Z$3,AND(L1883&gt;5000,L1883&lt;=15000),$Z$4,AND(L1883&gt;15000,L1883&lt;=30000),$Z$5,AND(L1883&gt;30000,L1883&lt;=50000),$Z$6,L1883&gt;50000,$Z$7)</f>
        <v>Rendah</v>
      </c>
      <c r="V1883" s="2"/>
    </row>
    <row r="1884" spans="1:22" ht="15.75" customHeight="1" x14ac:dyDescent="0.25">
      <c r="A1884" s="26"/>
      <c r="B1884" s="2" t="s">
        <v>2245</v>
      </c>
      <c r="C1884" s="32">
        <v>45894.878587962958</v>
      </c>
      <c r="D1884" s="53">
        <f>YEAR(Table1[[#This Row],[Order Date]])</f>
        <v>2025</v>
      </c>
      <c r="E1884" s="2" t="s">
        <v>404</v>
      </c>
      <c r="F1884" s="2" t="s">
        <v>177</v>
      </c>
      <c r="G1884" s="2" t="s">
        <v>28</v>
      </c>
      <c r="H1884" s="23">
        <v>5000</v>
      </c>
      <c r="I1884" s="2">
        <v>1</v>
      </c>
      <c r="J1884" s="31">
        <v>5</v>
      </c>
      <c r="K1884" s="7">
        <f t="shared" si="116"/>
        <v>5000</v>
      </c>
      <c r="L1884" s="7">
        <f t="shared" si="117"/>
        <v>250</v>
      </c>
      <c r="M1884" s="7">
        <f t="shared" si="118"/>
        <v>4750</v>
      </c>
      <c r="N1884" s="23">
        <v>56000</v>
      </c>
      <c r="O1884" s="7">
        <f t="shared" si="119"/>
        <v>60750</v>
      </c>
      <c r="P1884" s="2" t="s">
        <v>35</v>
      </c>
      <c r="Q1884" t="str">
        <f>_xlfn.XLOOKUP(B1884,Status!$A$2:$A$1867,Status!$B$2:$B$1867)</f>
        <v>Returned</v>
      </c>
      <c r="R1884" s="2" t="s">
        <v>36</v>
      </c>
      <c r="S1884" s="8">
        <v>4</v>
      </c>
      <c r="T1884" s="2" t="s">
        <v>37</v>
      </c>
      <c r="U1884" s="31" t="str" cm="1">
        <f t="array" ref="U1884">_xlfn.IFS(L1884&lt;=5000,$Z$3,AND(L1884&gt;5000,L1884&lt;=15000),$Z$4,AND(L1884&gt;15000,L1884&lt;=30000),$Z$5,AND(L1884&gt;30000,L1884&lt;=50000),$Z$6,L1884&gt;50000,$Z$7)</f>
        <v>Sangat Rendah</v>
      </c>
      <c r="V1884" s="2"/>
    </row>
    <row r="1885" spans="1:22" ht="15.75" customHeight="1" x14ac:dyDescent="0.25">
      <c r="A1885" s="26"/>
      <c r="B1885" s="2" t="s">
        <v>2245</v>
      </c>
      <c r="C1885" s="32">
        <v>45894.878587962958</v>
      </c>
      <c r="D1885" s="53">
        <f>YEAR(Table1[[#This Row],[Order Date]])</f>
        <v>2025</v>
      </c>
      <c r="E1885" s="2" t="s">
        <v>404</v>
      </c>
      <c r="F1885" s="2" t="s">
        <v>177</v>
      </c>
      <c r="G1885" s="2" t="s">
        <v>104</v>
      </c>
      <c r="H1885" s="23">
        <v>30000</v>
      </c>
      <c r="I1885" s="2">
        <v>5</v>
      </c>
      <c r="J1885" s="31">
        <v>15</v>
      </c>
      <c r="K1885" s="7">
        <f t="shared" si="116"/>
        <v>150000</v>
      </c>
      <c r="L1885" s="7">
        <f t="shared" si="117"/>
        <v>22500</v>
      </c>
      <c r="M1885" s="7">
        <f t="shared" si="118"/>
        <v>127500</v>
      </c>
      <c r="N1885" s="23">
        <v>0</v>
      </c>
      <c r="O1885" s="7">
        <f t="shared" si="119"/>
        <v>127500</v>
      </c>
      <c r="P1885" s="2" t="s">
        <v>35</v>
      </c>
      <c r="Q1885" t="str">
        <f>_xlfn.XLOOKUP(B1885,Status!$A$2:$A$1867,Status!$B$2:$B$1867)</f>
        <v>Returned</v>
      </c>
      <c r="R1885" s="2" t="s">
        <v>36</v>
      </c>
      <c r="S1885" s="8">
        <v>4</v>
      </c>
      <c r="T1885" s="2" t="s">
        <v>37</v>
      </c>
      <c r="U1885" s="31" t="str" cm="1">
        <f t="array" ref="U1885">_xlfn.IFS(L1885&lt;=5000,$Z$3,AND(L1885&gt;5000,L1885&lt;=15000),$Z$4,AND(L1885&gt;15000,L1885&lt;=30000),$Z$5,AND(L1885&gt;30000,L1885&lt;=50000),$Z$6,L1885&gt;50000,$Z$7)</f>
        <v>Normal</v>
      </c>
      <c r="V1885" s="2"/>
    </row>
    <row r="1886" spans="1:22" ht="15.75" customHeight="1" x14ac:dyDescent="0.25">
      <c r="A1886" s="26"/>
      <c r="B1886" s="2" t="s">
        <v>2246</v>
      </c>
      <c r="C1886" s="32">
        <v>45895.244155092587</v>
      </c>
      <c r="D1886" s="53">
        <f>YEAR(Table1[[#This Row],[Order Date]])</f>
        <v>2025</v>
      </c>
      <c r="E1886" s="2" t="s">
        <v>381</v>
      </c>
      <c r="F1886" s="2" t="s">
        <v>103</v>
      </c>
      <c r="G1886" s="2" t="s">
        <v>50</v>
      </c>
      <c r="H1886" s="23">
        <v>14000</v>
      </c>
      <c r="I1886" s="2">
        <v>3</v>
      </c>
      <c r="J1886" s="31">
        <v>0</v>
      </c>
      <c r="K1886" s="7">
        <f t="shared" si="116"/>
        <v>42000</v>
      </c>
      <c r="L1886" s="7">
        <f t="shared" si="117"/>
        <v>0</v>
      </c>
      <c r="M1886" s="7">
        <f t="shared" si="118"/>
        <v>42000</v>
      </c>
      <c r="N1886" s="23">
        <v>85000</v>
      </c>
      <c r="O1886" s="7">
        <f t="shared" si="119"/>
        <v>127000</v>
      </c>
      <c r="P1886" s="2" t="s">
        <v>35</v>
      </c>
      <c r="Q1886" t="str">
        <f>_xlfn.XLOOKUP(B1886,Status!$A$2:$A$1867,Status!$B$2:$B$1867)</f>
        <v>Completed</v>
      </c>
      <c r="R1886" s="2" t="s">
        <v>82</v>
      </c>
      <c r="S1886" s="8">
        <v>3</v>
      </c>
      <c r="T1886" s="2" t="s">
        <v>24</v>
      </c>
      <c r="U1886" s="31" t="str" cm="1">
        <f t="array" ref="U1886">_xlfn.IFS(L1886&lt;=5000,$Z$3,AND(L1886&gt;5000,L1886&lt;=15000),$Z$4,AND(L1886&gt;15000,L1886&lt;=30000),$Z$5,AND(L1886&gt;30000,L1886&lt;=50000),$Z$6,L1886&gt;50000,$Z$7)</f>
        <v>Sangat Rendah</v>
      </c>
      <c r="V1886" s="2"/>
    </row>
    <row r="1887" spans="1:22" ht="15.75" customHeight="1" x14ac:dyDescent="0.25">
      <c r="A1887" s="26"/>
      <c r="B1887" s="2" t="s">
        <v>2247</v>
      </c>
      <c r="C1887" s="32">
        <v>45895.384351851862</v>
      </c>
      <c r="D1887" s="53">
        <f>YEAR(Table1[[#This Row],[Order Date]])</f>
        <v>2025</v>
      </c>
      <c r="E1887" s="2" t="s">
        <v>2210</v>
      </c>
      <c r="F1887" s="2" t="s">
        <v>126</v>
      </c>
      <c r="G1887" s="2" t="s">
        <v>75</v>
      </c>
      <c r="H1887" s="23">
        <v>55000</v>
      </c>
      <c r="I1887" s="2">
        <v>5</v>
      </c>
      <c r="J1887" s="31">
        <v>15</v>
      </c>
      <c r="K1887" s="7">
        <f t="shared" si="116"/>
        <v>275000</v>
      </c>
      <c r="L1887" s="7">
        <f t="shared" si="117"/>
        <v>41250</v>
      </c>
      <c r="M1887" s="7">
        <f t="shared" si="118"/>
        <v>233750</v>
      </c>
      <c r="N1887" s="23">
        <v>84000</v>
      </c>
      <c r="O1887" s="7">
        <f t="shared" si="119"/>
        <v>317750</v>
      </c>
      <c r="P1887" s="2" t="s">
        <v>63</v>
      </c>
      <c r="Q1887" t="str">
        <f>_xlfn.XLOOKUP(B1887,Status!$A$2:$A$1867,Status!$B$2:$B$1867)</f>
        <v>Completed</v>
      </c>
      <c r="R1887" s="2" t="s">
        <v>30</v>
      </c>
      <c r="S1887" s="8">
        <v>5</v>
      </c>
      <c r="T1887" s="2" t="s">
        <v>24</v>
      </c>
      <c r="U1887" s="31" t="str" cm="1">
        <f t="array" ref="U1887">_xlfn.IFS(L1887&lt;=5000,$Z$3,AND(L1887&gt;5000,L1887&lt;=15000),$Z$4,AND(L1887&gt;15000,L1887&lt;=30000),$Z$5,AND(L1887&gt;30000,L1887&lt;=50000),$Z$6,L1887&gt;50000,$Z$7)</f>
        <v>Tinggi</v>
      </c>
      <c r="V1887" s="2"/>
    </row>
    <row r="1888" spans="1:22" ht="15.75" customHeight="1" x14ac:dyDescent="0.25">
      <c r="A1888" s="26"/>
      <c r="B1888" s="2" t="s">
        <v>2248</v>
      </c>
      <c r="C1888" s="32">
        <v>45895.449733796297</v>
      </c>
      <c r="D1888" s="53">
        <f>YEAR(Table1[[#This Row],[Order Date]])</f>
        <v>2025</v>
      </c>
      <c r="E1888" s="2" t="s">
        <v>115</v>
      </c>
      <c r="F1888" s="2" t="s">
        <v>116</v>
      </c>
      <c r="G1888" s="2" t="s">
        <v>250</v>
      </c>
      <c r="H1888" s="23">
        <v>18000</v>
      </c>
      <c r="I1888" s="2">
        <v>1</v>
      </c>
      <c r="J1888" s="31">
        <v>5</v>
      </c>
      <c r="K1888" s="7">
        <f t="shared" si="116"/>
        <v>18000</v>
      </c>
      <c r="L1888" s="7">
        <f t="shared" si="117"/>
        <v>900</v>
      </c>
      <c r="M1888" s="7">
        <f t="shared" si="118"/>
        <v>17100</v>
      </c>
      <c r="N1888" s="23">
        <v>72000</v>
      </c>
      <c r="O1888" s="7">
        <f t="shared" si="119"/>
        <v>89100</v>
      </c>
      <c r="P1888" s="2" t="s">
        <v>63</v>
      </c>
      <c r="Q1888" t="str">
        <f>_xlfn.XLOOKUP(B1888,Status!$A$2:$A$1867,Status!$B$2:$B$1867)</f>
        <v>Pending</v>
      </c>
      <c r="R1888" s="2" t="s">
        <v>30</v>
      </c>
      <c r="S1888" s="8">
        <v>2</v>
      </c>
      <c r="T1888" s="2" t="s">
        <v>24</v>
      </c>
      <c r="U1888" s="31" t="str" cm="1">
        <f t="array" ref="U1888">_xlfn.IFS(L1888&lt;=5000,$Z$3,AND(L1888&gt;5000,L1888&lt;=15000),$Z$4,AND(L1888&gt;15000,L1888&lt;=30000),$Z$5,AND(L1888&gt;30000,L1888&lt;=50000),$Z$6,L1888&gt;50000,$Z$7)</f>
        <v>Sangat Rendah</v>
      </c>
      <c r="V1888" s="2"/>
    </row>
    <row r="1889" spans="1:22" ht="15.75" customHeight="1" x14ac:dyDescent="0.25">
      <c r="A1889" s="26"/>
      <c r="B1889" s="2" t="s">
        <v>2249</v>
      </c>
      <c r="C1889" s="32">
        <v>45895.510891203703</v>
      </c>
      <c r="D1889" s="53">
        <f>YEAR(Table1[[#This Row],[Order Date]])</f>
        <v>2025</v>
      </c>
      <c r="E1889" s="2" t="s">
        <v>834</v>
      </c>
      <c r="F1889" s="2" t="s">
        <v>177</v>
      </c>
      <c r="G1889" s="2" t="s">
        <v>250</v>
      </c>
      <c r="H1889" s="23">
        <v>18000</v>
      </c>
      <c r="I1889" s="2">
        <v>1</v>
      </c>
      <c r="J1889" s="31">
        <v>20</v>
      </c>
      <c r="K1889" s="7">
        <f t="shared" si="116"/>
        <v>18000</v>
      </c>
      <c r="L1889" s="7">
        <f t="shared" si="117"/>
        <v>3600</v>
      </c>
      <c r="M1889" s="7">
        <f t="shared" si="118"/>
        <v>14400</v>
      </c>
      <c r="N1889" s="23">
        <v>56000</v>
      </c>
      <c r="O1889" s="7">
        <f t="shared" si="119"/>
        <v>70400</v>
      </c>
      <c r="P1889" s="2" t="s">
        <v>35</v>
      </c>
      <c r="Q1889" t="str">
        <f>_xlfn.XLOOKUP(B1889,Status!$A$2:$A$1867,Status!$B$2:$B$1867)</f>
        <v>Shipped</v>
      </c>
      <c r="R1889" s="2" t="s">
        <v>36</v>
      </c>
      <c r="S1889" s="8">
        <v>4</v>
      </c>
      <c r="T1889" s="2" t="s">
        <v>37</v>
      </c>
      <c r="U1889" s="31" t="str" cm="1">
        <f t="array" ref="U1889">_xlfn.IFS(L1889&lt;=5000,$Z$3,AND(L1889&gt;5000,L1889&lt;=15000),$Z$4,AND(L1889&gt;15000,L1889&lt;=30000),$Z$5,AND(L1889&gt;30000,L1889&lt;=50000),$Z$6,L1889&gt;50000,$Z$7)</f>
        <v>Sangat Rendah</v>
      </c>
      <c r="V1889" s="2"/>
    </row>
    <row r="1890" spans="1:22" ht="15.75" customHeight="1" x14ac:dyDescent="0.25">
      <c r="A1890" s="26"/>
      <c r="B1890" s="2" t="s">
        <v>2250</v>
      </c>
      <c r="C1890" s="32">
        <v>45896.552581018521</v>
      </c>
      <c r="D1890" s="53">
        <f>YEAR(Table1[[#This Row],[Order Date]])</f>
        <v>2025</v>
      </c>
      <c r="E1890" s="2" t="s">
        <v>582</v>
      </c>
      <c r="F1890" s="2" t="s">
        <v>435</v>
      </c>
      <c r="G1890" s="2" t="s">
        <v>110</v>
      </c>
      <c r="H1890" s="23">
        <v>6000</v>
      </c>
      <c r="I1890" s="2">
        <v>4</v>
      </c>
      <c r="J1890" s="31">
        <v>20</v>
      </c>
      <c r="K1890" s="7">
        <f t="shared" si="116"/>
        <v>24000</v>
      </c>
      <c r="L1890" s="7">
        <f t="shared" si="117"/>
        <v>4800</v>
      </c>
      <c r="M1890" s="7">
        <f t="shared" si="118"/>
        <v>19200</v>
      </c>
      <c r="N1890" s="23">
        <v>67000</v>
      </c>
      <c r="O1890" s="7">
        <f t="shared" si="119"/>
        <v>86200</v>
      </c>
      <c r="P1890" s="2" t="s">
        <v>63</v>
      </c>
      <c r="Q1890" t="str">
        <f>_xlfn.XLOOKUP(B1890,Status!$A$2:$A$1867,Status!$B$2:$B$1867)</f>
        <v>Shipped</v>
      </c>
      <c r="R1890" s="2" t="s">
        <v>46</v>
      </c>
      <c r="S1890" s="8">
        <v>1</v>
      </c>
      <c r="T1890" s="2" t="s">
        <v>24</v>
      </c>
      <c r="U1890" s="31" t="str" cm="1">
        <f t="array" ref="U1890">_xlfn.IFS(L1890&lt;=5000,$Z$3,AND(L1890&gt;5000,L1890&lt;=15000),$Z$4,AND(L1890&gt;15000,L1890&lt;=30000),$Z$5,AND(L1890&gt;30000,L1890&lt;=50000),$Z$6,L1890&gt;50000,$Z$7)</f>
        <v>Sangat Rendah</v>
      </c>
      <c r="V1890" s="2"/>
    </row>
    <row r="1891" spans="1:22" ht="15.75" customHeight="1" x14ac:dyDescent="0.25">
      <c r="A1891" s="26"/>
      <c r="B1891" s="2" t="s">
        <v>2251</v>
      </c>
      <c r="C1891" s="32">
        <v>45896.674687500003</v>
      </c>
      <c r="D1891" s="53">
        <f>YEAR(Table1[[#This Row],[Order Date]])</f>
        <v>2025</v>
      </c>
      <c r="E1891" s="2" t="s">
        <v>570</v>
      </c>
      <c r="F1891" s="2" t="s">
        <v>80</v>
      </c>
      <c r="G1891" s="2" t="s">
        <v>45</v>
      </c>
      <c r="H1891" s="23">
        <v>40000</v>
      </c>
      <c r="I1891" s="2">
        <v>5</v>
      </c>
      <c r="J1891" s="31">
        <v>15</v>
      </c>
      <c r="K1891" s="7">
        <f t="shared" si="116"/>
        <v>200000</v>
      </c>
      <c r="L1891" s="7">
        <f t="shared" si="117"/>
        <v>30000</v>
      </c>
      <c r="M1891" s="7">
        <f t="shared" si="118"/>
        <v>170000</v>
      </c>
      <c r="N1891" s="23">
        <v>74000</v>
      </c>
      <c r="O1891" s="7">
        <f t="shared" si="119"/>
        <v>244000</v>
      </c>
      <c r="P1891" s="2" t="s">
        <v>29</v>
      </c>
      <c r="Q1891" t="str">
        <f>_xlfn.XLOOKUP(B1891,Status!$A$2:$A$1867,Status!$B$2:$B$1867)</f>
        <v>Pending</v>
      </c>
      <c r="R1891" s="2" t="s">
        <v>36</v>
      </c>
      <c r="S1891" s="8">
        <v>1</v>
      </c>
      <c r="T1891" s="2" t="s">
        <v>24</v>
      </c>
      <c r="U1891" s="31" t="str" cm="1">
        <f t="array" ref="U1891">_xlfn.IFS(L1891&lt;=5000,$Z$3,AND(L1891&gt;5000,L1891&lt;=15000),$Z$4,AND(L1891&gt;15000,L1891&lt;=30000),$Z$5,AND(L1891&gt;30000,L1891&lt;=50000),$Z$6,L1891&gt;50000,$Z$7)</f>
        <v>Normal</v>
      </c>
      <c r="V1891" s="2"/>
    </row>
    <row r="1892" spans="1:22" ht="15.75" customHeight="1" x14ac:dyDescent="0.25">
      <c r="A1892" s="26"/>
      <c r="B1892" s="2" t="s">
        <v>2252</v>
      </c>
      <c r="C1892" s="32">
        <v>45897.089432870373</v>
      </c>
      <c r="D1892" s="53">
        <f>YEAR(Table1[[#This Row],[Order Date]])</f>
        <v>2025</v>
      </c>
      <c r="E1892" s="2" t="s">
        <v>549</v>
      </c>
      <c r="F1892" s="2" t="s">
        <v>107</v>
      </c>
      <c r="G1892" s="2" t="s">
        <v>174</v>
      </c>
      <c r="H1892" s="23">
        <v>10000</v>
      </c>
      <c r="I1892" s="2">
        <v>3</v>
      </c>
      <c r="J1892" s="31">
        <v>5</v>
      </c>
      <c r="K1892" s="7">
        <f t="shared" si="116"/>
        <v>30000</v>
      </c>
      <c r="L1892" s="7">
        <f t="shared" si="117"/>
        <v>1500</v>
      </c>
      <c r="M1892" s="7">
        <f t="shared" si="118"/>
        <v>28500</v>
      </c>
      <c r="N1892" s="23">
        <v>97000</v>
      </c>
      <c r="O1892" s="7">
        <f t="shared" si="119"/>
        <v>125500</v>
      </c>
      <c r="P1892" s="2" t="s">
        <v>29</v>
      </c>
      <c r="Q1892" t="str">
        <f>_xlfn.XLOOKUP(B1892,Status!$A$2:$A$1867,Status!$B$2:$B$1867)</f>
        <v>Completed</v>
      </c>
      <c r="R1892" s="2" t="s">
        <v>30</v>
      </c>
      <c r="S1892" s="8">
        <v>4</v>
      </c>
      <c r="T1892" s="2" t="s">
        <v>24</v>
      </c>
      <c r="U1892" s="31" t="str" cm="1">
        <f t="array" ref="U1892">_xlfn.IFS(L1892&lt;=5000,$Z$3,AND(L1892&gt;5000,L1892&lt;=15000),$Z$4,AND(L1892&gt;15000,L1892&lt;=30000),$Z$5,AND(L1892&gt;30000,L1892&lt;=50000),$Z$6,L1892&gt;50000,$Z$7)</f>
        <v>Sangat Rendah</v>
      </c>
      <c r="V1892" s="2"/>
    </row>
    <row r="1893" spans="1:22" ht="15.75" customHeight="1" x14ac:dyDescent="0.25">
      <c r="A1893" s="26"/>
      <c r="B1893" s="2" t="s">
        <v>2253</v>
      </c>
      <c r="C1893" s="32">
        <v>45897.186666666668</v>
      </c>
      <c r="D1893" s="53">
        <f>YEAR(Table1[[#This Row],[Order Date]])</f>
        <v>2025</v>
      </c>
      <c r="E1893" s="2" t="s">
        <v>184</v>
      </c>
      <c r="F1893" s="2" t="s">
        <v>103</v>
      </c>
      <c r="G1893" s="2" t="s">
        <v>41</v>
      </c>
      <c r="H1893" s="23">
        <v>4000</v>
      </c>
      <c r="I1893" s="2">
        <v>1</v>
      </c>
      <c r="J1893" s="31">
        <v>10</v>
      </c>
      <c r="K1893" s="7">
        <f t="shared" si="116"/>
        <v>4000</v>
      </c>
      <c r="L1893" s="7">
        <f t="shared" si="117"/>
        <v>400</v>
      </c>
      <c r="M1893" s="7">
        <f t="shared" si="118"/>
        <v>3600</v>
      </c>
      <c r="N1893" s="23">
        <v>85000</v>
      </c>
      <c r="O1893" s="7">
        <f t="shared" si="119"/>
        <v>88600</v>
      </c>
      <c r="P1893" s="2" t="s">
        <v>29</v>
      </c>
      <c r="Q1893" t="str">
        <f>_xlfn.XLOOKUP(B1893,Status!$A$2:$A$1867,Status!$B$2:$B$1867)</f>
        <v>Pending</v>
      </c>
      <c r="R1893" s="2" t="s">
        <v>82</v>
      </c>
      <c r="S1893" s="8">
        <v>1</v>
      </c>
      <c r="T1893" s="2" t="s">
        <v>24</v>
      </c>
      <c r="U1893" s="31" t="str" cm="1">
        <f t="array" ref="U1893">_xlfn.IFS(L1893&lt;=5000,$Z$3,AND(L1893&gt;5000,L1893&lt;=15000),$Z$4,AND(L1893&gt;15000,L1893&lt;=30000),$Z$5,AND(L1893&gt;30000,L1893&lt;=50000),$Z$6,L1893&gt;50000,$Z$7)</f>
        <v>Sangat Rendah</v>
      </c>
      <c r="V1893" s="2"/>
    </row>
    <row r="1894" spans="1:22" ht="15.75" customHeight="1" x14ac:dyDescent="0.25">
      <c r="A1894" s="26"/>
      <c r="B1894" s="2" t="s">
        <v>2254</v>
      </c>
      <c r="C1894" s="32">
        <v>45897.537870370368</v>
      </c>
      <c r="D1894" s="53">
        <f>YEAR(Table1[[#This Row],[Order Date]])</f>
        <v>2025</v>
      </c>
      <c r="E1894" s="2" t="s">
        <v>321</v>
      </c>
      <c r="F1894" s="2" t="s">
        <v>80</v>
      </c>
      <c r="G1894" s="2" t="s">
        <v>21</v>
      </c>
      <c r="H1894" s="23">
        <v>45000</v>
      </c>
      <c r="I1894" s="2">
        <v>2</v>
      </c>
      <c r="J1894" s="31">
        <v>5</v>
      </c>
      <c r="K1894" s="7">
        <f t="shared" si="116"/>
        <v>90000</v>
      </c>
      <c r="L1894" s="7">
        <f t="shared" si="117"/>
        <v>4500</v>
      </c>
      <c r="M1894" s="7">
        <f t="shared" si="118"/>
        <v>85500</v>
      </c>
      <c r="N1894" s="23">
        <v>74000</v>
      </c>
      <c r="O1894" s="7">
        <f t="shared" si="119"/>
        <v>159500</v>
      </c>
      <c r="P1894" s="2" t="s">
        <v>63</v>
      </c>
      <c r="Q1894" t="str">
        <f>_xlfn.XLOOKUP(B1894,Status!$A$2:$A$1867,Status!$B$2:$B$1867)</f>
        <v>Pending</v>
      </c>
      <c r="R1894" s="2" t="s">
        <v>23</v>
      </c>
      <c r="S1894" s="8">
        <v>3</v>
      </c>
      <c r="T1894" s="2" t="s">
        <v>24</v>
      </c>
      <c r="U1894" s="31" t="str" cm="1">
        <f t="array" ref="U1894">_xlfn.IFS(L1894&lt;=5000,$Z$3,AND(L1894&gt;5000,L1894&lt;=15000),$Z$4,AND(L1894&gt;15000,L1894&lt;=30000),$Z$5,AND(L1894&gt;30000,L1894&lt;=50000),$Z$6,L1894&gt;50000,$Z$7)</f>
        <v>Sangat Rendah</v>
      </c>
      <c r="V1894" s="2"/>
    </row>
    <row r="1895" spans="1:22" ht="15.75" customHeight="1" x14ac:dyDescent="0.25">
      <c r="A1895" s="26"/>
      <c r="B1895" s="2" t="s">
        <v>2255</v>
      </c>
      <c r="C1895" s="32">
        <v>45897.733437499999</v>
      </c>
      <c r="D1895" s="53">
        <f>YEAR(Table1[[#This Row],[Order Date]])</f>
        <v>2025</v>
      </c>
      <c r="E1895" s="2" t="s">
        <v>1396</v>
      </c>
      <c r="F1895" s="2" t="s">
        <v>435</v>
      </c>
      <c r="G1895" s="2" t="s">
        <v>186</v>
      </c>
      <c r="H1895" s="23">
        <v>45000</v>
      </c>
      <c r="I1895" s="2">
        <v>2</v>
      </c>
      <c r="J1895" s="31">
        <v>15</v>
      </c>
      <c r="K1895" s="7">
        <f t="shared" si="116"/>
        <v>90000</v>
      </c>
      <c r="L1895" s="7">
        <f t="shared" si="117"/>
        <v>13500</v>
      </c>
      <c r="M1895" s="7">
        <f t="shared" si="118"/>
        <v>76500</v>
      </c>
      <c r="N1895" s="23">
        <v>67000</v>
      </c>
      <c r="O1895" s="7">
        <f t="shared" si="119"/>
        <v>143500</v>
      </c>
      <c r="P1895" s="2" t="s">
        <v>63</v>
      </c>
      <c r="Q1895" t="str">
        <f>_xlfn.XLOOKUP(B1895,Status!$A$2:$A$1867,Status!$B$2:$B$1867)</f>
        <v>Completed</v>
      </c>
      <c r="R1895" s="2" t="s">
        <v>23</v>
      </c>
      <c r="S1895" s="8">
        <v>3</v>
      </c>
      <c r="T1895" s="2" t="s">
        <v>24</v>
      </c>
      <c r="U1895" s="31" t="str" cm="1">
        <f t="array" ref="U1895">_xlfn.IFS(L1895&lt;=5000,$Z$3,AND(L1895&gt;5000,L1895&lt;=15000),$Z$4,AND(L1895&gt;15000,L1895&lt;=30000),$Z$5,AND(L1895&gt;30000,L1895&lt;=50000),$Z$6,L1895&gt;50000,$Z$7)</f>
        <v>Rendah</v>
      </c>
      <c r="V1895" s="2"/>
    </row>
    <row r="1896" spans="1:22" ht="15.75" customHeight="1" x14ac:dyDescent="0.25">
      <c r="A1896" s="26"/>
      <c r="B1896" s="2" t="s">
        <v>2256</v>
      </c>
      <c r="C1896" s="32">
        <v>45898.084236111114</v>
      </c>
      <c r="D1896" s="53">
        <f>YEAR(Table1[[#This Row],[Order Date]])</f>
        <v>2025</v>
      </c>
      <c r="E1896" s="2" t="s">
        <v>153</v>
      </c>
      <c r="F1896" s="2" t="s">
        <v>103</v>
      </c>
      <c r="G1896" s="2" t="s">
        <v>62</v>
      </c>
      <c r="H1896" s="23">
        <v>50000</v>
      </c>
      <c r="I1896" s="2">
        <v>4</v>
      </c>
      <c r="J1896" s="31">
        <v>5</v>
      </c>
      <c r="K1896" s="7">
        <f t="shared" si="116"/>
        <v>200000</v>
      </c>
      <c r="L1896" s="7">
        <f t="shared" si="117"/>
        <v>10000</v>
      </c>
      <c r="M1896" s="7">
        <f t="shared" si="118"/>
        <v>190000</v>
      </c>
      <c r="N1896" s="23">
        <v>85000</v>
      </c>
      <c r="O1896" s="7">
        <f t="shared" si="119"/>
        <v>275000</v>
      </c>
      <c r="P1896" s="2" t="s">
        <v>35</v>
      </c>
      <c r="Q1896" t="str">
        <f>_xlfn.XLOOKUP(B1896,Status!$A$2:$A$1867,Status!$B$2:$B$1867)</f>
        <v>Pending</v>
      </c>
      <c r="R1896" s="2" t="s">
        <v>30</v>
      </c>
      <c r="S1896" s="8">
        <v>4</v>
      </c>
      <c r="T1896" s="2" t="s">
        <v>37</v>
      </c>
      <c r="U1896" s="31" t="str" cm="1">
        <f t="array" ref="U1896">_xlfn.IFS(L1896&lt;=5000,$Z$3,AND(L1896&gt;5000,L1896&lt;=15000),$Z$4,AND(L1896&gt;15000,L1896&lt;=30000),$Z$5,AND(L1896&gt;30000,L1896&lt;=50000),$Z$6,L1896&gt;50000,$Z$7)</f>
        <v>Rendah</v>
      </c>
      <c r="V1896" s="2"/>
    </row>
    <row r="1897" spans="1:22" ht="15.75" customHeight="1" x14ac:dyDescent="0.25">
      <c r="A1897" s="26"/>
      <c r="B1897" s="2" t="s">
        <v>2257</v>
      </c>
      <c r="C1897" s="32">
        <v>45898.097557870373</v>
      </c>
      <c r="D1897" s="53">
        <f>YEAR(Table1[[#This Row],[Order Date]])</f>
        <v>2025</v>
      </c>
      <c r="E1897" s="2" t="s">
        <v>510</v>
      </c>
      <c r="F1897" s="2" t="s">
        <v>96</v>
      </c>
      <c r="G1897" s="2" t="s">
        <v>110</v>
      </c>
      <c r="H1897" s="23">
        <v>6000</v>
      </c>
      <c r="I1897" s="2">
        <v>5</v>
      </c>
      <c r="J1897" s="31">
        <v>10</v>
      </c>
      <c r="K1897" s="7">
        <f t="shared" si="116"/>
        <v>30000</v>
      </c>
      <c r="L1897" s="7">
        <f t="shared" si="117"/>
        <v>3000</v>
      </c>
      <c r="M1897" s="7">
        <f t="shared" si="118"/>
        <v>27000</v>
      </c>
      <c r="N1897" s="23">
        <v>49000</v>
      </c>
      <c r="O1897" s="7">
        <f t="shared" si="119"/>
        <v>76000</v>
      </c>
      <c r="P1897" s="2" t="s">
        <v>29</v>
      </c>
      <c r="Q1897" t="str">
        <f>_xlfn.XLOOKUP(B1897,Status!$A$2:$A$1867,Status!$B$2:$B$1867)</f>
        <v>Completed</v>
      </c>
      <c r="R1897" s="2" t="s">
        <v>82</v>
      </c>
      <c r="S1897" s="8">
        <v>5</v>
      </c>
      <c r="T1897" s="2" t="s">
        <v>24</v>
      </c>
      <c r="U1897" s="31" t="str" cm="1">
        <f t="array" ref="U1897">_xlfn.IFS(L1897&lt;=5000,$Z$3,AND(L1897&gt;5000,L1897&lt;=15000),$Z$4,AND(L1897&gt;15000,L1897&lt;=30000),$Z$5,AND(L1897&gt;30000,L1897&lt;=50000),$Z$6,L1897&gt;50000,$Z$7)</f>
        <v>Sangat Rendah</v>
      </c>
      <c r="V1897" s="2"/>
    </row>
    <row r="1898" spans="1:22" ht="15.75" customHeight="1" x14ac:dyDescent="0.25">
      <c r="A1898" s="26"/>
      <c r="B1898" s="2" t="s">
        <v>2258</v>
      </c>
      <c r="C1898" s="32">
        <v>45898.221493055556</v>
      </c>
      <c r="D1898" s="53">
        <f>YEAR(Table1[[#This Row],[Order Date]])</f>
        <v>2025</v>
      </c>
      <c r="E1898" s="2" t="s">
        <v>1323</v>
      </c>
      <c r="F1898" s="2" t="s">
        <v>74</v>
      </c>
      <c r="G1898" s="2" t="s">
        <v>34</v>
      </c>
      <c r="H1898" s="23">
        <v>16000</v>
      </c>
      <c r="I1898" s="2">
        <v>4</v>
      </c>
      <c r="J1898" s="31">
        <v>20</v>
      </c>
      <c r="K1898" s="7">
        <f t="shared" si="116"/>
        <v>64000</v>
      </c>
      <c r="L1898" s="7">
        <f t="shared" si="117"/>
        <v>12800</v>
      </c>
      <c r="M1898" s="7">
        <f t="shared" si="118"/>
        <v>51200</v>
      </c>
      <c r="N1898" s="23">
        <v>87000</v>
      </c>
      <c r="O1898" s="7">
        <f t="shared" si="119"/>
        <v>138200</v>
      </c>
      <c r="P1898" s="2" t="s">
        <v>29</v>
      </c>
      <c r="Q1898" t="str">
        <f>_xlfn.XLOOKUP(B1898,Status!$A$2:$A$1867,Status!$B$2:$B$1867)</f>
        <v>Shipped</v>
      </c>
      <c r="R1898" s="2" t="s">
        <v>82</v>
      </c>
      <c r="S1898" s="8">
        <v>2</v>
      </c>
      <c r="T1898" s="2" t="s">
        <v>24</v>
      </c>
      <c r="U1898" s="31" t="str" cm="1">
        <f t="array" ref="U1898">_xlfn.IFS(L1898&lt;=5000,$Z$3,AND(L1898&gt;5000,L1898&lt;=15000),$Z$4,AND(L1898&gt;15000,L1898&lt;=30000),$Z$5,AND(L1898&gt;30000,L1898&lt;=50000),$Z$6,L1898&gt;50000,$Z$7)</f>
        <v>Rendah</v>
      </c>
      <c r="V1898" s="2"/>
    </row>
    <row r="1899" spans="1:22" ht="15.75" customHeight="1" x14ac:dyDescent="0.25">
      <c r="A1899" s="26"/>
      <c r="B1899" s="2" t="s">
        <v>2259</v>
      </c>
      <c r="C1899" s="32">
        <v>45898.250937500001</v>
      </c>
      <c r="D1899" s="53">
        <f>YEAR(Table1[[#This Row],[Order Date]])</f>
        <v>2025</v>
      </c>
      <c r="E1899" s="2" t="s">
        <v>95</v>
      </c>
      <c r="F1899" s="2" t="s">
        <v>96</v>
      </c>
      <c r="G1899" s="2" t="s">
        <v>34</v>
      </c>
      <c r="H1899" s="23">
        <v>16000</v>
      </c>
      <c r="I1899" s="2">
        <v>3</v>
      </c>
      <c r="J1899" s="31">
        <v>20</v>
      </c>
      <c r="K1899" s="7">
        <f t="shared" si="116"/>
        <v>48000</v>
      </c>
      <c r="L1899" s="7">
        <f t="shared" si="117"/>
        <v>9600</v>
      </c>
      <c r="M1899" s="7">
        <f t="shared" si="118"/>
        <v>38400</v>
      </c>
      <c r="N1899" s="23">
        <v>49000</v>
      </c>
      <c r="O1899" s="7">
        <f t="shared" si="119"/>
        <v>87400</v>
      </c>
      <c r="P1899" s="2" t="s">
        <v>29</v>
      </c>
      <c r="Q1899" t="str">
        <f>_xlfn.XLOOKUP(B1899,Status!$A$2:$A$1867,Status!$B$2:$B$1867)</f>
        <v>Pending</v>
      </c>
      <c r="R1899" s="2" t="s">
        <v>46</v>
      </c>
      <c r="S1899" s="8">
        <v>2</v>
      </c>
      <c r="T1899" s="2" t="s">
        <v>24</v>
      </c>
      <c r="U1899" s="31" t="str" cm="1">
        <f t="array" ref="U1899">_xlfn.IFS(L1899&lt;=5000,$Z$3,AND(L1899&gt;5000,L1899&lt;=15000),$Z$4,AND(L1899&gt;15000,L1899&lt;=30000),$Z$5,AND(L1899&gt;30000,L1899&lt;=50000),$Z$6,L1899&gt;50000,$Z$7)</f>
        <v>Rendah</v>
      </c>
      <c r="V1899" s="2"/>
    </row>
    <row r="1900" spans="1:22" ht="15.75" customHeight="1" x14ac:dyDescent="0.25">
      <c r="A1900" s="26"/>
      <c r="B1900" s="2" t="s">
        <v>2260</v>
      </c>
      <c r="C1900" s="32">
        <v>45898.28365740741</v>
      </c>
      <c r="D1900" s="53">
        <f>YEAR(Table1[[#This Row],[Order Date]])</f>
        <v>2025</v>
      </c>
      <c r="E1900" s="2" t="s">
        <v>394</v>
      </c>
      <c r="F1900" s="2" t="s">
        <v>53</v>
      </c>
      <c r="G1900" s="2" t="s">
        <v>136</v>
      </c>
      <c r="H1900" s="23">
        <v>12000</v>
      </c>
      <c r="I1900" s="2">
        <v>1</v>
      </c>
      <c r="J1900" s="31">
        <v>0</v>
      </c>
      <c r="K1900" s="7">
        <f t="shared" si="116"/>
        <v>12000</v>
      </c>
      <c r="L1900" s="7">
        <f t="shared" si="117"/>
        <v>0</v>
      </c>
      <c r="M1900" s="7">
        <f t="shared" si="118"/>
        <v>12000</v>
      </c>
      <c r="N1900" s="23">
        <v>18000</v>
      </c>
      <c r="O1900" s="7">
        <f t="shared" si="119"/>
        <v>30000</v>
      </c>
      <c r="P1900" s="2" t="s">
        <v>35</v>
      </c>
      <c r="Q1900" t="str">
        <f>_xlfn.XLOOKUP(B1900,Status!$A$2:$A$1867,Status!$B$2:$B$1867)</f>
        <v>Completed</v>
      </c>
      <c r="R1900" s="2" t="s">
        <v>82</v>
      </c>
      <c r="S1900" s="8">
        <v>3</v>
      </c>
      <c r="T1900" s="2" t="s">
        <v>24</v>
      </c>
      <c r="U1900" s="31" t="str" cm="1">
        <f t="array" ref="U1900">_xlfn.IFS(L1900&lt;=5000,$Z$3,AND(L1900&gt;5000,L1900&lt;=15000),$Z$4,AND(L1900&gt;15000,L1900&lt;=30000),$Z$5,AND(L1900&gt;30000,L1900&lt;=50000),$Z$6,L1900&gt;50000,$Z$7)</f>
        <v>Sangat Rendah</v>
      </c>
      <c r="V1900" s="2"/>
    </row>
    <row r="1901" spans="1:22" ht="15.75" customHeight="1" x14ac:dyDescent="0.25">
      <c r="A1901" s="26"/>
      <c r="B1901" s="2" t="s">
        <v>2261</v>
      </c>
      <c r="C1901" s="32">
        <v>45898.346018518518</v>
      </c>
      <c r="D1901" s="53">
        <f>YEAR(Table1[[#This Row],[Order Date]])</f>
        <v>2025</v>
      </c>
      <c r="E1901" s="2" t="s">
        <v>985</v>
      </c>
      <c r="F1901" s="2" t="s">
        <v>53</v>
      </c>
      <c r="G1901" s="2" t="s">
        <v>81</v>
      </c>
      <c r="H1901" s="23">
        <v>17000</v>
      </c>
      <c r="I1901" s="2">
        <v>1</v>
      </c>
      <c r="J1901" s="31">
        <v>5</v>
      </c>
      <c r="K1901" s="7">
        <f t="shared" si="116"/>
        <v>17000</v>
      </c>
      <c r="L1901" s="7">
        <f t="shared" si="117"/>
        <v>850</v>
      </c>
      <c r="M1901" s="7">
        <f t="shared" si="118"/>
        <v>16150</v>
      </c>
      <c r="N1901" s="23">
        <v>18000</v>
      </c>
      <c r="O1901" s="7">
        <f t="shared" si="119"/>
        <v>34150</v>
      </c>
      <c r="P1901" s="2" t="s">
        <v>29</v>
      </c>
      <c r="Q1901" t="str">
        <f>_xlfn.XLOOKUP(B1901,Status!$A$2:$A$1867,Status!$B$2:$B$1867)</f>
        <v>Cancelled</v>
      </c>
      <c r="R1901" s="2" t="s">
        <v>23</v>
      </c>
      <c r="S1901" s="8">
        <v>1</v>
      </c>
      <c r="T1901" s="2" t="s">
        <v>24</v>
      </c>
      <c r="U1901" s="31" t="str" cm="1">
        <f t="array" ref="U1901">_xlfn.IFS(L1901&lt;=5000,$Z$3,AND(L1901&gt;5000,L1901&lt;=15000),$Z$4,AND(L1901&gt;15000,L1901&lt;=30000),$Z$5,AND(L1901&gt;30000,L1901&lt;=50000),$Z$6,L1901&gt;50000,$Z$7)</f>
        <v>Sangat Rendah</v>
      </c>
      <c r="V1901" s="2"/>
    </row>
    <row r="1902" spans="1:22" ht="15.75" customHeight="1" x14ac:dyDescent="0.25">
      <c r="A1902" s="26"/>
      <c r="B1902" s="2" t="s">
        <v>2262</v>
      </c>
      <c r="C1902" s="32">
        <v>45898.353402777779</v>
      </c>
      <c r="D1902" s="53">
        <f>YEAR(Table1[[#This Row],[Order Date]])</f>
        <v>2025</v>
      </c>
      <c r="E1902" s="2" t="s">
        <v>425</v>
      </c>
      <c r="F1902" s="2" t="s">
        <v>44</v>
      </c>
      <c r="G1902" s="2" t="s">
        <v>104</v>
      </c>
      <c r="H1902" s="23">
        <v>30000</v>
      </c>
      <c r="I1902" s="2">
        <v>3</v>
      </c>
      <c r="J1902" s="31">
        <v>0</v>
      </c>
      <c r="K1902" s="7">
        <f t="shared" si="116"/>
        <v>90000</v>
      </c>
      <c r="L1902" s="7">
        <f t="shared" si="117"/>
        <v>0</v>
      </c>
      <c r="M1902" s="7">
        <f t="shared" si="118"/>
        <v>90000</v>
      </c>
      <c r="N1902" s="23">
        <v>93000</v>
      </c>
      <c r="O1902" s="7">
        <f t="shared" si="119"/>
        <v>183000</v>
      </c>
      <c r="P1902" s="2" t="s">
        <v>29</v>
      </c>
      <c r="Q1902" t="str">
        <f>_xlfn.XLOOKUP(B1902,Status!$A$2:$A$1867,Status!$B$2:$B$1867)</f>
        <v>Completed</v>
      </c>
      <c r="R1902" s="2" t="s">
        <v>82</v>
      </c>
      <c r="S1902" s="8">
        <v>1</v>
      </c>
      <c r="T1902" s="2" t="s">
        <v>37</v>
      </c>
      <c r="U1902" s="31" t="str" cm="1">
        <f t="array" ref="U1902">_xlfn.IFS(L1902&lt;=5000,$Z$3,AND(L1902&gt;5000,L1902&lt;=15000),$Z$4,AND(L1902&gt;15000,L1902&lt;=30000),$Z$5,AND(L1902&gt;30000,L1902&lt;=50000),$Z$6,L1902&gt;50000,$Z$7)</f>
        <v>Sangat Rendah</v>
      </c>
      <c r="V1902" s="2"/>
    </row>
    <row r="1903" spans="1:22" ht="15.75" customHeight="1" x14ac:dyDescent="0.25">
      <c r="A1903" s="26"/>
      <c r="B1903" s="2" t="s">
        <v>2263</v>
      </c>
      <c r="C1903" s="32">
        <v>45898.353715277779</v>
      </c>
      <c r="D1903" s="53">
        <f>YEAR(Table1[[#This Row],[Order Date]])</f>
        <v>2025</v>
      </c>
      <c r="E1903" s="2" t="s">
        <v>192</v>
      </c>
      <c r="F1903" s="2" t="s">
        <v>107</v>
      </c>
      <c r="G1903" s="2" t="s">
        <v>190</v>
      </c>
      <c r="H1903" s="23">
        <v>35000</v>
      </c>
      <c r="I1903" s="2">
        <v>5</v>
      </c>
      <c r="J1903" s="31">
        <v>20</v>
      </c>
      <c r="K1903" s="7">
        <f t="shared" si="116"/>
        <v>175000</v>
      </c>
      <c r="L1903" s="7">
        <f t="shared" si="117"/>
        <v>35000</v>
      </c>
      <c r="M1903" s="7">
        <f t="shared" si="118"/>
        <v>140000</v>
      </c>
      <c r="N1903" s="23">
        <v>97000</v>
      </c>
      <c r="O1903" s="7">
        <f t="shared" si="119"/>
        <v>237000</v>
      </c>
      <c r="P1903" s="2" t="s">
        <v>29</v>
      </c>
      <c r="Q1903" t="str">
        <f>_xlfn.XLOOKUP(B1903,Status!$A$2:$A$1867,Status!$B$2:$B$1867)</f>
        <v>Completed</v>
      </c>
      <c r="R1903" s="2" t="s">
        <v>36</v>
      </c>
      <c r="S1903" s="8">
        <v>1</v>
      </c>
      <c r="T1903" s="2" t="s">
        <v>24</v>
      </c>
      <c r="U1903" s="31" t="str" cm="1">
        <f t="array" ref="U1903">_xlfn.IFS(L1903&lt;=5000,$Z$3,AND(L1903&gt;5000,L1903&lt;=15000),$Z$4,AND(L1903&gt;15000,L1903&lt;=30000),$Z$5,AND(L1903&gt;30000,L1903&lt;=50000),$Z$6,L1903&gt;50000,$Z$7)</f>
        <v>Tinggi</v>
      </c>
      <c r="V1903" s="2"/>
    </row>
    <row r="1904" spans="1:22" ht="15.75" customHeight="1" x14ac:dyDescent="0.25">
      <c r="A1904" s="26"/>
      <c r="B1904" s="2" t="s">
        <v>2263</v>
      </c>
      <c r="C1904" s="32">
        <v>45898.353715277779</v>
      </c>
      <c r="D1904" s="53">
        <f>YEAR(Table1[[#This Row],[Order Date]])</f>
        <v>2025</v>
      </c>
      <c r="E1904" s="2" t="s">
        <v>192</v>
      </c>
      <c r="F1904" s="2" t="s">
        <v>107</v>
      </c>
      <c r="G1904" s="2" t="s">
        <v>58</v>
      </c>
      <c r="H1904" s="23">
        <v>16000</v>
      </c>
      <c r="I1904" s="2">
        <v>5</v>
      </c>
      <c r="J1904" s="31">
        <v>5</v>
      </c>
      <c r="K1904" s="7">
        <f t="shared" si="116"/>
        <v>80000</v>
      </c>
      <c r="L1904" s="7">
        <f t="shared" si="117"/>
        <v>4000</v>
      </c>
      <c r="M1904" s="7">
        <f t="shared" si="118"/>
        <v>76000</v>
      </c>
      <c r="N1904" s="23">
        <v>0</v>
      </c>
      <c r="O1904" s="7">
        <f t="shared" si="119"/>
        <v>76000</v>
      </c>
      <c r="P1904" s="2" t="s">
        <v>29</v>
      </c>
      <c r="Q1904" t="str">
        <f>_xlfn.XLOOKUP(B1904,Status!$A$2:$A$1867,Status!$B$2:$B$1867)</f>
        <v>Completed</v>
      </c>
      <c r="R1904" s="2" t="s">
        <v>36</v>
      </c>
      <c r="S1904" s="8">
        <v>1</v>
      </c>
      <c r="T1904" s="2" t="s">
        <v>24</v>
      </c>
      <c r="U1904" s="31" t="str" cm="1">
        <f t="array" ref="U1904">_xlfn.IFS(L1904&lt;=5000,$Z$3,AND(L1904&gt;5000,L1904&lt;=15000),$Z$4,AND(L1904&gt;15000,L1904&lt;=30000),$Z$5,AND(L1904&gt;30000,L1904&lt;=50000),$Z$6,L1904&gt;50000,$Z$7)</f>
        <v>Sangat Rendah</v>
      </c>
      <c r="V1904" s="2"/>
    </row>
    <row r="1905" spans="1:22" ht="15.75" customHeight="1" x14ac:dyDescent="0.25">
      <c r="A1905" s="26"/>
      <c r="B1905" s="2" t="s">
        <v>2264</v>
      </c>
      <c r="C1905" s="32">
        <v>45898.584236111114</v>
      </c>
      <c r="D1905" s="53">
        <f>YEAR(Table1[[#This Row],[Order Date]])</f>
        <v>2025</v>
      </c>
      <c r="E1905" s="2" t="s">
        <v>222</v>
      </c>
      <c r="F1905" s="2" t="s">
        <v>49</v>
      </c>
      <c r="G1905" s="2" t="s">
        <v>45</v>
      </c>
      <c r="H1905" s="23">
        <v>40000</v>
      </c>
      <c r="I1905" s="2">
        <v>5</v>
      </c>
      <c r="J1905" s="31">
        <v>0</v>
      </c>
      <c r="K1905" s="7">
        <f t="shared" si="116"/>
        <v>200000</v>
      </c>
      <c r="L1905" s="7">
        <f t="shared" si="117"/>
        <v>0</v>
      </c>
      <c r="M1905" s="7">
        <f t="shared" si="118"/>
        <v>200000</v>
      </c>
      <c r="N1905" s="23">
        <v>43000</v>
      </c>
      <c r="O1905" s="7">
        <f t="shared" si="119"/>
        <v>243000</v>
      </c>
      <c r="P1905" s="2" t="s">
        <v>22</v>
      </c>
      <c r="Q1905" t="str">
        <f>_xlfn.XLOOKUP(B1905,Status!$A$2:$A$1867,Status!$B$2:$B$1867)</f>
        <v>Pending</v>
      </c>
      <c r="R1905" s="2" t="s">
        <v>46</v>
      </c>
      <c r="S1905" s="8">
        <v>2</v>
      </c>
      <c r="T1905" s="2" t="s">
        <v>24</v>
      </c>
      <c r="U1905" s="31" t="str" cm="1">
        <f t="array" ref="U1905">_xlfn.IFS(L1905&lt;=5000,$Z$3,AND(L1905&gt;5000,L1905&lt;=15000),$Z$4,AND(L1905&gt;15000,L1905&lt;=30000),$Z$5,AND(L1905&gt;30000,L1905&lt;=50000),$Z$6,L1905&gt;50000,$Z$7)</f>
        <v>Sangat Rendah</v>
      </c>
      <c r="V1905" s="2"/>
    </row>
    <row r="1906" spans="1:22" ht="15.75" customHeight="1" x14ac:dyDescent="0.25">
      <c r="A1906" s="26"/>
      <c r="B1906" s="2" t="s">
        <v>2265</v>
      </c>
      <c r="C1906" s="32">
        <v>45898.705682870372</v>
      </c>
      <c r="D1906" s="53">
        <f>YEAR(Table1[[#This Row],[Order Date]])</f>
        <v>2025</v>
      </c>
      <c r="E1906" s="2" t="s">
        <v>1035</v>
      </c>
      <c r="F1906" s="2" t="s">
        <v>66</v>
      </c>
      <c r="G1906" s="2" t="s">
        <v>136</v>
      </c>
      <c r="H1906" s="23">
        <v>12000</v>
      </c>
      <c r="I1906" s="2">
        <v>5</v>
      </c>
      <c r="J1906" s="31">
        <v>15</v>
      </c>
      <c r="K1906" s="7">
        <f t="shared" si="116"/>
        <v>60000</v>
      </c>
      <c r="L1906" s="7">
        <f t="shared" si="117"/>
        <v>9000</v>
      </c>
      <c r="M1906" s="7">
        <f t="shared" si="118"/>
        <v>51000</v>
      </c>
      <c r="N1906" s="23">
        <v>59000</v>
      </c>
      <c r="O1906" s="7">
        <f t="shared" si="119"/>
        <v>110000</v>
      </c>
      <c r="P1906" s="2" t="s">
        <v>22</v>
      </c>
      <c r="Q1906" t="str">
        <f>_xlfn.XLOOKUP(B1906,Status!$A$2:$A$1867,Status!$B$2:$B$1867)</f>
        <v>Pending</v>
      </c>
      <c r="R1906" s="2" t="s">
        <v>46</v>
      </c>
      <c r="S1906" s="8">
        <v>2</v>
      </c>
      <c r="T1906" s="2" t="s">
        <v>24</v>
      </c>
      <c r="U1906" s="31" t="str" cm="1">
        <f t="array" ref="U1906">_xlfn.IFS(L1906&lt;=5000,$Z$3,AND(L1906&gt;5000,L1906&lt;=15000),$Z$4,AND(L1906&gt;15000,L1906&lt;=30000),$Z$5,AND(L1906&gt;30000,L1906&lt;=50000),$Z$6,L1906&gt;50000,$Z$7)</f>
        <v>Rendah</v>
      </c>
      <c r="V1906" s="2"/>
    </row>
    <row r="1907" spans="1:22" ht="15.75" customHeight="1" x14ac:dyDescent="0.25">
      <c r="A1907" s="26"/>
      <c r="B1907" s="2" t="s">
        <v>2266</v>
      </c>
      <c r="C1907" s="32">
        <v>45898.97152777778</v>
      </c>
      <c r="D1907" s="53">
        <f>YEAR(Table1[[#This Row],[Order Date]])</f>
        <v>2025</v>
      </c>
      <c r="E1907" s="2" t="s">
        <v>52</v>
      </c>
      <c r="F1907" s="2" t="s">
        <v>53</v>
      </c>
      <c r="G1907" s="2" t="s">
        <v>136</v>
      </c>
      <c r="H1907" s="23">
        <v>12000</v>
      </c>
      <c r="I1907" s="2">
        <v>4</v>
      </c>
      <c r="J1907" s="31">
        <v>0</v>
      </c>
      <c r="K1907" s="7">
        <f t="shared" si="116"/>
        <v>48000</v>
      </c>
      <c r="L1907" s="7">
        <f t="shared" si="117"/>
        <v>0</v>
      </c>
      <c r="M1907" s="7">
        <f t="shared" si="118"/>
        <v>48000</v>
      </c>
      <c r="N1907" s="23">
        <v>18000</v>
      </c>
      <c r="O1907" s="7">
        <f t="shared" si="119"/>
        <v>66000</v>
      </c>
      <c r="P1907" s="2" t="s">
        <v>22</v>
      </c>
      <c r="Q1907" t="str">
        <f>_xlfn.XLOOKUP(B1907,Status!$A$2:$A$1867,Status!$B$2:$B$1867)</f>
        <v>Completed</v>
      </c>
      <c r="R1907" s="2" t="s">
        <v>30</v>
      </c>
      <c r="S1907" s="8">
        <v>5</v>
      </c>
      <c r="T1907" s="2" t="s">
        <v>24</v>
      </c>
      <c r="U1907" s="31" t="str" cm="1">
        <f t="array" ref="U1907">_xlfn.IFS(L1907&lt;=5000,$Z$3,AND(L1907&gt;5000,L1907&lt;=15000),$Z$4,AND(L1907&gt;15000,L1907&lt;=30000),$Z$5,AND(L1907&gt;30000,L1907&lt;=50000),$Z$6,L1907&gt;50000,$Z$7)</f>
        <v>Sangat Rendah</v>
      </c>
      <c r="V1907" s="2"/>
    </row>
    <row r="1908" spans="1:22" ht="15.75" customHeight="1" x14ac:dyDescent="0.25">
      <c r="A1908" s="26"/>
      <c r="B1908" s="2" t="s">
        <v>2267</v>
      </c>
      <c r="C1908" s="32">
        <v>45899.024247685193</v>
      </c>
      <c r="D1908" s="53">
        <f>YEAR(Table1[[#This Row],[Order Date]])</f>
        <v>2025</v>
      </c>
      <c r="E1908" s="2" t="s">
        <v>615</v>
      </c>
      <c r="F1908" s="2" t="s">
        <v>92</v>
      </c>
      <c r="G1908" s="2" t="s">
        <v>250</v>
      </c>
      <c r="H1908" s="23">
        <v>18000</v>
      </c>
      <c r="I1908" s="2">
        <v>5</v>
      </c>
      <c r="J1908" s="31">
        <v>15</v>
      </c>
      <c r="K1908" s="7">
        <f t="shared" si="116"/>
        <v>90000</v>
      </c>
      <c r="L1908" s="7">
        <f t="shared" si="117"/>
        <v>13500</v>
      </c>
      <c r="M1908" s="7">
        <f t="shared" si="118"/>
        <v>76500</v>
      </c>
      <c r="N1908" s="23">
        <v>30000</v>
      </c>
      <c r="O1908" s="7">
        <f t="shared" si="119"/>
        <v>106500</v>
      </c>
      <c r="P1908" s="2" t="s">
        <v>63</v>
      </c>
      <c r="Q1908" t="str">
        <f>_xlfn.XLOOKUP(B1908,Status!$A$2:$A$1867,Status!$B$2:$B$1867)</f>
        <v>Completed</v>
      </c>
      <c r="R1908" s="2" t="s">
        <v>82</v>
      </c>
      <c r="S1908" s="8">
        <v>3</v>
      </c>
      <c r="T1908" s="2" t="s">
        <v>24</v>
      </c>
      <c r="U1908" s="31" t="str" cm="1">
        <f t="array" ref="U1908">_xlfn.IFS(L1908&lt;=5000,$Z$3,AND(L1908&gt;5000,L1908&lt;=15000),$Z$4,AND(L1908&gt;15000,L1908&lt;=30000),$Z$5,AND(L1908&gt;30000,L1908&lt;=50000),$Z$6,L1908&gt;50000,$Z$7)</f>
        <v>Rendah</v>
      </c>
      <c r="V1908" s="2"/>
    </row>
    <row r="1909" spans="1:22" ht="15.75" customHeight="1" x14ac:dyDescent="0.25">
      <c r="A1909" s="26"/>
      <c r="B1909" s="2" t="s">
        <v>2268</v>
      </c>
      <c r="C1909" s="32">
        <v>45899.208912037036</v>
      </c>
      <c r="D1909" s="53">
        <f>YEAR(Table1[[#This Row],[Order Date]])</f>
        <v>2025</v>
      </c>
      <c r="E1909" s="2" t="s">
        <v>285</v>
      </c>
      <c r="F1909" s="2" t="s">
        <v>20</v>
      </c>
      <c r="G1909" s="2" t="s">
        <v>88</v>
      </c>
      <c r="H1909" s="23">
        <v>14000</v>
      </c>
      <c r="I1909" s="2">
        <v>3</v>
      </c>
      <c r="J1909" s="31">
        <v>20</v>
      </c>
      <c r="K1909" s="7">
        <f t="shared" si="116"/>
        <v>42000</v>
      </c>
      <c r="L1909" s="7">
        <f t="shared" si="117"/>
        <v>8400</v>
      </c>
      <c r="M1909" s="7">
        <f t="shared" si="118"/>
        <v>33600</v>
      </c>
      <c r="N1909" s="23">
        <v>15000</v>
      </c>
      <c r="O1909" s="7">
        <f t="shared" si="119"/>
        <v>48600</v>
      </c>
      <c r="P1909" s="2" t="s">
        <v>35</v>
      </c>
      <c r="Q1909" t="str">
        <f>_xlfn.XLOOKUP(B1909,Status!$A$2:$A$1867,Status!$B$2:$B$1867)</f>
        <v>Completed</v>
      </c>
      <c r="R1909" s="2" t="s">
        <v>30</v>
      </c>
      <c r="S1909" s="8">
        <v>1</v>
      </c>
      <c r="T1909" s="2" t="s">
        <v>37</v>
      </c>
      <c r="U1909" s="31" t="str" cm="1">
        <f t="array" ref="U1909">_xlfn.IFS(L1909&lt;=5000,$Z$3,AND(L1909&gt;5000,L1909&lt;=15000),$Z$4,AND(L1909&gt;15000,L1909&lt;=30000),$Z$5,AND(L1909&gt;30000,L1909&lt;=50000),$Z$6,L1909&gt;50000,$Z$7)</f>
        <v>Rendah</v>
      </c>
      <c r="V1909" s="2"/>
    </row>
    <row r="1910" spans="1:22" ht="15.75" customHeight="1" x14ac:dyDescent="0.25">
      <c r="A1910" s="26"/>
      <c r="B1910" s="2" t="s">
        <v>2269</v>
      </c>
      <c r="C1910" s="32">
        <v>45899.281759259262</v>
      </c>
      <c r="D1910" s="53">
        <f>YEAR(Table1[[#This Row],[Order Date]])</f>
        <v>2025</v>
      </c>
      <c r="E1910" s="2" t="s">
        <v>1341</v>
      </c>
      <c r="F1910" s="2" t="s">
        <v>107</v>
      </c>
      <c r="G1910" s="2" t="s">
        <v>45</v>
      </c>
      <c r="H1910" s="23">
        <v>40000</v>
      </c>
      <c r="I1910" s="2">
        <v>4</v>
      </c>
      <c r="J1910" s="31">
        <v>15</v>
      </c>
      <c r="K1910" s="7">
        <f t="shared" si="116"/>
        <v>160000</v>
      </c>
      <c r="L1910" s="7">
        <f t="shared" si="117"/>
        <v>24000</v>
      </c>
      <c r="M1910" s="7">
        <f t="shared" si="118"/>
        <v>136000</v>
      </c>
      <c r="N1910" s="23">
        <v>97000</v>
      </c>
      <c r="O1910" s="7">
        <f t="shared" si="119"/>
        <v>233000</v>
      </c>
      <c r="P1910" s="2" t="s">
        <v>22</v>
      </c>
      <c r="Q1910" t="str">
        <f>_xlfn.XLOOKUP(B1910,Status!$A$2:$A$1867,Status!$B$2:$B$1867)</f>
        <v>Shipped</v>
      </c>
      <c r="R1910" s="2" t="s">
        <v>30</v>
      </c>
      <c r="S1910" s="8">
        <v>1</v>
      </c>
      <c r="T1910" s="2" t="s">
        <v>37</v>
      </c>
      <c r="U1910" s="31" t="str" cm="1">
        <f t="array" ref="U1910">_xlfn.IFS(L1910&lt;=5000,$Z$3,AND(L1910&gt;5000,L1910&lt;=15000),$Z$4,AND(L1910&gt;15000,L1910&lt;=30000),$Z$5,AND(L1910&gt;30000,L1910&lt;=50000),$Z$6,L1910&gt;50000,$Z$7)</f>
        <v>Normal</v>
      </c>
      <c r="V1910" s="2"/>
    </row>
    <row r="1911" spans="1:22" ht="15.75" customHeight="1" x14ac:dyDescent="0.25">
      <c r="A1911" s="26"/>
      <c r="B1911" s="2" t="s">
        <v>2270</v>
      </c>
      <c r="C1911" s="32">
        <v>45899.436759259261</v>
      </c>
      <c r="D1911" s="53">
        <f>YEAR(Table1[[#This Row],[Order Date]])</f>
        <v>2025</v>
      </c>
      <c r="E1911" s="2" t="s">
        <v>368</v>
      </c>
      <c r="F1911" s="2" t="s">
        <v>113</v>
      </c>
      <c r="G1911" s="2" t="s">
        <v>81</v>
      </c>
      <c r="H1911" s="23">
        <v>17000</v>
      </c>
      <c r="I1911" s="2">
        <v>3</v>
      </c>
      <c r="J1911" s="31">
        <v>0</v>
      </c>
      <c r="K1911" s="7">
        <f t="shared" si="116"/>
        <v>51000</v>
      </c>
      <c r="L1911" s="7">
        <f t="shared" si="117"/>
        <v>0</v>
      </c>
      <c r="M1911" s="7">
        <f t="shared" si="118"/>
        <v>51000</v>
      </c>
      <c r="N1911" s="23">
        <v>18000</v>
      </c>
      <c r="O1911" s="7">
        <f t="shared" si="119"/>
        <v>69000</v>
      </c>
      <c r="P1911" s="2" t="s">
        <v>29</v>
      </c>
      <c r="Q1911" t="str">
        <f>_xlfn.XLOOKUP(B1911,Status!$A$2:$A$1867,Status!$B$2:$B$1867)</f>
        <v>Pending</v>
      </c>
      <c r="R1911" s="2" t="s">
        <v>23</v>
      </c>
      <c r="S1911" s="8">
        <v>1</v>
      </c>
      <c r="T1911" s="2" t="s">
        <v>37</v>
      </c>
      <c r="U1911" s="31" t="str" cm="1">
        <f t="array" ref="U1911">_xlfn.IFS(L1911&lt;=5000,$Z$3,AND(L1911&gt;5000,L1911&lt;=15000),$Z$4,AND(L1911&gt;15000,L1911&lt;=30000),$Z$5,AND(L1911&gt;30000,L1911&lt;=50000),$Z$6,L1911&gt;50000,$Z$7)</f>
        <v>Sangat Rendah</v>
      </c>
      <c r="V1911" s="2"/>
    </row>
    <row r="1912" spans="1:22" ht="15.75" customHeight="1" x14ac:dyDescent="0.25">
      <c r="A1912" s="26"/>
      <c r="B1912" s="2" t="s">
        <v>2271</v>
      </c>
      <c r="C1912" s="32">
        <v>45900.304907407408</v>
      </c>
      <c r="D1912" s="53">
        <f>YEAR(Table1[[#This Row],[Order Date]])</f>
        <v>2025</v>
      </c>
      <c r="E1912" s="2" t="s">
        <v>115</v>
      </c>
      <c r="F1912" s="2" t="s">
        <v>116</v>
      </c>
      <c r="G1912" s="2" t="s">
        <v>110</v>
      </c>
      <c r="H1912" s="23">
        <v>6000</v>
      </c>
      <c r="I1912" s="2">
        <v>1</v>
      </c>
      <c r="J1912" s="31">
        <v>15</v>
      </c>
      <c r="K1912" s="7">
        <f t="shared" si="116"/>
        <v>6000</v>
      </c>
      <c r="L1912" s="7">
        <f t="shared" si="117"/>
        <v>900</v>
      </c>
      <c r="M1912" s="7">
        <f t="shared" si="118"/>
        <v>5100</v>
      </c>
      <c r="N1912" s="23">
        <v>72000</v>
      </c>
      <c r="O1912" s="7">
        <f t="shared" si="119"/>
        <v>77100</v>
      </c>
      <c r="P1912" s="2" t="s">
        <v>63</v>
      </c>
      <c r="Q1912" t="str">
        <f>_xlfn.XLOOKUP(B1912,Status!$A$2:$A$1867,Status!$B$2:$B$1867)</f>
        <v>Pending</v>
      </c>
      <c r="R1912" s="2" t="s">
        <v>82</v>
      </c>
      <c r="S1912" s="8">
        <v>4</v>
      </c>
      <c r="T1912" s="2" t="s">
        <v>24</v>
      </c>
      <c r="U1912" s="31" t="str" cm="1">
        <f t="array" ref="U1912">_xlfn.IFS(L1912&lt;=5000,$Z$3,AND(L1912&gt;5000,L1912&lt;=15000),$Z$4,AND(L1912&gt;15000,L1912&lt;=30000),$Z$5,AND(L1912&gt;30000,L1912&lt;=50000),$Z$6,L1912&gt;50000,$Z$7)</f>
        <v>Sangat Rendah</v>
      </c>
      <c r="V1912" s="2"/>
    </row>
    <row r="1913" spans="1:22" ht="15.75" customHeight="1" x14ac:dyDescent="0.25">
      <c r="A1913" s="26"/>
      <c r="B1913" s="2" t="s">
        <v>2272</v>
      </c>
      <c r="C1913" s="32">
        <v>45900.417118055557</v>
      </c>
      <c r="D1913" s="53">
        <f>YEAR(Table1[[#This Row],[Order Date]])</f>
        <v>2025</v>
      </c>
      <c r="E1913" s="2" t="s">
        <v>726</v>
      </c>
      <c r="F1913" s="2" t="s">
        <v>53</v>
      </c>
      <c r="G1913" s="2" t="s">
        <v>41</v>
      </c>
      <c r="H1913" s="23">
        <v>4000</v>
      </c>
      <c r="I1913" s="2">
        <v>1</v>
      </c>
      <c r="J1913" s="31">
        <v>5</v>
      </c>
      <c r="K1913" s="7">
        <f t="shared" si="116"/>
        <v>4000</v>
      </c>
      <c r="L1913" s="7">
        <f t="shared" si="117"/>
        <v>200</v>
      </c>
      <c r="M1913" s="7">
        <f t="shared" si="118"/>
        <v>3800</v>
      </c>
      <c r="N1913" s="23">
        <v>18000</v>
      </c>
      <c r="O1913" s="7">
        <f t="shared" si="119"/>
        <v>21800</v>
      </c>
      <c r="P1913" s="2" t="s">
        <v>63</v>
      </c>
      <c r="Q1913" t="str">
        <f>_xlfn.XLOOKUP(B1913,Status!$A$2:$A$1867,Status!$B$2:$B$1867)</f>
        <v>Pending</v>
      </c>
      <c r="R1913" s="2" t="s">
        <v>23</v>
      </c>
      <c r="S1913" s="8">
        <v>4</v>
      </c>
      <c r="T1913" s="2" t="s">
        <v>37</v>
      </c>
      <c r="U1913" s="31" t="str" cm="1">
        <f t="array" ref="U1913">_xlfn.IFS(L1913&lt;=5000,$Z$3,AND(L1913&gt;5000,L1913&lt;=15000),$Z$4,AND(L1913&gt;15000,L1913&lt;=30000),$Z$5,AND(L1913&gt;30000,L1913&lt;=50000),$Z$6,L1913&gt;50000,$Z$7)</f>
        <v>Sangat Rendah</v>
      </c>
      <c r="V1913" s="2"/>
    </row>
    <row r="1914" spans="1:22" ht="15.75" customHeight="1" x14ac:dyDescent="0.25">
      <c r="A1914" s="26"/>
      <c r="B1914" s="2" t="s">
        <v>2273</v>
      </c>
      <c r="C1914" s="32">
        <v>45901.082326388889</v>
      </c>
      <c r="D1914" s="53">
        <f>YEAR(Table1[[#This Row],[Order Date]])</f>
        <v>2025</v>
      </c>
      <c r="E1914" s="2" t="s">
        <v>711</v>
      </c>
      <c r="F1914" s="2" t="s">
        <v>177</v>
      </c>
      <c r="G1914" s="2" t="s">
        <v>45</v>
      </c>
      <c r="H1914" s="23">
        <v>40000</v>
      </c>
      <c r="I1914" s="2">
        <v>2</v>
      </c>
      <c r="J1914" s="31">
        <v>15</v>
      </c>
      <c r="K1914" s="7">
        <f t="shared" si="116"/>
        <v>80000</v>
      </c>
      <c r="L1914" s="7">
        <f t="shared" si="117"/>
        <v>12000</v>
      </c>
      <c r="M1914" s="7">
        <f t="shared" si="118"/>
        <v>68000</v>
      </c>
      <c r="N1914" s="23">
        <v>56000</v>
      </c>
      <c r="O1914" s="7">
        <f t="shared" si="119"/>
        <v>124000</v>
      </c>
      <c r="P1914" s="2" t="s">
        <v>35</v>
      </c>
      <c r="Q1914" t="str">
        <f>_xlfn.XLOOKUP(B1914,Status!$A$2:$A$1867,Status!$B$2:$B$1867)</f>
        <v>Pending</v>
      </c>
      <c r="R1914" s="2" t="s">
        <v>23</v>
      </c>
      <c r="S1914" s="8">
        <v>5</v>
      </c>
      <c r="T1914" s="2" t="s">
        <v>24</v>
      </c>
      <c r="U1914" s="31" t="str" cm="1">
        <f t="array" ref="U1914">_xlfn.IFS(L1914&lt;=5000,$Z$3,AND(L1914&gt;5000,L1914&lt;=15000),$Z$4,AND(L1914&gt;15000,L1914&lt;=30000),$Z$5,AND(L1914&gt;30000,L1914&lt;=50000),$Z$6,L1914&gt;50000,$Z$7)</f>
        <v>Rendah</v>
      </c>
      <c r="V1914" s="2"/>
    </row>
    <row r="1915" spans="1:22" ht="15.75" customHeight="1" x14ac:dyDescent="0.25">
      <c r="A1915" s="26"/>
      <c r="B1915" s="2" t="s">
        <v>2274</v>
      </c>
      <c r="C1915" s="32">
        <v>45901.183159722219</v>
      </c>
      <c r="D1915" s="53">
        <f>YEAR(Table1[[#This Row],[Order Date]])</f>
        <v>2025</v>
      </c>
      <c r="E1915" s="2" t="s">
        <v>547</v>
      </c>
      <c r="F1915" s="2" t="s">
        <v>119</v>
      </c>
      <c r="G1915" s="2" t="s">
        <v>58</v>
      </c>
      <c r="H1915" s="23">
        <v>16000</v>
      </c>
      <c r="I1915" s="2">
        <v>3</v>
      </c>
      <c r="J1915" s="31">
        <v>0</v>
      </c>
      <c r="K1915" s="7">
        <f t="shared" si="116"/>
        <v>48000</v>
      </c>
      <c r="L1915" s="7">
        <f t="shared" si="117"/>
        <v>0</v>
      </c>
      <c r="M1915" s="7">
        <f t="shared" si="118"/>
        <v>48000</v>
      </c>
      <c r="N1915" s="23">
        <v>0</v>
      </c>
      <c r="O1915" s="7">
        <f t="shared" si="119"/>
        <v>48000</v>
      </c>
      <c r="P1915" s="2" t="s">
        <v>29</v>
      </c>
      <c r="Q1915" t="str">
        <f>_xlfn.XLOOKUP(B1915,Status!$A$2:$A$1867,Status!$B$2:$B$1867)</f>
        <v>Shipped</v>
      </c>
      <c r="R1915" s="2" t="s">
        <v>82</v>
      </c>
      <c r="S1915" s="8">
        <v>3</v>
      </c>
      <c r="T1915" s="2" t="s">
        <v>37</v>
      </c>
      <c r="U1915" s="31" t="str" cm="1">
        <f t="array" ref="U1915">_xlfn.IFS(L1915&lt;=5000,$Z$3,AND(L1915&gt;5000,L1915&lt;=15000),$Z$4,AND(L1915&gt;15000,L1915&lt;=30000),$Z$5,AND(L1915&gt;30000,L1915&lt;=50000),$Z$6,L1915&gt;50000,$Z$7)</f>
        <v>Sangat Rendah</v>
      </c>
      <c r="V1915" s="2"/>
    </row>
    <row r="1916" spans="1:22" ht="15.75" customHeight="1" x14ac:dyDescent="0.25">
      <c r="A1916" s="26"/>
      <c r="B1916" s="2" t="s">
        <v>2275</v>
      </c>
      <c r="C1916" s="32">
        <v>45901.198425925933</v>
      </c>
      <c r="D1916" s="53">
        <f>YEAR(Table1[[#This Row],[Order Date]])</f>
        <v>2025</v>
      </c>
      <c r="E1916" s="2" t="s">
        <v>459</v>
      </c>
      <c r="F1916" s="2" t="s">
        <v>61</v>
      </c>
      <c r="G1916" s="2" t="s">
        <v>93</v>
      </c>
      <c r="H1916" s="23">
        <v>25000</v>
      </c>
      <c r="I1916" s="2">
        <v>2</v>
      </c>
      <c r="J1916" s="31">
        <v>10</v>
      </c>
      <c r="K1916" s="7">
        <f t="shared" si="116"/>
        <v>50000</v>
      </c>
      <c r="L1916" s="7">
        <f t="shared" si="117"/>
        <v>5000</v>
      </c>
      <c r="M1916" s="7">
        <f t="shared" si="118"/>
        <v>45000</v>
      </c>
      <c r="N1916" s="23">
        <v>26000</v>
      </c>
      <c r="O1916" s="7">
        <f t="shared" si="119"/>
        <v>71000</v>
      </c>
      <c r="P1916" s="2" t="s">
        <v>63</v>
      </c>
      <c r="Q1916" t="str">
        <f>_xlfn.XLOOKUP(B1916,Status!$A$2:$A$1867,Status!$B$2:$B$1867)</f>
        <v>Returned</v>
      </c>
      <c r="R1916" s="2" t="s">
        <v>46</v>
      </c>
      <c r="S1916" s="8">
        <v>4</v>
      </c>
      <c r="T1916" s="2" t="s">
        <v>24</v>
      </c>
      <c r="U1916" s="31" t="str" cm="1">
        <f t="array" ref="U1916">_xlfn.IFS(L1916&lt;=5000,$Z$3,AND(L1916&gt;5000,L1916&lt;=15000),$Z$4,AND(L1916&gt;15000,L1916&lt;=30000),$Z$5,AND(L1916&gt;30000,L1916&lt;=50000),$Z$6,L1916&gt;50000,$Z$7)</f>
        <v>Sangat Rendah</v>
      </c>
      <c r="V1916" s="2"/>
    </row>
    <row r="1917" spans="1:22" ht="15.75" customHeight="1" x14ac:dyDescent="0.25">
      <c r="A1917" s="26"/>
      <c r="B1917" s="2" t="s">
        <v>2276</v>
      </c>
      <c r="C1917" s="32">
        <v>45901.202060185176</v>
      </c>
      <c r="D1917" s="53">
        <f>YEAR(Table1[[#This Row],[Order Date]])</f>
        <v>2025</v>
      </c>
      <c r="E1917" s="2" t="s">
        <v>159</v>
      </c>
      <c r="F1917" s="2" t="s">
        <v>160</v>
      </c>
      <c r="G1917" s="2" t="s">
        <v>67</v>
      </c>
      <c r="H1917" s="23">
        <v>15000</v>
      </c>
      <c r="I1917" s="2">
        <v>3</v>
      </c>
      <c r="J1917" s="31">
        <v>15</v>
      </c>
      <c r="K1917" s="7">
        <f t="shared" si="116"/>
        <v>45000</v>
      </c>
      <c r="L1917" s="7">
        <f t="shared" si="117"/>
        <v>6750</v>
      </c>
      <c r="M1917" s="7">
        <f t="shared" si="118"/>
        <v>38250</v>
      </c>
      <c r="N1917" s="23">
        <v>68000</v>
      </c>
      <c r="O1917" s="7">
        <f t="shared" si="119"/>
        <v>106250</v>
      </c>
      <c r="P1917" s="2" t="s">
        <v>29</v>
      </c>
      <c r="Q1917" t="str">
        <f>_xlfn.XLOOKUP(B1917,Status!$A$2:$A$1867,Status!$B$2:$B$1867)</f>
        <v>Completed</v>
      </c>
      <c r="R1917" s="2" t="s">
        <v>30</v>
      </c>
      <c r="S1917" s="8">
        <v>2</v>
      </c>
      <c r="T1917" s="2" t="s">
        <v>24</v>
      </c>
      <c r="U1917" s="31" t="str" cm="1">
        <f t="array" ref="U1917">_xlfn.IFS(L1917&lt;=5000,$Z$3,AND(L1917&gt;5000,L1917&lt;=15000),$Z$4,AND(L1917&gt;15000,L1917&lt;=30000),$Z$5,AND(L1917&gt;30000,L1917&lt;=50000),$Z$6,L1917&gt;50000,$Z$7)</f>
        <v>Rendah</v>
      </c>
      <c r="V1917" s="2"/>
    </row>
    <row r="1918" spans="1:22" ht="15.75" customHeight="1" x14ac:dyDescent="0.25">
      <c r="A1918" s="26"/>
      <c r="B1918" s="2" t="s">
        <v>2277</v>
      </c>
      <c r="C1918" s="32">
        <v>45901.210173611107</v>
      </c>
      <c r="D1918" s="53">
        <f>YEAR(Table1[[#This Row],[Order Date]])</f>
        <v>2025</v>
      </c>
      <c r="E1918" s="2" t="s">
        <v>150</v>
      </c>
      <c r="F1918" s="2" t="s">
        <v>151</v>
      </c>
      <c r="G1918" s="2" t="s">
        <v>62</v>
      </c>
      <c r="H1918" s="23">
        <v>50000</v>
      </c>
      <c r="I1918" s="2">
        <v>1</v>
      </c>
      <c r="J1918" s="31">
        <v>20</v>
      </c>
      <c r="K1918" s="7">
        <f t="shared" si="116"/>
        <v>50000</v>
      </c>
      <c r="L1918" s="7">
        <f t="shared" si="117"/>
        <v>10000</v>
      </c>
      <c r="M1918" s="7">
        <f t="shared" si="118"/>
        <v>40000</v>
      </c>
      <c r="N1918" s="23">
        <v>55000</v>
      </c>
      <c r="O1918" s="7">
        <f t="shared" si="119"/>
        <v>95000</v>
      </c>
      <c r="P1918" s="2" t="s">
        <v>35</v>
      </c>
      <c r="Q1918" t="str">
        <f>_xlfn.XLOOKUP(B1918,Status!$A$2:$A$1867,Status!$B$2:$B$1867)</f>
        <v>Pending</v>
      </c>
      <c r="R1918" s="2" t="s">
        <v>82</v>
      </c>
      <c r="S1918" s="8">
        <v>1</v>
      </c>
      <c r="T1918" s="2" t="s">
        <v>37</v>
      </c>
      <c r="U1918" s="31" t="str" cm="1">
        <f t="array" ref="U1918">_xlfn.IFS(L1918&lt;=5000,$Z$3,AND(L1918&gt;5000,L1918&lt;=15000),$Z$4,AND(L1918&gt;15000,L1918&lt;=30000),$Z$5,AND(L1918&gt;30000,L1918&lt;=50000),$Z$6,L1918&gt;50000,$Z$7)</f>
        <v>Rendah</v>
      </c>
      <c r="V1918" s="2"/>
    </row>
    <row r="1919" spans="1:22" ht="15.75" customHeight="1" x14ac:dyDescent="0.25">
      <c r="A1919" s="26"/>
      <c r="B1919" s="2" t="s">
        <v>2278</v>
      </c>
      <c r="C1919" s="32">
        <v>45901.214085648149</v>
      </c>
      <c r="D1919" s="53">
        <f>YEAR(Table1[[#This Row],[Order Date]])</f>
        <v>2025</v>
      </c>
      <c r="E1919" s="2" t="s">
        <v>1146</v>
      </c>
      <c r="F1919" s="2" t="s">
        <v>116</v>
      </c>
      <c r="G1919" s="2" t="s">
        <v>58</v>
      </c>
      <c r="H1919" s="23">
        <v>16000</v>
      </c>
      <c r="I1919" s="2">
        <v>1</v>
      </c>
      <c r="J1919" s="31">
        <v>15</v>
      </c>
      <c r="K1919" s="7">
        <f t="shared" si="116"/>
        <v>16000</v>
      </c>
      <c r="L1919" s="7">
        <f t="shared" si="117"/>
        <v>2400</v>
      </c>
      <c r="M1919" s="7">
        <f t="shared" si="118"/>
        <v>13600</v>
      </c>
      <c r="N1919" s="23">
        <v>72000</v>
      </c>
      <c r="O1919" s="7">
        <f t="shared" si="119"/>
        <v>85600</v>
      </c>
      <c r="P1919" s="2" t="s">
        <v>35</v>
      </c>
      <c r="Q1919" t="str">
        <f>_xlfn.XLOOKUP(B1919,Status!$A$2:$A$1867,Status!$B$2:$B$1867)</f>
        <v>Cancelled</v>
      </c>
      <c r="R1919" s="2" t="s">
        <v>23</v>
      </c>
      <c r="S1919" s="8">
        <v>4</v>
      </c>
      <c r="T1919" s="2" t="s">
        <v>24</v>
      </c>
      <c r="U1919" s="31" t="str" cm="1">
        <f t="array" ref="U1919">_xlfn.IFS(L1919&lt;=5000,$Z$3,AND(L1919&gt;5000,L1919&lt;=15000),$Z$4,AND(L1919&gt;15000,L1919&lt;=30000),$Z$5,AND(L1919&gt;30000,L1919&lt;=50000),$Z$6,L1919&gt;50000,$Z$7)</f>
        <v>Sangat Rendah</v>
      </c>
      <c r="V1919" s="2"/>
    </row>
    <row r="1920" spans="1:22" ht="15.75" customHeight="1" x14ac:dyDescent="0.25">
      <c r="A1920" s="26"/>
      <c r="B1920" s="2" t="s">
        <v>2279</v>
      </c>
      <c r="C1920" s="32">
        <v>45901.378113425933</v>
      </c>
      <c r="D1920" s="53">
        <f>YEAR(Table1[[#This Row],[Order Date]])</f>
        <v>2025</v>
      </c>
      <c r="E1920" s="2" t="s">
        <v>466</v>
      </c>
      <c r="F1920" s="2" t="s">
        <v>131</v>
      </c>
      <c r="G1920" s="2" t="s">
        <v>138</v>
      </c>
      <c r="H1920" s="23">
        <v>17000</v>
      </c>
      <c r="I1920" s="2">
        <v>4</v>
      </c>
      <c r="J1920" s="31">
        <v>15</v>
      </c>
      <c r="K1920" s="7">
        <f t="shared" si="116"/>
        <v>68000</v>
      </c>
      <c r="L1920" s="7">
        <f t="shared" si="117"/>
        <v>10200</v>
      </c>
      <c r="M1920" s="7">
        <f t="shared" si="118"/>
        <v>57800</v>
      </c>
      <c r="N1920" s="23">
        <v>59000</v>
      </c>
      <c r="O1920" s="7">
        <f t="shared" si="119"/>
        <v>116800</v>
      </c>
      <c r="P1920" s="2" t="s">
        <v>29</v>
      </c>
      <c r="Q1920" t="str">
        <f>_xlfn.XLOOKUP(B1920,Status!$A$2:$A$1867,Status!$B$2:$B$1867)</f>
        <v>Pending</v>
      </c>
      <c r="R1920" s="2" t="s">
        <v>82</v>
      </c>
      <c r="S1920" s="8">
        <v>3</v>
      </c>
      <c r="T1920" s="2" t="s">
        <v>24</v>
      </c>
      <c r="U1920" s="31" t="str" cm="1">
        <f t="array" ref="U1920">_xlfn.IFS(L1920&lt;=5000,$Z$3,AND(L1920&gt;5000,L1920&lt;=15000),$Z$4,AND(L1920&gt;15000,L1920&lt;=30000),$Z$5,AND(L1920&gt;30000,L1920&lt;=50000),$Z$6,L1920&gt;50000,$Z$7)</f>
        <v>Rendah</v>
      </c>
      <c r="V1920" s="2"/>
    </row>
    <row r="1921" spans="1:22" ht="15.75" customHeight="1" x14ac:dyDescent="0.25">
      <c r="A1921" s="26"/>
      <c r="B1921" s="2" t="s">
        <v>2280</v>
      </c>
      <c r="C1921" s="32">
        <v>45901.889374999999</v>
      </c>
      <c r="D1921" s="53">
        <f>YEAR(Table1[[#This Row],[Order Date]])</f>
        <v>2025</v>
      </c>
      <c r="E1921" s="2" t="s">
        <v>582</v>
      </c>
      <c r="F1921" s="2" t="s">
        <v>435</v>
      </c>
      <c r="G1921" s="2" t="s">
        <v>174</v>
      </c>
      <c r="H1921" s="23">
        <v>10000</v>
      </c>
      <c r="I1921" s="2">
        <v>1</v>
      </c>
      <c r="J1921" s="31">
        <v>15</v>
      </c>
      <c r="K1921" s="7">
        <f t="shared" si="116"/>
        <v>10000</v>
      </c>
      <c r="L1921" s="7">
        <f t="shared" si="117"/>
        <v>1500</v>
      </c>
      <c r="M1921" s="7">
        <f t="shared" si="118"/>
        <v>8500</v>
      </c>
      <c r="N1921" s="23">
        <v>67000</v>
      </c>
      <c r="O1921" s="7">
        <f t="shared" si="119"/>
        <v>75500</v>
      </c>
      <c r="P1921" s="2" t="s">
        <v>29</v>
      </c>
      <c r="Q1921" t="str">
        <f>_xlfn.XLOOKUP(B1921,Status!$A$2:$A$1867,Status!$B$2:$B$1867)</f>
        <v>Cancelled</v>
      </c>
      <c r="R1921" s="2" t="s">
        <v>82</v>
      </c>
      <c r="S1921" s="8">
        <v>3</v>
      </c>
      <c r="T1921" s="2" t="s">
        <v>24</v>
      </c>
      <c r="U1921" s="31" t="str" cm="1">
        <f t="array" ref="U1921">_xlfn.IFS(L1921&lt;=5000,$Z$3,AND(L1921&gt;5000,L1921&lt;=15000),$Z$4,AND(L1921&gt;15000,L1921&lt;=30000),$Z$5,AND(L1921&gt;30000,L1921&lt;=50000),$Z$6,L1921&gt;50000,$Z$7)</f>
        <v>Sangat Rendah</v>
      </c>
      <c r="V1921" s="2"/>
    </row>
    <row r="1922" spans="1:22" ht="15.75" customHeight="1" x14ac:dyDescent="0.25">
      <c r="A1922" s="26"/>
      <c r="B1922" s="2" t="s">
        <v>2281</v>
      </c>
      <c r="C1922" s="32">
        <v>45901.962511574071</v>
      </c>
      <c r="D1922" s="53">
        <f>YEAR(Table1[[#This Row],[Order Date]])</f>
        <v>2025</v>
      </c>
      <c r="E1922" s="2" t="s">
        <v>287</v>
      </c>
      <c r="F1922" s="2" t="s">
        <v>262</v>
      </c>
      <c r="G1922" s="2" t="s">
        <v>123</v>
      </c>
      <c r="H1922" s="23">
        <v>22000</v>
      </c>
      <c r="I1922" s="2">
        <v>2</v>
      </c>
      <c r="J1922" s="31">
        <v>20</v>
      </c>
      <c r="K1922" s="7">
        <f t="shared" si="116"/>
        <v>44000</v>
      </c>
      <c r="L1922" s="7">
        <f t="shared" si="117"/>
        <v>8800</v>
      </c>
      <c r="M1922" s="7">
        <f t="shared" si="118"/>
        <v>35200</v>
      </c>
      <c r="N1922" s="23">
        <v>18000</v>
      </c>
      <c r="O1922" s="7">
        <f t="shared" si="119"/>
        <v>53200</v>
      </c>
      <c r="P1922" s="2" t="s">
        <v>35</v>
      </c>
      <c r="Q1922" t="str">
        <f>_xlfn.XLOOKUP(B1922,Status!$A$2:$A$1867,Status!$B$2:$B$1867)</f>
        <v>Pending</v>
      </c>
      <c r="R1922" s="2" t="s">
        <v>46</v>
      </c>
      <c r="S1922" s="8">
        <v>5</v>
      </c>
      <c r="T1922" s="2" t="s">
        <v>24</v>
      </c>
      <c r="U1922" s="31" t="str" cm="1">
        <f t="array" ref="U1922">_xlfn.IFS(L1922&lt;=5000,$Z$3,AND(L1922&gt;5000,L1922&lt;=15000),$Z$4,AND(L1922&gt;15000,L1922&lt;=30000),$Z$5,AND(L1922&gt;30000,L1922&lt;=50000),$Z$6,L1922&gt;50000,$Z$7)</f>
        <v>Rendah</v>
      </c>
      <c r="V1922" s="2"/>
    </row>
    <row r="1923" spans="1:22" ht="15.75" customHeight="1" x14ac:dyDescent="0.25">
      <c r="A1923" s="26"/>
      <c r="B1923" s="2" t="s">
        <v>2282</v>
      </c>
      <c r="C1923" s="32">
        <v>45902.057638888888</v>
      </c>
      <c r="D1923" s="53">
        <f>YEAR(Table1[[#This Row],[Order Date]])</f>
        <v>2025</v>
      </c>
      <c r="E1923" s="2" t="s">
        <v>772</v>
      </c>
      <c r="F1923" s="2" t="s">
        <v>113</v>
      </c>
      <c r="G1923" s="2" t="s">
        <v>110</v>
      </c>
      <c r="H1923" s="23">
        <v>6000</v>
      </c>
      <c r="I1923" s="2">
        <v>4</v>
      </c>
      <c r="J1923" s="31">
        <v>20</v>
      </c>
      <c r="K1923" s="7">
        <f t="shared" si="116"/>
        <v>24000</v>
      </c>
      <c r="L1923" s="7">
        <f t="shared" si="117"/>
        <v>4800</v>
      </c>
      <c r="M1923" s="7">
        <f t="shared" si="118"/>
        <v>19200</v>
      </c>
      <c r="N1923" s="23">
        <v>18000</v>
      </c>
      <c r="O1923" s="7">
        <f t="shared" si="119"/>
        <v>37200</v>
      </c>
      <c r="P1923" s="2" t="s">
        <v>29</v>
      </c>
      <c r="Q1923" t="str">
        <f>_xlfn.XLOOKUP(B1923,Status!$A$2:$A$1867,Status!$B$2:$B$1867)</f>
        <v>Completed</v>
      </c>
      <c r="R1923" s="2" t="s">
        <v>82</v>
      </c>
      <c r="S1923" s="8">
        <v>4</v>
      </c>
      <c r="T1923" s="2" t="s">
        <v>24</v>
      </c>
      <c r="U1923" s="31" t="str" cm="1">
        <f t="array" ref="U1923">_xlfn.IFS(L1923&lt;=5000,$Z$3,AND(L1923&gt;5000,L1923&lt;=15000),$Z$4,AND(L1923&gt;15000,L1923&lt;=30000),$Z$5,AND(L1923&gt;30000,L1923&lt;=50000),$Z$6,L1923&gt;50000,$Z$7)</f>
        <v>Sangat Rendah</v>
      </c>
      <c r="V1923" s="2"/>
    </row>
    <row r="1924" spans="1:22" ht="15.75" customHeight="1" x14ac:dyDescent="0.25">
      <c r="A1924" s="26"/>
      <c r="B1924" s="2" t="s">
        <v>2283</v>
      </c>
      <c r="C1924" s="32">
        <v>45902.448449074072</v>
      </c>
      <c r="D1924" s="53">
        <f>YEAR(Table1[[#This Row],[Order Date]])</f>
        <v>2025</v>
      </c>
      <c r="E1924" s="2" t="s">
        <v>258</v>
      </c>
      <c r="F1924" s="2" t="s">
        <v>44</v>
      </c>
      <c r="G1924" s="2" t="s">
        <v>45</v>
      </c>
      <c r="H1924" s="23">
        <v>40000</v>
      </c>
      <c r="I1924" s="2">
        <v>3</v>
      </c>
      <c r="J1924" s="31">
        <v>0</v>
      </c>
      <c r="K1924" s="7">
        <f t="shared" ref="K1924:K1987" si="120">H1924*I1924</f>
        <v>120000</v>
      </c>
      <c r="L1924" s="7">
        <f t="shared" ref="L1924:L1987" si="121">K1924*(J1924/100)</f>
        <v>0</v>
      </c>
      <c r="M1924" s="7">
        <f t="shared" ref="M1924:M1987" si="122">K1924-L1924</f>
        <v>120000</v>
      </c>
      <c r="N1924" s="23">
        <v>93000</v>
      </c>
      <c r="O1924" s="7">
        <f t="shared" ref="O1924:O1987" si="123">SUM(M1924:N1924)</f>
        <v>213000</v>
      </c>
      <c r="P1924" s="2" t="s">
        <v>63</v>
      </c>
      <c r="Q1924" t="str">
        <f>_xlfn.XLOOKUP(B1924,Status!$A$2:$A$1867,Status!$B$2:$B$1867)</f>
        <v>Shipped</v>
      </c>
      <c r="R1924" s="2" t="s">
        <v>30</v>
      </c>
      <c r="S1924" s="8">
        <v>4</v>
      </c>
      <c r="T1924" s="2" t="s">
        <v>24</v>
      </c>
      <c r="U1924" s="31" t="str" cm="1">
        <f t="array" ref="U1924">_xlfn.IFS(L1924&lt;=5000,$Z$3,AND(L1924&gt;5000,L1924&lt;=15000),$Z$4,AND(L1924&gt;15000,L1924&lt;=30000),$Z$5,AND(L1924&gt;30000,L1924&lt;=50000),$Z$6,L1924&gt;50000,$Z$7)</f>
        <v>Sangat Rendah</v>
      </c>
      <c r="V1924" s="2"/>
    </row>
    <row r="1925" spans="1:22" ht="15.75" customHeight="1" x14ac:dyDescent="0.25">
      <c r="A1925" s="26"/>
      <c r="B1925" s="2" t="s">
        <v>2284</v>
      </c>
      <c r="C1925" s="32">
        <v>45902.546354166669</v>
      </c>
      <c r="D1925" s="53">
        <f>YEAR(Table1[[#This Row],[Order Date]])</f>
        <v>2025</v>
      </c>
      <c r="E1925" s="2" t="s">
        <v>1321</v>
      </c>
      <c r="F1925" s="2" t="s">
        <v>113</v>
      </c>
      <c r="G1925" s="2" t="s">
        <v>45</v>
      </c>
      <c r="H1925" s="23">
        <v>40000</v>
      </c>
      <c r="I1925" s="2">
        <v>1</v>
      </c>
      <c r="J1925" s="31">
        <v>5</v>
      </c>
      <c r="K1925" s="7">
        <f t="shared" si="120"/>
        <v>40000</v>
      </c>
      <c r="L1925" s="7">
        <f t="shared" si="121"/>
        <v>2000</v>
      </c>
      <c r="M1925" s="7">
        <f t="shared" si="122"/>
        <v>38000</v>
      </c>
      <c r="N1925" s="23">
        <v>18000</v>
      </c>
      <c r="O1925" s="7">
        <f t="shared" si="123"/>
        <v>56000</v>
      </c>
      <c r="P1925" s="2" t="s">
        <v>63</v>
      </c>
      <c r="Q1925" t="str">
        <f>_xlfn.XLOOKUP(B1925,Status!$A$2:$A$1867,Status!$B$2:$B$1867)</f>
        <v>Completed</v>
      </c>
      <c r="R1925" s="2" t="s">
        <v>23</v>
      </c>
      <c r="S1925" s="8">
        <v>1</v>
      </c>
      <c r="T1925" s="2" t="s">
        <v>24</v>
      </c>
      <c r="U1925" s="31" t="str" cm="1">
        <f t="array" ref="U1925">_xlfn.IFS(L1925&lt;=5000,$Z$3,AND(L1925&gt;5000,L1925&lt;=15000),$Z$4,AND(L1925&gt;15000,L1925&lt;=30000),$Z$5,AND(L1925&gt;30000,L1925&lt;=50000),$Z$6,L1925&gt;50000,$Z$7)</f>
        <v>Sangat Rendah</v>
      </c>
      <c r="V1925" s="2"/>
    </row>
    <row r="1926" spans="1:22" ht="15.75" customHeight="1" x14ac:dyDescent="0.25">
      <c r="A1926" s="26"/>
      <c r="B1926" s="2" t="s">
        <v>2285</v>
      </c>
      <c r="C1926" s="32">
        <v>45902.616435185177</v>
      </c>
      <c r="D1926" s="53">
        <f>YEAR(Table1[[#This Row],[Order Date]])</f>
        <v>2025</v>
      </c>
      <c r="E1926" s="2" t="s">
        <v>118</v>
      </c>
      <c r="F1926" s="2" t="s">
        <v>119</v>
      </c>
      <c r="G1926" s="2" t="s">
        <v>123</v>
      </c>
      <c r="H1926" s="23">
        <v>22000</v>
      </c>
      <c r="I1926" s="2">
        <v>3</v>
      </c>
      <c r="J1926" s="31">
        <v>0</v>
      </c>
      <c r="K1926" s="7">
        <f t="shared" si="120"/>
        <v>66000</v>
      </c>
      <c r="L1926" s="7">
        <f t="shared" si="121"/>
        <v>0</v>
      </c>
      <c r="M1926" s="7">
        <f t="shared" si="122"/>
        <v>66000</v>
      </c>
      <c r="N1926" s="23">
        <v>0</v>
      </c>
      <c r="O1926" s="7">
        <f t="shared" si="123"/>
        <v>66000</v>
      </c>
      <c r="P1926" s="2" t="s">
        <v>29</v>
      </c>
      <c r="Q1926" t="str">
        <f>_xlfn.XLOOKUP(B1926,Status!$A$2:$A$1867,Status!$B$2:$B$1867)</f>
        <v>Pending</v>
      </c>
      <c r="R1926" s="2" t="s">
        <v>46</v>
      </c>
      <c r="S1926" s="8">
        <v>1</v>
      </c>
      <c r="T1926" s="2" t="s">
        <v>24</v>
      </c>
      <c r="U1926" s="31" t="str" cm="1">
        <f t="array" ref="U1926">_xlfn.IFS(L1926&lt;=5000,$Z$3,AND(L1926&gt;5000,L1926&lt;=15000),$Z$4,AND(L1926&gt;15000,L1926&lt;=30000),$Z$5,AND(L1926&gt;30000,L1926&lt;=50000),$Z$6,L1926&gt;50000,$Z$7)</f>
        <v>Sangat Rendah</v>
      </c>
      <c r="V1926" s="2"/>
    </row>
    <row r="1927" spans="1:22" ht="15.75" customHeight="1" x14ac:dyDescent="0.25">
      <c r="A1927" s="26"/>
      <c r="B1927" s="2" t="s">
        <v>2286</v>
      </c>
      <c r="C1927" s="32">
        <v>45902.798379629632</v>
      </c>
      <c r="D1927" s="53">
        <f>YEAR(Table1[[#This Row],[Order Date]])</f>
        <v>2025</v>
      </c>
      <c r="E1927" s="2" t="s">
        <v>763</v>
      </c>
      <c r="F1927" s="2" t="s">
        <v>74</v>
      </c>
      <c r="G1927" s="2" t="s">
        <v>104</v>
      </c>
      <c r="H1927" s="23">
        <v>30000</v>
      </c>
      <c r="I1927" s="2">
        <v>1</v>
      </c>
      <c r="J1927" s="31">
        <v>20</v>
      </c>
      <c r="K1927" s="7">
        <f t="shared" si="120"/>
        <v>30000</v>
      </c>
      <c r="L1927" s="7">
        <f t="shared" si="121"/>
        <v>6000</v>
      </c>
      <c r="M1927" s="7">
        <f t="shared" si="122"/>
        <v>24000</v>
      </c>
      <c r="N1927" s="23">
        <v>87000</v>
      </c>
      <c r="O1927" s="7">
        <f t="shared" si="123"/>
        <v>111000</v>
      </c>
      <c r="P1927" s="2" t="s">
        <v>29</v>
      </c>
      <c r="Q1927" t="str">
        <f>_xlfn.XLOOKUP(B1927,Status!$A$2:$A$1867,Status!$B$2:$B$1867)</f>
        <v>Completed</v>
      </c>
      <c r="R1927" s="2" t="s">
        <v>23</v>
      </c>
      <c r="S1927" s="8">
        <v>3</v>
      </c>
      <c r="T1927" s="2" t="s">
        <v>24</v>
      </c>
      <c r="U1927" s="31" t="str" cm="1">
        <f t="array" ref="U1927">_xlfn.IFS(L1927&lt;=5000,$Z$3,AND(L1927&gt;5000,L1927&lt;=15000),$Z$4,AND(L1927&gt;15000,L1927&lt;=30000),$Z$5,AND(L1927&gt;30000,L1927&lt;=50000),$Z$6,L1927&gt;50000,$Z$7)</f>
        <v>Rendah</v>
      </c>
      <c r="V1927" s="2"/>
    </row>
    <row r="1928" spans="1:22" ht="15.75" customHeight="1" x14ac:dyDescent="0.25">
      <c r="A1928" s="26"/>
      <c r="B1928" s="2" t="s">
        <v>2287</v>
      </c>
      <c r="C1928" s="32">
        <v>45902.852962962963</v>
      </c>
      <c r="D1928" s="53">
        <f>YEAR(Table1[[#This Row],[Order Date]])</f>
        <v>2025</v>
      </c>
      <c r="E1928" s="2" t="s">
        <v>626</v>
      </c>
      <c r="F1928" s="2" t="s">
        <v>296</v>
      </c>
      <c r="G1928" s="2" t="s">
        <v>85</v>
      </c>
      <c r="H1928" s="23">
        <v>35000</v>
      </c>
      <c r="I1928" s="2">
        <v>4</v>
      </c>
      <c r="J1928" s="31">
        <v>20</v>
      </c>
      <c r="K1928" s="7">
        <f t="shared" si="120"/>
        <v>140000</v>
      </c>
      <c r="L1928" s="7">
        <f t="shared" si="121"/>
        <v>28000</v>
      </c>
      <c r="M1928" s="7">
        <f t="shared" si="122"/>
        <v>112000</v>
      </c>
      <c r="N1928" s="23">
        <v>79000</v>
      </c>
      <c r="O1928" s="7">
        <f t="shared" si="123"/>
        <v>191000</v>
      </c>
      <c r="P1928" s="2" t="s">
        <v>22</v>
      </c>
      <c r="Q1928" t="str">
        <f>_xlfn.XLOOKUP(B1928,Status!$A$2:$A$1867,Status!$B$2:$B$1867)</f>
        <v>Pending</v>
      </c>
      <c r="R1928" s="2" t="s">
        <v>23</v>
      </c>
      <c r="S1928" s="8">
        <v>5</v>
      </c>
      <c r="T1928" s="2" t="s">
        <v>24</v>
      </c>
      <c r="U1928" s="31" t="str" cm="1">
        <f t="array" ref="U1928">_xlfn.IFS(L1928&lt;=5000,$Z$3,AND(L1928&gt;5000,L1928&lt;=15000),$Z$4,AND(L1928&gt;15000,L1928&lt;=30000),$Z$5,AND(L1928&gt;30000,L1928&lt;=50000),$Z$6,L1928&gt;50000,$Z$7)</f>
        <v>Normal</v>
      </c>
      <c r="V1928" s="2"/>
    </row>
    <row r="1929" spans="1:22" ht="15.75" customHeight="1" x14ac:dyDescent="0.25">
      <c r="A1929" s="26"/>
      <c r="B1929" s="2" t="s">
        <v>2288</v>
      </c>
      <c r="C1929" s="32">
        <v>45902.913171296299</v>
      </c>
      <c r="D1929" s="53">
        <f>YEAR(Table1[[#This Row],[Order Date]])</f>
        <v>2025</v>
      </c>
      <c r="E1929" s="2" t="s">
        <v>404</v>
      </c>
      <c r="F1929" s="2" t="s">
        <v>177</v>
      </c>
      <c r="G1929" s="2" t="s">
        <v>75</v>
      </c>
      <c r="H1929" s="23">
        <v>55000</v>
      </c>
      <c r="I1929" s="2">
        <v>2</v>
      </c>
      <c r="J1929" s="31">
        <v>0</v>
      </c>
      <c r="K1929" s="7">
        <f t="shared" si="120"/>
        <v>110000</v>
      </c>
      <c r="L1929" s="7">
        <f t="shared" si="121"/>
        <v>0</v>
      </c>
      <c r="M1929" s="7">
        <f t="shared" si="122"/>
        <v>110000</v>
      </c>
      <c r="N1929" s="23">
        <v>56000</v>
      </c>
      <c r="O1929" s="7">
        <f t="shared" si="123"/>
        <v>166000</v>
      </c>
      <c r="P1929" s="2" t="s">
        <v>22</v>
      </c>
      <c r="Q1929" t="str">
        <f>_xlfn.XLOOKUP(B1929,Status!$A$2:$A$1867,Status!$B$2:$B$1867)</f>
        <v>Completed</v>
      </c>
      <c r="R1929" s="2" t="s">
        <v>82</v>
      </c>
      <c r="S1929" s="8">
        <v>4</v>
      </c>
      <c r="T1929" s="2" t="s">
        <v>37</v>
      </c>
      <c r="U1929" s="31" t="str" cm="1">
        <f t="array" ref="U1929">_xlfn.IFS(L1929&lt;=5000,$Z$3,AND(L1929&gt;5000,L1929&lt;=15000),$Z$4,AND(L1929&gt;15000,L1929&lt;=30000),$Z$5,AND(L1929&gt;30000,L1929&lt;=50000),$Z$6,L1929&gt;50000,$Z$7)</f>
        <v>Sangat Rendah</v>
      </c>
      <c r="V1929" s="2"/>
    </row>
    <row r="1930" spans="1:22" ht="15.75" customHeight="1" x14ac:dyDescent="0.25">
      <c r="A1930" s="26"/>
      <c r="B1930" s="2" t="s">
        <v>2289</v>
      </c>
      <c r="C1930" s="32">
        <v>45902.965671296297</v>
      </c>
      <c r="D1930" s="53">
        <f>YEAR(Table1[[#This Row],[Order Date]])</f>
        <v>2025</v>
      </c>
      <c r="E1930" s="2" t="s">
        <v>615</v>
      </c>
      <c r="F1930" s="2" t="s">
        <v>92</v>
      </c>
      <c r="G1930" s="2" t="s">
        <v>21</v>
      </c>
      <c r="H1930" s="23">
        <v>45000</v>
      </c>
      <c r="I1930" s="2">
        <v>1</v>
      </c>
      <c r="J1930" s="31">
        <v>5</v>
      </c>
      <c r="K1930" s="7">
        <f t="shared" si="120"/>
        <v>45000</v>
      </c>
      <c r="L1930" s="7">
        <f t="shared" si="121"/>
        <v>2250</v>
      </c>
      <c r="M1930" s="7">
        <f t="shared" si="122"/>
        <v>42750</v>
      </c>
      <c r="N1930" s="23">
        <v>30000</v>
      </c>
      <c r="O1930" s="7">
        <f t="shared" si="123"/>
        <v>72750</v>
      </c>
      <c r="P1930" s="2" t="s">
        <v>29</v>
      </c>
      <c r="Q1930" t="str">
        <f>_xlfn.XLOOKUP(B1930,Status!$A$2:$A$1867,Status!$B$2:$B$1867)</f>
        <v>Completed</v>
      </c>
      <c r="R1930" s="2" t="s">
        <v>36</v>
      </c>
      <c r="S1930" s="8">
        <v>4</v>
      </c>
      <c r="T1930" s="2" t="s">
        <v>24</v>
      </c>
      <c r="U1930" s="31" t="str" cm="1">
        <f t="array" ref="U1930">_xlfn.IFS(L1930&lt;=5000,$Z$3,AND(L1930&gt;5000,L1930&lt;=15000),$Z$4,AND(L1930&gt;15000,L1930&lt;=30000),$Z$5,AND(L1930&gt;30000,L1930&lt;=50000),$Z$6,L1930&gt;50000,$Z$7)</f>
        <v>Sangat Rendah</v>
      </c>
      <c r="V1930" s="2"/>
    </row>
    <row r="1931" spans="1:22" ht="15.75" customHeight="1" x14ac:dyDescent="0.25">
      <c r="A1931" s="26"/>
      <c r="B1931" s="2" t="s">
        <v>2290</v>
      </c>
      <c r="C1931" s="32">
        <v>45902.976076388892</v>
      </c>
      <c r="D1931" s="53">
        <f>YEAR(Table1[[#This Row],[Order Date]])</f>
        <v>2025</v>
      </c>
      <c r="E1931" s="2" t="s">
        <v>553</v>
      </c>
      <c r="F1931" s="2" t="s">
        <v>107</v>
      </c>
      <c r="G1931" s="2" t="s">
        <v>21</v>
      </c>
      <c r="H1931" s="23">
        <v>45000</v>
      </c>
      <c r="I1931" s="2">
        <v>5</v>
      </c>
      <c r="J1931" s="31">
        <v>20</v>
      </c>
      <c r="K1931" s="7">
        <f t="shared" si="120"/>
        <v>225000</v>
      </c>
      <c r="L1931" s="7">
        <f t="shared" si="121"/>
        <v>45000</v>
      </c>
      <c r="M1931" s="7">
        <f t="shared" si="122"/>
        <v>180000</v>
      </c>
      <c r="N1931" s="23">
        <v>97000</v>
      </c>
      <c r="O1931" s="7">
        <f t="shared" si="123"/>
        <v>277000</v>
      </c>
      <c r="P1931" s="2" t="s">
        <v>29</v>
      </c>
      <c r="Q1931" t="str">
        <f>_xlfn.XLOOKUP(B1931,Status!$A$2:$A$1867,Status!$B$2:$B$1867)</f>
        <v>Cancelled</v>
      </c>
      <c r="R1931" s="2" t="s">
        <v>46</v>
      </c>
      <c r="S1931" s="8">
        <v>1</v>
      </c>
      <c r="T1931" s="2" t="s">
        <v>24</v>
      </c>
      <c r="U1931" s="31" t="str" cm="1">
        <f t="array" ref="U1931">_xlfn.IFS(L1931&lt;=5000,$Z$3,AND(L1931&gt;5000,L1931&lt;=15000),$Z$4,AND(L1931&gt;15000,L1931&lt;=30000),$Z$5,AND(L1931&gt;30000,L1931&lt;=50000),$Z$6,L1931&gt;50000,$Z$7)</f>
        <v>Tinggi</v>
      </c>
      <c r="V1931" s="2"/>
    </row>
    <row r="1932" spans="1:22" ht="15.75" customHeight="1" x14ac:dyDescent="0.25">
      <c r="A1932" s="26"/>
      <c r="B1932" s="2" t="s">
        <v>2291</v>
      </c>
      <c r="C1932" s="32">
        <v>45903.04824074074</v>
      </c>
      <c r="D1932" s="53">
        <f>YEAR(Table1[[#This Row],[Order Date]])</f>
        <v>2025</v>
      </c>
      <c r="E1932" s="2" t="s">
        <v>525</v>
      </c>
      <c r="F1932" s="2" t="s">
        <v>96</v>
      </c>
      <c r="G1932" s="2" t="s">
        <v>144</v>
      </c>
      <c r="H1932" s="23">
        <v>18000</v>
      </c>
      <c r="I1932" s="2">
        <v>2</v>
      </c>
      <c r="J1932" s="31">
        <v>10</v>
      </c>
      <c r="K1932" s="7">
        <f t="shared" si="120"/>
        <v>36000</v>
      </c>
      <c r="L1932" s="7">
        <f t="shared" si="121"/>
        <v>3600</v>
      </c>
      <c r="M1932" s="7">
        <f t="shared" si="122"/>
        <v>32400</v>
      </c>
      <c r="N1932" s="23">
        <v>49000</v>
      </c>
      <c r="O1932" s="7">
        <f t="shared" si="123"/>
        <v>81400</v>
      </c>
      <c r="P1932" s="2" t="s">
        <v>63</v>
      </c>
      <c r="Q1932" t="str">
        <f>_xlfn.XLOOKUP(B1932,Status!$A$2:$A$1867,Status!$B$2:$B$1867)</f>
        <v>Completed</v>
      </c>
      <c r="R1932" s="2" t="s">
        <v>23</v>
      </c>
      <c r="S1932" s="8">
        <v>1</v>
      </c>
      <c r="T1932" s="2" t="s">
        <v>24</v>
      </c>
      <c r="U1932" s="31" t="str" cm="1">
        <f t="array" ref="U1932">_xlfn.IFS(L1932&lt;=5000,$Z$3,AND(L1932&gt;5000,L1932&lt;=15000),$Z$4,AND(L1932&gt;15000,L1932&lt;=30000),$Z$5,AND(L1932&gt;30000,L1932&lt;=50000),$Z$6,L1932&gt;50000,$Z$7)</f>
        <v>Sangat Rendah</v>
      </c>
      <c r="V1932" s="2"/>
    </row>
    <row r="1933" spans="1:22" ht="15.75" customHeight="1" x14ac:dyDescent="0.25">
      <c r="A1933" s="26"/>
      <c r="B1933" s="2" t="s">
        <v>2292</v>
      </c>
      <c r="C1933" s="32">
        <v>45903.053576388891</v>
      </c>
      <c r="D1933" s="53">
        <f>YEAR(Table1[[#This Row],[Order Date]])</f>
        <v>2025</v>
      </c>
      <c r="E1933" s="2" t="s">
        <v>802</v>
      </c>
      <c r="F1933" s="2" t="s">
        <v>126</v>
      </c>
      <c r="G1933" s="2" t="s">
        <v>85</v>
      </c>
      <c r="H1933" s="23">
        <v>35000</v>
      </c>
      <c r="I1933" s="2">
        <v>1</v>
      </c>
      <c r="J1933" s="31">
        <v>10</v>
      </c>
      <c r="K1933" s="7">
        <f t="shared" si="120"/>
        <v>35000</v>
      </c>
      <c r="L1933" s="7">
        <f t="shared" si="121"/>
        <v>3500</v>
      </c>
      <c r="M1933" s="7">
        <f t="shared" si="122"/>
        <v>31500</v>
      </c>
      <c r="N1933" s="23">
        <v>84000</v>
      </c>
      <c r="O1933" s="7">
        <f t="shared" si="123"/>
        <v>115500</v>
      </c>
      <c r="P1933" s="2" t="s">
        <v>29</v>
      </c>
      <c r="Q1933" t="str">
        <f>_xlfn.XLOOKUP(B1933,Status!$A$2:$A$1867,Status!$B$2:$B$1867)</f>
        <v>Pending</v>
      </c>
      <c r="R1933" s="2" t="s">
        <v>23</v>
      </c>
      <c r="S1933" s="8">
        <v>2</v>
      </c>
      <c r="T1933" s="2" t="s">
        <v>24</v>
      </c>
      <c r="U1933" s="31" t="str" cm="1">
        <f t="array" ref="U1933">_xlfn.IFS(L1933&lt;=5000,$Z$3,AND(L1933&gt;5000,L1933&lt;=15000),$Z$4,AND(L1933&gt;15000,L1933&lt;=30000),$Z$5,AND(L1933&gt;30000,L1933&lt;=50000),$Z$6,L1933&gt;50000,$Z$7)</f>
        <v>Sangat Rendah</v>
      </c>
      <c r="V1933" s="2"/>
    </row>
    <row r="1934" spans="1:22" ht="15.75" customHeight="1" x14ac:dyDescent="0.25">
      <c r="A1934" s="26"/>
      <c r="B1934" s="2" t="s">
        <v>2293</v>
      </c>
      <c r="C1934" s="32">
        <v>45903.475706018522</v>
      </c>
      <c r="D1934" s="53">
        <f>YEAR(Table1[[#This Row],[Order Date]])</f>
        <v>2025</v>
      </c>
      <c r="E1934" s="2" t="s">
        <v>457</v>
      </c>
      <c r="F1934" s="2" t="s">
        <v>80</v>
      </c>
      <c r="G1934" s="2" t="s">
        <v>174</v>
      </c>
      <c r="H1934" s="23">
        <v>10000</v>
      </c>
      <c r="I1934" s="2">
        <v>2</v>
      </c>
      <c r="J1934" s="31">
        <v>5</v>
      </c>
      <c r="K1934" s="7">
        <f t="shared" si="120"/>
        <v>20000</v>
      </c>
      <c r="L1934" s="7">
        <f t="shared" si="121"/>
        <v>1000</v>
      </c>
      <c r="M1934" s="7">
        <f t="shared" si="122"/>
        <v>19000</v>
      </c>
      <c r="N1934" s="23">
        <v>74000</v>
      </c>
      <c r="O1934" s="7">
        <f t="shared" si="123"/>
        <v>93000</v>
      </c>
      <c r="P1934" s="2" t="s">
        <v>22</v>
      </c>
      <c r="Q1934" t="str">
        <f>_xlfn.XLOOKUP(B1934,Status!$A$2:$A$1867,Status!$B$2:$B$1867)</f>
        <v>Completed</v>
      </c>
      <c r="R1934" s="2" t="s">
        <v>23</v>
      </c>
      <c r="S1934" s="8">
        <v>2</v>
      </c>
      <c r="T1934" s="2" t="s">
        <v>24</v>
      </c>
      <c r="U1934" s="31" t="str" cm="1">
        <f t="array" ref="U1934">_xlfn.IFS(L1934&lt;=5000,$Z$3,AND(L1934&gt;5000,L1934&lt;=15000),$Z$4,AND(L1934&gt;15000,L1934&lt;=30000),$Z$5,AND(L1934&gt;30000,L1934&lt;=50000),$Z$6,L1934&gt;50000,$Z$7)</f>
        <v>Sangat Rendah</v>
      </c>
      <c r="V1934" s="2"/>
    </row>
    <row r="1935" spans="1:22" ht="15.75" customHeight="1" x14ac:dyDescent="0.25">
      <c r="A1935" s="26"/>
      <c r="B1935" s="2" t="s">
        <v>2294</v>
      </c>
      <c r="C1935" s="32">
        <v>45903.693055555559</v>
      </c>
      <c r="D1935" s="53">
        <f>YEAR(Table1[[#This Row],[Order Date]])</f>
        <v>2025</v>
      </c>
      <c r="E1935" s="2" t="s">
        <v>1509</v>
      </c>
      <c r="F1935" s="2" t="s">
        <v>122</v>
      </c>
      <c r="G1935" s="2" t="s">
        <v>21</v>
      </c>
      <c r="H1935" s="23">
        <v>45000</v>
      </c>
      <c r="I1935" s="2">
        <v>1</v>
      </c>
      <c r="J1935" s="31">
        <v>10</v>
      </c>
      <c r="K1935" s="7">
        <f t="shared" si="120"/>
        <v>45000</v>
      </c>
      <c r="L1935" s="7">
        <f t="shared" si="121"/>
        <v>4500</v>
      </c>
      <c r="M1935" s="7">
        <f t="shared" si="122"/>
        <v>40500</v>
      </c>
      <c r="N1935" s="23">
        <v>78000</v>
      </c>
      <c r="O1935" s="7">
        <f t="shared" si="123"/>
        <v>118500</v>
      </c>
      <c r="P1935" s="2" t="s">
        <v>63</v>
      </c>
      <c r="Q1935" t="str">
        <f>_xlfn.XLOOKUP(B1935,Status!$A$2:$A$1867,Status!$B$2:$B$1867)</f>
        <v>Shipped</v>
      </c>
      <c r="R1935" s="2" t="s">
        <v>36</v>
      </c>
      <c r="S1935" s="8">
        <v>2</v>
      </c>
      <c r="T1935" s="2" t="s">
        <v>24</v>
      </c>
      <c r="U1935" s="31" t="str" cm="1">
        <f t="array" ref="U1935">_xlfn.IFS(L1935&lt;=5000,$Z$3,AND(L1935&gt;5000,L1935&lt;=15000),$Z$4,AND(L1935&gt;15000,L1935&lt;=30000),$Z$5,AND(L1935&gt;30000,L1935&lt;=50000),$Z$6,L1935&gt;50000,$Z$7)</f>
        <v>Sangat Rendah</v>
      </c>
      <c r="V1935" s="2"/>
    </row>
    <row r="1936" spans="1:22" ht="15.75" customHeight="1" x14ac:dyDescent="0.25">
      <c r="A1936" s="26"/>
      <c r="B1936" s="2" t="s">
        <v>2295</v>
      </c>
      <c r="C1936" s="32">
        <v>45903.831736111111</v>
      </c>
      <c r="D1936" s="53">
        <f>YEAR(Table1[[#This Row],[Order Date]])</f>
        <v>2025</v>
      </c>
      <c r="E1936" s="2" t="s">
        <v>140</v>
      </c>
      <c r="F1936" s="2" t="s">
        <v>92</v>
      </c>
      <c r="G1936" s="2" t="s">
        <v>28</v>
      </c>
      <c r="H1936" s="23">
        <v>5000</v>
      </c>
      <c r="I1936" s="2">
        <v>5</v>
      </c>
      <c r="J1936" s="31">
        <v>20</v>
      </c>
      <c r="K1936" s="7">
        <f t="shared" si="120"/>
        <v>25000</v>
      </c>
      <c r="L1936" s="7">
        <f t="shared" si="121"/>
        <v>5000</v>
      </c>
      <c r="M1936" s="7">
        <f t="shared" si="122"/>
        <v>20000</v>
      </c>
      <c r="N1936" s="23">
        <v>30000</v>
      </c>
      <c r="O1936" s="7">
        <f t="shared" si="123"/>
        <v>50000</v>
      </c>
      <c r="P1936" s="2" t="s">
        <v>63</v>
      </c>
      <c r="Q1936" t="str">
        <f>_xlfn.XLOOKUP(B1936,Status!$A$2:$A$1867,Status!$B$2:$B$1867)</f>
        <v>Completed</v>
      </c>
      <c r="R1936" s="2" t="s">
        <v>82</v>
      </c>
      <c r="S1936" s="8">
        <v>3</v>
      </c>
      <c r="T1936" s="2" t="s">
        <v>24</v>
      </c>
      <c r="U1936" s="31" t="str" cm="1">
        <f t="array" ref="U1936">_xlfn.IFS(L1936&lt;=5000,$Z$3,AND(L1936&gt;5000,L1936&lt;=15000),$Z$4,AND(L1936&gt;15000,L1936&lt;=30000),$Z$5,AND(L1936&gt;30000,L1936&lt;=50000),$Z$6,L1936&gt;50000,$Z$7)</f>
        <v>Sangat Rendah</v>
      </c>
      <c r="V1936" s="2"/>
    </row>
    <row r="1937" spans="1:22" ht="15.75" customHeight="1" x14ac:dyDescent="0.25">
      <c r="A1937" s="26"/>
      <c r="B1937" s="2" t="s">
        <v>2296</v>
      </c>
      <c r="C1937" s="32">
        <v>45903.947222222218</v>
      </c>
      <c r="D1937" s="53">
        <f>YEAR(Table1[[#This Row],[Order Date]])</f>
        <v>2025</v>
      </c>
      <c r="E1937" s="2" t="s">
        <v>56</v>
      </c>
      <c r="F1937" s="2" t="s">
        <v>57</v>
      </c>
      <c r="G1937" s="2" t="s">
        <v>54</v>
      </c>
      <c r="H1937" s="23">
        <v>16000</v>
      </c>
      <c r="I1937" s="2">
        <v>1</v>
      </c>
      <c r="J1937" s="31">
        <v>10</v>
      </c>
      <c r="K1937" s="7">
        <f t="shared" si="120"/>
        <v>16000</v>
      </c>
      <c r="L1937" s="7">
        <f t="shared" si="121"/>
        <v>1600</v>
      </c>
      <c r="M1937" s="7">
        <f t="shared" si="122"/>
        <v>14400</v>
      </c>
      <c r="N1937" s="23">
        <v>80000</v>
      </c>
      <c r="O1937" s="7">
        <f t="shared" si="123"/>
        <v>94400</v>
      </c>
      <c r="P1937" s="2" t="s">
        <v>35</v>
      </c>
      <c r="Q1937" t="str">
        <f>_xlfn.XLOOKUP(B1937,Status!$A$2:$A$1867,Status!$B$2:$B$1867)</f>
        <v>Shipped</v>
      </c>
      <c r="R1937" s="2" t="s">
        <v>82</v>
      </c>
      <c r="S1937" s="8">
        <v>2</v>
      </c>
      <c r="T1937" s="2" t="s">
        <v>24</v>
      </c>
      <c r="U1937" s="31" t="str" cm="1">
        <f t="array" ref="U1937">_xlfn.IFS(L1937&lt;=5000,$Z$3,AND(L1937&gt;5000,L1937&lt;=15000),$Z$4,AND(L1937&gt;15000,L1937&lt;=30000),$Z$5,AND(L1937&gt;30000,L1937&lt;=50000),$Z$6,L1937&gt;50000,$Z$7)</f>
        <v>Sangat Rendah</v>
      </c>
      <c r="V1937" s="2"/>
    </row>
    <row r="1938" spans="1:22" ht="15.75" customHeight="1" x14ac:dyDescent="0.25">
      <c r="A1938" s="26"/>
      <c r="B1938" s="2" t="s">
        <v>2297</v>
      </c>
      <c r="C1938" s="32">
        <v>45904.083923611113</v>
      </c>
      <c r="D1938" s="53">
        <f>YEAR(Table1[[#This Row],[Order Date]])</f>
        <v>2025</v>
      </c>
      <c r="E1938" s="2" t="s">
        <v>1053</v>
      </c>
      <c r="F1938" s="2" t="s">
        <v>80</v>
      </c>
      <c r="G1938" s="2" t="s">
        <v>186</v>
      </c>
      <c r="H1938" s="23">
        <v>45000</v>
      </c>
      <c r="I1938" s="2">
        <v>2</v>
      </c>
      <c r="J1938" s="31">
        <v>5</v>
      </c>
      <c r="K1938" s="7">
        <f t="shared" si="120"/>
        <v>90000</v>
      </c>
      <c r="L1938" s="7">
        <f t="shared" si="121"/>
        <v>4500</v>
      </c>
      <c r="M1938" s="7">
        <f t="shared" si="122"/>
        <v>85500</v>
      </c>
      <c r="N1938" s="23">
        <v>74000</v>
      </c>
      <c r="O1938" s="7">
        <f t="shared" si="123"/>
        <v>159500</v>
      </c>
      <c r="P1938" s="2" t="s">
        <v>63</v>
      </c>
      <c r="Q1938" t="str">
        <f>_xlfn.XLOOKUP(B1938,Status!$A$2:$A$1867,Status!$B$2:$B$1867)</f>
        <v>Pending</v>
      </c>
      <c r="R1938" s="2" t="s">
        <v>82</v>
      </c>
      <c r="S1938" s="8">
        <v>3</v>
      </c>
      <c r="T1938" s="2" t="s">
        <v>24</v>
      </c>
      <c r="U1938" s="31" t="str" cm="1">
        <f t="array" ref="U1938">_xlfn.IFS(L1938&lt;=5000,$Z$3,AND(L1938&gt;5000,L1938&lt;=15000),$Z$4,AND(L1938&gt;15000,L1938&lt;=30000),$Z$5,AND(L1938&gt;30000,L1938&lt;=50000),$Z$6,L1938&gt;50000,$Z$7)</f>
        <v>Sangat Rendah</v>
      </c>
      <c r="V1938" s="2"/>
    </row>
    <row r="1939" spans="1:22" ht="15.75" customHeight="1" x14ac:dyDescent="0.25">
      <c r="A1939" s="26"/>
      <c r="B1939" s="2" t="s">
        <v>2298</v>
      </c>
      <c r="C1939" s="32">
        <v>45904.106585648151</v>
      </c>
      <c r="D1939" s="53">
        <f>YEAR(Table1[[#This Row],[Order Date]])</f>
        <v>2025</v>
      </c>
      <c r="E1939" s="2" t="s">
        <v>468</v>
      </c>
      <c r="F1939" s="2" t="s">
        <v>163</v>
      </c>
      <c r="G1939" s="2" t="s">
        <v>110</v>
      </c>
      <c r="H1939" s="23">
        <v>6000</v>
      </c>
      <c r="I1939" s="2">
        <v>1</v>
      </c>
      <c r="J1939" s="31">
        <v>5</v>
      </c>
      <c r="K1939" s="7">
        <f t="shared" si="120"/>
        <v>6000</v>
      </c>
      <c r="L1939" s="7">
        <f t="shared" si="121"/>
        <v>300</v>
      </c>
      <c r="M1939" s="7">
        <f t="shared" si="122"/>
        <v>5700</v>
      </c>
      <c r="N1939" s="23">
        <v>50000</v>
      </c>
      <c r="O1939" s="7">
        <f t="shared" si="123"/>
        <v>55700</v>
      </c>
      <c r="P1939" s="2" t="s">
        <v>22</v>
      </c>
      <c r="Q1939" t="str">
        <f>_xlfn.XLOOKUP(B1939,Status!$A$2:$A$1867,Status!$B$2:$B$1867)</f>
        <v>Completed</v>
      </c>
      <c r="R1939" s="2" t="s">
        <v>36</v>
      </c>
      <c r="S1939" s="8">
        <v>1</v>
      </c>
      <c r="T1939" s="2" t="s">
        <v>24</v>
      </c>
      <c r="U1939" s="31" t="str" cm="1">
        <f t="array" ref="U1939">_xlfn.IFS(L1939&lt;=5000,$Z$3,AND(L1939&gt;5000,L1939&lt;=15000),$Z$4,AND(L1939&gt;15000,L1939&lt;=30000),$Z$5,AND(L1939&gt;30000,L1939&lt;=50000),$Z$6,L1939&gt;50000,$Z$7)</f>
        <v>Sangat Rendah</v>
      </c>
      <c r="V1939" s="2"/>
    </row>
    <row r="1940" spans="1:22" ht="15.75" customHeight="1" x14ac:dyDescent="0.25">
      <c r="A1940" s="26"/>
      <c r="B1940" s="2" t="s">
        <v>2299</v>
      </c>
      <c r="C1940" s="32">
        <v>45904.359710648147</v>
      </c>
      <c r="D1940" s="53">
        <f>YEAR(Table1[[#This Row],[Order Date]])</f>
        <v>2025</v>
      </c>
      <c r="E1940" s="2" t="s">
        <v>1979</v>
      </c>
      <c r="F1940" s="2" t="s">
        <v>103</v>
      </c>
      <c r="G1940" s="2" t="s">
        <v>85</v>
      </c>
      <c r="H1940" s="23">
        <v>35000</v>
      </c>
      <c r="I1940" s="2">
        <v>4</v>
      </c>
      <c r="J1940" s="31">
        <v>5</v>
      </c>
      <c r="K1940" s="7">
        <f t="shared" si="120"/>
        <v>140000</v>
      </c>
      <c r="L1940" s="7">
        <f t="shared" si="121"/>
        <v>7000</v>
      </c>
      <c r="M1940" s="7">
        <f t="shared" si="122"/>
        <v>133000</v>
      </c>
      <c r="N1940" s="23">
        <v>85000</v>
      </c>
      <c r="O1940" s="7">
        <f t="shared" si="123"/>
        <v>218000</v>
      </c>
      <c r="P1940" s="2" t="s">
        <v>63</v>
      </c>
      <c r="Q1940" t="str">
        <f>_xlfn.XLOOKUP(B1940,Status!$A$2:$A$1867,Status!$B$2:$B$1867)</f>
        <v>Completed</v>
      </c>
      <c r="R1940" s="2" t="s">
        <v>36</v>
      </c>
      <c r="S1940" s="8">
        <v>1</v>
      </c>
      <c r="T1940" s="2" t="s">
        <v>24</v>
      </c>
      <c r="U1940" s="31" t="str" cm="1">
        <f t="array" ref="U1940">_xlfn.IFS(L1940&lt;=5000,$Z$3,AND(L1940&gt;5000,L1940&lt;=15000),$Z$4,AND(L1940&gt;15000,L1940&lt;=30000),$Z$5,AND(L1940&gt;30000,L1940&lt;=50000),$Z$6,L1940&gt;50000,$Z$7)</f>
        <v>Rendah</v>
      </c>
      <c r="V1940" s="2"/>
    </row>
    <row r="1941" spans="1:22" ht="15.75" customHeight="1" x14ac:dyDescent="0.25">
      <c r="A1941" s="26"/>
      <c r="B1941" s="2" t="s">
        <v>2300</v>
      </c>
      <c r="C1941" s="32">
        <v>45904.632847222223</v>
      </c>
      <c r="D1941" s="53">
        <f>YEAR(Table1[[#This Row],[Order Date]])</f>
        <v>2025</v>
      </c>
      <c r="E1941" s="2" t="s">
        <v>192</v>
      </c>
      <c r="F1941" s="2" t="s">
        <v>107</v>
      </c>
      <c r="G1941" s="2" t="s">
        <v>93</v>
      </c>
      <c r="H1941" s="23">
        <v>25000</v>
      </c>
      <c r="I1941" s="2">
        <v>1</v>
      </c>
      <c r="J1941" s="31">
        <v>0</v>
      </c>
      <c r="K1941" s="7">
        <f t="shared" si="120"/>
        <v>25000</v>
      </c>
      <c r="L1941" s="7">
        <f t="shared" si="121"/>
        <v>0</v>
      </c>
      <c r="M1941" s="7">
        <f t="shared" si="122"/>
        <v>25000</v>
      </c>
      <c r="N1941" s="23">
        <v>97000</v>
      </c>
      <c r="O1941" s="7">
        <f t="shared" si="123"/>
        <v>122000</v>
      </c>
      <c r="P1941" s="2" t="s">
        <v>22</v>
      </c>
      <c r="Q1941" t="str">
        <f>_xlfn.XLOOKUP(B1941,Status!$A$2:$A$1867,Status!$B$2:$B$1867)</f>
        <v>Completed</v>
      </c>
      <c r="R1941" s="2" t="s">
        <v>36</v>
      </c>
      <c r="S1941" s="8">
        <v>1</v>
      </c>
      <c r="T1941" s="2" t="s">
        <v>24</v>
      </c>
      <c r="U1941" s="31" t="str" cm="1">
        <f t="array" ref="U1941">_xlfn.IFS(L1941&lt;=5000,$Z$3,AND(L1941&gt;5000,L1941&lt;=15000),$Z$4,AND(L1941&gt;15000,L1941&lt;=30000),$Z$5,AND(L1941&gt;30000,L1941&lt;=50000),$Z$6,L1941&gt;50000,$Z$7)</f>
        <v>Sangat Rendah</v>
      </c>
      <c r="V1941" s="2"/>
    </row>
    <row r="1942" spans="1:22" ht="15.75" customHeight="1" x14ac:dyDescent="0.25">
      <c r="A1942" s="26"/>
      <c r="B1942" s="2" t="s">
        <v>2301</v>
      </c>
      <c r="C1942" s="32">
        <v>45905.050254629627</v>
      </c>
      <c r="D1942" s="53">
        <f>YEAR(Table1[[#This Row],[Order Date]])</f>
        <v>2025</v>
      </c>
      <c r="E1942" s="2" t="s">
        <v>772</v>
      </c>
      <c r="F1942" s="2" t="s">
        <v>113</v>
      </c>
      <c r="G1942" s="2" t="s">
        <v>67</v>
      </c>
      <c r="H1942" s="23">
        <v>15000</v>
      </c>
      <c r="I1942" s="2">
        <v>2</v>
      </c>
      <c r="J1942" s="31">
        <v>15</v>
      </c>
      <c r="K1942" s="7">
        <f t="shared" si="120"/>
        <v>30000</v>
      </c>
      <c r="L1942" s="7">
        <f t="shared" si="121"/>
        <v>4500</v>
      </c>
      <c r="M1942" s="7">
        <f t="shared" si="122"/>
        <v>25500</v>
      </c>
      <c r="N1942" s="23">
        <v>18000</v>
      </c>
      <c r="O1942" s="7">
        <f t="shared" si="123"/>
        <v>43500</v>
      </c>
      <c r="P1942" s="2" t="s">
        <v>22</v>
      </c>
      <c r="Q1942" t="str">
        <f>_xlfn.XLOOKUP(B1942,Status!$A$2:$A$1867,Status!$B$2:$B$1867)</f>
        <v>Shipped</v>
      </c>
      <c r="R1942" s="2" t="s">
        <v>30</v>
      </c>
      <c r="S1942" s="8">
        <v>2</v>
      </c>
      <c r="T1942" s="2" t="s">
        <v>24</v>
      </c>
      <c r="U1942" s="31" t="str" cm="1">
        <f t="array" ref="U1942">_xlfn.IFS(L1942&lt;=5000,$Z$3,AND(L1942&gt;5000,L1942&lt;=15000),$Z$4,AND(L1942&gt;15000,L1942&lt;=30000),$Z$5,AND(L1942&gt;30000,L1942&lt;=50000),$Z$6,L1942&gt;50000,$Z$7)</f>
        <v>Sangat Rendah</v>
      </c>
      <c r="V1942" s="2"/>
    </row>
    <row r="1943" spans="1:22" ht="15.75" customHeight="1" x14ac:dyDescent="0.25">
      <c r="A1943" s="26"/>
      <c r="B1943" s="2" t="s">
        <v>2302</v>
      </c>
      <c r="C1943" s="32">
        <v>45905.062800925924</v>
      </c>
      <c r="D1943" s="53">
        <f>YEAR(Table1[[#This Row],[Order Date]])</f>
        <v>2025</v>
      </c>
      <c r="E1943" s="2" t="s">
        <v>412</v>
      </c>
      <c r="F1943" s="2" t="s">
        <v>70</v>
      </c>
      <c r="G1943" s="2" t="s">
        <v>50</v>
      </c>
      <c r="H1943" s="23">
        <v>14000</v>
      </c>
      <c r="I1943" s="2">
        <v>1</v>
      </c>
      <c r="J1943" s="31">
        <v>15</v>
      </c>
      <c r="K1943" s="7">
        <f t="shared" si="120"/>
        <v>14000</v>
      </c>
      <c r="L1943" s="7">
        <f t="shared" si="121"/>
        <v>2100</v>
      </c>
      <c r="M1943" s="7">
        <f t="shared" si="122"/>
        <v>11900</v>
      </c>
      <c r="N1943" s="23">
        <v>89000</v>
      </c>
      <c r="O1943" s="7">
        <f t="shared" si="123"/>
        <v>100900</v>
      </c>
      <c r="P1943" s="2" t="s">
        <v>22</v>
      </c>
      <c r="Q1943" t="str">
        <f>_xlfn.XLOOKUP(B1943,Status!$A$2:$A$1867,Status!$B$2:$B$1867)</f>
        <v>Completed</v>
      </c>
      <c r="R1943" s="2" t="s">
        <v>46</v>
      </c>
      <c r="S1943" s="8">
        <v>4</v>
      </c>
      <c r="T1943" s="2" t="s">
        <v>24</v>
      </c>
      <c r="U1943" s="31" t="str" cm="1">
        <f t="array" ref="U1943">_xlfn.IFS(L1943&lt;=5000,$Z$3,AND(L1943&gt;5000,L1943&lt;=15000),$Z$4,AND(L1943&gt;15000,L1943&lt;=30000),$Z$5,AND(L1943&gt;30000,L1943&lt;=50000),$Z$6,L1943&gt;50000,$Z$7)</f>
        <v>Sangat Rendah</v>
      </c>
      <c r="V1943" s="2"/>
    </row>
    <row r="1944" spans="1:22" ht="15.75" customHeight="1" x14ac:dyDescent="0.25">
      <c r="A1944" s="26"/>
      <c r="B1944" s="2" t="s">
        <v>2303</v>
      </c>
      <c r="C1944" s="32">
        <v>45905.075659722221</v>
      </c>
      <c r="D1944" s="53">
        <f>YEAR(Table1[[#This Row],[Order Date]])</f>
        <v>2025</v>
      </c>
      <c r="E1944" s="2" t="s">
        <v>40</v>
      </c>
      <c r="F1944" s="2" t="s">
        <v>27</v>
      </c>
      <c r="G1944" s="2" t="s">
        <v>250</v>
      </c>
      <c r="H1944" s="23">
        <v>18000</v>
      </c>
      <c r="I1944" s="2">
        <v>4</v>
      </c>
      <c r="J1944" s="31">
        <v>15</v>
      </c>
      <c r="K1944" s="7">
        <f t="shared" si="120"/>
        <v>72000</v>
      </c>
      <c r="L1944" s="7">
        <f t="shared" si="121"/>
        <v>10800</v>
      </c>
      <c r="M1944" s="7">
        <f t="shared" si="122"/>
        <v>61200</v>
      </c>
      <c r="N1944" s="23">
        <v>17000</v>
      </c>
      <c r="O1944" s="7">
        <f t="shared" si="123"/>
        <v>78200</v>
      </c>
      <c r="P1944" s="2" t="s">
        <v>35</v>
      </c>
      <c r="Q1944" t="str">
        <f>_xlfn.XLOOKUP(B1944,Status!$A$2:$A$1867,Status!$B$2:$B$1867)</f>
        <v>Completed</v>
      </c>
      <c r="R1944" s="2" t="s">
        <v>23</v>
      </c>
      <c r="S1944" s="8">
        <v>2</v>
      </c>
      <c r="T1944" s="2" t="s">
        <v>24</v>
      </c>
      <c r="U1944" s="31" t="str" cm="1">
        <f t="array" ref="U1944">_xlfn.IFS(L1944&lt;=5000,$Z$3,AND(L1944&gt;5000,L1944&lt;=15000),$Z$4,AND(L1944&gt;15000,L1944&lt;=30000),$Z$5,AND(L1944&gt;30000,L1944&lt;=50000),$Z$6,L1944&gt;50000,$Z$7)</f>
        <v>Rendah</v>
      </c>
      <c r="V1944" s="2"/>
    </row>
    <row r="1945" spans="1:22" ht="15.75" customHeight="1" x14ac:dyDescent="0.25">
      <c r="A1945" s="26"/>
      <c r="B1945" s="2" t="s">
        <v>2304</v>
      </c>
      <c r="C1945" s="32">
        <v>45905.135451388887</v>
      </c>
      <c r="D1945" s="53">
        <f>YEAR(Table1[[#This Row],[Order Date]])</f>
        <v>2025</v>
      </c>
      <c r="E1945" s="2" t="s">
        <v>48</v>
      </c>
      <c r="F1945" s="2" t="s">
        <v>49</v>
      </c>
      <c r="G1945" s="2" t="s">
        <v>28</v>
      </c>
      <c r="H1945" s="23">
        <v>5000</v>
      </c>
      <c r="I1945" s="2">
        <v>3</v>
      </c>
      <c r="J1945" s="31">
        <v>10</v>
      </c>
      <c r="K1945" s="7">
        <f t="shared" si="120"/>
        <v>15000</v>
      </c>
      <c r="L1945" s="7">
        <f t="shared" si="121"/>
        <v>1500</v>
      </c>
      <c r="M1945" s="7">
        <f t="shared" si="122"/>
        <v>13500</v>
      </c>
      <c r="N1945" s="23">
        <v>43000</v>
      </c>
      <c r="O1945" s="7">
        <f t="shared" si="123"/>
        <v>56500</v>
      </c>
      <c r="P1945" s="2" t="s">
        <v>63</v>
      </c>
      <c r="Q1945" t="str">
        <f>_xlfn.XLOOKUP(B1945,Status!$A$2:$A$1867,Status!$B$2:$B$1867)</f>
        <v>Completed</v>
      </c>
      <c r="R1945" s="2" t="s">
        <v>36</v>
      </c>
      <c r="S1945" s="8">
        <v>1</v>
      </c>
      <c r="T1945" s="2" t="s">
        <v>24</v>
      </c>
      <c r="U1945" s="31" t="str" cm="1">
        <f t="array" ref="U1945">_xlfn.IFS(L1945&lt;=5000,$Z$3,AND(L1945&gt;5000,L1945&lt;=15000),$Z$4,AND(L1945&gt;15000,L1945&lt;=30000),$Z$5,AND(L1945&gt;30000,L1945&lt;=50000),$Z$6,L1945&gt;50000,$Z$7)</f>
        <v>Sangat Rendah</v>
      </c>
      <c r="V1945" s="2"/>
    </row>
    <row r="1946" spans="1:22" ht="15.75" customHeight="1" x14ac:dyDescent="0.25">
      <c r="A1946" s="26"/>
      <c r="B1946" s="2" t="s">
        <v>2305</v>
      </c>
      <c r="C1946" s="32">
        <v>45905.21371527778</v>
      </c>
      <c r="D1946" s="53">
        <f>YEAR(Table1[[#This Row],[Order Date]])</f>
        <v>2025</v>
      </c>
      <c r="E1946" s="2" t="s">
        <v>155</v>
      </c>
      <c r="F1946" s="2" t="s">
        <v>92</v>
      </c>
      <c r="G1946" s="2" t="s">
        <v>85</v>
      </c>
      <c r="H1946" s="23">
        <v>35000</v>
      </c>
      <c r="I1946" s="2">
        <v>1</v>
      </c>
      <c r="J1946" s="31">
        <v>10</v>
      </c>
      <c r="K1946" s="7">
        <f t="shared" si="120"/>
        <v>35000</v>
      </c>
      <c r="L1946" s="7">
        <f t="shared" si="121"/>
        <v>3500</v>
      </c>
      <c r="M1946" s="7">
        <f t="shared" si="122"/>
        <v>31500</v>
      </c>
      <c r="N1946" s="23">
        <v>30000</v>
      </c>
      <c r="O1946" s="7">
        <f t="shared" si="123"/>
        <v>61500</v>
      </c>
      <c r="P1946" s="2" t="s">
        <v>29</v>
      </c>
      <c r="Q1946" t="str">
        <f>_xlfn.XLOOKUP(B1946,Status!$A$2:$A$1867,Status!$B$2:$B$1867)</f>
        <v>Completed</v>
      </c>
      <c r="R1946" s="2" t="s">
        <v>82</v>
      </c>
      <c r="S1946" s="8">
        <v>4</v>
      </c>
      <c r="T1946" s="2" t="s">
        <v>24</v>
      </c>
      <c r="U1946" s="31" t="str" cm="1">
        <f t="array" ref="U1946">_xlfn.IFS(L1946&lt;=5000,$Z$3,AND(L1946&gt;5000,L1946&lt;=15000),$Z$4,AND(L1946&gt;15000,L1946&lt;=30000),$Z$5,AND(L1946&gt;30000,L1946&lt;=50000),$Z$6,L1946&gt;50000,$Z$7)</f>
        <v>Sangat Rendah</v>
      </c>
      <c r="V1946" s="2"/>
    </row>
    <row r="1947" spans="1:22" ht="15.75" customHeight="1" x14ac:dyDescent="0.25">
      <c r="A1947" s="26"/>
      <c r="B1947" s="2" t="s">
        <v>2306</v>
      </c>
      <c r="C1947" s="32">
        <v>45905.256689814807</v>
      </c>
      <c r="D1947" s="53">
        <f>YEAR(Table1[[#This Row],[Order Date]])</f>
        <v>2025</v>
      </c>
      <c r="E1947" s="2" t="s">
        <v>626</v>
      </c>
      <c r="F1947" s="2" t="s">
        <v>296</v>
      </c>
      <c r="G1947" s="2" t="s">
        <v>123</v>
      </c>
      <c r="H1947" s="23">
        <v>22000</v>
      </c>
      <c r="I1947" s="2">
        <v>4</v>
      </c>
      <c r="J1947" s="31">
        <v>15</v>
      </c>
      <c r="K1947" s="7">
        <f t="shared" si="120"/>
        <v>88000</v>
      </c>
      <c r="L1947" s="7">
        <f t="shared" si="121"/>
        <v>13200</v>
      </c>
      <c r="M1947" s="7">
        <f t="shared" si="122"/>
        <v>74800</v>
      </c>
      <c r="N1947" s="23">
        <v>79000</v>
      </c>
      <c r="O1947" s="7">
        <f t="shared" si="123"/>
        <v>153800</v>
      </c>
      <c r="P1947" s="2" t="s">
        <v>22</v>
      </c>
      <c r="Q1947" t="str">
        <f>_xlfn.XLOOKUP(B1947,Status!$A$2:$A$1867,Status!$B$2:$B$1867)</f>
        <v>Shipped</v>
      </c>
      <c r="R1947" s="2" t="s">
        <v>30</v>
      </c>
      <c r="S1947" s="8">
        <v>4</v>
      </c>
      <c r="T1947" s="2" t="s">
        <v>24</v>
      </c>
      <c r="U1947" s="31" t="str" cm="1">
        <f t="array" ref="U1947">_xlfn.IFS(L1947&lt;=5000,$Z$3,AND(L1947&gt;5000,L1947&lt;=15000),$Z$4,AND(L1947&gt;15000,L1947&lt;=30000),$Z$5,AND(L1947&gt;30000,L1947&lt;=50000),$Z$6,L1947&gt;50000,$Z$7)</f>
        <v>Rendah</v>
      </c>
      <c r="V1947" s="2"/>
    </row>
    <row r="1948" spans="1:22" ht="15.75" customHeight="1" x14ac:dyDescent="0.25">
      <c r="A1948" s="26"/>
      <c r="B1948" s="2" t="s">
        <v>2307</v>
      </c>
      <c r="C1948" s="32">
        <v>45905.417534722219</v>
      </c>
      <c r="D1948" s="53">
        <f>YEAR(Table1[[#This Row],[Order Date]])</f>
        <v>2025</v>
      </c>
      <c r="E1948" s="2" t="s">
        <v>1199</v>
      </c>
      <c r="F1948" s="2" t="s">
        <v>375</v>
      </c>
      <c r="G1948" s="2" t="s">
        <v>186</v>
      </c>
      <c r="H1948" s="23">
        <v>45000</v>
      </c>
      <c r="I1948" s="2">
        <v>3</v>
      </c>
      <c r="J1948" s="31">
        <v>15</v>
      </c>
      <c r="K1948" s="7">
        <f t="shared" si="120"/>
        <v>135000</v>
      </c>
      <c r="L1948" s="7">
        <f t="shared" si="121"/>
        <v>20250</v>
      </c>
      <c r="M1948" s="7">
        <f t="shared" si="122"/>
        <v>114750</v>
      </c>
      <c r="N1948" s="23">
        <v>21000</v>
      </c>
      <c r="O1948" s="7">
        <f t="shared" si="123"/>
        <v>135750</v>
      </c>
      <c r="P1948" s="2" t="s">
        <v>22</v>
      </c>
      <c r="Q1948" t="str">
        <f>_xlfn.XLOOKUP(B1948,Status!$A$2:$A$1867,Status!$B$2:$B$1867)</f>
        <v>Shipped</v>
      </c>
      <c r="R1948" s="2" t="s">
        <v>82</v>
      </c>
      <c r="S1948" s="8">
        <v>4</v>
      </c>
      <c r="T1948" s="2" t="s">
        <v>24</v>
      </c>
      <c r="U1948" s="31" t="str" cm="1">
        <f t="array" ref="U1948">_xlfn.IFS(L1948&lt;=5000,$Z$3,AND(L1948&gt;5000,L1948&lt;=15000),$Z$4,AND(L1948&gt;15000,L1948&lt;=30000),$Z$5,AND(L1948&gt;30000,L1948&lt;=50000),$Z$6,L1948&gt;50000,$Z$7)</f>
        <v>Normal</v>
      </c>
      <c r="V1948" s="2"/>
    </row>
    <row r="1949" spans="1:22" ht="15.75" customHeight="1" x14ac:dyDescent="0.25">
      <c r="A1949" s="26"/>
      <c r="B1949" s="2" t="s">
        <v>2308</v>
      </c>
      <c r="C1949" s="32">
        <v>45905.498310185183</v>
      </c>
      <c r="D1949" s="53">
        <f>YEAR(Table1[[#This Row],[Order Date]])</f>
        <v>2025</v>
      </c>
      <c r="E1949" s="2" t="s">
        <v>515</v>
      </c>
      <c r="F1949" s="2" t="s">
        <v>182</v>
      </c>
      <c r="G1949" s="14" t="s">
        <v>93</v>
      </c>
      <c r="H1949" s="23">
        <v>25000</v>
      </c>
      <c r="I1949" s="2">
        <v>2</v>
      </c>
      <c r="J1949" s="31">
        <v>20</v>
      </c>
      <c r="K1949" s="7">
        <f t="shared" si="120"/>
        <v>50000</v>
      </c>
      <c r="L1949" s="7">
        <f t="shared" si="121"/>
        <v>10000</v>
      </c>
      <c r="M1949" s="7">
        <f t="shared" si="122"/>
        <v>40000</v>
      </c>
      <c r="N1949" s="23">
        <v>48000</v>
      </c>
      <c r="O1949" s="7">
        <f t="shared" si="123"/>
        <v>88000</v>
      </c>
      <c r="P1949" s="2" t="s">
        <v>22</v>
      </c>
      <c r="Q1949" t="str">
        <f>_xlfn.XLOOKUP(B1949,Status!$A$2:$A$1867,Status!$B$2:$B$1867)</f>
        <v>Shipped</v>
      </c>
      <c r="R1949" s="2" t="s">
        <v>46</v>
      </c>
      <c r="S1949" s="8">
        <v>3</v>
      </c>
      <c r="T1949" s="2" t="s">
        <v>24</v>
      </c>
      <c r="U1949" s="31" t="str" cm="1">
        <f t="array" ref="U1949">_xlfn.IFS(L1949&lt;=5000,$Z$3,AND(L1949&gt;5000,L1949&lt;=15000),$Z$4,AND(L1949&gt;15000,L1949&lt;=30000),$Z$5,AND(L1949&gt;30000,L1949&lt;=50000),$Z$6,L1949&gt;50000,$Z$7)</f>
        <v>Rendah</v>
      </c>
      <c r="V1949" s="2"/>
    </row>
    <row r="1950" spans="1:22" ht="15.75" customHeight="1" x14ac:dyDescent="0.25">
      <c r="A1950" s="26"/>
      <c r="B1950" s="2" t="s">
        <v>2308</v>
      </c>
      <c r="C1950" s="32">
        <v>45905.498310185183</v>
      </c>
      <c r="D1950" s="53">
        <f>YEAR(Table1[[#This Row],[Order Date]])</f>
        <v>2025</v>
      </c>
      <c r="E1950" s="2" t="s">
        <v>515</v>
      </c>
      <c r="F1950" s="2" t="s">
        <v>182</v>
      </c>
      <c r="G1950" s="2" t="s">
        <v>54</v>
      </c>
      <c r="H1950" s="23">
        <v>16000</v>
      </c>
      <c r="I1950" s="2">
        <v>1</v>
      </c>
      <c r="J1950" s="31">
        <v>15</v>
      </c>
      <c r="K1950" s="7">
        <f t="shared" si="120"/>
        <v>16000</v>
      </c>
      <c r="L1950" s="7">
        <f t="shared" si="121"/>
        <v>2400</v>
      </c>
      <c r="M1950" s="7">
        <f t="shared" si="122"/>
        <v>13600</v>
      </c>
      <c r="N1950" s="23">
        <v>0</v>
      </c>
      <c r="O1950" s="7">
        <f t="shared" si="123"/>
        <v>13600</v>
      </c>
      <c r="P1950" s="2" t="s">
        <v>22</v>
      </c>
      <c r="Q1950" t="str">
        <f>_xlfn.XLOOKUP(B1950,Status!$A$2:$A$1867,Status!$B$2:$B$1867)</f>
        <v>Shipped</v>
      </c>
      <c r="R1950" s="2" t="s">
        <v>46</v>
      </c>
      <c r="S1950" s="8">
        <v>3</v>
      </c>
      <c r="T1950" s="2" t="s">
        <v>24</v>
      </c>
      <c r="U1950" s="31" t="str" cm="1">
        <f t="array" ref="U1950">_xlfn.IFS(L1950&lt;=5000,$Z$3,AND(L1950&gt;5000,L1950&lt;=15000),$Z$4,AND(L1950&gt;15000,L1950&lt;=30000),$Z$5,AND(L1950&gt;30000,L1950&lt;=50000),$Z$6,L1950&gt;50000,$Z$7)</f>
        <v>Sangat Rendah</v>
      </c>
      <c r="V1950" s="2"/>
    </row>
    <row r="1951" spans="1:22" ht="15.75" customHeight="1" x14ac:dyDescent="0.25">
      <c r="A1951" s="26"/>
      <c r="B1951" s="2" t="s">
        <v>2309</v>
      </c>
      <c r="C1951" s="32">
        <v>45905.600358796299</v>
      </c>
      <c r="D1951" s="53">
        <f>YEAR(Table1[[#This Row],[Order Date]])</f>
        <v>2025</v>
      </c>
      <c r="E1951" s="2" t="s">
        <v>2097</v>
      </c>
      <c r="F1951" s="2" t="s">
        <v>53</v>
      </c>
      <c r="G1951" s="2" t="s">
        <v>28</v>
      </c>
      <c r="H1951" s="23">
        <v>5000</v>
      </c>
      <c r="I1951" s="2">
        <v>5</v>
      </c>
      <c r="J1951" s="31">
        <v>20</v>
      </c>
      <c r="K1951" s="7">
        <f t="shared" si="120"/>
        <v>25000</v>
      </c>
      <c r="L1951" s="7">
        <f t="shared" si="121"/>
        <v>5000</v>
      </c>
      <c r="M1951" s="7">
        <f t="shared" si="122"/>
        <v>20000</v>
      </c>
      <c r="N1951" s="23">
        <v>18000</v>
      </c>
      <c r="O1951" s="7">
        <f t="shared" si="123"/>
        <v>38000</v>
      </c>
      <c r="P1951" s="2" t="s">
        <v>63</v>
      </c>
      <c r="Q1951" t="str">
        <f>_xlfn.XLOOKUP(B1951,Status!$A$2:$A$1867,Status!$B$2:$B$1867)</f>
        <v>Completed</v>
      </c>
      <c r="R1951" s="2" t="s">
        <v>82</v>
      </c>
      <c r="S1951" s="8">
        <v>4</v>
      </c>
      <c r="T1951" s="2" t="s">
        <v>24</v>
      </c>
      <c r="U1951" s="31" t="str" cm="1">
        <f t="array" ref="U1951">_xlfn.IFS(L1951&lt;=5000,$Z$3,AND(L1951&gt;5000,L1951&lt;=15000),$Z$4,AND(L1951&gt;15000,L1951&lt;=30000),$Z$5,AND(L1951&gt;30000,L1951&lt;=50000),$Z$6,L1951&gt;50000,$Z$7)</f>
        <v>Sangat Rendah</v>
      </c>
      <c r="V1951" s="2"/>
    </row>
    <row r="1952" spans="1:22" ht="15.75" customHeight="1" x14ac:dyDescent="0.25">
      <c r="A1952" s="26"/>
      <c r="B1952" s="2" t="s">
        <v>2310</v>
      </c>
      <c r="C1952" s="32">
        <v>45905.7890625</v>
      </c>
      <c r="D1952" s="53">
        <f>YEAR(Table1[[#This Row],[Order Date]])</f>
        <v>2025</v>
      </c>
      <c r="E1952" s="2" t="s">
        <v>314</v>
      </c>
      <c r="F1952" s="2" t="s">
        <v>113</v>
      </c>
      <c r="G1952" s="2" t="s">
        <v>250</v>
      </c>
      <c r="H1952" s="23">
        <v>18000</v>
      </c>
      <c r="I1952" s="2">
        <v>2</v>
      </c>
      <c r="J1952" s="31">
        <v>15</v>
      </c>
      <c r="K1952" s="7">
        <f t="shared" si="120"/>
        <v>36000</v>
      </c>
      <c r="L1952" s="7">
        <f t="shared" si="121"/>
        <v>5400</v>
      </c>
      <c r="M1952" s="7">
        <f t="shared" si="122"/>
        <v>30600</v>
      </c>
      <c r="N1952" s="23">
        <v>18000</v>
      </c>
      <c r="O1952" s="7">
        <f t="shared" si="123"/>
        <v>48600</v>
      </c>
      <c r="P1952" s="2" t="s">
        <v>29</v>
      </c>
      <c r="Q1952" t="str">
        <f>_xlfn.XLOOKUP(B1952,Status!$A$2:$A$1867,Status!$B$2:$B$1867)</f>
        <v>Completed</v>
      </c>
      <c r="R1952" s="2" t="s">
        <v>30</v>
      </c>
      <c r="S1952" s="8">
        <v>1</v>
      </c>
      <c r="T1952" s="2" t="s">
        <v>24</v>
      </c>
      <c r="U1952" s="31" t="str" cm="1">
        <f t="array" ref="U1952">_xlfn.IFS(L1952&lt;=5000,$Z$3,AND(L1952&gt;5000,L1952&lt;=15000),$Z$4,AND(L1952&gt;15000,L1952&lt;=30000),$Z$5,AND(L1952&gt;30000,L1952&lt;=50000),$Z$6,L1952&gt;50000,$Z$7)</f>
        <v>Rendah</v>
      </c>
      <c r="V1952" s="2"/>
    </row>
    <row r="1953" spans="1:22" ht="15.75" customHeight="1" x14ac:dyDescent="0.25">
      <c r="A1953" s="26"/>
      <c r="B1953" s="2" t="s">
        <v>2311</v>
      </c>
      <c r="C1953" s="32">
        <v>45905.909791666672</v>
      </c>
      <c r="D1953" s="53">
        <f>YEAR(Table1[[#This Row],[Order Date]])</f>
        <v>2025</v>
      </c>
      <c r="E1953" s="2" t="s">
        <v>167</v>
      </c>
      <c r="F1953" s="2" t="s">
        <v>44</v>
      </c>
      <c r="G1953" s="2" t="s">
        <v>174</v>
      </c>
      <c r="H1953" s="23">
        <v>10000</v>
      </c>
      <c r="I1953" s="2">
        <v>1</v>
      </c>
      <c r="J1953" s="31">
        <v>15</v>
      </c>
      <c r="K1953" s="7">
        <f t="shared" si="120"/>
        <v>10000</v>
      </c>
      <c r="L1953" s="7">
        <f t="shared" si="121"/>
        <v>1500</v>
      </c>
      <c r="M1953" s="7">
        <f t="shared" si="122"/>
        <v>8500</v>
      </c>
      <c r="N1953" s="23">
        <v>93000</v>
      </c>
      <c r="O1953" s="7">
        <f t="shared" si="123"/>
        <v>101500</v>
      </c>
      <c r="P1953" s="2" t="s">
        <v>63</v>
      </c>
      <c r="Q1953" t="str">
        <f>_xlfn.XLOOKUP(B1953,Status!$A$2:$A$1867,Status!$B$2:$B$1867)</f>
        <v>Shipped</v>
      </c>
      <c r="R1953" s="2" t="s">
        <v>30</v>
      </c>
      <c r="S1953" s="8">
        <v>3</v>
      </c>
      <c r="T1953" s="2" t="s">
        <v>24</v>
      </c>
      <c r="U1953" s="31" t="str" cm="1">
        <f t="array" ref="U1953">_xlfn.IFS(L1953&lt;=5000,$Z$3,AND(L1953&gt;5000,L1953&lt;=15000),$Z$4,AND(L1953&gt;15000,L1953&lt;=30000),$Z$5,AND(L1953&gt;30000,L1953&lt;=50000),$Z$6,L1953&gt;50000,$Z$7)</f>
        <v>Sangat Rendah</v>
      </c>
      <c r="V1953" s="2"/>
    </row>
    <row r="1954" spans="1:22" ht="15.75" customHeight="1" x14ac:dyDescent="0.25">
      <c r="A1954" s="26"/>
      <c r="B1954" s="2" t="s">
        <v>2312</v>
      </c>
      <c r="C1954" s="32">
        <v>45906.208703703713</v>
      </c>
      <c r="D1954" s="53">
        <f>YEAR(Table1[[#This Row],[Order Date]])</f>
        <v>2025</v>
      </c>
      <c r="E1954" s="2" t="s">
        <v>1887</v>
      </c>
      <c r="F1954" s="2" t="s">
        <v>238</v>
      </c>
      <c r="G1954" s="2" t="s">
        <v>144</v>
      </c>
      <c r="H1954" s="23">
        <v>18000</v>
      </c>
      <c r="I1954" s="2">
        <v>4</v>
      </c>
      <c r="J1954" s="31">
        <v>15</v>
      </c>
      <c r="K1954" s="7">
        <f t="shared" si="120"/>
        <v>72000</v>
      </c>
      <c r="L1954" s="7">
        <f t="shared" si="121"/>
        <v>10800</v>
      </c>
      <c r="M1954" s="7">
        <f t="shared" si="122"/>
        <v>61200</v>
      </c>
      <c r="N1954" s="23">
        <v>28000</v>
      </c>
      <c r="O1954" s="7">
        <f t="shared" si="123"/>
        <v>89200</v>
      </c>
      <c r="P1954" s="2" t="s">
        <v>35</v>
      </c>
      <c r="Q1954" t="str">
        <f>_xlfn.XLOOKUP(B1954,Status!$A$2:$A$1867,Status!$B$2:$B$1867)</f>
        <v>Shipped</v>
      </c>
      <c r="R1954" s="2" t="s">
        <v>23</v>
      </c>
      <c r="S1954" s="8">
        <v>3</v>
      </c>
      <c r="T1954" s="2" t="s">
        <v>24</v>
      </c>
      <c r="U1954" s="31" t="str" cm="1">
        <f t="array" ref="U1954">_xlfn.IFS(L1954&lt;=5000,$Z$3,AND(L1954&gt;5000,L1954&lt;=15000),$Z$4,AND(L1954&gt;15000,L1954&lt;=30000),$Z$5,AND(L1954&gt;30000,L1954&lt;=50000),$Z$6,L1954&gt;50000,$Z$7)</f>
        <v>Rendah</v>
      </c>
      <c r="V1954" s="2"/>
    </row>
    <row r="1955" spans="1:22" ht="15.75" customHeight="1" x14ac:dyDescent="0.25">
      <c r="A1955" s="26"/>
      <c r="B1955" s="2" t="s">
        <v>2313</v>
      </c>
      <c r="C1955" s="32">
        <v>45906.4375462963</v>
      </c>
      <c r="D1955" s="53">
        <f>YEAR(Table1[[#This Row],[Order Date]])</f>
        <v>2025</v>
      </c>
      <c r="E1955" s="2" t="s">
        <v>483</v>
      </c>
      <c r="F1955" s="2" t="s">
        <v>170</v>
      </c>
      <c r="G1955" s="2" t="s">
        <v>144</v>
      </c>
      <c r="H1955" s="23">
        <v>18000</v>
      </c>
      <c r="I1955" s="2">
        <v>5</v>
      </c>
      <c r="J1955" s="31">
        <v>0</v>
      </c>
      <c r="K1955" s="7">
        <f t="shared" si="120"/>
        <v>90000</v>
      </c>
      <c r="L1955" s="7">
        <f t="shared" si="121"/>
        <v>0</v>
      </c>
      <c r="M1955" s="7">
        <f t="shared" si="122"/>
        <v>90000</v>
      </c>
      <c r="N1955" s="23">
        <v>46000</v>
      </c>
      <c r="O1955" s="7">
        <f t="shared" si="123"/>
        <v>136000</v>
      </c>
      <c r="P1955" s="2" t="s">
        <v>29</v>
      </c>
      <c r="Q1955" t="str">
        <f>_xlfn.XLOOKUP(B1955,Status!$A$2:$A$1867,Status!$B$2:$B$1867)</f>
        <v>Pending</v>
      </c>
      <c r="R1955" s="2" t="s">
        <v>82</v>
      </c>
      <c r="S1955" s="8">
        <v>1</v>
      </c>
      <c r="T1955" s="2" t="s">
        <v>24</v>
      </c>
      <c r="U1955" s="31" t="str" cm="1">
        <f t="array" ref="U1955">_xlfn.IFS(L1955&lt;=5000,$Z$3,AND(L1955&gt;5000,L1955&lt;=15000),$Z$4,AND(L1955&gt;15000,L1955&lt;=30000),$Z$5,AND(L1955&gt;30000,L1955&lt;=50000),$Z$6,L1955&gt;50000,$Z$7)</f>
        <v>Sangat Rendah</v>
      </c>
      <c r="V1955" s="2"/>
    </row>
    <row r="1956" spans="1:22" ht="15.75" customHeight="1" x14ac:dyDescent="0.25">
      <c r="A1956" s="26"/>
      <c r="B1956" s="2" t="s">
        <v>2314</v>
      </c>
      <c r="C1956" s="32">
        <v>45907.025393518517</v>
      </c>
      <c r="D1956" s="53">
        <f>YEAR(Table1[[#This Row],[Order Date]])</f>
        <v>2025</v>
      </c>
      <c r="E1956" s="2" t="s">
        <v>473</v>
      </c>
      <c r="F1956" s="2" t="s">
        <v>122</v>
      </c>
      <c r="G1956" s="2" t="s">
        <v>58</v>
      </c>
      <c r="H1956" s="23">
        <v>16000</v>
      </c>
      <c r="I1956" s="2">
        <v>4</v>
      </c>
      <c r="J1956" s="31">
        <v>15</v>
      </c>
      <c r="K1956" s="7">
        <f t="shared" si="120"/>
        <v>64000</v>
      </c>
      <c r="L1956" s="7">
        <f t="shared" si="121"/>
        <v>9600</v>
      </c>
      <c r="M1956" s="7">
        <f t="shared" si="122"/>
        <v>54400</v>
      </c>
      <c r="N1956" s="23">
        <v>78000</v>
      </c>
      <c r="O1956" s="7">
        <f t="shared" si="123"/>
        <v>132400</v>
      </c>
      <c r="P1956" s="2" t="s">
        <v>29</v>
      </c>
      <c r="Q1956" t="str">
        <f>_xlfn.XLOOKUP(B1956,Status!$A$2:$A$1867,Status!$B$2:$B$1867)</f>
        <v>Completed</v>
      </c>
      <c r="R1956" s="2" t="s">
        <v>36</v>
      </c>
      <c r="S1956" s="8">
        <v>3</v>
      </c>
      <c r="T1956" s="2" t="s">
        <v>24</v>
      </c>
      <c r="U1956" s="31" t="str" cm="1">
        <f t="array" ref="U1956">_xlfn.IFS(L1956&lt;=5000,$Z$3,AND(L1956&gt;5000,L1956&lt;=15000),$Z$4,AND(L1956&gt;15000,L1956&lt;=30000),$Z$5,AND(L1956&gt;30000,L1956&lt;=50000),$Z$6,L1956&gt;50000,$Z$7)</f>
        <v>Rendah</v>
      </c>
      <c r="V1956" s="2"/>
    </row>
    <row r="1957" spans="1:22" ht="15.75" customHeight="1" x14ac:dyDescent="0.25">
      <c r="A1957" s="26"/>
      <c r="B1957" s="2" t="s">
        <v>2315</v>
      </c>
      <c r="C1957" s="32">
        <v>45907.163194444453</v>
      </c>
      <c r="D1957" s="53">
        <f>YEAR(Table1[[#This Row],[Order Date]])</f>
        <v>2025</v>
      </c>
      <c r="E1957" s="2" t="s">
        <v>1237</v>
      </c>
      <c r="F1957" s="2" t="s">
        <v>92</v>
      </c>
      <c r="G1957" s="2" t="s">
        <v>71</v>
      </c>
      <c r="H1957" s="23">
        <v>40000</v>
      </c>
      <c r="I1957" s="2">
        <v>1</v>
      </c>
      <c r="J1957" s="31">
        <v>5</v>
      </c>
      <c r="K1957" s="7">
        <f t="shared" si="120"/>
        <v>40000</v>
      </c>
      <c r="L1957" s="7">
        <f t="shared" si="121"/>
        <v>2000</v>
      </c>
      <c r="M1957" s="7">
        <f t="shared" si="122"/>
        <v>38000</v>
      </c>
      <c r="N1957" s="23">
        <v>30000</v>
      </c>
      <c r="O1957" s="7">
        <f t="shared" si="123"/>
        <v>68000</v>
      </c>
      <c r="P1957" s="2" t="s">
        <v>29</v>
      </c>
      <c r="Q1957" t="str">
        <f>_xlfn.XLOOKUP(B1957,Status!$A$2:$A$1867,Status!$B$2:$B$1867)</f>
        <v>Pending</v>
      </c>
      <c r="R1957" s="2" t="s">
        <v>46</v>
      </c>
      <c r="S1957" s="8">
        <v>5</v>
      </c>
      <c r="T1957" s="2" t="s">
        <v>24</v>
      </c>
      <c r="U1957" s="31" t="str" cm="1">
        <f t="array" ref="U1957">_xlfn.IFS(L1957&lt;=5000,$Z$3,AND(L1957&gt;5000,L1957&lt;=15000),$Z$4,AND(L1957&gt;15000,L1957&lt;=30000),$Z$5,AND(L1957&gt;30000,L1957&lt;=50000),$Z$6,L1957&gt;50000,$Z$7)</f>
        <v>Sangat Rendah</v>
      </c>
      <c r="V1957" s="2"/>
    </row>
    <row r="1958" spans="1:22" ht="15.75" customHeight="1" x14ac:dyDescent="0.25">
      <c r="A1958" s="26"/>
      <c r="B1958" s="2" t="s">
        <v>2316</v>
      </c>
      <c r="C1958" s="32">
        <v>45907.29928240741</v>
      </c>
      <c r="D1958" s="53">
        <f>YEAR(Table1[[#This Row],[Order Date]])</f>
        <v>2025</v>
      </c>
      <c r="E1958" s="2" t="s">
        <v>976</v>
      </c>
      <c r="F1958" s="2" t="s">
        <v>182</v>
      </c>
      <c r="G1958" s="2" t="s">
        <v>21</v>
      </c>
      <c r="H1958" s="23">
        <v>45000</v>
      </c>
      <c r="I1958" s="2">
        <v>3</v>
      </c>
      <c r="J1958" s="31">
        <v>0</v>
      </c>
      <c r="K1958" s="7">
        <f t="shared" si="120"/>
        <v>135000</v>
      </c>
      <c r="L1958" s="7">
        <f t="shared" si="121"/>
        <v>0</v>
      </c>
      <c r="M1958" s="7">
        <f t="shared" si="122"/>
        <v>135000</v>
      </c>
      <c r="N1958" s="23">
        <v>48000</v>
      </c>
      <c r="O1958" s="7">
        <f t="shared" si="123"/>
        <v>183000</v>
      </c>
      <c r="P1958" s="2" t="s">
        <v>63</v>
      </c>
      <c r="Q1958" t="str">
        <f>_xlfn.XLOOKUP(B1958,Status!$A$2:$A$1867,Status!$B$2:$B$1867)</f>
        <v>Completed</v>
      </c>
      <c r="R1958" s="2" t="s">
        <v>46</v>
      </c>
      <c r="S1958" s="8">
        <v>1</v>
      </c>
      <c r="T1958" s="2" t="s">
        <v>24</v>
      </c>
      <c r="U1958" s="31" t="str" cm="1">
        <f t="array" ref="U1958">_xlfn.IFS(L1958&lt;=5000,$Z$3,AND(L1958&gt;5000,L1958&lt;=15000),$Z$4,AND(L1958&gt;15000,L1958&lt;=30000),$Z$5,AND(L1958&gt;30000,L1958&lt;=50000),$Z$6,L1958&gt;50000,$Z$7)</f>
        <v>Sangat Rendah</v>
      </c>
      <c r="V1958" s="2"/>
    </row>
    <row r="1959" spans="1:22" ht="15.75" customHeight="1" x14ac:dyDescent="0.25">
      <c r="A1959" s="26"/>
      <c r="B1959" s="2" t="s">
        <v>2317</v>
      </c>
      <c r="C1959" s="32">
        <v>45907.406712962962</v>
      </c>
      <c r="D1959" s="53">
        <f>YEAR(Table1[[#This Row],[Order Date]])</f>
        <v>2025</v>
      </c>
      <c r="E1959" s="2" t="s">
        <v>794</v>
      </c>
      <c r="F1959" s="2" t="s">
        <v>61</v>
      </c>
      <c r="G1959" s="2" t="s">
        <v>138</v>
      </c>
      <c r="H1959" s="23">
        <v>17000</v>
      </c>
      <c r="I1959" s="2">
        <v>3</v>
      </c>
      <c r="J1959" s="31">
        <v>10</v>
      </c>
      <c r="K1959" s="7">
        <f t="shared" si="120"/>
        <v>51000</v>
      </c>
      <c r="L1959" s="7">
        <f t="shared" si="121"/>
        <v>5100</v>
      </c>
      <c r="M1959" s="7">
        <f t="shared" si="122"/>
        <v>45900</v>
      </c>
      <c r="N1959" s="23">
        <v>26000</v>
      </c>
      <c r="O1959" s="7">
        <f t="shared" si="123"/>
        <v>71900</v>
      </c>
      <c r="P1959" s="2" t="s">
        <v>22</v>
      </c>
      <c r="Q1959" t="str">
        <f>_xlfn.XLOOKUP(B1959,Status!$A$2:$A$1867,Status!$B$2:$B$1867)</f>
        <v>Shipped</v>
      </c>
      <c r="R1959" s="2" t="s">
        <v>36</v>
      </c>
      <c r="S1959" s="8">
        <v>4</v>
      </c>
      <c r="T1959" s="2" t="s">
        <v>37</v>
      </c>
      <c r="U1959" s="31" t="str" cm="1">
        <f t="array" ref="U1959">_xlfn.IFS(L1959&lt;=5000,$Z$3,AND(L1959&gt;5000,L1959&lt;=15000),$Z$4,AND(L1959&gt;15000,L1959&lt;=30000),$Z$5,AND(L1959&gt;30000,L1959&lt;=50000),$Z$6,L1959&gt;50000,$Z$7)</f>
        <v>Rendah</v>
      </c>
      <c r="V1959" s="2"/>
    </row>
    <row r="1960" spans="1:22" ht="15.75" customHeight="1" x14ac:dyDescent="0.25">
      <c r="A1960" s="26"/>
      <c r="B1960" s="2" t="s">
        <v>2318</v>
      </c>
      <c r="C1960" s="32">
        <v>45907.415150462963</v>
      </c>
      <c r="D1960" s="53">
        <f>YEAR(Table1[[#This Row],[Order Date]])</f>
        <v>2025</v>
      </c>
      <c r="E1960" s="2" t="s">
        <v>1794</v>
      </c>
      <c r="F1960" s="2" t="s">
        <v>195</v>
      </c>
      <c r="G1960" s="2" t="s">
        <v>21</v>
      </c>
      <c r="H1960" s="23">
        <v>45000</v>
      </c>
      <c r="I1960" s="2">
        <v>3</v>
      </c>
      <c r="J1960" s="31">
        <v>20</v>
      </c>
      <c r="K1960" s="7">
        <f t="shared" si="120"/>
        <v>135000</v>
      </c>
      <c r="L1960" s="7">
        <f t="shared" si="121"/>
        <v>27000</v>
      </c>
      <c r="M1960" s="7">
        <f t="shared" si="122"/>
        <v>108000</v>
      </c>
      <c r="N1960" s="23">
        <v>87000</v>
      </c>
      <c r="O1960" s="7">
        <f t="shared" si="123"/>
        <v>195000</v>
      </c>
      <c r="P1960" s="2" t="s">
        <v>29</v>
      </c>
      <c r="Q1960" t="str">
        <f>_xlfn.XLOOKUP(B1960,Status!$A$2:$A$1867,Status!$B$2:$B$1867)</f>
        <v>Pending</v>
      </c>
      <c r="R1960" s="2" t="s">
        <v>30</v>
      </c>
      <c r="S1960" s="8">
        <v>4</v>
      </c>
      <c r="T1960" s="2" t="s">
        <v>37</v>
      </c>
      <c r="U1960" s="31" t="str" cm="1">
        <f t="array" ref="U1960">_xlfn.IFS(L1960&lt;=5000,$Z$3,AND(L1960&gt;5000,L1960&lt;=15000),$Z$4,AND(L1960&gt;15000,L1960&lt;=30000),$Z$5,AND(L1960&gt;30000,L1960&lt;=50000),$Z$6,L1960&gt;50000,$Z$7)</f>
        <v>Normal</v>
      </c>
      <c r="V1960" s="2"/>
    </row>
    <row r="1961" spans="1:22" ht="15.75" customHeight="1" x14ac:dyDescent="0.25">
      <c r="A1961" s="26"/>
      <c r="B1961" s="2" t="s">
        <v>2319</v>
      </c>
      <c r="C1961" s="32">
        <v>45907.97729166667</v>
      </c>
      <c r="D1961" s="53">
        <f>YEAR(Table1[[#This Row],[Order Date]])</f>
        <v>2025</v>
      </c>
      <c r="E1961" s="2" t="s">
        <v>495</v>
      </c>
      <c r="F1961" s="2" t="s">
        <v>44</v>
      </c>
      <c r="G1961" s="2" t="s">
        <v>190</v>
      </c>
      <c r="H1961" s="23">
        <v>35000</v>
      </c>
      <c r="I1961" s="2">
        <v>5</v>
      </c>
      <c r="J1961" s="31">
        <v>15</v>
      </c>
      <c r="K1961" s="7">
        <f t="shared" si="120"/>
        <v>175000</v>
      </c>
      <c r="L1961" s="7">
        <f t="shared" si="121"/>
        <v>26250</v>
      </c>
      <c r="M1961" s="7">
        <f t="shared" si="122"/>
        <v>148750</v>
      </c>
      <c r="N1961" s="23">
        <v>93000</v>
      </c>
      <c r="O1961" s="7">
        <f t="shared" si="123"/>
        <v>241750</v>
      </c>
      <c r="P1961" s="2" t="s">
        <v>29</v>
      </c>
      <c r="Q1961" t="str">
        <f>_xlfn.XLOOKUP(B1961,Status!$A$2:$A$1867,Status!$B$2:$B$1867)</f>
        <v>Pending</v>
      </c>
      <c r="R1961" s="2" t="s">
        <v>30</v>
      </c>
      <c r="S1961" s="8">
        <v>1</v>
      </c>
      <c r="T1961" s="2" t="s">
        <v>37</v>
      </c>
      <c r="U1961" s="31" t="str" cm="1">
        <f t="array" ref="U1961">_xlfn.IFS(L1961&lt;=5000,$Z$3,AND(L1961&gt;5000,L1961&lt;=15000),$Z$4,AND(L1961&gt;15000,L1961&lt;=30000),$Z$5,AND(L1961&gt;30000,L1961&lt;=50000),$Z$6,L1961&gt;50000,$Z$7)</f>
        <v>Normal</v>
      </c>
      <c r="V1961" s="2"/>
    </row>
    <row r="1962" spans="1:22" ht="15.75" customHeight="1" x14ac:dyDescent="0.25">
      <c r="A1962" s="26"/>
      <c r="B1962" s="2" t="s">
        <v>2320</v>
      </c>
      <c r="C1962" s="32">
        <v>45908.137361111112</v>
      </c>
      <c r="D1962" s="53">
        <f>YEAR(Table1[[#This Row],[Order Date]])</f>
        <v>2025</v>
      </c>
      <c r="E1962" s="2" t="s">
        <v>381</v>
      </c>
      <c r="F1962" s="2" t="s">
        <v>103</v>
      </c>
      <c r="G1962" s="2" t="s">
        <v>21</v>
      </c>
      <c r="H1962" s="23">
        <v>45000</v>
      </c>
      <c r="I1962" s="2">
        <v>3</v>
      </c>
      <c r="J1962" s="31">
        <v>5</v>
      </c>
      <c r="K1962" s="7">
        <f t="shared" si="120"/>
        <v>135000</v>
      </c>
      <c r="L1962" s="7">
        <f t="shared" si="121"/>
        <v>6750</v>
      </c>
      <c r="M1962" s="7">
        <f t="shared" si="122"/>
        <v>128250</v>
      </c>
      <c r="N1962" s="23">
        <v>85000</v>
      </c>
      <c r="O1962" s="7">
        <f t="shared" si="123"/>
        <v>213250</v>
      </c>
      <c r="P1962" s="2" t="s">
        <v>29</v>
      </c>
      <c r="Q1962" t="str">
        <f>_xlfn.XLOOKUP(B1962,Status!$A$2:$A$1867,Status!$B$2:$B$1867)</f>
        <v>Completed</v>
      </c>
      <c r="R1962" s="2" t="s">
        <v>30</v>
      </c>
      <c r="S1962" s="8">
        <v>1</v>
      </c>
      <c r="T1962" s="2" t="s">
        <v>24</v>
      </c>
      <c r="U1962" s="31" t="str" cm="1">
        <f t="array" ref="U1962">_xlfn.IFS(L1962&lt;=5000,$Z$3,AND(L1962&gt;5000,L1962&lt;=15000),$Z$4,AND(L1962&gt;15000,L1962&lt;=30000),$Z$5,AND(L1962&gt;30000,L1962&lt;=50000),$Z$6,L1962&gt;50000,$Z$7)</f>
        <v>Rendah</v>
      </c>
      <c r="V1962" s="2"/>
    </row>
    <row r="1963" spans="1:22" ht="15.75" customHeight="1" x14ac:dyDescent="0.25">
      <c r="A1963" s="26"/>
      <c r="B1963" s="2" t="s">
        <v>2321</v>
      </c>
      <c r="C1963" s="32">
        <v>45908.174062500002</v>
      </c>
      <c r="D1963" s="53">
        <f>YEAR(Table1[[#This Row],[Order Date]])</f>
        <v>2025</v>
      </c>
      <c r="E1963" s="2" t="s">
        <v>150</v>
      </c>
      <c r="F1963" s="2" t="s">
        <v>151</v>
      </c>
      <c r="G1963" s="2" t="s">
        <v>75</v>
      </c>
      <c r="H1963" s="23">
        <v>55000</v>
      </c>
      <c r="I1963" s="2">
        <v>3</v>
      </c>
      <c r="J1963" s="31">
        <v>5</v>
      </c>
      <c r="K1963" s="7">
        <f t="shared" si="120"/>
        <v>165000</v>
      </c>
      <c r="L1963" s="7">
        <f t="shared" si="121"/>
        <v>8250</v>
      </c>
      <c r="M1963" s="7">
        <f t="shared" si="122"/>
        <v>156750</v>
      </c>
      <c r="N1963" s="23">
        <v>55000</v>
      </c>
      <c r="O1963" s="7">
        <f t="shared" si="123"/>
        <v>211750</v>
      </c>
      <c r="P1963" s="2" t="s">
        <v>35</v>
      </c>
      <c r="Q1963" t="str">
        <f>_xlfn.XLOOKUP(B1963,Status!$A$2:$A$1867,Status!$B$2:$B$1867)</f>
        <v>Pending</v>
      </c>
      <c r="R1963" s="2" t="s">
        <v>82</v>
      </c>
      <c r="S1963" s="8">
        <v>5</v>
      </c>
      <c r="T1963" s="2" t="s">
        <v>37</v>
      </c>
      <c r="U1963" s="31" t="str" cm="1">
        <f t="array" ref="U1963">_xlfn.IFS(L1963&lt;=5000,$Z$3,AND(L1963&gt;5000,L1963&lt;=15000),$Z$4,AND(L1963&gt;15000,L1963&lt;=30000),$Z$5,AND(L1963&gt;30000,L1963&lt;=50000),$Z$6,L1963&gt;50000,$Z$7)</f>
        <v>Rendah</v>
      </c>
      <c r="V1963" s="2"/>
    </row>
    <row r="1964" spans="1:22" ht="15.75" customHeight="1" x14ac:dyDescent="0.25">
      <c r="A1964" s="26"/>
      <c r="B1964" s="2" t="s">
        <v>2322</v>
      </c>
      <c r="C1964" s="32">
        <v>45908.257928240739</v>
      </c>
      <c r="D1964" s="53">
        <f>YEAR(Table1[[#This Row],[Order Date]])</f>
        <v>2025</v>
      </c>
      <c r="E1964" s="2" t="s">
        <v>711</v>
      </c>
      <c r="F1964" s="2" t="s">
        <v>177</v>
      </c>
      <c r="G1964" s="2" t="s">
        <v>54</v>
      </c>
      <c r="H1964" s="23">
        <v>16000</v>
      </c>
      <c r="I1964" s="2">
        <v>2</v>
      </c>
      <c r="J1964" s="31">
        <v>10</v>
      </c>
      <c r="K1964" s="7">
        <f t="shared" si="120"/>
        <v>32000</v>
      </c>
      <c r="L1964" s="7">
        <f t="shared" si="121"/>
        <v>3200</v>
      </c>
      <c r="M1964" s="7">
        <f t="shared" si="122"/>
        <v>28800</v>
      </c>
      <c r="N1964" s="23">
        <v>56000</v>
      </c>
      <c r="O1964" s="7">
        <f t="shared" si="123"/>
        <v>84800</v>
      </c>
      <c r="P1964" s="2" t="s">
        <v>35</v>
      </c>
      <c r="Q1964" t="str">
        <f>_xlfn.XLOOKUP(B1964,Status!$A$2:$A$1867,Status!$B$2:$B$1867)</f>
        <v>Completed</v>
      </c>
      <c r="R1964" s="2" t="s">
        <v>30</v>
      </c>
      <c r="S1964" s="8">
        <v>2</v>
      </c>
      <c r="T1964" s="2" t="s">
        <v>24</v>
      </c>
      <c r="U1964" s="31" t="str" cm="1">
        <f t="array" ref="U1964">_xlfn.IFS(L1964&lt;=5000,$Z$3,AND(L1964&gt;5000,L1964&lt;=15000),$Z$4,AND(L1964&gt;15000,L1964&lt;=30000),$Z$5,AND(L1964&gt;30000,L1964&lt;=50000),$Z$6,L1964&gt;50000,$Z$7)</f>
        <v>Sangat Rendah</v>
      </c>
      <c r="V1964" s="2"/>
    </row>
    <row r="1965" spans="1:22" ht="15.75" customHeight="1" x14ac:dyDescent="0.25">
      <c r="A1965" s="26"/>
      <c r="B1965" s="2" t="s">
        <v>2323</v>
      </c>
      <c r="C1965" s="32">
        <v>45908.992615740739</v>
      </c>
      <c r="D1965" s="53">
        <f>YEAR(Table1[[#This Row],[Order Date]])</f>
        <v>2025</v>
      </c>
      <c r="E1965" s="2" t="s">
        <v>584</v>
      </c>
      <c r="F1965" s="2" t="s">
        <v>92</v>
      </c>
      <c r="G1965" s="2" t="s">
        <v>58</v>
      </c>
      <c r="H1965" s="23">
        <v>16000</v>
      </c>
      <c r="I1965" s="2">
        <v>1</v>
      </c>
      <c r="J1965" s="31">
        <v>0</v>
      </c>
      <c r="K1965" s="7">
        <f t="shared" si="120"/>
        <v>16000</v>
      </c>
      <c r="L1965" s="7">
        <f t="shared" si="121"/>
        <v>0</v>
      </c>
      <c r="M1965" s="7">
        <f t="shared" si="122"/>
        <v>16000</v>
      </c>
      <c r="N1965" s="23">
        <v>30000</v>
      </c>
      <c r="O1965" s="7">
        <f t="shared" si="123"/>
        <v>46000</v>
      </c>
      <c r="P1965" s="2" t="s">
        <v>22</v>
      </c>
      <c r="Q1965" t="str">
        <f>_xlfn.XLOOKUP(B1965,Status!$A$2:$A$1867,Status!$B$2:$B$1867)</f>
        <v>Cancelled</v>
      </c>
      <c r="R1965" s="2" t="s">
        <v>82</v>
      </c>
      <c r="S1965" s="8">
        <v>4</v>
      </c>
      <c r="T1965" s="2" t="s">
        <v>24</v>
      </c>
      <c r="U1965" s="31" t="str" cm="1">
        <f t="array" ref="U1965">_xlfn.IFS(L1965&lt;=5000,$Z$3,AND(L1965&gt;5000,L1965&lt;=15000),$Z$4,AND(L1965&gt;15000,L1965&lt;=30000),$Z$5,AND(L1965&gt;30000,L1965&lt;=50000),$Z$6,L1965&gt;50000,$Z$7)</f>
        <v>Sangat Rendah</v>
      </c>
      <c r="V1965" s="2"/>
    </row>
    <row r="1966" spans="1:22" ht="15.75" customHeight="1" x14ac:dyDescent="0.25">
      <c r="A1966" s="26"/>
      <c r="B1966" s="2" t="s">
        <v>2324</v>
      </c>
      <c r="C1966" s="32">
        <v>45909.124780092592</v>
      </c>
      <c r="D1966" s="53">
        <f>YEAR(Table1[[#This Row],[Order Date]])</f>
        <v>2025</v>
      </c>
      <c r="E1966" s="2" t="s">
        <v>1160</v>
      </c>
      <c r="F1966" s="2" t="s">
        <v>96</v>
      </c>
      <c r="G1966" s="2" t="s">
        <v>67</v>
      </c>
      <c r="H1966" s="23">
        <v>15000</v>
      </c>
      <c r="I1966" s="2">
        <v>2</v>
      </c>
      <c r="J1966" s="31">
        <v>15</v>
      </c>
      <c r="K1966" s="7">
        <f t="shared" si="120"/>
        <v>30000</v>
      </c>
      <c r="L1966" s="7">
        <f t="shared" si="121"/>
        <v>4500</v>
      </c>
      <c r="M1966" s="7">
        <f t="shared" si="122"/>
        <v>25500</v>
      </c>
      <c r="N1966" s="23">
        <v>49000</v>
      </c>
      <c r="O1966" s="7">
        <f t="shared" si="123"/>
        <v>74500</v>
      </c>
      <c r="P1966" s="2" t="s">
        <v>29</v>
      </c>
      <c r="Q1966" t="str">
        <f>_xlfn.XLOOKUP(B1966,Status!$A$2:$A$1867,Status!$B$2:$B$1867)</f>
        <v>Completed</v>
      </c>
      <c r="R1966" s="2" t="s">
        <v>46</v>
      </c>
      <c r="S1966" s="8">
        <v>3</v>
      </c>
      <c r="T1966" s="2" t="s">
        <v>24</v>
      </c>
      <c r="U1966" s="31" t="str" cm="1">
        <f t="array" ref="U1966">_xlfn.IFS(L1966&lt;=5000,$Z$3,AND(L1966&gt;5000,L1966&lt;=15000),$Z$4,AND(L1966&gt;15000,L1966&lt;=30000),$Z$5,AND(L1966&gt;30000,L1966&lt;=50000),$Z$6,L1966&gt;50000,$Z$7)</f>
        <v>Sangat Rendah</v>
      </c>
      <c r="V1966" s="2"/>
    </row>
    <row r="1967" spans="1:22" ht="15.75" customHeight="1" x14ac:dyDescent="0.25">
      <c r="A1967" s="26"/>
      <c r="B1967" s="2" t="s">
        <v>2325</v>
      </c>
      <c r="C1967" s="32">
        <v>45909.465266203697</v>
      </c>
      <c r="D1967" s="53">
        <f>YEAR(Table1[[#This Row],[Order Date]])</f>
        <v>2025</v>
      </c>
      <c r="E1967" s="2" t="s">
        <v>722</v>
      </c>
      <c r="F1967" s="2" t="s">
        <v>57</v>
      </c>
      <c r="G1967" s="2" t="s">
        <v>93</v>
      </c>
      <c r="H1967" s="23">
        <v>25000</v>
      </c>
      <c r="I1967" s="2">
        <v>4</v>
      </c>
      <c r="J1967" s="31">
        <v>5</v>
      </c>
      <c r="K1967" s="7">
        <f t="shared" si="120"/>
        <v>100000</v>
      </c>
      <c r="L1967" s="7">
        <f t="shared" si="121"/>
        <v>5000</v>
      </c>
      <c r="M1967" s="7">
        <f t="shared" si="122"/>
        <v>95000</v>
      </c>
      <c r="N1967" s="23">
        <v>80000</v>
      </c>
      <c r="O1967" s="7">
        <f t="shared" si="123"/>
        <v>175000</v>
      </c>
      <c r="P1967" s="2" t="s">
        <v>29</v>
      </c>
      <c r="Q1967" t="str">
        <f>_xlfn.XLOOKUP(B1967,Status!$A$2:$A$1867,Status!$B$2:$B$1867)</f>
        <v>Completed</v>
      </c>
      <c r="R1967" s="2" t="s">
        <v>46</v>
      </c>
      <c r="S1967" s="8">
        <v>5</v>
      </c>
      <c r="T1967" s="2" t="s">
        <v>24</v>
      </c>
      <c r="U1967" s="31" t="str" cm="1">
        <f t="array" ref="U1967">_xlfn.IFS(L1967&lt;=5000,$Z$3,AND(L1967&gt;5000,L1967&lt;=15000),$Z$4,AND(L1967&gt;15000,L1967&lt;=30000),$Z$5,AND(L1967&gt;30000,L1967&lt;=50000),$Z$6,L1967&gt;50000,$Z$7)</f>
        <v>Sangat Rendah</v>
      </c>
      <c r="V1967" s="2"/>
    </row>
    <row r="1968" spans="1:22" ht="15.75" customHeight="1" x14ac:dyDescent="0.25">
      <c r="A1968" s="26"/>
      <c r="B1968" s="2" t="s">
        <v>2326</v>
      </c>
      <c r="C1968" s="32">
        <v>45909.471724537027</v>
      </c>
      <c r="D1968" s="53">
        <f>YEAR(Table1[[#This Row],[Order Date]])</f>
        <v>2025</v>
      </c>
      <c r="E1968" s="2" t="s">
        <v>1128</v>
      </c>
      <c r="F1968" s="2" t="s">
        <v>113</v>
      </c>
      <c r="G1968" s="2" t="s">
        <v>110</v>
      </c>
      <c r="H1968" s="23">
        <v>6000</v>
      </c>
      <c r="I1968" s="2">
        <v>4</v>
      </c>
      <c r="J1968" s="31">
        <v>10</v>
      </c>
      <c r="K1968" s="7">
        <f t="shared" si="120"/>
        <v>24000</v>
      </c>
      <c r="L1968" s="7">
        <f t="shared" si="121"/>
        <v>2400</v>
      </c>
      <c r="M1968" s="7">
        <f t="shared" si="122"/>
        <v>21600</v>
      </c>
      <c r="N1968" s="23">
        <v>18000</v>
      </c>
      <c r="O1968" s="7">
        <f t="shared" si="123"/>
        <v>39600</v>
      </c>
      <c r="P1968" s="2" t="s">
        <v>22</v>
      </c>
      <c r="Q1968" t="str">
        <f>_xlfn.XLOOKUP(B1968,Status!$A$2:$A$1867,Status!$B$2:$B$1867)</f>
        <v>Completed</v>
      </c>
      <c r="R1968" s="2" t="s">
        <v>46</v>
      </c>
      <c r="S1968" s="8">
        <v>1</v>
      </c>
      <c r="T1968" s="2" t="s">
        <v>24</v>
      </c>
      <c r="U1968" s="31" t="str" cm="1">
        <f t="array" ref="U1968">_xlfn.IFS(L1968&lt;=5000,$Z$3,AND(L1968&gt;5000,L1968&lt;=15000),$Z$4,AND(L1968&gt;15000,L1968&lt;=30000),$Z$5,AND(L1968&gt;30000,L1968&lt;=50000),$Z$6,L1968&gt;50000,$Z$7)</f>
        <v>Sangat Rendah</v>
      </c>
      <c r="V1968" s="2"/>
    </row>
    <row r="1969" spans="1:22" ht="15.75" customHeight="1" x14ac:dyDescent="0.25">
      <c r="A1969" s="26"/>
      <c r="B1969" s="2" t="s">
        <v>2327</v>
      </c>
      <c r="C1969" s="32">
        <v>45909.625439814823</v>
      </c>
      <c r="D1969" s="53">
        <f>YEAR(Table1[[#This Row],[Order Date]])</f>
        <v>2025</v>
      </c>
      <c r="E1969" s="2" t="s">
        <v>299</v>
      </c>
      <c r="F1969" s="2" t="s">
        <v>163</v>
      </c>
      <c r="G1969" s="2" t="s">
        <v>58</v>
      </c>
      <c r="H1969" s="23">
        <v>16000</v>
      </c>
      <c r="I1969" s="2">
        <v>3</v>
      </c>
      <c r="J1969" s="31">
        <v>20</v>
      </c>
      <c r="K1969" s="7">
        <f t="shared" si="120"/>
        <v>48000</v>
      </c>
      <c r="L1969" s="7">
        <f t="shared" si="121"/>
        <v>9600</v>
      </c>
      <c r="M1969" s="7">
        <f t="shared" si="122"/>
        <v>38400</v>
      </c>
      <c r="N1969" s="23">
        <v>50000</v>
      </c>
      <c r="O1969" s="7">
        <f t="shared" si="123"/>
        <v>88400</v>
      </c>
      <c r="P1969" s="2" t="s">
        <v>63</v>
      </c>
      <c r="Q1969" t="str">
        <f>_xlfn.XLOOKUP(B1969,Status!$A$2:$A$1867,Status!$B$2:$B$1867)</f>
        <v>Pending</v>
      </c>
      <c r="R1969" s="2" t="s">
        <v>36</v>
      </c>
      <c r="S1969" s="8">
        <v>4</v>
      </c>
      <c r="T1969" s="2" t="s">
        <v>24</v>
      </c>
      <c r="U1969" s="31" t="str" cm="1">
        <f t="array" ref="U1969">_xlfn.IFS(L1969&lt;=5000,$Z$3,AND(L1969&gt;5000,L1969&lt;=15000),$Z$4,AND(L1969&gt;15000,L1969&lt;=30000),$Z$5,AND(L1969&gt;30000,L1969&lt;=50000),$Z$6,L1969&gt;50000,$Z$7)</f>
        <v>Rendah</v>
      </c>
      <c r="V1969" s="2"/>
    </row>
    <row r="1970" spans="1:22" ht="15.75" customHeight="1" x14ac:dyDescent="0.25">
      <c r="A1970" s="26"/>
      <c r="B1970" s="2" t="s">
        <v>2328</v>
      </c>
      <c r="C1970" s="32">
        <v>45909.898738425924</v>
      </c>
      <c r="D1970" s="53">
        <f>YEAR(Table1[[#This Row],[Order Date]])</f>
        <v>2025</v>
      </c>
      <c r="E1970" s="2" t="s">
        <v>441</v>
      </c>
      <c r="F1970" s="2" t="s">
        <v>116</v>
      </c>
      <c r="G1970" s="2" t="s">
        <v>38</v>
      </c>
      <c r="H1970" s="23">
        <v>28000</v>
      </c>
      <c r="I1970" s="2">
        <v>2</v>
      </c>
      <c r="J1970" s="31">
        <v>5</v>
      </c>
      <c r="K1970" s="7">
        <f t="shared" si="120"/>
        <v>56000</v>
      </c>
      <c r="L1970" s="7">
        <f t="shared" si="121"/>
        <v>2800</v>
      </c>
      <c r="M1970" s="7">
        <f t="shared" si="122"/>
        <v>53200</v>
      </c>
      <c r="N1970" s="23">
        <v>72000</v>
      </c>
      <c r="O1970" s="7">
        <f t="shared" si="123"/>
        <v>125200</v>
      </c>
      <c r="P1970" s="2" t="s">
        <v>63</v>
      </c>
      <c r="Q1970" t="str">
        <f>_xlfn.XLOOKUP(B1970,Status!$A$2:$A$1867,Status!$B$2:$B$1867)</f>
        <v>Completed</v>
      </c>
      <c r="R1970" s="2" t="s">
        <v>46</v>
      </c>
      <c r="S1970" s="8">
        <v>1</v>
      </c>
      <c r="T1970" s="2" t="s">
        <v>37</v>
      </c>
      <c r="U1970" s="31" t="str" cm="1">
        <f t="array" ref="U1970">_xlfn.IFS(L1970&lt;=5000,$Z$3,AND(L1970&gt;5000,L1970&lt;=15000),$Z$4,AND(L1970&gt;15000,L1970&lt;=30000),$Z$5,AND(L1970&gt;30000,L1970&lt;=50000),$Z$6,L1970&gt;50000,$Z$7)</f>
        <v>Sangat Rendah</v>
      </c>
      <c r="V1970" s="2"/>
    </row>
    <row r="1971" spans="1:22" ht="15.75" customHeight="1" x14ac:dyDescent="0.25">
      <c r="A1971" s="26"/>
      <c r="B1971" s="2" t="s">
        <v>2329</v>
      </c>
      <c r="C1971" s="32">
        <v>45910.002106481479</v>
      </c>
      <c r="D1971" s="53">
        <f>YEAR(Table1[[#This Row],[Order Date]])</f>
        <v>2025</v>
      </c>
      <c r="E1971" s="2" t="s">
        <v>1025</v>
      </c>
      <c r="F1971" s="2" t="s">
        <v>119</v>
      </c>
      <c r="G1971" s="2" t="s">
        <v>41</v>
      </c>
      <c r="H1971" s="23">
        <v>4000</v>
      </c>
      <c r="I1971" s="2">
        <v>1</v>
      </c>
      <c r="J1971" s="31">
        <v>0</v>
      </c>
      <c r="K1971" s="7">
        <f t="shared" si="120"/>
        <v>4000</v>
      </c>
      <c r="L1971" s="7">
        <f t="shared" si="121"/>
        <v>0</v>
      </c>
      <c r="M1971" s="7">
        <f t="shared" si="122"/>
        <v>4000</v>
      </c>
      <c r="N1971" s="23">
        <v>0</v>
      </c>
      <c r="O1971" s="7">
        <f t="shared" si="123"/>
        <v>4000</v>
      </c>
      <c r="P1971" s="2" t="s">
        <v>22</v>
      </c>
      <c r="Q1971" t="str">
        <f>_xlfn.XLOOKUP(B1971,Status!$A$2:$A$1867,Status!$B$2:$B$1867)</f>
        <v>Completed</v>
      </c>
      <c r="R1971" s="2" t="s">
        <v>23</v>
      </c>
      <c r="S1971" s="8">
        <v>2</v>
      </c>
      <c r="T1971" s="2" t="s">
        <v>24</v>
      </c>
      <c r="U1971" s="31" t="str" cm="1">
        <f t="array" ref="U1971">_xlfn.IFS(L1971&lt;=5000,$Z$3,AND(L1971&gt;5000,L1971&lt;=15000),$Z$4,AND(L1971&gt;15000,L1971&lt;=30000),$Z$5,AND(L1971&gt;30000,L1971&lt;=50000),$Z$6,L1971&gt;50000,$Z$7)</f>
        <v>Sangat Rendah</v>
      </c>
      <c r="V1971" s="2"/>
    </row>
    <row r="1972" spans="1:22" ht="15.75" customHeight="1" x14ac:dyDescent="0.25">
      <c r="A1972" s="26"/>
      <c r="B1972" s="2" t="s">
        <v>2329</v>
      </c>
      <c r="C1972" s="32">
        <v>45910.002106481479</v>
      </c>
      <c r="D1972" s="53">
        <f>YEAR(Table1[[#This Row],[Order Date]])</f>
        <v>2025</v>
      </c>
      <c r="E1972" s="2" t="s">
        <v>1025</v>
      </c>
      <c r="F1972" s="2" t="s">
        <v>119</v>
      </c>
      <c r="G1972" s="2" t="s">
        <v>41</v>
      </c>
      <c r="H1972" s="23">
        <v>4000</v>
      </c>
      <c r="I1972" s="2">
        <v>2</v>
      </c>
      <c r="J1972" s="31">
        <v>15</v>
      </c>
      <c r="K1972" s="7">
        <f t="shared" si="120"/>
        <v>8000</v>
      </c>
      <c r="L1972" s="7">
        <f t="shared" si="121"/>
        <v>1200</v>
      </c>
      <c r="M1972" s="7">
        <f t="shared" si="122"/>
        <v>6800</v>
      </c>
      <c r="N1972" s="23">
        <v>0</v>
      </c>
      <c r="O1972" s="7">
        <f t="shared" si="123"/>
        <v>6800</v>
      </c>
      <c r="P1972" s="2" t="s">
        <v>22</v>
      </c>
      <c r="Q1972" t="str">
        <f>_xlfn.XLOOKUP(B1972,Status!$A$2:$A$1867,Status!$B$2:$B$1867)</f>
        <v>Completed</v>
      </c>
      <c r="R1972" s="2" t="s">
        <v>23</v>
      </c>
      <c r="S1972" s="8">
        <v>2</v>
      </c>
      <c r="T1972" s="2" t="s">
        <v>24</v>
      </c>
      <c r="U1972" s="31" t="str" cm="1">
        <f t="array" ref="U1972">_xlfn.IFS(L1972&lt;=5000,$Z$3,AND(L1972&gt;5000,L1972&lt;=15000),$Z$4,AND(L1972&gt;15000,L1972&lt;=30000),$Z$5,AND(L1972&gt;30000,L1972&lt;=50000),$Z$6,L1972&gt;50000,$Z$7)</f>
        <v>Sangat Rendah</v>
      </c>
      <c r="V1972" s="2"/>
    </row>
    <row r="1973" spans="1:22" ht="15.75" customHeight="1" x14ac:dyDescent="0.25">
      <c r="A1973" s="26"/>
      <c r="B1973" s="2" t="s">
        <v>2330</v>
      </c>
      <c r="C1973" s="32">
        <v>45910.324317129627</v>
      </c>
      <c r="D1973" s="53">
        <f>YEAR(Table1[[#This Row],[Order Date]])</f>
        <v>2025</v>
      </c>
      <c r="E1973" s="2" t="s">
        <v>1073</v>
      </c>
      <c r="F1973" s="2" t="s">
        <v>27</v>
      </c>
      <c r="G1973" s="2" t="s">
        <v>38</v>
      </c>
      <c r="H1973" s="23">
        <v>28000</v>
      </c>
      <c r="I1973" s="2">
        <v>1</v>
      </c>
      <c r="J1973" s="31">
        <v>10</v>
      </c>
      <c r="K1973" s="7">
        <f t="shared" si="120"/>
        <v>28000</v>
      </c>
      <c r="L1973" s="7">
        <f t="shared" si="121"/>
        <v>2800</v>
      </c>
      <c r="M1973" s="7">
        <f t="shared" si="122"/>
        <v>25200</v>
      </c>
      <c r="N1973" s="23">
        <v>17000</v>
      </c>
      <c r="O1973" s="7">
        <f t="shared" si="123"/>
        <v>42200</v>
      </c>
      <c r="P1973" s="2" t="s">
        <v>35</v>
      </c>
      <c r="Q1973" t="str">
        <f>_xlfn.XLOOKUP(B1973,Status!$A$2:$A$1867,Status!$B$2:$B$1867)</f>
        <v>Cancelled</v>
      </c>
      <c r="R1973" s="2" t="s">
        <v>82</v>
      </c>
      <c r="S1973" s="8">
        <v>3</v>
      </c>
      <c r="T1973" s="2" t="s">
        <v>24</v>
      </c>
      <c r="U1973" s="31" t="str" cm="1">
        <f t="array" ref="U1973">_xlfn.IFS(L1973&lt;=5000,$Z$3,AND(L1973&gt;5000,L1973&lt;=15000),$Z$4,AND(L1973&gt;15000,L1973&lt;=30000),$Z$5,AND(L1973&gt;30000,L1973&lt;=50000),$Z$6,L1973&gt;50000,$Z$7)</f>
        <v>Sangat Rendah</v>
      </c>
      <c r="V1973" s="2"/>
    </row>
    <row r="1974" spans="1:22" ht="15.75" customHeight="1" x14ac:dyDescent="0.25">
      <c r="A1974" s="26"/>
      <c r="B1974" s="2" t="s">
        <v>2331</v>
      </c>
      <c r="C1974" s="32">
        <v>45910.486921296288</v>
      </c>
      <c r="D1974" s="53">
        <f>YEAR(Table1[[#This Row],[Order Date]])</f>
        <v>2025</v>
      </c>
      <c r="E1974" s="2" t="s">
        <v>381</v>
      </c>
      <c r="F1974" s="2" t="s">
        <v>103</v>
      </c>
      <c r="G1974" s="2" t="s">
        <v>38</v>
      </c>
      <c r="H1974" s="23">
        <v>28000</v>
      </c>
      <c r="I1974" s="2">
        <v>5</v>
      </c>
      <c r="J1974" s="31">
        <v>15</v>
      </c>
      <c r="K1974" s="7">
        <f t="shared" si="120"/>
        <v>140000</v>
      </c>
      <c r="L1974" s="7">
        <f t="shared" si="121"/>
        <v>21000</v>
      </c>
      <c r="M1974" s="7">
        <f t="shared" si="122"/>
        <v>119000</v>
      </c>
      <c r="N1974" s="23">
        <v>85000</v>
      </c>
      <c r="O1974" s="7">
        <f t="shared" si="123"/>
        <v>204000</v>
      </c>
      <c r="P1974" s="2" t="s">
        <v>63</v>
      </c>
      <c r="Q1974" t="str">
        <f>_xlfn.XLOOKUP(B1974,Status!$A$2:$A$1867,Status!$B$2:$B$1867)</f>
        <v>Pending</v>
      </c>
      <c r="R1974" s="2" t="s">
        <v>36</v>
      </c>
      <c r="S1974" s="8">
        <v>4</v>
      </c>
      <c r="T1974" s="2" t="s">
        <v>24</v>
      </c>
      <c r="U1974" s="31" t="str" cm="1">
        <f t="array" ref="U1974">_xlfn.IFS(L1974&lt;=5000,$Z$3,AND(L1974&gt;5000,L1974&lt;=15000),$Z$4,AND(L1974&gt;15000,L1974&lt;=30000),$Z$5,AND(L1974&gt;30000,L1974&lt;=50000),$Z$6,L1974&gt;50000,$Z$7)</f>
        <v>Normal</v>
      </c>
      <c r="V1974" s="2"/>
    </row>
    <row r="1975" spans="1:22" ht="15.75" customHeight="1" x14ac:dyDescent="0.25">
      <c r="A1975" s="26"/>
      <c r="B1975" s="2" t="s">
        <v>2332</v>
      </c>
      <c r="C1975" s="32">
        <v>45911.310497685183</v>
      </c>
      <c r="D1975" s="53">
        <f>YEAR(Table1[[#This Row],[Order Date]])</f>
        <v>2025</v>
      </c>
      <c r="E1975" s="2" t="s">
        <v>605</v>
      </c>
      <c r="F1975" s="2" t="s">
        <v>151</v>
      </c>
      <c r="G1975" s="2" t="s">
        <v>41</v>
      </c>
      <c r="H1975" s="23">
        <v>4000</v>
      </c>
      <c r="I1975" s="2">
        <v>2</v>
      </c>
      <c r="J1975" s="31">
        <v>5</v>
      </c>
      <c r="K1975" s="7">
        <f t="shared" si="120"/>
        <v>8000</v>
      </c>
      <c r="L1975" s="7">
        <f t="shared" si="121"/>
        <v>400</v>
      </c>
      <c r="M1975" s="7">
        <f t="shared" si="122"/>
        <v>7600</v>
      </c>
      <c r="N1975" s="23">
        <v>55000</v>
      </c>
      <c r="O1975" s="7">
        <f t="shared" si="123"/>
        <v>62600</v>
      </c>
      <c r="P1975" s="2" t="s">
        <v>22</v>
      </c>
      <c r="Q1975" t="str">
        <f>_xlfn.XLOOKUP(B1975,Status!$A$2:$A$1867,Status!$B$2:$B$1867)</f>
        <v>Completed</v>
      </c>
      <c r="R1975" s="2" t="s">
        <v>36</v>
      </c>
      <c r="S1975" s="8">
        <v>2</v>
      </c>
      <c r="T1975" s="2" t="s">
        <v>24</v>
      </c>
      <c r="U1975" s="31" t="str" cm="1">
        <f t="array" ref="U1975">_xlfn.IFS(L1975&lt;=5000,$Z$3,AND(L1975&gt;5000,L1975&lt;=15000),$Z$4,AND(L1975&gt;15000,L1975&lt;=30000),$Z$5,AND(L1975&gt;30000,L1975&lt;=50000),$Z$6,L1975&gt;50000,$Z$7)</f>
        <v>Sangat Rendah</v>
      </c>
      <c r="V1975" s="2"/>
    </row>
    <row r="1976" spans="1:22" ht="15.75" customHeight="1" x14ac:dyDescent="0.25">
      <c r="A1976" s="26"/>
      <c r="B1976" s="2" t="s">
        <v>2333</v>
      </c>
      <c r="C1976" s="32">
        <v>45912.145752314813</v>
      </c>
      <c r="D1976" s="53">
        <f>YEAR(Table1[[#This Row],[Order Date]])</f>
        <v>2025</v>
      </c>
      <c r="E1976" s="2" t="s">
        <v>488</v>
      </c>
      <c r="F1976" s="2" t="s">
        <v>49</v>
      </c>
      <c r="G1976" s="2" t="s">
        <v>144</v>
      </c>
      <c r="H1976" s="23">
        <v>18000</v>
      </c>
      <c r="I1976" s="2">
        <v>3</v>
      </c>
      <c r="J1976" s="31">
        <v>20</v>
      </c>
      <c r="K1976" s="7">
        <f t="shared" si="120"/>
        <v>54000</v>
      </c>
      <c r="L1976" s="7">
        <f t="shared" si="121"/>
        <v>10800</v>
      </c>
      <c r="M1976" s="7">
        <f t="shared" si="122"/>
        <v>43200</v>
      </c>
      <c r="N1976" s="23">
        <v>43000</v>
      </c>
      <c r="O1976" s="7">
        <f t="shared" si="123"/>
        <v>86200</v>
      </c>
      <c r="P1976" s="2" t="s">
        <v>63</v>
      </c>
      <c r="Q1976" t="str">
        <f>_xlfn.XLOOKUP(B1976,Status!$A$2:$A$1867,Status!$B$2:$B$1867)</f>
        <v>Completed</v>
      </c>
      <c r="R1976" s="2" t="s">
        <v>46</v>
      </c>
      <c r="S1976" s="8">
        <v>5</v>
      </c>
      <c r="T1976" s="2" t="s">
        <v>24</v>
      </c>
      <c r="U1976" s="31" t="str" cm="1">
        <f t="array" ref="U1976">_xlfn.IFS(L1976&lt;=5000,$Z$3,AND(L1976&gt;5000,L1976&lt;=15000),$Z$4,AND(L1976&gt;15000,L1976&lt;=30000),$Z$5,AND(L1976&gt;30000,L1976&lt;=50000),$Z$6,L1976&gt;50000,$Z$7)</f>
        <v>Rendah</v>
      </c>
      <c r="V1976" s="2"/>
    </row>
    <row r="1977" spans="1:22" ht="15.75" customHeight="1" x14ac:dyDescent="0.25">
      <c r="A1977" s="26"/>
      <c r="B1977" s="2" t="s">
        <v>2333</v>
      </c>
      <c r="C1977" s="32">
        <v>45912.145752314813</v>
      </c>
      <c r="D1977" s="53">
        <f>YEAR(Table1[[#This Row],[Order Date]])</f>
        <v>2025</v>
      </c>
      <c r="E1977" s="2" t="s">
        <v>488</v>
      </c>
      <c r="F1977" s="2" t="s">
        <v>49</v>
      </c>
      <c r="G1977" s="2" t="s">
        <v>104</v>
      </c>
      <c r="H1977" s="23">
        <v>30000</v>
      </c>
      <c r="I1977" s="2">
        <v>1</v>
      </c>
      <c r="J1977" s="31">
        <v>0</v>
      </c>
      <c r="K1977" s="7">
        <f t="shared" si="120"/>
        <v>30000</v>
      </c>
      <c r="L1977" s="7">
        <f t="shared" si="121"/>
        <v>0</v>
      </c>
      <c r="M1977" s="7">
        <f t="shared" si="122"/>
        <v>30000</v>
      </c>
      <c r="N1977" s="23">
        <v>0</v>
      </c>
      <c r="O1977" s="7">
        <f t="shared" si="123"/>
        <v>30000</v>
      </c>
      <c r="P1977" s="2" t="s">
        <v>63</v>
      </c>
      <c r="Q1977" t="str">
        <f>_xlfn.XLOOKUP(B1977,Status!$A$2:$A$1867,Status!$B$2:$B$1867)</f>
        <v>Completed</v>
      </c>
      <c r="R1977" s="2" t="s">
        <v>46</v>
      </c>
      <c r="S1977" s="8">
        <v>5</v>
      </c>
      <c r="T1977" s="2" t="s">
        <v>24</v>
      </c>
      <c r="U1977" s="31" t="str" cm="1">
        <f t="array" ref="U1977">_xlfn.IFS(L1977&lt;=5000,$Z$3,AND(L1977&gt;5000,L1977&lt;=15000),$Z$4,AND(L1977&gt;15000,L1977&lt;=30000),$Z$5,AND(L1977&gt;30000,L1977&lt;=50000),$Z$6,L1977&gt;50000,$Z$7)</f>
        <v>Sangat Rendah</v>
      </c>
      <c r="V1977" s="2"/>
    </row>
    <row r="1978" spans="1:22" ht="15.75" customHeight="1" x14ac:dyDescent="0.25">
      <c r="A1978" s="26"/>
      <c r="B1978" s="2" t="s">
        <v>2334</v>
      </c>
      <c r="C1978" s="32">
        <v>45912.35261574074</v>
      </c>
      <c r="D1978" s="53">
        <f>YEAR(Table1[[#This Row],[Order Date]])</f>
        <v>2025</v>
      </c>
      <c r="E1978" s="2" t="s">
        <v>305</v>
      </c>
      <c r="F1978" s="2" t="s">
        <v>143</v>
      </c>
      <c r="G1978" s="2" t="s">
        <v>21</v>
      </c>
      <c r="H1978" s="23">
        <v>45000</v>
      </c>
      <c r="I1978" s="2">
        <v>2</v>
      </c>
      <c r="J1978" s="31">
        <v>20</v>
      </c>
      <c r="K1978" s="7">
        <f t="shared" si="120"/>
        <v>90000</v>
      </c>
      <c r="L1978" s="7">
        <f t="shared" si="121"/>
        <v>18000</v>
      </c>
      <c r="M1978" s="7">
        <f t="shared" si="122"/>
        <v>72000</v>
      </c>
      <c r="N1978" s="23">
        <v>50000</v>
      </c>
      <c r="O1978" s="7">
        <f t="shared" si="123"/>
        <v>122000</v>
      </c>
      <c r="P1978" s="2" t="s">
        <v>63</v>
      </c>
      <c r="Q1978" t="str">
        <f>_xlfn.XLOOKUP(B1978,Status!$A$2:$A$1867,Status!$B$2:$B$1867)</f>
        <v>Completed</v>
      </c>
      <c r="R1978" s="2" t="s">
        <v>46</v>
      </c>
      <c r="S1978" s="8">
        <v>5</v>
      </c>
      <c r="T1978" s="2" t="s">
        <v>24</v>
      </c>
      <c r="U1978" s="31" t="str" cm="1">
        <f t="array" ref="U1978">_xlfn.IFS(L1978&lt;=5000,$Z$3,AND(L1978&gt;5000,L1978&lt;=15000),$Z$4,AND(L1978&gt;15000,L1978&lt;=30000),$Z$5,AND(L1978&gt;30000,L1978&lt;=50000),$Z$6,L1978&gt;50000,$Z$7)</f>
        <v>Normal</v>
      </c>
      <c r="V1978" s="2"/>
    </row>
    <row r="1979" spans="1:22" ht="15.75" customHeight="1" x14ac:dyDescent="0.25">
      <c r="A1979" s="26"/>
      <c r="B1979" s="2" t="s">
        <v>2335</v>
      </c>
      <c r="C1979" s="32">
        <v>45912.45</v>
      </c>
      <c r="D1979" s="53">
        <f>YEAR(Table1[[#This Row],[Order Date]])</f>
        <v>2025</v>
      </c>
      <c r="E1979" s="2" t="s">
        <v>299</v>
      </c>
      <c r="F1979" s="2" t="s">
        <v>163</v>
      </c>
      <c r="G1979" s="2" t="s">
        <v>144</v>
      </c>
      <c r="H1979" s="23">
        <v>18000</v>
      </c>
      <c r="I1979" s="2">
        <v>1</v>
      </c>
      <c r="J1979" s="31">
        <v>10</v>
      </c>
      <c r="K1979" s="7">
        <f t="shared" si="120"/>
        <v>18000</v>
      </c>
      <c r="L1979" s="7">
        <f t="shared" si="121"/>
        <v>1800</v>
      </c>
      <c r="M1979" s="7">
        <f t="shared" si="122"/>
        <v>16200</v>
      </c>
      <c r="N1979" s="23">
        <v>50000</v>
      </c>
      <c r="O1979" s="7">
        <f t="shared" si="123"/>
        <v>66200</v>
      </c>
      <c r="P1979" s="2" t="s">
        <v>35</v>
      </c>
      <c r="Q1979" t="str">
        <f>_xlfn.XLOOKUP(B1979,Status!$A$2:$A$1867,Status!$B$2:$B$1867)</f>
        <v>Shipped</v>
      </c>
      <c r="R1979" s="2" t="s">
        <v>30</v>
      </c>
      <c r="S1979" s="8">
        <v>2</v>
      </c>
      <c r="T1979" s="2" t="s">
        <v>24</v>
      </c>
      <c r="U1979" s="31" t="str" cm="1">
        <f t="array" ref="U1979">_xlfn.IFS(L1979&lt;=5000,$Z$3,AND(L1979&gt;5000,L1979&lt;=15000),$Z$4,AND(L1979&gt;15000,L1979&lt;=30000),$Z$5,AND(L1979&gt;30000,L1979&lt;=50000),$Z$6,L1979&gt;50000,$Z$7)</f>
        <v>Sangat Rendah</v>
      </c>
      <c r="V1979" s="2"/>
    </row>
    <row r="1980" spans="1:22" ht="15.75" customHeight="1" x14ac:dyDescent="0.25">
      <c r="A1980" s="26"/>
      <c r="B1980" s="2" t="s">
        <v>2336</v>
      </c>
      <c r="C1980" s="32">
        <v>45912.501030092593</v>
      </c>
      <c r="D1980" s="53">
        <f>YEAR(Table1[[#This Row],[Order Date]])</f>
        <v>2025</v>
      </c>
      <c r="E1980" s="2" t="s">
        <v>900</v>
      </c>
      <c r="F1980" s="2" t="s">
        <v>27</v>
      </c>
      <c r="G1980" s="2" t="s">
        <v>75</v>
      </c>
      <c r="H1980" s="23">
        <v>55000</v>
      </c>
      <c r="I1980" s="2">
        <v>4</v>
      </c>
      <c r="J1980" s="31">
        <v>20</v>
      </c>
      <c r="K1980" s="7">
        <f t="shared" si="120"/>
        <v>220000</v>
      </c>
      <c r="L1980" s="7">
        <f t="shared" si="121"/>
        <v>44000</v>
      </c>
      <c r="M1980" s="7">
        <f t="shared" si="122"/>
        <v>176000</v>
      </c>
      <c r="N1980" s="23">
        <v>17000</v>
      </c>
      <c r="O1980" s="7">
        <f t="shared" si="123"/>
        <v>193000</v>
      </c>
      <c r="P1980" s="2" t="s">
        <v>63</v>
      </c>
      <c r="Q1980" t="str">
        <f>_xlfn.XLOOKUP(B1980,Status!$A$2:$A$1867,Status!$B$2:$B$1867)</f>
        <v>Completed</v>
      </c>
      <c r="R1980" s="2" t="s">
        <v>30</v>
      </c>
      <c r="S1980" s="8">
        <v>4</v>
      </c>
      <c r="T1980" s="2" t="s">
        <v>24</v>
      </c>
      <c r="U1980" s="31" t="str" cm="1">
        <f t="array" ref="U1980">_xlfn.IFS(L1980&lt;=5000,$Z$3,AND(L1980&gt;5000,L1980&lt;=15000),$Z$4,AND(L1980&gt;15000,L1980&lt;=30000),$Z$5,AND(L1980&gt;30000,L1980&lt;=50000),$Z$6,L1980&gt;50000,$Z$7)</f>
        <v>Tinggi</v>
      </c>
      <c r="V1980" s="2"/>
    </row>
    <row r="1981" spans="1:22" ht="15.75" customHeight="1" x14ac:dyDescent="0.25">
      <c r="A1981" s="26"/>
      <c r="B1981" s="2" t="s">
        <v>2337</v>
      </c>
      <c r="C1981" s="32">
        <v>45912.618125000001</v>
      </c>
      <c r="D1981" s="53">
        <f>YEAR(Table1[[#This Row],[Order Date]])</f>
        <v>2025</v>
      </c>
      <c r="E1981" s="2" t="s">
        <v>1033</v>
      </c>
      <c r="F1981" s="2" t="s">
        <v>122</v>
      </c>
      <c r="G1981" s="2" t="s">
        <v>144</v>
      </c>
      <c r="H1981" s="23">
        <v>18000</v>
      </c>
      <c r="I1981" s="2">
        <v>1</v>
      </c>
      <c r="J1981" s="31">
        <v>0</v>
      </c>
      <c r="K1981" s="7">
        <f t="shared" si="120"/>
        <v>18000</v>
      </c>
      <c r="L1981" s="7">
        <f t="shared" si="121"/>
        <v>0</v>
      </c>
      <c r="M1981" s="7">
        <f t="shared" si="122"/>
        <v>18000</v>
      </c>
      <c r="N1981" s="23">
        <v>78000</v>
      </c>
      <c r="O1981" s="7">
        <f t="shared" si="123"/>
        <v>96000</v>
      </c>
      <c r="P1981" s="2" t="s">
        <v>29</v>
      </c>
      <c r="Q1981" t="str">
        <f>_xlfn.XLOOKUP(B1981,Status!$A$2:$A$1867,Status!$B$2:$B$1867)</f>
        <v>Completed</v>
      </c>
      <c r="R1981" s="2" t="s">
        <v>36</v>
      </c>
      <c r="S1981" s="8">
        <v>2</v>
      </c>
      <c r="T1981" s="2" t="s">
        <v>24</v>
      </c>
      <c r="U1981" s="31" t="str" cm="1">
        <f t="array" ref="U1981">_xlfn.IFS(L1981&lt;=5000,$Z$3,AND(L1981&gt;5000,L1981&lt;=15000),$Z$4,AND(L1981&gt;15000,L1981&lt;=30000),$Z$5,AND(L1981&gt;30000,L1981&lt;=50000),$Z$6,L1981&gt;50000,$Z$7)</f>
        <v>Sangat Rendah</v>
      </c>
      <c r="V1981" s="2"/>
    </row>
    <row r="1982" spans="1:22" ht="15.75" customHeight="1" x14ac:dyDescent="0.25">
      <c r="A1982" s="26"/>
      <c r="B1982" s="2" t="s">
        <v>2338</v>
      </c>
      <c r="C1982" s="32">
        <v>45913.005798611113</v>
      </c>
      <c r="D1982" s="53">
        <f>YEAR(Table1[[#This Row],[Order Date]])</f>
        <v>2025</v>
      </c>
      <c r="E1982" s="2" t="s">
        <v>891</v>
      </c>
      <c r="F1982" s="2" t="s">
        <v>126</v>
      </c>
      <c r="G1982" s="2" t="s">
        <v>138</v>
      </c>
      <c r="H1982" s="23">
        <v>17000</v>
      </c>
      <c r="I1982" s="2">
        <v>5</v>
      </c>
      <c r="J1982" s="31">
        <v>20</v>
      </c>
      <c r="K1982" s="7">
        <f t="shared" si="120"/>
        <v>85000</v>
      </c>
      <c r="L1982" s="7">
        <f t="shared" si="121"/>
        <v>17000</v>
      </c>
      <c r="M1982" s="7">
        <f t="shared" si="122"/>
        <v>68000</v>
      </c>
      <c r="N1982" s="23">
        <v>84000</v>
      </c>
      <c r="O1982" s="7">
        <f t="shared" si="123"/>
        <v>152000</v>
      </c>
      <c r="P1982" s="2" t="s">
        <v>22</v>
      </c>
      <c r="Q1982" t="str">
        <f>_xlfn.XLOOKUP(B1982,Status!$A$2:$A$1867,Status!$B$2:$B$1867)</f>
        <v>Completed</v>
      </c>
      <c r="R1982" s="2" t="s">
        <v>36</v>
      </c>
      <c r="S1982" s="8">
        <v>5</v>
      </c>
      <c r="T1982" s="2" t="s">
        <v>37</v>
      </c>
      <c r="U1982" s="31" t="str" cm="1">
        <f t="array" ref="U1982">_xlfn.IFS(L1982&lt;=5000,$Z$3,AND(L1982&gt;5000,L1982&lt;=15000),$Z$4,AND(L1982&gt;15000,L1982&lt;=30000),$Z$5,AND(L1982&gt;30000,L1982&lt;=50000),$Z$6,L1982&gt;50000,$Z$7)</f>
        <v>Normal</v>
      </c>
      <c r="V1982" s="2"/>
    </row>
    <row r="1983" spans="1:22" ht="15.75" customHeight="1" x14ac:dyDescent="0.25">
      <c r="A1983" s="26"/>
      <c r="B1983" s="2" t="s">
        <v>2338</v>
      </c>
      <c r="C1983" s="32">
        <v>45913.005798611113</v>
      </c>
      <c r="D1983" s="53">
        <f>YEAR(Table1[[#This Row],[Order Date]])</f>
        <v>2025</v>
      </c>
      <c r="E1983" s="2" t="s">
        <v>891</v>
      </c>
      <c r="F1983" s="2" t="s">
        <v>126</v>
      </c>
      <c r="G1983" s="2" t="s">
        <v>136</v>
      </c>
      <c r="H1983" s="23">
        <v>12000</v>
      </c>
      <c r="I1983" s="2">
        <v>4</v>
      </c>
      <c r="J1983" s="31">
        <v>0</v>
      </c>
      <c r="K1983" s="7">
        <f t="shared" si="120"/>
        <v>48000</v>
      </c>
      <c r="L1983" s="7">
        <f t="shared" si="121"/>
        <v>0</v>
      </c>
      <c r="M1983" s="7">
        <f t="shared" si="122"/>
        <v>48000</v>
      </c>
      <c r="N1983" s="23">
        <v>0</v>
      </c>
      <c r="O1983" s="7">
        <f t="shared" si="123"/>
        <v>48000</v>
      </c>
      <c r="P1983" s="2" t="s">
        <v>22</v>
      </c>
      <c r="Q1983" t="str">
        <f>_xlfn.XLOOKUP(B1983,Status!$A$2:$A$1867,Status!$B$2:$B$1867)</f>
        <v>Completed</v>
      </c>
      <c r="R1983" s="2" t="s">
        <v>36</v>
      </c>
      <c r="S1983" s="8">
        <v>5</v>
      </c>
      <c r="T1983" s="2" t="s">
        <v>37</v>
      </c>
      <c r="U1983" s="31" t="str" cm="1">
        <f t="array" ref="U1983">_xlfn.IFS(L1983&lt;=5000,$Z$3,AND(L1983&gt;5000,L1983&lt;=15000),$Z$4,AND(L1983&gt;15000,L1983&lt;=30000),$Z$5,AND(L1983&gt;30000,L1983&lt;=50000),$Z$6,L1983&gt;50000,$Z$7)</f>
        <v>Sangat Rendah</v>
      </c>
      <c r="V1983" s="2"/>
    </row>
    <row r="1984" spans="1:22" ht="15.75" customHeight="1" x14ac:dyDescent="0.25">
      <c r="A1984" s="26"/>
      <c r="B1984" s="2" t="s">
        <v>2339</v>
      </c>
      <c r="C1984" s="32">
        <v>45913.014201388891</v>
      </c>
      <c r="D1984" s="53">
        <f>YEAR(Table1[[#This Row],[Order Date]])</f>
        <v>2025</v>
      </c>
      <c r="E1984" s="2" t="s">
        <v>732</v>
      </c>
      <c r="F1984" s="2" t="s">
        <v>170</v>
      </c>
      <c r="G1984" s="2" t="s">
        <v>81</v>
      </c>
      <c r="H1984" s="23">
        <v>17000</v>
      </c>
      <c r="I1984" s="2">
        <v>3</v>
      </c>
      <c r="J1984" s="31">
        <v>0</v>
      </c>
      <c r="K1984" s="7">
        <f t="shared" si="120"/>
        <v>51000</v>
      </c>
      <c r="L1984" s="7">
        <f t="shared" si="121"/>
        <v>0</v>
      </c>
      <c r="M1984" s="7">
        <f t="shared" si="122"/>
        <v>51000</v>
      </c>
      <c r="N1984" s="23">
        <v>46000</v>
      </c>
      <c r="O1984" s="7">
        <f t="shared" si="123"/>
        <v>97000</v>
      </c>
      <c r="P1984" s="2" t="s">
        <v>35</v>
      </c>
      <c r="Q1984" t="str">
        <f>_xlfn.XLOOKUP(B1984,Status!$A$2:$A$1867,Status!$B$2:$B$1867)</f>
        <v>Completed</v>
      </c>
      <c r="R1984" s="2" t="s">
        <v>82</v>
      </c>
      <c r="S1984" s="8">
        <v>3</v>
      </c>
      <c r="T1984" s="2" t="s">
        <v>24</v>
      </c>
      <c r="U1984" s="31" t="str" cm="1">
        <f t="array" ref="U1984">_xlfn.IFS(L1984&lt;=5000,$Z$3,AND(L1984&gt;5000,L1984&lt;=15000),$Z$4,AND(L1984&gt;15000,L1984&lt;=30000),$Z$5,AND(L1984&gt;30000,L1984&lt;=50000),$Z$6,L1984&gt;50000,$Z$7)</f>
        <v>Sangat Rendah</v>
      </c>
      <c r="V1984" s="2"/>
    </row>
    <row r="1985" spans="1:22" ht="15.75" customHeight="1" x14ac:dyDescent="0.25">
      <c r="A1985" s="26"/>
      <c r="B1985" s="2" t="s">
        <v>2339</v>
      </c>
      <c r="C1985" s="32">
        <v>45913.014201388891</v>
      </c>
      <c r="D1985" s="53">
        <f>YEAR(Table1[[#This Row],[Order Date]])</f>
        <v>2025</v>
      </c>
      <c r="E1985" s="2" t="s">
        <v>732</v>
      </c>
      <c r="F1985" s="2" t="s">
        <v>170</v>
      </c>
      <c r="G1985" s="2" t="s">
        <v>50</v>
      </c>
      <c r="H1985" s="23">
        <v>14000</v>
      </c>
      <c r="I1985" s="2">
        <v>4</v>
      </c>
      <c r="J1985" s="31">
        <v>0</v>
      </c>
      <c r="K1985" s="7">
        <f t="shared" si="120"/>
        <v>56000</v>
      </c>
      <c r="L1985" s="7">
        <f t="shared" si="121"/>
        <v>0</v>
      </c>
      <c r="M1985" s="7">
        <f t="shared" si="122"/>
        <v>56000</v>
      </c>
      <c r="N1985" s="23">
        <v>0</v>
      </c>
      <c r="O1985" s="7">
        <f t="shared" si="123"/>
        <v>56000</v>
      </c>
      <c r="P1985" s="2" t="s">
        <v>35</v>
      </c>
      <c r="Q1985" t="str">
        <f>_xlfn.XLOOKUP(B1985,Status!$A$2:$A$1867,Status!$B$2:$B$1867)</f>
        <v>Completed</v>
      </c>
      <c r="R1985" s="2" t="s">
        <v>82</v>
      </c>
      <c r="S1985" s="8">
        <v>3</v>
      </c>
      <c r="T1985" s="2" t="s">
        <v>24</v>
      </c>
      <c r="U1985" s="31" t="str" cm="1">
        <f t="array" ref="U1985">_xlfn.IFS(L1985&lt;=5000,$Z$3,AND(L1985&gt;5000,L1985&lt;=15000),$Z$4,AND(L1985&gt;15000,L1985&lt;=30000),$Z$5,AND(L1985&gt;30000,L1985&lt;=50000),$Z$6,L1985&gt;50000,$Z$7)</f>
        <v>Sangat Rendah</v>
      </c>
      <c r="V1985" s="2"/>
    </row>
    <row r="1986" spans="1:22" ht="15.75" customHeight="1" x14ac:dyDescent="0.25">
      <c r="A1986" s="26"/>
      <c r="B1986" s="2" t="s">
        <v>2340</v>
      </c>
      <c r="C1986" s="32">
        <v>45913.278587962966</v>
      </c>
      <c r="D1986" s="53">
        <f>YEAR(Table1[[#This Row],[Order Date]])</f>
        <v>2025</v>
      </c>
      <c r="E1986" s="2" t="s">
        <v>1136</v>
      </c>
      <c r="F1986" s="2" t="s">
        <v>195</v>
      </c>
      <c r="G1986" s="2" t="s">
        <v>81</v>
      </c>
      <c r="H1986" s="23">
        <v>17000</v>
      </c>
      <c r="I1986" s="2">
        <v>5</v>
      </c>
      <c r="J1986" s="31">
        <v>0</v>
      </c>
      <c r="K1986" s="7">
        <f t="shared" si="120"/>
        <v>85000</v>
      </c>
      <c r="L1986" s="7">
        <f t="shared" si="121"/>
        <v>0</v>
      </c>
      <c r="M1986" s="7">
        <f t="shared" si="122"/>
        <v>85000</v>
      </c>
      <c r="N1986" s="23">
        <v>87000</v>
      </c>
      <c r="O1986" s="7">
        <f t="shared" si="123"/>
        <v>172000</v>
      </c>
      <c r="P1986" s="2" t="s">
        <v>63</v>
      </c>
      <c r="Q1986" t="str">
        <f>_xlfn.XLOOKUP(B1986,Status!$A$2:$A$1867,Status!$B$2:$B$1867)</f>
        <v>Completed</v>
      </c>
      <c r="R1986" s="2" t="s">
        <v>30</v>
      </c>
      <c r="S1986" s="8">
        <v>2</v>
      </c>
      <c r="T1986" s="2" t="s">
        <v>24</v>
      </c>
      <c r="U1986" s="31" t="str" cm="1">
        <f t="array" ref="U1986">_xlfn.IFS(L1986&lt;=5000,$Z$3,AND(L1986&gt;5000,L1986&lt;=15000),$Z$4,AND(L1986&gt;15000,L1986&lt;=30000),$Z$5,AND(L1986&gt;30000,L1986&lt;=50000),$Z$6,L1986&gt;50000,$Z$7)</f>
        <v>Sangat Rendah</v>
      </c>
      <c r="V1986" s="2"/>
    </row>
    <row r="1987" spans="1:22" ht="15.75" customHeight="1" x14ac:dyDescent="0.25">
      <c r="A1987" s="26"/>
      <c r="B1987" s="2" t="s">
        <v>2341</v>
      </c>
      <c r="C1987" s="32">
        <v>45913.297407407408</v>
      </c>
      <c r="D1987" s="53">
        <f>YEAR(Table1[[#This Row],[Order Date]])</f>
        <v>2025</v>
      </c>
      <c r="E1987" s="2" t="s">
        <v>609</v>
      </c>
      <c r="F1987" s="2" t="s">
        <v>80</v>
      </c>
      <c r="G1987" s="2" t="s">
        <v>28</v>
      </c>
      <c r="H1987" s="23">
        <v>5000</v>
      </c>
      <c r="I1987" s="2">
        <v>1</v>
      </c>
      <c r="J1987" s="31">
        <v>10</v>
      </c>
      <c r="K1987" s="7">
        <f t="shared" si="120"/>
        <v>5000</v>
      </c>
      <c r="L1987" s="7">
        <f t="shared" si="121"/>
        <v>500</v>
      </c>
      <c r="M1987" s="7">
        <f t="shared" si="122"/>
        <v>4500</v>
      </c>
      <c r="N1987" s="23">
        <v>74000</v>
      </c>
      <c r="O1987" s="7">
        <f t="shared" si="123"/>
        <v>78500</v>
      </c>
      <c r="P1987" s="2" t="s">
        <v>63</v>
      </c>
      <c r="Q1987" t="str">
        <f>_xlfn.XLOOKUP(B1987,Status!$A$2:$A$1867,Status!$B$2:$B$1867)</f>
        <v>Completed</v>
      </c>
      <c r="R1987" s="2" t="s">
        <v>30</v>
      </c>
      <c r="S1987" s="8">
        <v>5</v>
      </c>
      <c r="T1987" s="2" t="s">
        <v>24</v>
      </c>
      <c r="U1987" s="31" t="str" cm="1">
        <f t="array" ref="U1987">_xlfn.IFS(L1987&lt;=5000,$Z$3,AND(L1987&gt;5000,L1987&lt;=15000),$Z$4,AND(L1987&gt;15000,L1987&lt;=30000),$Z$5,AND(L1987&gt;30000,L1987&lt;=50000),$Z$6,L1987&gt;50000,$Z$7)</f>
        <v>Sangat Rendah</v>
      </c>
      <c r="V1987" s="2"/>
    </row>
    <row r="1988" spans="1:22" ht="15.75" customHeight="1" x14ac:dyDescent="0.25">
      <c r="A1988" s="26"/>
      <c r="B1988" s="2" t="s">
        <v>2342</v>
      </c>
      <c r="C1988" s="32">
        <v>45913.318969907406</v>
      </c>
      <c r="D1988" s="53">
        <f>YEAR(Table1[[#This Row],[Order Date]])</f>
        <v>2025</v>
      </c>
      <c r="E1988" s="2" t="s">
        <v>1022</v>
      </c>
      <c r="F1988" s="2" t="s">
        <v>177</v>
      </c>
      <c r="G1988" s="2" t="s">
        <v>93</v>
      </c>
      <c r="H1988" s="23">
        <v>25000</v>
      </c>
      <c r="I1988" s="2">
        <v>3</v>
      </c>
      <c r="J1988" s="31">
        <v>5</v>
      </c>
      <c r="K1988" s="7">
        <f t="shared" ref="K1988:K2002" si="124">H1988*I1988</f>
        <v>75000</v>
      </c>
      <c r="L1988" s="7">
        <f t="shared" ref="L1988:L2002" si="125">K1988*(J1988/100)</f>
        <v>3750</v>
      </c>
      <c r="M1988" s="7">
        <f t="shared" ref="M1988:M2002" si="126">K1988-L1988</f>
        <v>71250</v>
      </c>
      <c r="N1988" s="23">
        <v>56000</v>
      </c>
      <c r="O1988" s="7">
        <f t="shared" ref="O1988:O2002" si="127">SUM(M1988:N1988)</f>
        <v>127250</v>
      </c>
      <c r="P1988" s="2" t="s">
        <v>63</v>
      </c>
      <c r="Q1988" t="str">
        <f>_xlfn.XLOOKUP(B1988,Status!$A$2:$A$1867,Status!$B$2:$B$1867)</f>
        <v>Pending</v>
      </c>
      <c r="R1988" s="2" t="s">
        <v>23</v>
      </c>
      <c r="S1988" s="8">
        <v>5</v>
      </c>
      <c r="T1988" s="2" t="s">
        <v>24</v>
      </c>
      <c r="U1988" s="31" t="str" cm="1">
        <f t="array" ref="U1988">_xlfn.IFS(L1988&lt;=5000,$Z$3,AND(L1988&gt;5000,L1988&lt;=15000),$Z$4,AND(L1988&gt;15000,L1988&lt;=30000),$Z$5,AND(L1988&gt;30000,L1988&lt;=50000),$Z$6,L1988&gt;50000,$Z$7)</f>
        <v>Sangat Rendah</v>
      </c>
      <c r="V1988" s="2"/>
    </row>
    <row r="1989" spans="1:22" ht="15.75" customHeight="1" x14ac:dyDescent="0.25">
      <c r="A1989" s="26"/>
      <c r="B1989" s="2" t="s">
        <v>2343</v>
      </c>
      <c r="C1989" s="32">
        <v>45913.671365740738</v>
      </c>
      <c r="D1989" s="53">
        <f>YEAR(Table1[[#This Row],[Order Date]])</f>
        <v>2025</v>
      </c>
      <c r="E1989" s="2" t="s">
        <v>2210</v>
      </c>
      <c r="F1989" s="2" t="s">
        <v>126</v>
      </c>
      <c r="G1989" s="2" t="s">
        <v>104</v>
      </c>
      <c r="H1989" s="23">
        <v>30000</v>
      </c>
      <c r="I1989" s="2">
        <v>5</v>
      </c>
      <c r="J1989" s="31">
        <v>5</v>
      </c>
      <c r="K1989" s="7">
        <f t="shared" si="124"/>
        <v>150000</v>
      </c>
      <c r="L1989" s="7">
        <f t="shared" si="125"/>
        <v>7500</v>
      </c>
      <c r="M1989" s="7">
        <f t="shared" si="126"/>
        <v>142500</v>
      </c>
      <c r="N1989" s="23">
        <v>84000</v>
      </c>
      <c r="O1989" s="7">
        <f t="shared" si="127"/>
        <v>226500</v>
      </c>
      <c r="P1989" s="2" t="s">
        <v>35</v>
      </c>
      <c r="Q1989" t="str">
        <f>_xlfn.XLOOKUP(B1989,Status!$A$2:$A$1867,Status!$B$2:$B$1867)</f>
        <v>Completed</v>
      </c>
      <c r="R1989" s="2" t="s">
        <v>82</v>
      </c>
      <c r="S1989" s="8">
        <v>1</v>
      </c>
      <c r="T1989" s="2" t="s">
        <v>24</v>
      </c>
      <c r="U1989" s="31" t="str" cm="1">
        <f t="array" ref="U1989">_xlfn.IFS(L1989&lt;=5000,$Z$3,AND(L1989&gt;5000,L1989&lt;=15000),$Z$4,AND(L1989&gt;15000,L1989&lt;=30000),$Z$5,AND(L1989&gt;30000,L1989&lt;=50000),$Z$6,L1989&gt;50000,$Z$7)</f>
        <v>Rendah</v>
      </c>
      <c r="V1989" s="2"/>
    </row>
    <row r="1990" spans="1:22" ht="15.75" customHeight="1" x14ac:dyDescent="0.25">
      <c r="A1990" s="26"/>
      <c r="B1990" s="2" t="s">
        <v>2344</v>
      </c>
      <c r="C1990" s="32">
        <v>45913.934953703712</v>
      </c>
      <c r="D1990" s="53">
        <f>YEAR(Table1[[#This Row],[Order Date]])</f>
        <v>2025</v>
      </c>
      <c r="E1990" s="2" t="s">
        <v>1050</v>
      </c>
      <c r="F1990" s="2" t="s">
        <v>92</v>
      </c>
      <c r="G1990" s="2" t="s">
        <v>62</v>
      </c>
      <c r="H1990" s="23">
        <v>50000</v>
      </c>
      <c r="I1990" s="2">
        <v>3</v>
      </c>
      <c r="J1990" s="31">
        <v>10</v>
      </c>
      <c r="K1990" s="7">
        <f t="shared" si="124"/>
        <v>150000</v>
      </c>
      <c r="L1990" s="7">
        <f t="shared" si="125"/>
        <v>15000</v>
      </c>
      <c r="M1990" s="7">
        <f t="shared" si="126"/>
        <v>135000</v>
      </c>
      <c r="N1990" s="23">
        <v>30000</v>
      </c>
      <c r="O1990" s="7">
        <f t="shared" si="127"/>
        <v>165000</v>
      </c>
      <c r="P1990" s="2" t="s">
        <v>22</v>
      </c>
      <c r="Q1990" t="str">
        <f>_xlfn.XLOOKUP(B1990,Status!$A$2:$A$1867,Status!$B$2:$B$1867)</f>
        <v>Completed</v>
      </c>
      <c r="R1990" s="2" t="s">
        <v>23</v>
      </c>
      <c r="S1990" s="8">
        <v>1</v>
      </c>
      <c r="T1990" s="2" t="s">
        <v>24</v>
      </c>
      <c r="U1990" s="31" t="str" cm="1">
        <f t="array" ref="U1990">_xlfn.IFS(L1990&lt;=5000,$Z$3,AND(L1990&gt;5000,L1990&lt;=15000),$Z$4,AND(L1990&gt;15000,L1990&lt;=30000),$Z$5,AND(L1990&gt;30000,L1990&lt;=50000),$Z$6,L1990&gt;50000,$Z$7)</f>
        <v>Rendah</v>
      </c>
      <c r="V1990" s="2"/>
    </row>
    <row r="1991" spans="1:22" ht="15.75" customHeight="1" x14ac:dyDescent="0.25">
      <c r="A1991" s="26"/>
      <c r="B1991" s="2" t="s">
        <v>2345</v>
      </c>
      <c r="C1991" s="32">
        <v>45914.369270833333</v>
      </c>
      <c r="D1991" s="53">
        <f>YEAR(Table1[[#This Row],[Order Date]])</f>
        <v>2025</v>
      </c>
      <c r="E1991" s="2" t="s">
        <v>654</v>
      </c>
      <c r="F1991" s="2" t="s">
        <v>375</v>
      </c>
      <c r="G1991" s="2" t="s">
        <v>21</v>
      </c>
      <c r="H1991" s="23">
        <v>45000</v>
      </c>
      <c r="I1991" s="2">
        <v>1</v>
      </c>
      <c r="J1991" s="31">
        <v>10</v>
      </c>
      <c r="K1991" s="7">
        <f t="shared" si="124"/>
        <v>45000</v>
      </c>
      <c r="L1991" s="7">
        <f t="shared" si="125"/>
        <v>4500</v>
      </c>
      <c r="M1991" s="7">
        <f t="shared" si="126"/>
        <v>40500</v>
      </c>
      <c r="N1991" s="23">
        <v>21000</v>
      </c>
      <c r="O1991" s="7">
        <f t="shared" si="127"/>
        <v>61500</v>
      </c>
      <c r="P1991" s="2" t="s">
        <v>63</v>
      </c>
      <c r="Q1991" t="str">
        <f>_xlfn.XLOOKUP(B1991,Status!$A$2:$A$1867,Status!$B$2:$B$1867)</f>
        <v>Pending</v>
      </c>
      <c r="R1991" s="2" t="s">
        <v>82</v>
      </c>
      <c r="S1991" s="8">
        <v>3</v>
      </c>
      <c r="T1991" s="2" t="s">
        <v>24</v>
      </c>
      <c r="U1991" s="31" t="str" cm="1">
        <f t="array" ref="U1991">_xlfn.IFS(L1991&lt;=5000,$Z$3,AND(L1991&gt;5000,L1991&lt;=15000),$Z$4,AND(L1991&gt;15000,L1991&lt;=30000),$Z$5,AND(L1991&gt;30000,L1991&lt;=50000),$Z$6,L1991&gt;50000,$Z$7)</f>
        <v>Sangat Rendah</v>
      </c>
      <c r="V1991" s="2"/>
    </row>
    <row r="1992" spans="1:22" ht="15.75" customHeight="1" x14ac:dyDescent="0.25">
      <c r="A1992" s="26"/>
      <c r="B1992" s="2" t="s">
        <v>2346</v>
      </c>
      <c r="C1992" s="32">
        <v>45915.223090277781</v>
      </c>
      <c r="D1992" s="53">
        <f>YEAR(Table1[[#This Row],[Order Date]])</f>
        <v>2025</v>
      </c>
      <c r="E1992" s="2" t="s">
        <v>1654</v>
      </c>
      <c r="F1992" s="2" t="s">
        <v>74</v>
      </c>
      <c r="G1992" s="2" t="s">
        <v>50</v>
      </c>
      <c r="H1992" s="23">
        <v>14000</v>
      </c>
      <c r="I1992" s="2">
        <v>5</v>
      </c>
      <c r="J1992" s="31">
        <v>20</v>
      </c>
      <c r="K1992" s="7">
        <f t="shared" si="124"/>
        <v>70000</v>
      </c>
      <c r="L1992" s="7">
        <f t="shared" si="125"/>
        <v>14000</v>
      </c>
      <c r="M1992" s="7">
        <f t="shared" si="126"/>
        <v>56000</v>
      </c>
      <c r="N1992" s="23">
        <v>87000</v>
      </c>
      <c r="O1992" s="7">
        <f t="shared" si="127"/>
        <v>143000</v>
      </c>
      <c r="P1992" s="2" t="s">
        <v>22</v>
      </c>
      <c r="Q1992" t="str">
        <f>_xlfn.XLOOKUP(B1992,Status!$A$2:$A$1867,Status!$B$2:$B$1867)</f>
        <v>Shipped</v>
      </c>
      <c r="R1992" s="2" t="s">
        <v>36</v>
      </c>
      <c r="S1992" s="8">
        <v>3</v>
      </c>
      <c r="T1992" s="2" t="s">
        <v>37</v>
      </c>
      <c r="U1992" s="31" t="str" cm="1">
        <f t="array" ref="U1992">_xlfn.IFS(L1992&lt;=5000,$Z$3,AND(L1992&gt;5000,L1992&lt;=15000),$Z$4,AND(L1992&gt;15000,L1992&lt;=30000),$Z$5,AND(L1992&gt;30000,L1992&lt;=50000),$Z$6,L1992&gt;50000,$Z$7)</f>
        <v>Rendah</v>
      </c>
      <c r="V1992" s="2"/>
    </row>
    <row r="1993" spans="1:22" ht="15.75" customHeight="1" x14ac:dyDescent="0.25">
      <c r="A1993" s="26"/>
      <c r="B1993" s="2" t="s">
        <v>2346</v>
      </c>
      <c r="C1993" s="32">
        <v>45915.223090277781</v>
      </c>
      <c r="D1993" s="53">
        <f>YEAR(Table1[[#This Row],[Order Date]])</f>
        <v>2025</v>
      </c>
      <c r="E1993" s="2" t="s">
        <v>1654</v>
      </c>
      <c r="F1993" s="2" t="s">
        <v>74</v>
      </c>
      <c r="G1993" s="2" t="s">
        <v>85</v>
      </c>
      <c r="H1993" s="23">
        <v>35000</v>
      </c>
      <c r="I1993" s="2">
        <v>3</v>
      </c>
      <c r="J1993" s="31">
        <v>0</v>
      </c>
      <c r="K1993" s="7">
        <f t="shared" si="124"/>
        <v>105000</v>
      </c>
      <c r="L1993" s="7">
        <f t="shared" si="125"/>
        <v>0</v>
      </c>
      <c r="M1993" s="7">
        <f t="shared" si="126"/>
        <v>105000</v>
      </c>
      <c r="N1993" s="23">
        <v>0</v>
      </c>
      <c r="O1993" s="7">
        <f t="shared" si="127"/>
        <v>105000</v>
      </c>
      <c r="P1993" s="2" t="s">
        <v>22</v>
      </c>
      <c r="Q1993" t="str">
        <f>_xlfn.XLOOKUP(B1993,Status!$A$2:$A$1867,Status!$B$2:$B$1867)</f>
        <v>Shipped</v>
      </c>
      <c r="R1993" s="2" t="s">
        <v>36</v>
      </c>
      <c r="S1993" s="8">
        <v>3</v>
      </c>
      <c r="T1993" s="2" t="s">
        <v>37</v>
      </c>
      <c r="U1993" s="31" t="str" cm="1">
        <f t="array" ref="U1993">_xlfn.IFS(L1993&lt;=5000,$Z$3,AND(L1993&gt;5000,L1993&lt;=15000),$Z$4,AND(L1993&gt;15000,L1993&lt;=30000),$Z$5,AND(L1993&gt;30000,L1993&lt;=50000),$Z$6,L1993&gt;50000,$Z$7)</f>
        <v>Sangat Rendah</v>
      </c>
      <c r="V1993" s="2"/>
    </row>
    <row r="1994" spans="1:22" ht="15.75" customHeight="1" x14ac:dyDescent="0.25">
      <c r="A1994" s="26"/>
      <c r="B1994" s="2" t="s">
        <v>2347</v>
      </c>
      <c r="C1994" s="32">
        <v>45915.235671296286</v>
      </c>
      <c r="D1994" s="53">
        <f>YEAR(Table1[[#This Row],[Order Date]])</f>
        <v>2025</v>
      </c>
      <c r="E1994" s="2" t="s">
        <v>60</v>
      </c>
      <c r="F1994" s="2" t="s">
        <v>61</v>
      </c>
      <c r="G1994" s="2" t="s">
        <v>136</v>
      </c>
      <c r="H1994" s="23">
        <v>12000</v>
      </c>
      <c r="I1994" s="2">
        <v>2</v>
      </c>
      <c r="J1994" s="31">
        <v>0</v>
      </c>
      <c r="K1994" s="7">
        <f t="shared" si="124"/>
        <v>24000</v>
      </c>
      <c r="L1994" s="7">
        <f t="shared" si="125"/>
        <v>0</v>
      </c>
      <c r="M1994" s="7">
        <f t="shared" si="126"/>
        <v>24000</v>
      </c>
      <c r="N1994" s="23">
        <v>26000</v>
      </c>
      <c r="O1994" s="7">
        <f t="shared" si="127"/>
        <v>50000</v>
      </c>
      <c r="P1994" s="2" t="s">
        <v>29</v>
      </c>
      <c r="Q1994" t="str">
        <f>_xlfn.XLOOKUP(B1994,Status!$A$2:$A$1867,Status!$B$2:$B$1867)</f>
        <v>Cancelled</v>
      </c>
      <c r="R1994" s="2" t="s">
        <v>23</v>
      </c>
      <c r="S1994" s="8">
        <v>1</v>
      </c>
      <c r="T1994" s="2" t="s">
        <v>24</v>
      </c>
      <c r="U1994" s="31" t="str" cm="1">
        <f t="array" ref="U1994">_xlfn.IFS(L1994&lt;=5000,$Z$3,AND(L1994&gt;5000,L1994&lt;=15000),$Z$4,AND(L1994&gt;15000,L1994&lt;=30000),$Z$5,AND(L1994&gt;30000,L1994&lt;=50000),$Z$6,L1994&gt;50000,$Z$7)</f>
        <v>Sangat Rendah</v>
      </c>
      <c r="V1994" s="2"/>
    </row>
    <row r="1995" spans="1:22" ht="15.75" customHeight="1" x14ac:dyDescent="0.25">
      <c r="A1995" s="26"/>
      <c r="B1995" s="2" t="s">
        <v>2348</v>
      </c>
      <c r="C1995" s="32">
        <v>45915.261840277781</v>
      </c>
      <c r="D1995" s="53">
        <f>YEAR(Table1[[#This Row],[Order Date]])</f>
        <v>2025</v>
      </c>
      <c r="E1995" s="2" t="s">
        <v>157</v>
      </c>
      <c r="F1995" s="2" t="s">
        <v>20</v>
      </c>
      <c r="G1995" s="2" t="s">
        <v>75</v>
      </c>
      <c r="H1995" s="23">
        <v>55000</v>
      </c>
      <c r="I1995" s="2">
        <v>4</v>
      </c>
      <c r="J1995" s="31">
        <v>0</v>
      </c>
      <c r="K1995" s="7">
        <f t="shared" si="124"/>
        <v>220000</v>
      </c>
      <c r="L1995" s="7">
        <f t="shared" si="125"/>
        <v>0</v>
      </c>
      <c r="M1995" s="7">
        <f t="shared" si="126"/>
        <v>220000</v>
      </c>
      <c r="N1995" s="23">
        <v>15000</v>
      </c>
      <c r="O1995" s="7">
        <f t="shared" si="127"/>
        <v>235000</v>
      </c>
      <c r="P1995" s="2" t="s">
        <v>29</v>
      </c>
      <c r="Q1995" t="str">
        <f>_xlfn.XLOOKUP(B1995,Status!$A$2:$A$1867,Status!$B$2:$B$1867)</f>
        <v>Pending</v>
      </c>
      <c r="R1995" s="2" t="s">
        <v>36</v>
      </c>
      <c r="S1995" s="8">
        <v>5</v>
      </c>
      <c r="T1995" s="2" t="s">
        <v>24</v>
      </c>
      <c r="U1995" s="31" t="str" cm="1">
        <f t="array" ref="U1995">_xlfn.IFS(L1995&lt;=5000,$Z$3,AND(L1995&gt;5000,L1995&lt;=15000),$Z$4,AND(L1995&gt;15000,L1995&lt;=30000),$Z$5,AND(L1995&gt;30000,L1995&lt;=50000),$Z$6,L1995&gt;50000,$Z$7)</f>
        <v>Sangat Rendah</v>
      </c>
      <c r="V1995" s="2"/>
    </row>
    <row r="1996" spans="1:22" ht="15.75" customHeight="1" x14ac:dyDescent="0.25">
      <c r="A1996" s="26"/>
      <c r="B1996" s="2" t="s">
        <v>2349</v>
      </c>
      <c r="C1996" s="32">
        <v>45915.289189814823</v>
      </c>
      <c r="D1996" s="53">
        <f>YEAR(Table1[[#This Row],[Order Date]])</f>
        <v>2025</v>
      </c>
      <c r="E1996" s="2" t="s">
        <v>615</v>
      </c>
      <c r="F1996" s="2" t="s">
        <v>92</v>
      </c>
      <c r="G1996" s="2" t="s">
        <v>62</v>
      </c>
      <c r="H1996" s="23">
        <v>50000</v>
      </c>
      <c r="I1996" s="2">
        <v>1</v>
      </c>
      <c r="J1996" s="31">
        <v>10</v>
      </c>
      <c r="K1996" s="7">
        <f t="shared" si="124"/>
        <v>50000</v>
      </c>
      <c r="L1996" s="7">
        <f t="shared" si="125"/>
        <v>5000</v>
      </c>
      <c r="M1996" s="7">
        <f t="shared" si="126"/>
        <v>45000</v>
      </c>
      <c r="N1996" s="23">
        <v>30000</v>
      </c>
      <c r="O1996" s="7">
        <f t="shared" si="127"/>
        <v>75000</v>
      </c>
      <c r="P1996" s="2" t="s">
        <v>63</v>
      </c>
      <c r="Q1996" t="str">
        <f>_xlfn.XLOOKUP(B1996,Status!$A$2:$A$1867,Status!$B$2:$B$1867)</f>
        <v>Completed</v>
      </c>
      <c r="R1996" s="2" t="s">
        <v>23</v>
      </c>
      <c r="S1996" s="8">
        <v>4</v>
      </c>
      <c r="T1996" s="2" t="s">
        <v>24</v>
      </c>
      <c r="U1996" s="31" t="str" cm="1">
        <f t="array" ref="U1996">_xlfn.IFS(L1996&lt;=5000,$Z$3,AND(L1996&gt;5000,L1996&lt;=15000),$Z$4,AND(L1996&gt;15000,L1996&lt;=30000),$Z$5,AND(L1996&gt;30000,L1996&lt;=50000),$Z$6,L1996&gt;50000,$Z$7)</f>
        <v>Sangat Rendah</v>
      </c>
      <c r="V1996" s="2"/>
    </row>
    <row r="1997" spans="1:22" ht="15.75" customHeight="1" x14ac:dyDescent="0.25">
      <c r="A1997" s="26"/>
      <c r="B1997" s="2" t="s">
        <v>2350</v>
      </c>
      <c r="C1997" s="32">
        <v>45915.563148148147</v>
      </c>
      <c r="D1997" s="53">
        <f>YEAR(Table1[[#This Row],[Order Date]])</f>
        <v>2025</v>
      </c>
      <c r="E1997" s="2" t="s">
        <v>383</v>
      </c>
      <c r="F1997" s="2" t="s">
        <v>122</v>
      </c>
      <c r="G1997" s="2" t="s">
        <v>110</v>
      </c>
      <c r="H1997" s="23">
        <v>6000</v>
      </c>
      <c r="I1997" s="2">
        <v>3</v>
      </c>
      <c r="J1997" s="31">
        <v>15</v>
      </c>
      <c r="K1997" s="7">
        <f t="shared" si="124"/>
        <v>18000</v>
      </c>
      <c r="L1997" s="7">
        <f t="shared" si="125"/>
        <v>2700</v>
      </c>
      <c r="M1997" s="7">
        <f t="shared" si="126"/>
        <v>15300</v>
      </c>
      <c r="N1997" s="23">
        <v>78000</v>
      </c>
      <c r="O1997" s="7">
        <f t="shared" si="127"/>
        <v>93300</v>
      </c>
      <c r="P1997" s="2" t="s">
        <v>22</v>
      </c>
      <c r="Q1997" t="str">
        <f>_xlfn.XLOOKUP(B1997,Status!$A$2:$A$1867,Status!$B$2:$B$1867)</f>
        <v>Completed</v>
      </c>
      <c r="R1997" s="2" t="s">
        <v>46</v>
      </c>
      <c r="S1997" s="8">
        <v>2</v>
      </c>
      <c r="T1997" s="2" t="s">
        <v>24</v>
      </c>
      <c r="U1997" s="31" t="str" cm="1">
        <f t="array" ref="U1997">_xlfn.IFS(L1997&lt;=5000,$Z$3,AND(L1997&gt;5000,L1997&lt;=15000),$Z$4,AND(L1997&gt;15000,L1997&lt;=30000),$Z$5,AND(L1997&gt;30000,L1997&lt;=50000),$Z$6,L1997&gt;50000,$Z$7)</f>
        <v>Sangat Rendah</v>
      </c>
      <c r="V1997" s="2"/>
    </row>
    <row r="1998" spans="1:22" ht="15.75" customHeight="1" x14ac:dyDescent="0.25">
      <c r="A1998" s="26"/>
      <c r="B1998" s="2" t="s">
        <v>2351</v>
      </c>
      <c r="C1998" s="32">
        <v>45915.817013888889</v>
      </c>
      <c r="D1998" s="53">
        <f>YEAR(Table1[[#This Row],[Order Date]])</f>
        <v>2025</v>
      </c>
      <c r="E1998" s="2" t="s">
        <v>693</v>
      </c>
      <c r="F1998" s="2" t="s">
        <v>119</v>
      </c>
      <c r="G1998" s="2" t="s">
        <v>110</v>
      </c>
      <c r="H1998" s="23">
        <v>6000</v>
      </c>
      <c r="I1998" s="2">
        <v>3</v>
      </c>
      <c r="J1998" s="31">
        <v>20</v>
      </c>
      <c r="K1998" s="7">
        <f t="shared" si="124"/>
        <v>18000</v>
      </c>
      <c r="L1998" s="7">
        <f t="shared" si="125"/>
        <v>3600</v>
      </c>
      <c r="M1998" s="7">
        <f t="shared" si="126"/>
        <v>14400</v>
      </c>
      <c r="N1998" s="23">
        <v>0</v>
      </c>
      <c r="O1998" s="7">
        <f t="shared" si="127"/>
        <v>14400</v>
      </c>
      <c r="P1998" s="2" t="s">
        <v>22</v>
      </c>
      <c r="Q1998" t="str">
        <f>_xlfn.XLOOKUP(B1998,Status!$A$2:$A$1867,Status!$B$2:$B$1867)</f>
        <v>Pending</v>
      </c>
      <c r="R1998" s="2" t="s">
        <v>46</v>
      </c>
      <c r="S1998" s="8">
        <v>3</v>
      </c>
      <c r="T1998" s="2" t="s">
        <v>24</v>
      </c>
      <c r="U1998" s="31" t="str" cm="1">
        <f t="array" ref="U1998">_xlfn.IFS(L1998&lt;=5000,$Z$3,AND(L1998&gt;5000,L1998&lt;=15000),$Z$4,AND(L1998&gt;15000,L1998&lt;=30000),$Z$5,AND(L1998&gt;30000,L1998&lt;=50000),$Z$6,L1998&gt;50000,$Z$7)</f>
        <v>Sangat Rendah</v>
      </c>
      <c r="V1998" s="2"/>
    </row>
    <row r="1999" spans="1:22" ht="15.75" customHeight="1" x14ac:dyDescent="0.25">
      <c r="A1999" s="26"/>
      <c r="B1999" s="2" t="s">
        <v>2352</v>
      </c>
      <c r="C1999" s="32">
        <v>45916.043009259258</v>
      </c>
      <c r="D1999" s="53">
        <f>YEAR(Table1[[#This Row],[Order Date]])</f>
        <v>2025</v>
      </c>
      <c r="E1999" s="2" t="s">
        <v>368</v>
      </c>
      <c r="F1999" s="2" t="s">
        <v>113</v>
      </c>
      <c r="G1999" s="2" t="s">
        <v>88</v>
      </c>
      <c r="H1999" s="23">
        <v>14000</v>
      </c>
      <c r="I1999" s="2">
        <v>4</v>
      </c>
      <c r="J1999" s="31">
        <v>15</v>
      </c>
      <c r="K1999" s="7">
        <f t="shared" si="124"/>
        <v>56000</v>
      </c>
      <c r="L1999" s="7">
        <f t="shared" si="125"/>
        <v>8400</v>
      </c>
      <c r="M1999" s="7">
        <f t="shared" si="126"/>
        <v>47600</v>
      </c>
      <c r="N1999" s="23">
        <v>18000</v>
      </c>
      <c r="O1999" s="7">
        <f t="shared" si="127"/>
        <v>65600</v>
      </c>
      <c r="P1999" s="2" t="s">
        <v>35</v>
      </c>
      <c r="Q1999" t="str">
        <f>_xlfn.XLOOKUP(B1999,Status!$A$2:$A$1867,Status!$B$2:$B$1867)</f>
        <v>Completed</v>
      </c>
      <c r="R1999" s="2" t="s">
        <v>36</v>
      </c>
      <c r="S1999" s="8">
        <v>1</v>
      </c>
      <c r="T1999" s="2" t="s">
        <v>37</v>
      </c>
      <c r="U1999" s="31" t="str" cm="1">
        <f t="array" ref="U1999">_xlfn.IFS(L1999&lt;=5000,$Z$3,AND(L1999&gt;5000,L1999&lt;=15000),$Z$4,AND(L1999&gt;15000,L1999&lt;=30000),$Z$5,AND(L1999&gt;30000,L1999&lt;=50000),$Z$6,L1999&gt;50000,$Z$7)</f>
        <v>Rendah</v>
      </c>
      <c r="V1999" s="2"/>
    </row>
    <row r="2000" spans="1:22" ht="15.75" customHeight="1" x14ac:dyDescent="0.25">
      <c r="A2000" s="26"/>
      <c r="B2000" s="2" t="s">
        <v>2353</v>
      </c>
      <c r="C2000" s="32">
        <v>45916.137037037042</v>
      </c>
      <c r="D2000" s="53">
        <f>YEAR(Table1[[#This Row],[Order Date]])</f>
        <v>2025</v>
      </c>
      <c r="E2000" s="2" t="s">
        <v>1040</v>
      </c>
      <c r="F2000" s="2" t="s">
        <v>61</v>
      </c>
      <c r="G2000" s="2" t="s">
        <v>28</v>
      </c>
      <c r="H2000" s="23">
        <v>5000</v>
      </c>
      <c r="I2000" s="2">
        <v>1</v>
      </c>
      <c r="J2000" s="31">
        <v>0</v>
      </c>
      <c r="K2000" s="7">
        <f t="shared" si="124"/>
        <v>5000</v>
      </c>
      <c r="L2000" s="7">
        <f t="shared" si="125"/>
        <v>0</v>
      </c>
      <c r="M2000" s="7">
        <f t="shared" si="126"/>
        <v>5000</v>
      </c>
      <c r="N2000" s="23">
        <v>26000</v>
      </c>
      <c r="O2000" s="7">
        <f t="shared" si="127"/>
        <v>31000</v>
      </c>
      <c r="P2000" s="2" t="s">
        <v>22</v>
      </c>
      <c r="Q2000" t="str">
        <f>_xlfn.XLOOKUP(B2000,Status!$A$2:$A$1867,Status!$B$2:$B$1867)</f>
        <v>Shipped</v>
      </c>
      <c r="R2000" s="2" t="s">
        <v>30</v>
      </c>
      <c r="S2000" s="8">
        <v>3</v>
      </c>
      <c r="T2000" s="2" t="s">
        <v>24</v>
      </c>
      <c r="U2000" s="31" t="str" cm="1">
        <f t="array" ref="U2000">_xlfn.IFS(L2000&lt;=5000,$Z$3,AND(L2000&gt;5000,L2000&lt;=15000),$Z$4,AND(L2000&gt;15000,L2000&lt;=30000),$Z$5,AND(L2000&gt;30000,L2000&lt;=50000),$Z$6,L2000&gt;50000,$Z$7)</f>
        <v>Sangat Rendah</v>
      </c>
      <c r="V2000" s="2"/>
    </row>
    <row r="2001" spans="1:22" ht="15.75" customHeight="1" x14ac:dyDescent="0.25">
      <c r="A2001" s="26"/>
      <c r="B2001" s="2" t="s">
        <v>2354</v>
      </c>
      <c r="C2001" s="32">
        <v>45916.459421296298</v>
      </c>
      <c r="D2001" s="53">
        <f>YEAR(Table1[[#This Row],[Order Date]])</f>
        <v>2025</v>
      </c>
      <c r="E2001" s="2" t="s">
        <v>716</v>
      </c>
      <c r="F2001" s="2" t="s">
        <v>66</v>
      </c>
      <c r="G2001" s="2" t="s">
        <v>138</v>
      </c>
      <c r="H2001" s="23">
        <v>17000</v>
      </c>
      <c r="I2001" s="2">
        <v>1</v>
      </c>
      <c r="J2001" s="31">
        <v>0</v>
      </c>
      <c r="K2001" s="7">
        <f t="shared" si="124"/>
        <v>17000</v>
      </c>
      <c r="L2001" s="7">
        <f t="shared" si="125"/>
        <v>0</v>
      </c>
      <c r="M2001" s="7">
        <f t="shared" si="126"/>
        <v>17000</v>
      </c>
      <c r="N2001" s="23">
        <v>59000</v>
      </c>
      <c r="O2001" s="7">
        <f t="shared" si="127"/>
        <v>76000</v>
      </c>
      <c r="P2001" s="2" t="s">
        <v>35</v>
      </c>
      <c r="Q2001" t="str">
        <f>_xlfn.XLOOKUP(B2001,Status!$A$2:$A$1867,Status!$B$2:$B$1867)</f>
        <v>Pending</v>
      </c>
      <c r="R2001" s="2" t="s">
        <v>30</v>
      </c>
      <c r="S2001" s="8">
        <v>2</v>
      </c>
      <c r="T2001" s="2" t="s">
        <v>24</v>
      </c>
      <c r="U2001" s="31" t="str" cm="1">
        <f t="array" ref="U2001">_xlfn.IFS(L2001&lt;=5000,$Z$3,AND(L2001&gt;5000,L2001&lt;=15000),$Z$4,AND(L2001&gt;15000,L2001&lt;=30000),$Z$5,AND(L2001&gt;30000,L2001&lt;=50000),$Z$6,L2001&gt;50000,$Z$7)</f>
        <v>Sangat Rendah</v>
      </c>
      <c r="V2001" s="2"/>
    </row>
    <row r="2002" spans="1:22" ht="15.75" customHeight="1" x14ac:dyDescent="0.25">
      <c r="A2002" s="26"/>
      <c r="B2002" s="2" t="s">
        <v>2355</v>
      </c>
      <c r="C2002" s="32">
        <v>45916.722824074073</v>
      </c>
      <c r="D2002" s="53">
        <f>YEAR(Table1[[#This Row],[Order Date]])</f>
        <v>2025</v>
      </c>
      <c r="E2002" s="2" t="s">
        <v>582</v>
      </c>
      <c r="F2002" s="2" t="s">
        <v>435</v>
      </c>
      <c r="G2002" s="2" t="s">
        <v>58</v>
      </c>
      <c r="H2002" s="23">
        <v>16000</v>
      </c>
      <c r="I2002" s="2">
        <v>5</v>
      </c>
      <c r="J2002" s="31">
        <v>10</v>
      </c>
      <c r="K2002" s="7">
        <f t="shared" si="124"/>
        <v>80000</v>
      </c>
      <c r="L2002" s="7">
        <f t="shared" si="125"/>
        <v>8000</v>
      </c>
      <c r="M2002" s="7">
        <f t="shared" si="126"/>
        <v>72000</v>
      </c>
      <c r="N2002" s="23">
        <v>67000</v>
      </c>
      <c r="O2002" s="7">
        <f t="shared" si="127"/>
        <v>139000</v>
      </c>
      <c r="P2002" s="2" t="s">
        <v>22</v>
      </c>
      <c r="Q2002" t="str">
        <f>_xlfn.XLOOKUP(B2002,Status!$A$2:$A$1867,Status!$B$2:$B$1867)</f>
        <v>Shipped</v>
      </c>
      <c r="R2002" s="2" t="s">
        <v>82</v>
      </c>
      <c r="S2002" s="8">
        <v>3</v>
      </c>
      <c r="T2002" s="2" t="s">
        <v>24</v>
      </c>
      <c r="U2002" s="31" t="str" cm="1">
        <f t="array" ref="U2002">_xlfn.IFS(L2002&lt;=5000,$Z$3,AND(L2002&gt;5000,L2002&lt;=15000),$Z$4,AND(L2002&gt;15000,L2002&lt;=30000),$Z$5,AND(L2002&gt;30000,L2002&lt;=50000),$Z$6,L2002&gt;50000,$Z$7)</f>
        <v>Rendah</v>
      </c>
      <c r="V2002" s="2"/>
    </row>
    <row r="2003" spans="1:22" ht="15" customHeight="1" x14ac:dyDescent="0.25">
      <c r="B2003" s="63"/>
      <c r="C2003" s="64"/>
      <c r="D2003" s="64"/>
      <c r="E2003" s="64"/>
      <c r="F2003" s="64"/>
      <c r="G2003" s="64"/>
      <c r="H2003" s="7"/>
      <c r="K2003" s="7"/>
      <c r="L2003" s="7"/>
      <c r="M2003" s="7"/>
      <c r="N2003" s="7"/>
      <c r="O2003" s="7"/>
      <c r="U2003" s="31"/>
    </row>
    <row r="2004" spans="1:22" ht="15" customHeight="1" x14ac:dyDescent="0.25">
      <c r="B2004" s="63"/>
      <c r="C2004" s="64"/>
      <c r="D2004" s="64"/>
      <c r="E2004" s="64"/>
      <c r="F2004" s="64"/>
      <c r="G2004" s="64"/>
      <c r="H2004" s="7"/>
      <c r="K2004" s="7"/>
      <c r="L2004" s="7"/>
      <c r="M2004" s="7"/>
      <c r="N2004" s="7"/>
      <c r="O2004" s="7"/>
    </row>
  </sheetData>
  <mergeCells count="3">
    <mergeCell ref="B2003:G2003"/>
    <mergeCell ref="B2004:G2004"/>
    <mergeCell ref="W2:X2"/>
  </mergeCells>
  <pageMargins left="0.7" right="0.7" top="0.75" bottom="0.75" header="0" footer="0"/>
  <pageSetup orientation="landscape"/>
  <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0329-2F56-4711-805C-62738233B313}">
  <sheetPr codeName="Sheet4"/>
  <dimension ref="A1:U278"/>
  <sheetViews>
    <sheetView topLeftCell="N1" zoomScale="85" zoomScaleNormal="85" workbookViewId="0">
      <selection activeCell="H16" sqref="H16:I28"/>
    </sheetView>
  </sheetViews>
  <sheetFormatPr defaultRowHeight="15" x14ac:dyDescent="0.25"/>
  <cols>
    <col min="1" max="1" width="86.28515625" bestFit="1" customWidth="1"/>
    <col min="2" max="2" width="18.140625" bestFit="1" customWidth="1"/>
    <col min="3" max="3" width="19.140625" bestFit="1" customWidth="1"/>
    <col min="4" max="4" width="26.28515625" customWidth="1"/>
    <col min="5" max="5" width="13.28515625" bestFit="1" customWidth="1"/>
    <col min="6" max="6" width="20.28515625" bestFit="1" customWidth="1"/>
    <col min="7" max="7" width="19.140625" bestFit="1" customWidth="1"/>
    <col min="8" max="8" width="18.85546875" bestFit="1" customWidth="1"/>
    <col min="9" max="9" width="24.85546875" bestFit="1" customWidth="1"/>
    <col min="10" max="10" width="19.28515625" bestFit="1" customWidth="1"/>
    <col min="11" max="11" width="14.28515625" bestFit="1" customWidth="1"/>
    <col min="12" max="12" width="19.28515625" bestFit="1" customWidth="1"/>
    <col min="13" max="13" width="21.85546875" bestFit="1" customWidth="1"/>
    <col min="14" max="14" width="7.28515625" bestFit="1" customWidth="1"/>
    <col min="15" max="15" width="7.28515625" customWidth="1"/>
    <col min="16" max="16" width="16.42578125" bestFit="1" customWidth="1"/>
    <col min="17" max="19" width="18.140625" bestFit="1" customWidth="1"/>
    <col min="20" max="20" width="22.42578125" style="54" customWidth="1"/>
    <col min="21" max="21" width="22.42578125" customWidth="1"/>
    <col min="22" max="30" width="15.5703125" bestFit="1" customWidth="1"/>
    <col min="31" max="31" width="13.28515625" bestFit="1" customWidth="1"/>
    <col min="32" max="50" width="14.140625" bestFit="1" customWidth="1"/>
    <col min="51" max="51" width="16.28515625" bestFit="1" customWidth="1"/>
    <col min="52" max="1877" width="18.28515625" bestFit="1" customWidth="1"/>
  </cols>
  <sheetData>
    <row r="1" spans="1:21" x14ac:dyDescent="0.25">
      <c r="P1" s="15" t="s">
        <v>1</v>
      </c>
      <c r="Q1" t="s">
        <v>2375</v>
      </c>
      <c r="T1" s="55" t="s">
        <v>2388</v>
      </c>
      <c r="U1">
        <v>40</v>
      </c>
    </row>
    <row r="2" spans="1:21" x14ac:dyDescent="0.25">
      <c r="G2" s="50" t="s">
        <v>2395</v>
      </c>
      <c r="I2" s="50" t="s">
        <v>2396</v>
      </c>
      <c r="P2" s="54">
        <v>45658.31627314815</v>
      </c>
      <c r="Q2" s="51">
        <v>117400</v>
      </c>
      <c r="T2" s="55" t="s">
        <v>2389</v>
      </c>
      <c r="U2">
        <v>12</v>
      </c>
    </row>
    <row r="3" spans="1:21" x14ac:dyDescent="0.25">
      <c r="A3" t="s">
        <v>2392</v>
      </c>
      <c r="C3" t="s">
        <v>2393</v>
      </c>
      <c r="E3" t="s">
        <v>2394</v>
      </c>
      <c r="G3" t="s">
        <v>2377</v>
      </c>
      <c r="I3" t="s">
        <v>2375</v>
      </c>
      <c r="P3" s="54">
        <v>45658.793900462966</v>
      </c>
      <c r="Q3" s="51">
        <v>34800</v>
      </c>
      <c r="T3" s="54" t="s">
        <v>2390</v>
      </c>
    </row>
    <row r="4" spans="1:21" x14ac:dyDescent="0.25">
      <c r="A4">
        <v>288</v>
      </c>
      <c r="C4" s="47">
        <v>9.8784722222222214</v>
      </c>
      <c r="E4" s="47">
        <v>2.9965277777777777</v>
      </c>
      <c r="G4" s="17">
        <v>19225650</v>
      </c>
      <c r="I4" s="17">
        <v>35062650</v>
      </c>
      <c r="J4" s="17"/>
      <c r="P4" s="54">
        <v>45658.815000000002</v>
      </c>
      <c r="Q4" s="51">
        <v>43100</v>
      </c>
      <c r="T4" s="56" t="s">
        <v>2387</v>
      </c>
      <c r="U4" s="46" t="s">
        <v>2375</v>
      </c>
    </row>
    <row r="5" spans="1:21" x14ac:dyDescent="0.25">
      <c r="C5" t="str">
        <f>ROUND(C4,2)&amp;"%"</f>
        <v>9.88%</v>
      </c>
      <c r="E5" s="52" t="s">
        <v>2381</v>
      </c>
      <c r="P5" s="54">
        <v>45659.447696759256</v>
      </c>
      <c r="Q5" s="51">
        <v>131800</v>
      </c>
      <c r="T5" s="54" cm="1">
        <f t="array" aca="1" ref="T5:T17" ca="1">INDIRECT("Pivot!n"&amp;$U$1&amp;":n"&amp;$U$1+$U$2,TRUE)</f>
        <v>0</v>
      </c>
      <c r="U5" cm="1">
        <f t="array" aca="1" ref="U5:U17" ca="1">INDIRECT("Pivot!o"&amp;$U$1&amp;":o"&amp;$U$1+$U$2,TRUE)</f>
        <v>0</v>
      </c>
    </row>
    <row r="6" spans="1:21" x14ac:dyDescent="0.25">
      <c r="A6" s="50" t="s">
        <v>2397</v>
      </c>
      <c r="P6" s="54">
        <v>45660.525092592594</v>
      </c>
      <c r="Q6" s="51">
        <v>255000</v>
      </c>
      <c r="T6" s="54">
        <f ca="1"/>
        <v>0</v>
      </c>
      <c r="U6">
        <f ca="1"/>
        <v>0</v>
      </c>
    </row>
    <row r="7" spans="1:21" x14ac:dyDescent="0.25">
      <c r="A7" s="15" t="s">
        <v>15</v>
      </c>
      <c r="B7" t="s">
        <v>30</v>
      </c>
      <c r="C7" s="50" t="s">
        <v>2380</v>
      </c>
      <c r="D7" s="48">
        <f>SUM(C11:C13)</f>
        <v>0.22109709334576821</v>
      </c>
      <c r="E7" s="47"/>
      <c r="P7" s="54">
        <v>45660.567129629628</v>
      </c>
      <c r="Q7" s="51">
        <v>97000</v>
      </c>
      <c r="T7" s="54">
        <f ca="1"/>
        <v>0</v>
      </c>
      <c r="U7">
        <f ca="1"/>
        <v>0</v>
      </c>
    </row>
    <row r="8" spans="1:21" x14ac:dyDescent="0.25">
      <c r="A8" s="15" t="s">
        <v>2385</v>
      </c>
      <c r="B8" s="16">
        <v>2025</v>
      </c>
      <c r="C8" s="50" t="s">
        <v>2379</v>
      </c>
      <c r="D8" s="49">
        <f>SUM(B11:B13)</f>
        <v>7752250</v>
      </c>
      <c r="P8" s="54">
        <v>45662.963043981479</v>
      </c>
      <c r="Q8" s="51">
        <v>97300</v>
      </c>
      <c r="T8" s="54">
        <f ca="1"/>
        <v>0</v>
      </c>
      <c r="U8">
        <f ca="1"/>
        <v>0</v>
      </c>
    </row>
    <row r="9" spans="1:21" x14ac:dyDescent="0.25">
      <c r="A9" s="21" t="str">
        <f>"Top 3 highest-value product, accounting for "&amp;ROUND(D7*100,2)&amp;"% ("&amp;ROUND(D8/1000000,2)&amp;" Million of "&amp;ROUND(B38/1000000,2)&amp;" million) of total sales"</f>
        <v>Top 3 highest-value product, accounting for 22.11% (7.75 Million of 35.06 million) of total sales</v>
      </c>
      <c r="E9" s="50" t="s">
        <v>2400</v>
      </c>
      <c r="H9" s="50" t="s">
        <v>2401</v>
      </c>
      <c r="K9" s="50" t="s">
        <v>2404</v>
      </c>
      <c r="P9" s="54">
        <v>45664.243032407408</v>
      </c>
      <c r="Q9" s="51">
        <v>220750</v>
      </c>
      <c r="T9" s="54">
        <f ca="1"/>
        <v>0</v>
      </c>
      <c r="U9">
        <f ca="1"/>
        <v>0</v>
      </c>
    </row>
    <row r="10" spans="1:21" x14ac:dyDescent="0.25">
      <c r="A10" s="15" t="s">
        <v>2374</v>
      </c>
      <c r="B10" t="s">
        <v>2375</v>
      </c>
      <c r="C10" t="s">
        <v>2378</v>
      </c>
      <c r="E10" s="15" t="s">
        <v>17</v>
      </c>
      <c r="F10" t="s">
        <v>2382</v>
      </c>
      <c r="H10" s="15" t="s">
        <v>13</v>
      </c>
      <c r="I10" t="s">
        <v>2377</v>
      </c>
      <c r="K10" s="15" t="s">
        <v>2369</v>
      </c>
      <c r="L10" t="s">
        <v>2377</v>
      </c>
      <c r="M10" t="s">
        <v>2384</v>
      </c>
      <c r="P10" s="54">
        <v>45664.35565972222</v>
      </c>
      <c r="Q10" s="51">
        <v>86000</v>
      </c>
      <c r="T10" s="54">
        <f ca="1"/>
        <v>0</v>
      </c>
      <c r="U10">
        <f ca="1"/>
        <v>0</v>
      </c>
    </row>
    <row r="11" spans="1:21" x14ac:dyDescent="0.25">
      <c r="A11" s="16" t="s">
        <v>21</v>
      </c>
      <c r="B11" s="51">
        <v>3004250</v>
      </c>
      <c r="C11" s="48">
        <v>8.5682342891937713E-2</v>
      </c>
      <c r="E11" s="16" t="s">
        <v>37</v>
      </c>
      <c r="F11">
        <v>57</v>
      </c>
      <c r="H11" t="s">
        <v>35</v>
      </c>
      <c r="I11" s="60">
        <v>4597750</v>
      </c>
      <c r="K11" t="s">
        <v>2365</v>
      </c>
      <c r="L11" s="61">
        <v>6810850</v>
      </c>
      <c r="M11">
        <v>159</v>
      </c>
      <c r="P11" s="54">
        <v>45664.648668981485</v>
      </c>
      <c r="Q11" s="51">
        <v>185000</v>
      </c>
      <c r="T11" s="54">
        <f ca="1"/>
        <v>0</v>
      </c>
      <c r="U11">
        <f ca="1"/>
        <v>0</v>
      </c>
    </row>
    <row r="12" spans="1:21" x14ac:dyDescent="0.25">
      <c r="A12" s="16" t="s">
        <v>62</v>
      </c>
      <c r="B12" s="51">
        <v>2498000</v>
      </c>
      <c r="C12" s="48">
        <v>7.1243901986872069E-2</v>
      </c>
      <c r="E12" s="16" t="s">
        <v>24</v>
      </c>
      <c r="F12">
        <v>231</v>
      </c>
      <c r="H12" t="s">
        <v>63</v>
      </c>
      <c r="I12" s="60">
        <v>4954600</v>
      </c>
      <c r="K12" t="s">
        <v>2366</v>
      </c>
      <c r="L12" s="61">
        <v>6036700</v>
      </c>
      <c r="M12">
        <v>77</v>
      </c>
      <c r="P12" s="54">
        <v>45664.860509259262</v>
      </c>
      <c r="Q12" s="51">
        <v>95600</v>
      </c>
      <c r="T12" s="54">
        <f ca="1"/>
        <v>0</v>
      </c>
      <c r="U12">
        <f ca="1"/>
        <v>0</v>
      </c>
    </row>
    <row r="13" spans="1:21" x14ac:dyDescent="0.25">
      <c r="A13" s="16" t="s">
        <v>45</v>
      </c>
      <c r="B13" s="51">
        <v>2250000</v>
      </c>
      <c r="C13" s="48">
        <v>6.4170848466958433E-2</v>
      </c>
      <c r="H13" t="s">
        <v>22</v>
      </c>
      <c r="I13" s="60">
        <v>4531400</v>
      </c>
      <c r="K13" t="s">
        <v>2370</v>
      </c>
      <c r="L13" s="61">
        <v>5637100</v>
      </c>
      <c r="M13">
        <v>48</v>
      </c>
      <c r="P13" s="54">
        <v>45664.912847222222</v>
      </c>
      <c r="Q13" s="51">
        <v>125000</v>
      </c>
      <c r="T13" s="54">
        <f ca="1"/>
        <v>0</v>
      </c>
      <c r="U13">
        <f ca="1"/>
        <v>0</v>
      </c>
    </row>
    <row r="14" spans="1:21" x14ac:dyDescent="0.25">
      <c r="A14" s="16" t="s">
        <v>186</v>
      </c>
      <c r="B14" s="51">
        <v>2233500</v>
      </c>
      <c r="C14" s="48">
        <v>6.3700262244867398E-2</v>
      </c>
      <c r="E14" s="50" t="s">
        <v>2398</v>
      </c>
      <c r="H14" t="s">
        <v>29</v>
      </c>
      <c r="I14" s="60">
        <v>5141900</v>
      </c>
      <c r="K14" t="s">
        <v>2367</v>
      </c>
      <c r="L14" s="61">
        <v>741000</v>
      </c>
      <c r="M14">
        <v>4</v>
      </c>
      <c r="P14" s="54">
        <v>45667.815451388888</v>
      </c>
      <c r="Q14" s="51">
        <v>57600</v>
      </c>
      <c r="T14" s="54">
        <f ca="1"/>
        <v>0</v>
      </c>
      <c r="U14">
        <f ca="1"/>
        <v>0</v>
      </c>
    </row>
    <row r="15" spans="1:21" x14ac:dyDescent="0.25">
      <c r="A15" s="16" t="s">
        <v>85</v>
      </c>
      <c r="B15" s="51">
        <v>2091750</v>
      </c>
      <c r="C15" s="48">
        <v>5.9657498791449021E-2</v>
      </c>
      <c r="E15" s="15" t="s">
        <v>2374</v>
      </c>
      <c r="F15" t="s">
        <v>2384</v>
      </c>
      <c r="P15" s="54">
        <v>45668.833958333336</v>
      </c>
      <c r="Q15" s="51">
        <v>74500</v>
      </c>
      <c r="T15" s="54">
        <f ca="1"/>
        <v>0</v>
      </c>
      <c r="U15">
        <f ca="1"/>
        <v>0</v>
      </c>
    </row>
    <row r="16" spans="1:21" x14ac:dyDescent="0.25">
      <c r="A16" s="16" t="s">
        <v>190</v>
      </c>
      <c r="B16" s="51">
        <v>1977750</v>
      </c>
      <c r="C16" s="48">
        <v>5.6406175802456458E-2</v>
      </c>
      <c r="E16" s="16" t="s">
        <v>2359</v>
      </c>
      <c r="F16" s="48">
        <v>3.4722222222222224E-2</v>
      </c>
      <c r="H16" s="50" t="s">
        <v>2399</v>
      </c>
      <c r="K16" s="50" t="s">
        <v>2406</v>
      </c>
      <c r="L16" s="61"/>
      <c r="P16" s="54">
        <v>45669.207800925928</v>
      </c>
      <c r="Q16" s="51">
        <v>126000</v>
      </c>
      <c r="T16" s="54">
        <f ca="1"/>
        <v>0</v>
      </c>
      <c r="U16">
        <f ca="1"/>
        <v>0</v>
      </c>
    </row>
    <row r="17" spans="1:21" x14ac:dyDescent="0.25">
      <c r="A17" s="16" t="s">
        <v>75</v>
      </c>
      <c r="B17" s="51">
        <v>1614250</v>
      </c>
      <c r="C17" s="48">
        <v>4.6039018727905619E-2</v>
      </c>
      <c r="E17" s="16" t="s">
        <v>2357</v>
      </c>
      <c r="F17" s="48">
        <v>0.74652777777777779</v>
      </c>
      <c r="H17" s="15" t="s">
        <v>13</v>
      </c>
      <c r="I17" t="s">
        <v>2386</v>
      </c>
      <c r="K17" s="15" t="s">
        <v>14</v>
      </c>
      <c r="L17" s="61" t="s">
        <v>2383</v>
      </c>
      <c r="M17" t="s">
        <v>2391</v>
      </c>
      <c r="P17" s="54">
        <v>45672.579664351855</v>
      </c>
      <c r="Q17" s="51">
        <v>123000</v>
      </c>
      <c r="T17" s="54">
        <f ca="1"/>
        <v>0</v>
      </c>
      <c r="U17">
        <f ca="1"/>
        <v>0</v>
      </c>
    </row>
    <row r="18" spans="1:21" x14ac:dyDescent="0.25">
      <c r="A18" s="16" t="s">
        <v>93</v>
      </c>
      <c r="B18" s="51">
        <v>1517500</v>
      </c>
      <c r="C18" s="48">
        <v>4.3279672243826409E-2</v>
      </c>
      <c r="E18" s="16" t="s">
        <v>2360</v>
      </c>
      <c r="F18" s="48">
        <v>5.2083333333333336E-2</v>
      </c>
      <c r="H18" t="s">
        <v>35</v>
      </c>
      <c r="I18" s="48">
        <v>0.22222222222222221</v>
      </c>
      <c r="K18" t="s">
        <v>2359</v>
      </c>
      <c r="L18" s="61">
        <v>570000</v>
      </c>
      <c r="M18">
        <v>10</v>
      </c>
      <c r="P18" s="54">
        <v>45672.77065972222</v>
      </c>
      <c r="Q18" s="51">
        <v>187500</v>
      </c>
    </row>
    <row r="19" spans="1:21" x14ac:dyDescent="0.25">
      <c r="A19" s="16" t="s">
        <v>81</v>
      </c>
      <c r="B19" s="51">
        <v>1443450</v>
      </c>
      <c r="C19" s="48">
        <v>4.1167738319836063E-2</v>
      </c>
      <c r="E19" s="16" t="s">
        <v>2356</v>
      </c>
      <c r="F19" s="48">
        <v>0.1111111111111111</v>
      </c>
      <c r="H19" t="s">
        <v>63</v>
      </c>
      <c r="I19" s="48">
        <v>0.25694444444444442</v>
      </c>
      <c r="K19" t="s">
        <v>2357</v>
      </c>
      <c r="L19" s="61">
        <v>11534000</v>
      </c>
      <c r="M19">
        <v>215</v>
      </c>
      <c r="P19" s="54">
        <v>45673.124606481484</v>
      </c>
      <c r="Q19" s="51">
        <v>189300</v>
      </c>
    </row>
    <row r="20" spans="1:21" x14ac:dyDescent="0.25">
      <c r="A20" s="16" t="s">
        <v>104</v>
      </c>
      <c r="B20" s="51">
        <v>1347000</v>
      </c>
      <c r="C20" s="48">
        <v>3.8416947948885782E-2</v>
      </c>
      <c r="E20" s="16" t="s">
        <v>2358</v>
      </c>
      <c r="F20" s="48">
        <v>5.5555555555555552E-2</v>
      </c>
      <c r="H20" t="s">
        <v>22</v>
      </c>
      <c r="I20" s="48">
        <v>0.24652777777777779</v>
      </c>
      <c r="K20" t="s">
        <v>2360</v>
      </c>
      <c r="L20" s="61">
        <v>1045000</v>
      </c>
      <c r="M20">
        <v>15</v>
      </c>
      <c r="P20" s="54">
        <v>45673.704085648147</v>
      </c>
      <c r="Q20" s="51">
        <v>206500</v>
      </c>
    </row>
    <row r="21" spans="1:21" x14ac:dyDescent="0.25">
      <c r="A21" s="16" t="s">
        <v>67</v>
      </c>
      <c r="B21" s="51">
        <v>1310500</v>
      </c>
      <c r="C21" s="48">
        <v>3.7375954184866229E-2</v>
      </c>
      <c r="E21" s="16" t="s">
        <v>12</v>
      </c>
      <c r="F21" s="48">
        <v>1</v>
      </c>
      <c r="H21" t="s">
        <v>29</v>
      </c>
      <c r="I21" s="48">
        <v>0.27430555555555558</v>
      </c>
      <c r="K21" t="s">
        <v>2356</v>
      </c>
      <c r="L21" s="61">
        <v>1828000</v>
      </c>
      <c r="M21">
        <v>32</v>
      </c>
      <c r="P21" s="54">
        <v>45674.179270833331</v>
      </c>
      <c r="Q21" s="51">
        <v>113000</v>
      </c>
    </row>
    <row r="22" spans="1:21" x14ac:dyDescent="0.25">
      <c r="A22" s="16" t="s">
        <v>136</v>
      </c>
      <c r="B22" s="51">
        <v>1170000</v>
      </c>
      <c r="C22" s="48">
        <v>3.3368841202818383E-2</v>
      </c>
      <c r="K22" t="s">
        <v>2358</v>
      </c>
      <c r="L22" s="61">
        <v>860000</v>
      </c>
      <c r="M22">
        <v>16</v>
      </c>
      <c r="P22" s="54">
        <v>45674.37940972222</v>
      </c>
      <c r="Q22" s="51">
        <v>113000</v>
      </c>
    </row>
    <row r="23" spans="1:21" x14ac:dyDescent="0.25">
      <c r="A23" s="16" t="s">
        <v>144</v>
      </c>
      <c r="B23" s="51">
        <v>1168000</v>
      </c>
      <c r="C23" s="48">
        <v>3.3311800448625535E-2</v>
      </c>
      <c r="E23" s="50" t="s">
        <v>2405</v>
      </c>
      <c r="H23" s="50" t="s">
        <v>2402</v>
      </c>
      <c r="P23" s="54">
        <v>45674.63821759259</v>
      </c>
      <c r="Q23" s="51">
        <v>102000</v>
      </c>
    </row>
    <row r="24" spans="1:21" x14ac:dyDescent="0.25">
      <c r="A24" s="16" t="s">
        <v>174</v>
      </c>
      <c r="B24" s="51">
        <v>1108000</v>
      </c>
      <c r="C24" s="48">
        <v>3.1600577822839974E-2</v>
      </c>
      <c r="E24" s="15" t="s">
        <v>2374</v>
      </c>
      <c r="F24" t="s">
        <v>2384</v>
      </c>
      <c r="H24" s="15" t="s">
        <v>13</v>
      </c>
      <c r="I24" t="s">
        <v>2386</v>
      </c>
      <c r="P24" s="54">
        <v>45676.824733796297</v>
      </c>
      <c r="Q24" s="51">
        <v>35600</v>
      </c>
    </row>
    <row r="25" spans="1:21" x14ac:dyDescent="0.25">
      <c r="A25" s="16" t="s">
        <v>138</v>
      </c>
      <c r="B25" s="51">
        <v>1071850</v>
      </c>
      <c r="C25" s="48">
        <v>3.0569566190804174E-2</v>
      </c>
      <c r="E25" s="16" t="s">
        <v>2359</v>
      </c>
      <c r="F25">
        <v>10</v>
      </c>
      <c r="H25" t="s">
        <v>35</v>
      </c>
      <c r="I25">
        <v>64</v>
      </c>
      <c r="P25" s="54">
        <v>45677.306423611109</v>
      </c>
      <c r="Q25" s="51">
        <v>273250</v>
      </c>
    </row>
    <row r="26" spans="1:21" x14ac:dyDescent="0.25">
      <c r="A26" s="16" t="s">
        <v>123</v>
      </c>
      <c r="B26" s="51">
        <v>1048000</v>
      </c>
      <c r="C26" s="48">
        <v>2.9889355197054414E-2</v>
      </c>
      <c r="E26" s="16" t="s">
        <v>2357</v>
      </c>
      <c r="F26">
        <v>215</v>
      </c>
      <c r="H26" t="s">
        <v>63</v>
      </c>
      <c r="I26">
        <v>74</v>
      </c>
      <c r="P26" s="54">
        <v>45680.968819444446</v>
      </c>
      <c r="Q26" s="51">
        <v>125000</v>
      </c>
    </row>
    <row r="27" spans="1:21" x14ac:dyDescent="0.25">
      <c r="A27" s="16" t="s">
        <v>38</v>
      </c>
      <c r="B27" s="51">
        <v>1036000</v>
      </c>
      <c r="C27" s="48">
        <v>2.9547110671897303E-2</v>
      </c>
      <c r="E27" s="16" t="s">
        <v>2360</v>
      </c>
      <c r="F27">
        <v>15</v>
      </c>
      <c r="H27" t="s">
        <v>22</v>
      </c>
      <c r="I27">
        <v>71</v>
      </c>
      <c r="P27" s="54">
        <v>45681.394502314812</v>
      </c>
      <c r="Q27" s="51">
        <v>181000</v>
      </c>
    </row>
    <row r="28" spans="1:21" x14ac:dyDescent="0.25">
      <c r="A28" s="16" t="s">
        <v>54</v>
      </c>
      <c r="B28" s="51">
        <v>1009400</v>
      </c>
      <c r="C28" s="48">
        <v>2.8788468641132374E-2</v>
      </c>
      <c r="E28" s="16" t="s">
        <v>2356</v>
      </c>
      <c r="F28">
        <v>32</v>
      </c>
      <c r="H28" t="s">
        <v>29</v>
      </c>
      <c r="I28">
        <v>79</v>
      </c>
      <c r="P28" s="54">
        <v>45681.422662037039</v>
      </c>
      <c r="Q28" s="51">
        <v>242000</v>
      </c>
    </row>
    <row r="29" spans="1:21" x14ac:dyDescent="0.25">
      <c r="A29" s="16" t="s">
        <v>58</v>
      </c>
      <c r="B29" s="51">
        <v>1002600</v>
      </c>
      <c r="C29" s="48">
        <v>2.8594530076876675E-2</v>
      </c>
      <c r="E29" s="16" t="s">
        <v>2358</v>
      </c>
      <c r="F29">
        <v>16</v>
      </c>
      <c r="P29" s="54">
        <v>45681.651539351849</v>
      </c>
      <c r="Q29" s="51">
        <v>138000</v>
      </c>
    </row>
    <row r="30" spans="1:21" x14ac:dyDescent="0.25">
      <c r="A30" s="16" t="s">
        <v>50</v>
      </c>
      <c r="B30" s="51">
        <v>900300</v>
      </c>
      <c r="C30" s="48">
        <v>2.5676895499912301E-2</v>
      </c>
      <c r="E30" s="16" t="s">
        <v>12</v>
      </c>
      <c r="F30">
        <v>288</v>
      </c>
      <c r="P30" s="54">
        <v>45681.946469907409</v>
      </c>
      <c r="Q30" s="51">
        <v>134100</v>
      </c>
    </row>
    <row r="31" spans="1:21" x14ac:dyDescent="0.25">
      <c r="A31" s="16" t="s">
        <v>110</v>
      </c>
      <c r="B31" s="51">
        <v>736600</v>
      </c>
      <c r="C31" s="48">
        <v>2.100810976922737E-2</v>
      </c>
      <c r="P31" s="54">
        <v>45682.091898148145</v>
      </c>
      <c r="Q31" s="51">
        <v>128250</v>
      </c>
    </row>
    <row r="32" spans="1:21" x14ac:dyDescent="0.25">
      <c r="A32" s="16" t="s">
        <v>34</v>
      </c>
      <c r="B32" s="51">
        <v>722600</v>
      </c>
      <c r="C32" s="48">
        <v>2.0608824489877404E-2</v>
      </c>
      <c r="E32" s="46" t="s">
        <v>2403</v>
      </c>
      <c r="F32" s="46"/>
      <c r="G32" s="46"/>
      <c r="P32" s="54">
        <v>45682.301770833335</v>
      </c>
      <c r="Q32" s="51">
        <v>152000</v>
      </c>
    </row>
    <row r="33" spans="1:17" x14ac:dyDescent="0.25">
      <c r="A33" s="16" t="s">
        <v>250</v>
      </c>
      <c r="B33" s="51">
        <v>636900</v>
      </c>
      <c r="C33" s="48">
        <v>1.81646281727137E-2</v>
      </c>
      <c r="E33" s="16"/>
      <c r="F33" s="51"/>
      <c r="G33" s="48"/>
      <c r="P33" s="54">
        <v>45682.525972222225</v>
      </c>
      <c r="Q33" s="51">
        <v>89500</v>
      </c>
    </row>
    <row r="34" spans="1:17" x14ac:dyDescent="0.25">
      <c r="A34" s="16" t="s">
        <v>28</v>
      </c>
      <c r="B34" s="51">
        <v>610250</v>
      </c>
      <c r="C34" s="48">
        <v>1.7404560123093948E-2</v>
      </c>
      <c r="E34" s="15" t="s">
        <v>15</v>
      </c>
      <c r="F34" t="s">
        <v>30</v>
      </c>
      <c r="G34" s="50"/>
      <c r="H34" s="48"/>
      <c r="P34" s="54">
        <v>45684.688935185186</v>
      </c>
      <c r="Q34" s="51">
        <v>158000</v>
      </c>
    </row>
    <row r="35" spans="1:17" x14ac:dyDescent="0.25">
      <c r="A35" s="16" t="s">
        <v>71</v>
      </c>
      <c r="B35" s="51">
        <v>563000</v>
      </c>
      <c r="C35" s="48">
        <v>1.6056972305287822E-2</v>
      </c>
      <c r="E35" s="15" t="s">
        <v>2385</v>
      </c>
      <c r="F35" s="16">
        <v>2025</v>
      </c>
      <c r="G35" s="50"/>
      <c r="H35" s="49"/>
      <c r="P35" s="54">
        <v>45685.353761574072</v>
      </c>
      <c r="Q35" s="51">
        <v>123000</v>
      </c>
    </row>
    <row r="36" spans="1:17" x14ac:dyDescent="0.25">
      <c r="A36" s="16" t="s">
        <v>88</v>
      </c>
      <c r="B36" s="51">
        <v>495800</v>
      </c>
      <c r="C36" s="48">
        <v>1.4140402964407996E-2</v>
      </c>
      <c r="E36" s="21"/>
      <c r="P36" s="54">
        <v>45686.106516203705</v>
      </c>
      <c r="Q36" s="51">
        <v>146000</v>
      </c>
    </row>
    <row r="37" spans="1:17" x14ac:dyDescent="0.25">
      <c r="A37" s="16" t="s">
        <v>41</v>
      </c>
      <c r="B37" s="51">
        <v>495400</v>
      </c>
      <c r="C37" s="48">
        <v>1.4128994813569424E-2</v>
      </c>
      <c r="E37" s="15" t="s">
        <v>2374</v>
      </c>
      <c r="F37" s="61" t="s">
        <v>2375</v>
      </c>
      <c r="G37" t="s">
        <v>2378</v>
      </c>
      <c r="P37" s="54">
        <v>45688.695543981485</v>
      </c>
      <c r="Q37" s="51">
        <v>150200</v>
      </c>
    </row>
    <row r="38" spans="1:17" x14ac:dyDescent="0.25">
      <c r="A38" s="16" t="s">
        <v>12</v>
      </c>
      <c r="B38" s="49">
        <v>35062650</v>
      </c>
      <c r="C38" s="48">
        <v>1</v>
      </c>
      <c r="E38" s="16" t="s">
        <v>45</v>
      </c>
      <c r="F38" s="61">
        <v>2250000</v>
      </c>
      <c r="G38" s="48">
        <v>0.29023831790770421</v>
      </c>
      <c r="P38" s="54">
        <v>45689.042731481481</v>
      </c>
      <c r="Q38" s="51">
        <v>71150</v>
      </c>
    </row>
    <row r="39" spans="1:17" x14ac:dyDescent="0.25">
      <c r="E39" s="16" t="s">
        <v>62</v>
      </c>
      <c r="F39" s="61">
        <v>2498000</v>
      </c>
      <c r="G39" s="48">
        <v>0.32222903028153116</v>
      </c>
      <c r="P39" s="54">
        <v>45689.339363425926</v>
      </c>
      <c r="Q39" s="51">
        <v>134000</v>
      </c>
    </row>
    <row r="40" spans="1:17" x14ac:dyDescent="0.25">
      <c r="E40" s="16" t="s">
        <v>21</v>
      </c>
      <c r="F40" s="61">
        <v>3004250</v>
      </c>
      <c r="G40" s="48">
        <v>0.38753265181076463</v>
      </c>
      <c r="P40" s="54">
        <v>45689.554756944446</v>
      </c>
      <c r="Q40" s="51">
        <v>129000</v>
      </c>
    </row>
    <row r="41" spans="1:17" x14ac:dyDescent="0.25">
      <c r="E41" s="16" t="s">
        <v>12</v>
      </c>
      <c r="F41" s="61">
        <v>7752250</v>
      </c>
      <c r="G41" s="48">
        <v>1</v>
      </c>
      <c r="P41" s="54">
        <v>45692.066134259258</v>
      </c>
      <c r="Q41" s="51">
        <v>114750</v>
      </c>
    </row>
    <row r="42" spans="1:17" x14ac:dyDescent="0.25">
      <c r="P42" s="54">
        <v>45693.053726851853</v>
      </c>
      <c r="Q42" s="51">
        <v>56750</v>
      </c>
    </row>
    <row r="43" spans="1:17" x14ac:dyDescent="0.25">
      <c r="P43" s="54">
        <v>45693.457546296297</v>
      </c>
      <c r="Q43" s="51">
        <v>90200</v>
      </c>
    </row>
    <row r="44" spans="1:17" x14ac:dyDescent="0.25">
      <c r="P44" s="54">
        <v>45693.717557870368</v>
      </c>
      <c r="Q44" s="51">
        <v>92000</v>
      </c>
    </row>
    <row r="45" spans="1:17" x14ac:dyDescent="0.25">
      <c r="P45" s="54">
        <v>45695.963761574072</v>
      </c>
      <c r="Q45" s="51">
        <v>124500</v>
      </c>
    </row>
    <row r="46" spans="1:17" x14ac:dyDescent="0.25">
      <c r="P46" s="54">
        <v>45698.775995370372</v>
      </c>
      <c r="Q46" s="51">
        <v>39600</v>
      </c>
    </row>
    <row r="47" spans="1:17" x14ac:dyDescent="0.25">
      <c r="P47" s="54">
        <v>45701.299745370372</v>
      </c>
      <c r="Q47" s="51">
        <v>115000</v>
      </c>
    </row>
    <row r="48" spans="1:17" x14ac:dyDescent="0.25">
      <c r="P48" s="54">
        <v>45701.521331018521</v>
      </c>
      <c r="Q48" s="51">
        <v>126400</v>
      </c>
    </row>
    <row r="49" spans="16:17" x14ac:dyDescent="0.25">
      <c r="P49" s="54">
        <v>45702.578518518516</v>
      </c>
      <c r="Q49" s="51">
        <v>100800</v>
      </c>
    </row>
    <row r="50" spans="16:17" x14ac:dyDescent="0.25">
      <c r="P50" s="54">
        <v>45703.613344907404</v>
      </c>
      <c r="Q50" s="51">
        <v>84200</v>
      </c>
    </row>
    <row r="51" spans="16:17" x14ac:dyDescent="0.25">
      <c r="P51" s="54">
        <v>45703.924745370372</v>
      </c>
      <c r="Q51" s="51">
        <v>41600</v>
      </c>
    </row>
    <row r="52" spans="16:17" x14ac:dyDescent="0.25">
      <c r="P52" s="54">
        <v>45711.494050925925</v>
      </c>
      <c r="Q52" s="51">
        <v>166750</v>
      </c>
    </row>
    <row r="53" spans="16:17" x14ac:dyDescent="0.25">
      <c r="P53" s="54">
        <v>45711.808391203704</v>
      </c>
      <c r="Q53" s="51">
        <v>70800</v>
      </c>
    </row>
    <row r="54" spans="16:17" x14ac:dyDescent="0.25">
      <c r="P54" s="54">
        <v>45712.117476851854</v>
      </c>
      <c r="Q54" s="51">
        <v>121000</v>
      </c>
    </row>
    <row r="55" spans="16:17" x14ac:dyDescent="0.25">
      <c r="P55" s="54">
        <v>45713.314629629633</v>
      </c>
      <c r="Q55" s="51">
        <v>89200</v>
      </c>
    </row>
    <row r="56" spans="16:17" x14ac:dyDescent="0.25">
      <c r="P56" s="54">
        <v>45713.395243055558</v>
      </c>
      <c r="Q56" s="51">
        <v>155000</v>
      </c>
    </row>
    <row r="57" spans="16:17" x14ac:dyDescent="0.25">
      <c r="P57" s="54">
        <v>45714.426736111112</v>
      </c>
      <c r="Q57" s="51">
        <v>250000</v>
      </c>
    </row>
    <row r="58" spans="16:17" x14ac:dyDescent="0.25">
      <c r="P58" s="54">
        <v>45715.552372685182</v>
      </c>
      <c r="Q58" s="51">
        <v>244500</v>
      </c>
    </row>
    <row r="59" spans="16:17" x14ac:dyDescent="0.25">
      <c r="P59" s="54">
        <v>45716.888009259259</v>
      </c>
      <c r="Q59" s="51">
        <v>100000</v>
      </c>
    </row>
    <row r="60" spans="16:17" x14ac:dyDescent="0.25">
      <c r="P60" s="54">
        <v>45717.271678240744</v>
      </c>
      <c r="Q60" s="51">
        <v>220000</v>
      </c>
    </row>
    <row r="61" spans="16:17" x14ac:dyDescent="0.25">
      <c r="P61" s="54">
        <v>45718.775312500002</v>
      </c>
      <c r="Q61" s="51">
        <v>38000</v>
      </c>
    </row>
    <row r="62" spans="16:17" x14ac:dyDescent="0.25">
      <c r="P62" s="54">
        <v>45718.805578703701</v>
      </c>
      <c r="Q62" s="51">
        <v>31300</v>
      </c>
    </row>
    <row r="63" spans="16:17" x14ac:dyDescent="0.25">
      <c r="P63" s="54">
        <v>45720.294849537036</v>
      </c>
      <c r="Q63" s="51">
        <v>77000</v>
      </c>
    </row>
    <row r="64" spans="16:17" x14ac:dyDescent="0.25">
      <c r="P64" s="54">
        <v>45721.00445601852</v>
      </c>
      <c r="Q64" s="51">
        <v>104000</v>
      </c>
    </row>
    <row r="65" spans="16:17" x14ac:dyDescent="0.25">
      <c r="P65" s="54">
        <v>45721.439282407409</v>
      </c>
      <c r="Q65" s="51">
        <v>102000</v>
      </c>
    </row>
    <row r="66" spans="16:17" x14ac:dyDescent="0.25">
      <c r="P66" s="54">
        <v>45723.540567129632</v>
      </c>
      <c r="Q66" s="51">
        <v>84000</v>
      </c>
    </row>
    <row r="67" spans="16:17" x14ac:dyDescent="0.25">
      <c r="P67" s="54">
        <v>45725.128101851849</v>
      </c>
      <c r="Q67" s="51">
        <v>106400</v>
      </c>
    </row>
    <row r="68" spans="16:17" x14ac:dyDescent="0.25">
      <c r="P68" s="54">
        <v>45725.204328703701</v>
      </c>
      <c r="Q68" s="51">
        <v>94200</v>
      </c>
    </row>
    <row r="69" spans="16:17" x14ac:dyDescent="0.25">
      <c r="P69" s="54">
        <v>45725.740613425929</v>
      </c>
      <c r="Q69" s="51">
        <v>187000</v>
      </c>
    </row>
    <row r="70" spans="16:17" x14ac:dyDescent="0.25">
      <c r="P70" s="54">
        <v>45726.272233796299</v>
      </c>
      <c r="Q70" s="51">
        <v>71200</v>
      </c>
    </row>
    <row r="71" spans="16:17" x14ac:dyDescent="0.25">
      <c r="P71" s="54">
        <v>45726.9840625</v>
      </c>
      <c r="Q71" s="51">
        <v>113000</v>
      </c>
    </row>
    <row r="72" spans="16:17" x14ac:dyDescent="0.25">
      <c r="P72" s="54">
        <v>45729.425821759258</v>
      </c>
      <c r="Q72" s="51">
        <v>120000</v>
      </c>
    </row>
    <row r="73" spans="16:17" x14ac:dyDescent="0.25">
      <c r="P73" s="54">
        <v>45730.360902777778</v>
      </c>
      <c r="Q73" s="51">
        <v>190000</v>
      </c>
    </row>
    <row r="74" spans="16:17" x14ac:dyDescent="0.25">
      <c r="P74" s="54">
        <v>45732.265682870369</v>
      </c>
      <c r="Q74" s="51">
        <v>76000</v>
      </c>
    </row>
    <row r="75" spans="16:17" x14ac:dyDescent="0.25">
      <c r="P75" s="54">
        <v>45732.344641203701</v>
      </c>
      <c r="Q75" s="51">
        <v>129400</v>
      </c>
    </row>
    <row r="76" spans="16:17" x14ac:dyDescent="0.25">
      <c r="P76" s="54">
        <v>45733.356956018521</v>
      </c>
      <c r="Q76" s="51">
        <v>204250</v>
      </c>
    </row>
    <row r="77" spans="16:17" x14ac:dyDescent="0.25">
      <c r="P77" s="54">
        <v>45734.5075</v>
      </c>
      <c r="Q77" s="51">
        <v>286500</v>
      </c>
    </row>
    <row r="78" spans="16:17" x14ac:dyDescent="0.25">
      <c r="P78" s="54">
        <v>45735.5234837963</v>
      </c>
      <c r="Q78" s="51">
        <v>103000</v>
      </c>
    </row>
    <row r="79" spans="16:17" x14ac:dyDescent="0.25">
      <c r="P79" s="54">
        <v>45736.322326388887</v>
      </c>
      <c r="Q79" s="51">
        <v>106000</v>
      </c>
    </row>
    <row r="80" spans="16:17" x14ac:dyDescent="0.25">
      <c r="P80" s="54">
        <v>45736.6719212963</v>
      </c>
      <c r="Q80" s="51">
        <v>185000</v>
      </c>
    </row>
    <row r="81" spans="16:17" x14ac:dyDescent="0.25">
      <c r="P81" s="54">
        <v>45736.849074074074</v>
      </c>
      <c r="Q81" s="51">
        <v>117000</v>
      </c>
    </row>
    <row r="82" spans="16:17" x14ac:dyDescent="0.25">
      <c r="P82" s="54">
        <v>45737.262083333335</v>
      </c>
      <c r="Q82" s="51">
        <v>44750</v>
      </c>
    </row>
    <row r="83" spans="16:17" x14ac:dyDescent="0.25">
      <c r="P83" s="54">
        <v>45738.016157407408</v>
      </c>
      <c r="Q83" s="51">
        <v>27000</v>
      </c>
    </row>
    <row r="84" spans="16:17" x14ac:dyDescent="0.25">
      <c r="P84" s="54">
        <v>45739.073599537034</v>
      </c>
      <c r="Q84" s="51">
        <v>205750</v>
      </c>
    </row>
    <row r="85" spans="16:17" x14ac:dyDescent="0.25">
      <c r="P85" s="54">
        <v>45741.629004629627</v>
      </c>
      <c r="Q85" s="51">
        <v>121600</v>
      </c>
    </row>
    <row r="86" spans="16:17" x14ac:dyDescent="0.25">
      <c r="P86" s="54">
        <v>45743.070451388892</v>
      </c>
      <c r="Q86" s="51">
        <v>143000</v>
      </c>
    </row>
    <row r="87" spans="16:17" x14ac:dyDescent="0.25">
      <c r="P87" s="54">
        <v>45743.153726851851</v>
      </c>
      <c r="Q87" s="51">
        <v>35000</v>
      </c>
    </row>
    <row r="88" spans="16:17" x14ac:dyDescent="0.25">
      <c r="P88" s="54">
        <v>45743.376828703702</v>
      </c>
      <c r="Q88" s="51">
        <v>179750</v>
      </c>
    </row>
    <row r="89" spans="16:17" x14ac:dyDescent="0.25">
      <c r="P89" s="54">
        <v>45743.454618055555</v>
      </c>
      <c r="Q89" s="51">
        <v>87200</v>
      </c>
    </row>
    <row r="90" spans="16:17" x14ac:dyDescent="0.25">
      <c r="P90" s="54">
        <v>45743.784884259258</v>
      </c>
      <c r="Q90" s="51">
        <v>192750</v>
      </c>
    </row>
    <row r="91" spans="16:17" x14ac:dyDescent="0.25">
      <c r="P91" s="54">
        <v>45745.329351851855</v>
      </c>
      <c r="Q91" s="51">
        <v>100200</v>
      </c>
    </row>
    <row r="92" spans="16:17" x14ac:dyDescent="0.25">
      <c r="P92" s="54">
        <v>45748.264421296299</v>
      </c>
      <c r="Q92" s="51">
        <v>87000</v>
      </c>
    </row>
    <row r="93" spans="16:17" x14ac:dyDescent="0.25">
      <c r="P93" s="54">
        <v>45748.499374999999</v>
      </c>
      <c r="Q93" s="51">
        <v>53000</v>
      </c>
    </row>
    <row r="94" spans="16:17" x14ac:dyDescent="0.25">
      <c r="P94" s="54">
        <v>45748.5153587963</v>
      </c>
      <c r="Q94" s="51">
        <v>113700</v>
      </c>
    </row>
    <row r="95" spans="16:17" x14ac:dyDescent="0.25">
      <c r="P95" s="54">
        <v>45749.739803240744</v>
      </c>
      <c r="Q95" s="51">
        <v>200000</v>
      </c>
    </row>
    <row r="96" spans="16:17" x14ac:dyDescent="0.25">
      <c r="P96" s="54">
        <v>45750.200752314813</v>
      </c>
      <c r="Q96" s="51">
        <v>80500</v>
      </c>
    </row>
    <row r="97" spans="16:17" x14ac:dyDescent="0.25">
      <c r="P97" s="54">
        <v>45751.327152777776</v>
      </c>
      <c r="Q97" s="51">
        <v>131250</v>
      </c>
    </row>
    <row r="98" spans="16:17" x14ac:dyDescent="0.25">
      <c r="P98" s="54">
        <v>45751.964918981481</v>
      </c>
      <c r="Q98" s="51">
        <v>196000</v>
      </c>
    </row>
    <row r="99" spans="16:17" x14ac:dyDescent="0.25">
      <c r="P99" s="54">
        <v>45754.476412037038</v>
      </c>
      <c r="Q99" s="51">
        <v>116750</v>
      </c>
    </row>
    <row r="100" spans="16:17" x14ac:dyDescent="0.25">
      <c r="P100" s="54">
        <v>45755.440636574072</v>
      </c>
      <c r="Q100" s="51">
        <v>85500</v>
      </c>
    </row>
    <row r="101" spans="16:17" x14ac:dyDescent="0.25">
      <c r="P101" s="54">
        <v>45757.552777777775</v>
      </c>
      <c r="Q101" s="51">
        <v>86400</v>
      </c>
    </row>
    <row r="102" spans="16:17" x14ac:dyDescent="0.25">
      <c r="P102" s="54">
        <v>45758.120034722226</v>
      </c>
      <c r="Q102" s="51">
        <v>82400</v>
      </c>
    </row>
    <row r="103" spans="16:17" x14ac:dyDescent="0.25">
      <c r="P103" s="54">
        <v>45760.76048611111</v>
      </c>
      <c r="Q103" s="51">
        <v>64200</v>
      </c>
    </row>
    <row r="104" spans="16:17" x14ac:dyDescent="0.25">
      <c r="P104" s="54">
        <v>45762.365925925929</v>
      </c>
      <c r="Q104" s="51">
        <v>271000</v>
      </c>
    </row>
    <row r="105" spans="16:17" x14ac:dyDescent="0.25">
      <c r="P105" s="54">
        <v>45763.149722222224</v>
      </c>
      <c r="Q105" s="51">
        <v>140000</v>
      </c>
    </row>
    <row r="106" spans="16:17" x14ac:dyDescent="0.25">
      <c r="P106" s="54">
        <v>45763.371516203704</v>
      </c>
      <c r="Q106" s="51">
        <v>59500</v>
      </c>
    </row>
    <row r="107" spans="16:17" x14ac:dyDescent="0.25">
      <c r="P107" s="54">
        <v>45764.948333333334</v>
      </c>
      <c r="Q107" s="51">
        <v>111000</v>
      </c>
    </row>
    <row r="108" spans="16:17" x14ac:dyDescent="0.25">
      <c r="P108" s="54">
        <v>45765.387916666667</v>
      </c>
      <c r="Q108" s="51">
        <v>86000</v>
      </c>
    </row>
    <row r="109" spans="16:17" x14ac:dyDescent="0.25">
      <c r="P109" s="54">
        <v>45765.740231481483</v>
      </c>
      <c r="Q109" s="51">
        <v>53500</v>
      </c>
    </row>
    <row r="110" spans="16:17" x14ac:dyDescent="0.25">
      <c r="P110" s="54">
        <v>45766.156759259262</v>
      </c>
      <c r="Q110" s="51">
        <v>135000</v>
      </c>
    </row>
    <row r="111" spans="16:17" x14ac:dyDescent="0.25">
      <c r="P111" s="54">
        <v>45767.8983912037</v>
      </c>
      <c r="Q111" s="51">
        <v>110300</v>
      </c>
    </row>
    <row r="112" spans="16:17" x14ac:dyDescent="0.25">
      <c r="P112" s="54">
        <v>45769.384467592594</v>
      </c>
      <c r="Q112" s="51">
        <v>31500</v>
      </c>
    </row>
    <row r="113" spans="16:17" x14ac:dyDescent="0.25">
      <c r="P113" s="54">
        <v>45770.838750000003</v>
      </c>
      <c r="Q113" s="51">
        <v>177000</v>
      </c>
    </row>
    <row r="114" spans="16:17" x14ac:dyDescent="0.25">
      <c r="P114" s="54">
        <v>45772.230312500003</v>
      </c>
      <c r="Q114" s="51">
        <v>62200</v>
      </c>
    </row>
    <row r="115" spans="16:17" x14ac:dyDescent="0.25">
      <c r="P115" s="54">
        <v>45772.479386574072</v>
      </c>
      <c r="Q115" s="51">
        <v>125000</v>
      </c>
    </row>
    <row r="116" spans="16:17" x14ac:dyDescent="0.25">
      <c r="P116" s="54">
        <v>45772.681875000002</v>
      </c>
      <c r="Q116" s="51">
        <v>102000</v>
      </c>
    </row>
    <row r="117" spans="16:17" x14ac:dyDescent="0.25">
      <c r="P117" s="54">
        <v>45773.874652777777</v>
      </c>
      <c r="Q117" s="51">
        <v>148000</v>
      </c>
    </row>
    <row r="118" spans="16:17" x14ac:dyDescent="0.25">
      <c r="P118" s="54">
        <v>45774.19327546296</v>
      </c>
      <c r="Q118" s="51">
        <v>92350</v>
      </c>
    </row>
    <row r="119" spans="16:17" x14ac:dyDescent="0.25">
      <c r="P119" s="54">
        <v>45776.06050925926</v>
      </c>
      <c r="Q119" s="51">
        <v>165750</v>
      </c>
    </row>
    <row r="120" spans="16:17" x14ac:dyDescent="0.25">
      <c r="P120" s="54">
        <v>45778.814942129633</v>
      </c>
      <c r="Q120" s="51">
        <v>41600</v>
      </c>
    </row>
    <row r="121" spans="16:17" x14ac:dyDescent="0.25">
      <c r="P121" s="54">
        <v>45779.146724537037</v>
      </c>
      <c r="Q121" s="51">
        <v>221000</v>
      </c>
    </row>
    <row r="122" spans="16:17" x14ac:dyDescent="0.25">
      <c r="P122" s="54">
        <v>45780.730775462966</v>
      </c>
      <c r="Q122" s="51">
        <v>113000</v>
      </c>
    </row>
    <row r="123" spans="16:17" x14ac:dyDescent="0.25">
      <c r="P123" s="54">
        <v>45781.263715277775</v>
      </c>
      <c r="Q123" s="51">
        <v>9000</v>
      </c>
    </row>
    <row r="124" spans="16:17" x14ac:dyDescent="0.25">
      <c r="P124" s="54">
        <v>45781.498402777775</v>
      </c>
      <c r="Q124" s="51">
        <v>269750</v>
      </c>
    </row>
    <row r="125" spans="16:17" x14ac:dyDescent="0.25">
      <c r="P125" s="54">
        <v>45781.657546296294</v>
      </c>
      <c r="Q125" s="51">
        <v>159000</v>
      </c>
    </row>
    <row r="126" spans="16:17" x14ac:dyDescent="0.25">
      <c r="P126" s="54">
        <v>45782.513668981483</v>
      </c>
      <c r="Q126" s="51">
        <v>81500</v>
      </c>
    </row>
    <row r="127" spans="16:17" x14ac:dyDescent="0.25">
      <c r="P127" s="54">
        <v>45783.322337962964</v>
      </c>
      <c r="Q127" s="51">
        <v>48000</v>
      </c>
    </row>
    <row r="128" spans="16:17" x14ac:dyDescent="0.25">
      <c r="P128" s="54">
        <v>45783.414594907408</v>
      </c>
      <c r="Q128" s="51">
        <v>129750</v>
      </c>
    </row>
    <row r="129" spans="16:17" x14ac:dyDescent="0.25">
      <c r="P129" s="54">
        <v>45785.138206018521</v>
      </c>
      <c r="Q129" s="51">
        <v>88000</v>
      </c>
    </row>
    <row r="130" spans="16:17" x14ac:dyDescent="0.25">
      <c r="P130" s="54">
        <v>45785.866412037038</v>
      </c>
      <c r="Q130" s="51">
        <v>89250</v>
      </c>
    </row>
    <row r="131" spans="16:17" x14ac:dyDescent="0.25">
      <c r="P131" s="54">
        <v>45785.898449074077</v>
      </c>
      <c r="Q131" s="51">
        <v>197500</v>
      </c>
    </row>
    <row r="132" spans="16:17" x14ac:dyDescent="0.25">
      <c r="P132" s="54">
        <v>45786.465185185189</v>
      </c>
      <c r="Q132" s="51">
        <v>216000</v>
      </c>
    </row>
    <row r="133" spans="16:17" x14ac:dyDescent="0.25">
      <c r="P133" s="54">
        <v>45786.793541666666</v>
      </c>
      <c r="Q133" s="51">
        <v>87300</v>
      </c>
    </row>
    <row r="134" spans="16:17" x14ac:dyDescent="0.25">
      <c r="P134" s="54">
        <v>45786.961157407408</v>
      </c>
      <c r="Q134" s="51">
        <v>145000</v>
      </c>
    </row>
    <row r="135" spans="16:17" x14ac:dyDescent="0.25">
      <c r="P135" s="54">
        <v>45787.442708333336</v>
      </c>
      <c r="Q135" s="51">
        <v>77500</v>
      </c>
    </row>
    <row r="136" spans="16:17" x14ac:dyDescent="0.25">
      <c r="P136" s="54">
        <v>45787.513912037037</v>
      </c>
      <c r="Q136" s="51">
        <v>58000</v>
      </c>
    </row>
    <row r="137" spans="16:17" x14ac:dyDescent="0.25">
      <c r="P137" s="54">
        <v>45788.352199074077</v>
      </c>
      <c r="Q137" s="51">
        <v>114800</v>
      </c>
    </row>
    <row r="138" spans="16:17" x14ac:dyDescent="0.25">
      <c r="P138" s="54">
        <v>45789.765416666669</v>
      </c>
      <c r="Q138" s="51">
        <v>176250</v>
      </c>
    </row>
    <row r="139" spans="16:17" x14ac:dyDescent="0.25">
      <c r="P139" s="54">
        <v>45791.301724537036</v>
      </c>
      <c r="Q139" s="51">
        <v>97600</v>
      </c>
    </row>
    <row r="140" spans="16:17" x14ac:dyDescent="0.25">
      <c r="P140" s="54">
        <v>45791.439097222225</v>
      </c>
      <c r="Q140" s="51">
        <v>88600</v>
      </c>
    </row>
    <row r="141" spans="16:17" x14ac:dyDescent="0.25">
      <c r="P141" s="54">
        <v>45791.52002314815</v>
      </c>
      <c r="Q141" s="51">
        <v>100000</v>
      </c>
    </row>
    <row r="142" spans="16:17" x14ac:dyDescent="0.25">
      <c r="P142" s="54">
        <v>45792.569108796299</v>
      </c>
      <c r="Q142" s="51">
        <v>183000</v>
      </c>
    </row>
    <row r="143" spans="16:17" x14ac:dyDescent="0.25">
      <c r="P143" s="54">
        <v>45793.745891203704</v>
      </c>
      <c r="Q143" s="51">
        <v>120200</v>
      </c>
    </row>
    <row r="144" spans="16:17" x14ac:dyDescent="0.25">
      <c r="P144" s="54">
        <v>45794.592037037037</v>
      </c>
      <c r="Q144" s="51">
        <v>112000</v>
      </c>
    </row>
    <row r="145" spans="16:17" x14ac:dyDescent="0.25">
      <c r="P145" s="54">
        <v>45794.908113425925</v>
      </c>
      <c r="Q145" s="51">
        <v>202000</v>
      </c>
    </row>
    <row r="146" spans="16:17" x14ac:dyDescent="0.25">
      <c r="P146" s="54">
        <v>45795.617013888892</v>
      </c>
      <c r="Q146" s="51">
        <v>117300</v>
      </c>
    </row>
    <row r="147" spans="16:17" x14ac:dyDescent="0.25">
      <c r="P147" s="54">
        <v>45795.916666666664</v>
      </c>
      <c r="Q147" s="51">
        <v>136300</v>
      </c>
    </row>
    <row r="148" spans="16:17" x14ac:dyDescent="0.25">
      <c r="P148" s="54">
        <v>45797.735833333332</v>
      </c>
      <c r="Q148" s="51">
        <v>56000</v>
      </c>
    </row>
    <row r="149" spans="16:17" x14ac:dyDescent="0.25">
      <c r="P149" s="54">
        <v>45797.861261574071</v>
      </c>
      <c r="Q149" s="51">
        <v>51000</v>
      </c>
    </row>
    <row r="150" spans="16:17" x14ac:dyDescent="0.25">
      <c r="P150" s="54">
        <v>45798.410138888888</v>
      </c>
      <c r="Q150" s="51">
        <v>110400</v>
      </c>
    </row>
    <row r="151" spans="16:17" x14ac:dyDescent="0.25">
      <c r="P151" s="54">
        <v>45798.515902777777</v>
      </c>
      <c r="Q151" s="51">
        <v>97000</v>
      </c>
    </row>
    <row r="152" spans="16:17" x14ac:dyDescent="0.25">
      <c r="P152" s="54">
        <v>45798.735196759262</v>
      </c>
      <c r="Q152" s="51">
        <v>71500</v>
      </c>
    </row>
    <row r="153" spans="16:17" x14ac:dyDescent="0.25">
      <c r="P153" s="54">
        <v>45803.139768518522</v>
      </c>
      <c r="Q153" s="51">
        <v>86000</v>
      </c>
    </row>
    <row r="154" spans="16:17" x14ac:dyDescent="0.25">
      <c r="P154" s="54">
        <v>45804.123182870368</v>
      </c>
      <c r="Q154" s="51">
        <v>56000</v>
      </c>
    </row>
    <row r="155" spans="16:17" x14ac:dyDescent="0.25">
      <c r="P155" s="54">
        <v>45805.645462962966</v>
      </c>
      <c r="Q155" s="51">
        <v>108500</v>
      </c>
    </row>
    <row r="156" spans="16:17" x14ac:dyDescent="0.25">
      <c r="P156" s="54">
        <v>45807.876099537039</v>
      </c>
      <c r="Q156" s="51">
        <v>145000</v>
      </c>
    </row>
    <row r="157" spans="16:17" x14ac:dyDescent="0.25">
      <c r="P157" s="54">
        <v>45808.593981481485</v>
      </c>
      <c r="Q157" s="51">
        <v>238000</v>
      </c>
    </row>
    <row r="158" spans="16:17" x14ac:dyDescent="0.25">
      <c r="P158" s="54">
        <v>45809.503657407404</v>
      </c>
      <c r="Q158" s="51">
        <v>201750</v>
      </c>
    </row>
    <row r="159" spans="16:17" x14ac:dyDescent="0.25">
      <c r="P159" s="54">
        <v>45810.018136574072</v>
      </c>
      <c r="Q159" s="51">
        <v>174000</v>
      </c>
    </row>
    <row r="160" spans="16:17" x14ac:dyDescent="0.25">
      <c r="P160" s="54">
        <v>45810.365717592591</v>
      </c>
      <c r="Q160" s="51">
        <v>137200</v>
      </c>
    </row>
    <row r="161" spans="16:17" x14ac:dyDescent="0.25">
      <c r="P161" s="54">
        <v>45811.243773148148</v>
      </c>
      <c r="Q161" s="51">
        <v>157000</v>
      </c>
    </row>
    <row r="162" spans="16:17" x14ac:dyDescent="0.25">
      <c r="P162" s="54">
        <v>45812.405717592592</v>
      </c>
      <c r="Q162" s="51">
        <v>141000</v>
      </c>
    </row>
    <row r="163" spans="16:17" x14ac:dyDescent="0.25">
      <c r="P163" s="54">
        <v>45812.512685185182</v>
      </c>
      <c r="Q163" s="51">
        <v>42400</v>
      </c>
    </row>
    <row r="164" spans="16:17" x14ac:dyDescent="0.25">
      <c r="P164" s="54">
        <v>45813.315138888887</v>
      </c>
      <c r="Q164" s="51">
        <v>176000</v>
      </c>
    </row>
    <row r="165" spans="16:17" x14ac:dyDescent="0.25">
      <c r="P165" s="54">
        <v>45813.554722222223</v>
      </c>
      <c r="Q165" s="51">
        <v>138000</v>
      </c>
    </row>
    <row r="166" spans="16:17" x14ac:dyDescent="0.25">
      <c r="P166" s="54">
        <v>45815.65730324074</v>
      </c>
      <c r="Q166" s="51">
        <v>110400</v>
      </c>
    </row>
    <row r="167" spans="16:17" x14ac:dyDescent="0.25">
      <c r="P167" s="54">
        <v>45815.708148148151</v>
      </c>
      <c r="Q167" s="51">
        <v>69900</v>
      </c>
    </row>
    <row r="168" spans="16:17" x14ac:dyDescent="0.25">
      <c r="P168" s="54">
        <v>45816.723530092589</v>
      </c>
      <c r="Q168" s="51">
        <v>83000</v>
      </c>
    </row>
    <row r="169" spans="16:17" x14ac:dyDescent="0.25">
      <c r="P169" s="54">
        <v>45816.932210648149</v>
      </c>
      <c r="Q169" s="51">
        <v>42600</v>
      </c>
    </row>
    <row r="170" spans="16:17" x14ac:dyDescent="0.25">
      <c r="P170" s="54">
        <v>45817.542569444442</v>
      </c>
      <c r="Q170" s="51">
        <v>155000</v>
      </c>
    </row>
    <row r="171" spans="16:17" x14ac:dyDescent="0.25">
      <c r="P171" s="54">
        <v>45818.487604166665</v>
      </c>
      <c r="Q171" s="51">
        <v>182000</v>
      </c>
    </row>
    <row r="172" spans="16:17" x14ac:dyDescent="0.25">
      <c r="P172" s="54">
        <v>45820.572245370371</v>
      </c>
      <c r="Q172" s="51">
        <v>171000</v>
      </c>
    </row>
    <row r="173" spans="16:17" x14ac:dyDescent="0.25">
      <c r="P173" s="54">
        <v>45821.155428240738</v>
      </c>
      <c r="Q173" s="51">
        <v>300600</v>
      </c>
    </row>
    <row r="174" spans="16:17" x14ac:dyDescent="0.25">
      <c r="P174" s="54">
        <v>45821.869247685187</v>
      </c>
      <c r="Q174" s="51">
        <v>56800</v>
      </c>
    </row>
    <row r="175" spans="16:17" x14ac:dyDescent="0.25">
      <c r="P175" s="54">
        <v>45822.294039351851</v>
      </c>
      <c r="Q175" s="51">
        <v>162050</v>
      </c>
    </row>
    <row r="176" spans="16:17" x14ac:dyDescent="0.25">
      <c r="P176" s="54">
        <v>45823.082731481481</v>
      </c>
      <c r="Q176" s="51">
        <v>142500</v>
      </c>
    </row>
    <row r="177" spans="16:17" x14ac:dyDescent="0.25">
      <c r="P177" s="54">
        <v>45824.400405092594</v>
      </c>
      <c r="Q177" s="51">
        <v>245750</v>
      </c>
    </row>
    <row r="178" spans="16:17" x14ac:dyDescent="0.25">
      <c r="P178" s="54">
        <v>45824.939189814817</v>
      </c>
      <c r="Q178" s="51">
        <v>194250</v>
      </c>
    </row>
    <row r="179" spans="16:17" x14ac:dyDescent="0.25">
      <c r="P179" s="54">
        <v>45825.424328703702</v>
      </c>
      <c r="Q179" s="51">
        <v>114000</v>
      </c>
    </row>
    <row r="180" spans="16:17" x14ac:dyDescent="0.25">
      <c r="P180" s="54">
        <v>45826.315011574072</v>
      </c>
      <c r="Q180" s="51">
        <v>229500</v>
      </c>
    </row>
    <row r="181" spans="16:17" x14ac:dyDescent="0.25">
      <c r="P181" s="54">
        <v>45826.692928240744</v>
      </c>
      <c r="Q181" s="51">
        <v>123000</v>
      </c>
    </row>
    <row r="182" spans="16:17" x14ac:dyDescent="0.25">
      <c r="P182" s="54">
        <v>45826.736527777779</v>
      </c>
      <c r="Q182" s="51">
        <v>113000</v>
      </c>
    </row>
    <row r="183" spans="16:17" x14ac:dyDescent="0.25">
      <c r="P183" s="54">
        <v>45828.014074074075</v>
      </c>
      <c r="Q183" s="51">
        <v>110600</v>
      </c>
    </row>
    <row r="184" spans="16:17" x14ac:dyDescent="0.25">
      <c r="P184" s="54">
        <v>45828.168564814812</v>
      </c>
      <c r="Q184" s="51">
        <v>128000</v>
      </c>
    </row>
    <row r="185" spans="16:17" x14ac:dyDescent="0.25">
      <c r="P185" s="54">
        <v>45829.202673611115</v>
      </c>
      <c r="Q185" s="51">
        <v>98400</v>
      </c>
    </row>
    <row r="186" spans="16:17" x14ac:dyDescent="0.25">
      <c r="P186" s="54">
        <v>45829.607395833336</v>
      </c>
      <c r="Q186" s="51">
        <v>118000</v>
      </c>
    </row>
    <row r="187" spans="16:17" x14ac:dyDescent="0.25">
      <c r="P187" s="54">
        <v>45830.227199074077</v>
      </c>
      <c r="Q187" s="51">
        <v>268000</v>
      </c>
    </row>
    <row r="188" spans="16:17" x14ac:dyDescent="0.25">
      <c r="P188" s="54">
        <v>45830.581990740742</v>
      </c>
      <c r="Q188" s="51">
        <v>105600</v>
      </c>
    </row>
    <row r="189" spans="16:17" x14ac:dyDescent="0.25">
      <c r="P189" s="54">
        <v>45830.878240740742</v>
      </c>
      <c r="Q189" s="51">
        <v>111000</v>
      </c>
    </row>
    <row r="190" spans="16:17" x14ac:dyDescent="0.25">
      <c r="P190" s="54">
        <v>45832.112662037034</v>
      </c>
      <c r="Q190" s="51">
        <v>115900</v>
      </c>
    </row>
    <row r="191" spans="16:17" x14ac:dyDescent="0.25">
      <c r="P191" s="54">
        <v>45835.8749537037</v>
      </c>
      <c r="Q191" s="51">
        <v>105000</v>
      </c>
    </row>
    <row r="192" spans="16:17" x14ac:dyDescent="0.25">
      <c r="P192" s="54">
        <v>45840.9059375</v>
      </c>
      <c r="Q192" s="51">
        <v>96200</v>
      </c>
    </row>
    <row r="193" spans="16:17" x14ac:dyDescent="0.25">
      <c r="P193" s="54">
        <v>45841.462708333333</v>
      </c>
      <c r="Q193" s="51">
        <v>94400</v>
      </c>
    </row>
    <row r="194" spans="16:17" x14ac:dyDescent="0.25">
      <c r="P194" s="54">
        <v>45842.011111111111</v>
      </c>
      <c r="Q194" s="51">
        <v>193000</v>
      </c>
    </row>
    <row r="195" spans="16:17" x14ac:dyDescent="0.25">
      <c r="P195" s="54">
        <v>45842.195590277777</v>
      </c>
      <c r="Q195" s="51">
        <v>81250</v>
      </c>
    </row>
    <row r="196" spans="16:17" x14ac:dyDescent="0.25">
      <c r="P196" s="54">
        <v>45842.444062499999</v>
      </c>
      <c r="Q196" s="51">
        <v>51800</v>
      </c>
    </row>
    <row r="197" spans="16:17" x14ac:dyDescent="0.25">
      <c r="P197" s="54">
        <v>45842.601006944446</v>
      </c>
      <c r="Q197" s="51">
        <v>109000</v>
      </c>
    </row>
    <row r="198" spans="16:17" x14ac:dyDescent="0.25">
      <c r="P198" s="54">
        <v>45846.630798611113</v>
      </c>
      <c r="Q198" s="51">
        <v>183250</v>
      </c>
    </row>
    <row r="199" spans="16:17" x14ac:dyDescent="0.25">
      <c r="P199" s="54">
        <v>45847.992627314816</v>
      </c>
      <c r="Q199" s="51">
        <v>27500</v>
      </c>
    </row>
    <row r="200" spans="16:17" x14ac:dyDescent="0.25">
      <c r="P200" s="54">
        <v>45849.229178240741</v>
      </c>
      <c r="Q200" s="51">
        <v>38000</v>
      </c>
    </row>
    <row r="201" spans="16:17" x14ac:dyDescent="0.25">
      <c r="P201" s="54">
        <v>45849.963599537034</v>
      </c>
      <c r="Q201" s="51">
        <v>165400</v>
      </c>
    </row>
    <row r="202" spans="16:17" x14ac:dyDescent="0.25">
      <c r="P202" s="54">
        <v>45850.207638888889</v>
      </c>
      <c r="Q202" s="51">
        <v>132600</v>
      </c>
    </row>
    <row r="203" spans="16:17" x14ac:dyDescent="0.25">
      <c r="P203" s="54">
        <v>45851.78570601852</v>
      </c>
      <c r="Q203" s="51">
        <v>287000</v>
      </c>
    </row>
    <row r="204" spans="16:17" x14ac:dyDescent="0.25">
      <c r="P204" s="54">
        <v>45853.031782407408</v>
      </c>
      <c r="Q204" s="51">
        <v>255000</v>
      </c>
    </row>
    <row r="205" spans="16:17" x14ac:dyDescent="0.25">
      <c r="P205" s="54">
        <v>45853.582314814812</v>
      </c>
      <c r="Q205" s="51">
        <v>99000</v>
      </c>
    </row>
    <row r="206" spans="16:17" x14ac:dyDescent="0.25">
      <c r="P206" s="54">
        <v>45853.602650462963</v>
      </c>
      <c r="Q206" s="51">
        <v>68000</v>
      </c>
    </row>
    <row r="207" spans="16:17" x14ac:dyDescent="0.25">
      <c r="P207" s="54">
        <v>45853.678819444445</v>
      </c>
      <c r="Q207" s="51">
        <v>147500</v>
      </c>
    </row>
    <row r="208" spans="16:17" x14ac:dyDescent="0.25">
      <c r="P208" s="54">
        <v>45855.032141203701</v>
      </c>
      <c r="Q208" s="51">
        <v>66900</v>
      </c>
    </row>
    <row r="209" spans="16:17" x14ac:dyDescent="0.25">
      <c r="P209" s="54">
        <v>45856.179965277777</v>
      </c>
      <c r="Q209" s="51">
        <v>25000</v>
      </c>
    </row>
    <row r="210" spans="16:17" x14ac:dyDescent="0.25">
      <c r="P210" s="54">
        <v>45856.258298611108</v>
      </c>
      <c r="Q210" s="51">
        <v>66200</v>
      </c>
    </row>
    <row r="211" spans="16:17" x14ac:dyDescent="0.25">
      <c r="P211" s="54">
        <v>45859.081643518519</v>
      </c>
      <c r="Q211" s="51">
        <v>106600</v>
      </c>
    </row>
    <row r="212" spans="16:17" x14ac:dyDescent="0.25">
      <c r="P212" s="54">
        <v>45860.891793981478</v>
      </c>
      <c r="Q212" s="51">
        <v>58000</v>
      </c>
    </row>
    <row r="213" spans="16:17" x14ac:dyDescent="0.25">
      <c r="P213" s="54">
        <v>45861.652800925927</v>
      </c>
      <c r="Q213" s="51">
        <v>66000</v>
      </c>
    </row>
    <row r="214" spans="16:17" x14ac:dyDescent="0.25">
      <c r="P214" s="54">
        <v>45865.577187499999</v>
      </c>
      <c r="Q214" s="51">
        <v>243750</v>
      </c>
    </row>
    <row r="215" spans="16:17" x14ac:dyDescent="0.25">
      <c r="P215" s="54">
        <v>45866.054826388892</v>
      </c>
      <c r="Q215" s="51">
        <v>116500</v>
      </c>
    </row>
    <row r="216" spans="16:17" x14ac:dyDescent="0.25">
      <c r="P216" s="54">
        <v>45866.424317129633</v>
      </c>
      <c r="Q216" s="51">
        <v>48600</v>
      </c>
    </row>
    <row r="217" spans="16:17" x14ac:dyDescent="0.25">
      <c r="P217" s="54">
        <v>45866.900381944448</v>
      </c>
      <c r="Q217" s="51">
        <v>104000</v>
      </c>
    </row>
    <row r="218" spans="16:17" x14ac:dyDescent="0.25">
      <c r="P218" s="54">
        <v>45867.323414351849</v>
      </c>
      <c r="Q218" s="51">
        <v>89800</v>
      </c>
    </row>
    <row r="219" spans="16:17" x14ac:dyDescent="0.25">
      <c r="P219" s="54">
        <v>45867.372615740744</v>
      </c>
      <c r="Q219" s="51">
        <v>105450</v>
      </c>
    </row>
    <row r="220" spans="16:17" x14ac:dyDescent="0.25">
      <c r="P220" s="54">
        <v>45867.550405092596</v>
      </c>
      <c r="Q220" s="51">
        <v>52000</v>
      </c>
    </row>
    <row r="221" spans="16:17" x14ac:dyDescent="0.25">
      <c r="P221" s="54">
        <v>45868.919363425928</v>
      </c>
      <c r="Q221" s="51">
        <v>114750</v>
      </c>
    </row>
    <row r="222" spans="16:17" x14ac:dyDescent="0.25">
      <c r="P222" s="54">
        <v>45870.79791666667</v>
      </c>
      <c r="Q222" s="51">
        <v>138000</v>
      </c>
    </row>
    <row r="223" spans="16:17" x14ac:dyDescent="0.25">
      <c r="P223" s="54">
        <v>45871.337280092594</v>
      </c>
      <c r="Q223" s="51">
        <v>78800</v>
      </c>
    </row>
    <row r="224" spans="16:17" x14ac:dyDescent="0.25">
      <c r="P224" s="54">
        <v>45871.750162037039</v>
      </c>
      <c r="Q224" s="51">
        <v>200000</v>
      </c>
    </row>
    <row r="225" spans="16:17" x14ac:dyDescent="0.25">
      <c r="P225" s="54">
        <v>45872.096770833334</v>
      </c>
      <c r="Q225" s="51">
        <v>297000</v>
      </c>
    </row>
    <row r="226" spans="16:17" x14ac:dyDescent="0.25">
      <c r="P226" s="54">
        <v>45872.414965277778</v>
      </c>
      <c r="Q226" s="51">
        <v>307000</v>
      </c>
    </row>
    <row r="227" spans="16:17" x14ac:dyDescent="0.25">
      <c r="P227" s="54">
        <v>45873.405289351853</v>
      </c>
      <c r="Q227" s="51">
        <v>112200</v>
      </c>
    </row>
    <row r="228" spans="16:17" x14ac:dyDescent="0.25">
      <c r="P228" s="54">
        <v>45874.054560185185</v>
      </c>
      <c r="Q228" s="51">
        <v>150200</v>
      </c>
    </row>
    <row r="229" spans="16:17" x14ac:dyDescent="0.25">
      <c r="P229" s="54">
        <v>45875.524074074077</v>
      </c>
      <c r="Q229" s="51">
        <v>113500</v>
      </c>
    </row>
    <row r="230" spans="16:17" x14ac:dyDescent="0.25">
      <c r="P230" s="54">
        <v>45877.313981481479</v>
      </c>
      <c r="Q230" s="51">
        <v>192000</v>
      </c>
    </row>
    <row r="231" spans="16:17" x14ac:dyDescent="0.25">
      <c r="P231" s="54">
        <v>45877.870844907404</v>
      </c>
      <c r="Q231" s="51">
        <v>94000</v>
      </c>
    </row>
    <row r="232" spans="16:17" x14ac:dyDescent="0.25">
      <c r="P232" s="54">
        <v>45880.303738425922</v>
      </c>
      <c r="Q232" s="51">
        <v>129000</v>
      </c>
    </row>
    <row r="233" spans="16:17" x14ac:dyDescent="0.25">
      <c r="P233" s="54">
        <v>45883.39135416667</v>
      </c>
      <c r="Q233" s="51">
        <v>198500</v>
      </c>
    </row>
    <row r="234" spans="16:17" x14ac:dyDescent="0.25">
      <c r="P234" s="54">
        <v>45883.929212962961</v>
      </c>
      <c r="Q234" s="51">
        <v>108500</v>
      </c>
    </row>
    <row r="235" spans="16:17" x14ac:dyDescent="0.25">
      <c r="P235" s="54">
        <v>45885.601134259261</v>
      </c>
      <c r="Q235" s="51">
        <v>199000</v>
      </c>
    </row>
    <row r="236" spans="16:17" x14ac:dyDescent="0.25">
      <c r="P236" s="54">
        <v>45885.71199074074</v>
      </c>
      <c r="Q236" s="51">
        <v>58500</v>
      </c>
    </row>
    <row r="237" spans="16:17" x14ac:dyDescent="0.25">
      <c r="P237" s="54">
        <v>45885.823240740741</v>
      </c>
      <c r="Q237" s="51">
        <v>153000</v>
      </c>
    </row>
    <row r="238" spans="16:17" x14ac:dyDescent="0.25">
      <c r="P238" s="54">
        <v>45886.045578703706</v>
      </c>
      <c r="Q238" s="51">
        <v>86000</v>
      </c>
    </row>
    <row r="239" spans="16:17" x14ac:dyDescent="0.25">
      <c r="P239" s="54">
        <v>45886.373888888891</v>
      </c>
      <c r="Q239" s="51">
        <v>116000</v>
      </c>
    </row>
    <row r="240" spans="16:17" x14ac:dyDescent="0.25">
      <c r="P240" s="54">
        <v>45886.809108796297</v>
      </c>
      <c r="Q240" s="51">
        <v>173500</v>
      </c>
    </row>
    <row r="241" spans="16:17" x14ac:dyDescent="0.25">
      <c r="P241" s="54">
        <v>45887.642928240741</v>
      </c>
      <c r="Q241" s="51">
        <v>130000</v>
      </c>
    </row>
    <row r="242" spans="16:17" x14ac:dyDescent="0.25">
      <c r="P242" s="54">
        <v>45888.334062499998</v>
      </c>
      <c r="Q242" s="51">
        <v>91200</v>
      </c>
    </row>
    <row r="243" spans="16:17" x14ac:dyDescent="0.25">
      <c r="P243" s="54">
        <v>45888.760451388887</v>
      </c>
      <c r="Q243" s="51">
        <v>60400</v>
      </c>
    </row>
    <row r="244" spans="16:17" x14ac:dyDescent="0.25">
      <c r="P244" s="54">
        <v>45890.084027777775</v>
      </c>
      <c r="Q244" s="51">
        <v>158000</v>
      </c>
    </row>
    <row r="245" spans="16:17" x14ac:dyDescent="0.25">
      <c r="P245" s="54">
        <v>45891.047812500001</v>
      </c>
      <c r="Q245" s="51">
        <v>91750</v>
      </c>
    </row>
    <row r="246" spans="16:17" x14ac:dyDescent="0.25">
      <c r="P246" s="54">
        <v>45891.207881944443</v>
      </c>
      <c r="Q246" s="51">
        <v>96000</v>
      </c>
    </row>
    <row r="247" spans="16:17" x14ac:dyDescent="0.25">
      <c r="P247" s="54">
        <v>45891.398877314816</v>
      </c>
      <c r="Q247" s="51">
        <v>94000</v>
      </c>
    </row>
    <row r="248" spans="16:17" x14ac:dyDescent="0.25">
      <c r="P248" s="54">
        <v>45891.520486111112</v>
      </c>
      <c r="Q248" s="51">
        <v>208500</v>
      </c>
    </row>
    <row r="249" spans="16:17" x14ac:dyDescent="0.25">
      <c r="P249" s="54">
        <v>45891.725289351853</v>
      </c>
      <c r="Q249" s="51">
        <v>225250</v>
      </c>
    </row>
    <row r="250" spans="16:17" x14ac:dyDescent="0.25">
      <c r="P250" s="54">
        <v>45891.950671296298</v>
      </c>
      <c r="Q250" s="51">
        <v>134600</v>
      </c>
    </row>
    <row r="251" spans="16:17" x14ac:dyDescent="0.25">
      <c r="P251" s="54">
        <v>45892.069085648145</v>
      </c>
      <c r="Q251" s="51">
        <v>212500</v>
      </c>
    </row>
    <row r="252" spans="16:17" x14ac:dyDescent="0.25">
      <c r="P252" s="54">
        <v>45892.708252314813</v>
      </c>
      <c r="Q252" s="51">
        <v>130600</v>
      </c>
    </row>
    <row r="253" spans="16:17" x14ac:dyDescent="0.25">
      <c r="P253" s="54">
        <v>45892.826863425929</v>
      </c>
      <c r="Q253" s="51">
        <v>184500</v>
      </c>
    </row>
    <row r="254" spans="16:17" x14ac:dyDescent="0.25">
      <c r="P254" s="54">
        <v>45893.148043981484</v>
      </c>
      <c r="Q254" s="51">
        <v>92000</v>
      </c>
    </row>
    <row r="255" spans="16:17" x14ac:dyDescent="0.25">
      <c r="P255" s="54">
        <v>45894.120173611111</v>
      </c>
      <c r="Q255" s="51">
        <v>38000</v>
      </c>
    </row>
    <row r="256" spans="16:17" x14ac:dyDescent="0.25">
      <c r="P256" s="54">
        <v>45895.384351851855</v>
      </c>
      <c r="Q256" s="51">
        <v>317750</v>
      </c>
    </row>
    <row r="257" spans="16:17" x14ac:dyDescent="0.25">
      <c r="P257" s="54">
        <v>45895.449733796297</v>
      </c>
      <c r="Q257" s="51">
        <v>89100</v>
      </c>
    </row>
    <row r="258" spans="16:17" x14ac:dyDescent="0.25">
      <c r="P258" s="54">
        <v>45897.089432870373</v>
      </c>
      <c r="Q258" s="51">
        <v>125500</v>
      </c>
    </row>
    <row r="259" spans="16:17" x14ac:dyDescent="0.25">
      <c r="P259" s="54">
        <v>45898.084236111114</v>
      </c>
      <c r="Q259" s="51">
        <v>275000</v>
      </c>
    </row>
    <row r="260" spans="16:17" x14ac:dyDescent="0.25">
      <c r="P260" s="54">
        <v>45898.97152777778</v>
      </c>
      <c r="Q260" s="51">
        <v>66000</v>
      </c>
    </row>
    <row r="261" spans="16:17" x14ac:dyDescent="0.25">
      <c r="P261" s="54">
        <v>45899.208912037036</v>
      </c>
      <c r="Q261" s="51">
        <v>48600</v>
      </c>
    </row>
    <row r="262" spans="16:17" x14ac:dyDescent="0.25">
      <c r="P262" s="54">
        <v>45899.281759259262</v>
      </c>
      <c r="Q262" s="51">
        <v>233000</v>
      </c>
    </row>
    <row r="263" spans="16:17" x14ac:dyDescent="0.25">
      <c r="P263" s="54">
        <v>45901.202060185184</v>
      </c>
      <c r="Q263" s="51">
        <v>106250</v>
      </c>
    </row>
    <row r="264" spans="16:17" x14ac:dyDescent="0.25">
      <c r="P264" s="54">
        <v>45902.448449074072</v>
      </c>
      <c r="Q264" s="51">
        <v>213000</v>
      </c>
    </row>
    <row r="265" spans="16:17" x14ac:dyDescent="0.25">
      <c r="P265" s="54">
        <v>45905.050254629627</v>
      </c>
      <c r="Q265" s="51">
        <v>43500</v>
      </c>
    </row>
    <row r="266" spans="16:17" x14ac:dyDescent="0.25">
      <c r="P266" s="54">
        <v>45905.256689814814</v>
      </c>
      <c r="Q266" s="51">
        <v>153800</v>
      </c>
    </row>
    <row r="267" spans="16:17" x14ac:dyDescent="0.25">
      <c r="P267" s="54">
        <v>45905.7890625</v>
      </c>
      <c r="Q267" s="51">
        <v>48600</v>
      </c>
    </row>
    <row r="268" spans="16:17" x14ac:dyDescent="0.25">
      <c r="P268" s="54">
        <v>45905.909791666665</v>
      </c>
      <c r="Q268" s="51">
        <v>101500</v>
      </c>
    </row>
    <row r="269" spans="16:17" x14ac:dyDescent="0.25">
      <c r="P269" s="54">
        <v>45907.415150462963</v>
      </c>
      <c r="Q269" s="51">
        <v>195000</v>
      </c>
    </row>
    <row r="270" spans="16:17" x14ac:dyDescent="0.25">
      <c r="P270" s="54">
        <v>45907.97729166667</v>
      </c>
      <c r="Q270" s="51">
        <v>241750</v>
      </c>
    </row>
    <row r="271" spans="16:17" x14ac:dyDescent="0.25">
      <c r="P271" s="54">
        <v>45908.137361111112</v>
      </c>
      <c r="Q271" s="51">
        <v>213250</v>
      </c>
    </row>
    <row r="272" spans="16:17" x14ac:dyDescent="0.25">
      <c r="P272" s="54">
        <v>45908.257928240739</v>
      </c>
      <c r="Q272" s="51">
        <v>84800</v>
      </c>
    </row>
    <row r="273" spans="16:17" x14ac:dyDescent="0.25">
      <c r="P273" s="54">
        <v>45912.45</v>
      </c>
      <c r="Q273" s="51">
        <v>66200</v>
      </c>
    </row>
    <row r="274" spans="16:17" x14ac:dyDescent="0.25">
      <c r="P274" s="54">
        <v>45912.501030092593</v>
      </c>
      <c r="Q274" s="51">
        <v>193000</v>
      </c>
    </row>
    <row r="275" spans="16:17" x14ac:dyDescent="0.25">
      <c r="P275" s="54">
        <v>45913.278587962966</v>
      </c>
      <c r="Q275" s="51">
        <v>172000</v>
      </c>
    </row>
    <row r="276" spans="16:17" x14ac:dyDescent="0.25">
      <c r="P276" s="54">
        <v>45913.297407407408</v>
      </c>
      <c r="Q276" s="51">
        <v>78500</v>
      </c>
    </row>
    <row r="277" spans="16:17" x14ac:dyDescent="0.25">
      <c r="P277" s="54">
        <v>45916.137037037035</v>
      </c>
      <c r="Q277" s="51">
        <v>31000</v>
      </c>
    </row>
    <row r="278" spans="16:17" x14ac:dyDescent="0.25">
      <c r="P278" s="54">
        <v>45916.459421296298</v>
      </c>
      <c r="Q278" s="51">
        <v>76000</v>
      </c>
    </row>
  </sheetData>
  <pageMargins left="0.7" right="0.7" top="0.75" bottom="0.75" header="0.3" footer="0.3"/>
  <drawing r:id="rId17"/>
  <legacyDrawing r:id="rId18"/>
  <mc:AlternateContent xmlns:mc="http://schemas.openxmlformats.org/markup-compatibility/2006">
    <mc:Choice Requires="x14">
      <controls>
        <mc:AlternateContent xmlns:mc="http://schemas.openxmlformats.org/markup-compatibility/2006">
          <mc:Choice Requires="x14">
            <control shapeId="4097" r:id="rId19" name="Spinner 1">
              <controlPr defaultSize="0" autoPict="0">
                <anchor moveWithCells="1" sizeWithCells="1">
                  <from>
                    <xdr:col>21</xdr:col>
                    <xdr:colOff>1009650</xdr:colOff>
                    <xdr:row>3</xdr:row>
                    <xdr:rowOff>66675</xdr:rowOff>
                  </from>
                  <to>
                    <xdr:col>22</xdr:col>
                    <xdr:colOff>457200</xdr:colOff>
                    <xdr:row>6</xdr:row>
                    <xdr:rowOff>19050</xdr:rowOff>
                  </to>
                </anchor>
              </controlPr>
            </control>
          </mc:Choice>
        </mc:AlternateContent>
        <mc:AlternateContent xmlns:mc="http://schemas.openxmlformats.org/markup-compatibility/2006">
          <mc:Choice Requires="x14">
            <control shapeId="4098" r:id="rId20" name="Scroll Bar 2">
              <controlPr defaultSize="0" autoPict="0">
                <anchor moveWithCells="1">
                  <from>
                    <xdr:col>22</xdr:col>
                    <xdr:colOff>504825</xdr:colOff>
                    <xdr:row>3</xdr:row>
                    <xdr:rowOff>57150</xdr:rowOff>
                  </from>
                  <to>
                    <xdr:col>26</xdr:col>
                    <xdr:colOff>9525</xdr:colOff>
                    <xdr:row>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pivot="1">
          <x14:cfRule type="iconSet" priority="4" id="{1C2617D5-4FFB-46D4-89AC-1755CCF93136}">
            <x14:iconSet iconSet="3Stars">
              <x14:cfvo type="percent">
                <xm:f>0</xm:f>
              </x14:cfvo>
              <x14:cfvo type="percent">
                <xm:f>33</xm:f>
              </x14:cfvo>
              <x14:cfvo type="percent">
                <xm:f>67</xm:f>
              </x14:cfvo>
            </x14:iconSet>
          </x14:cfRule>
          <xm:sqref>E4</xm:sqref>
        </x14:conditionalFormatting>
        <x14:conditionalFormatting xmlns:xm="http://schemas.microsoft.com/office/excel/2006/main">
          <x14:cfRule type="iconSet" priority="5" id="{8801EAD6-4F31-492E-B7D0-4D1E3A824BB1}">
            <x14:iconSet iconSet="3Stars">
              <x14:cfvo type="percent">
                <xm:f>0</xm:f>
              </x14:cfvo>
              <x14:cfvo type="percent">
                <xm:f>33</xm:f>
              </x14:cfvo>
              <x14:cfvo type="percent">
                <xm:f>67</xm:f>
              </x14:cfvo>
            </x14:iconSet>
          </x14:cfRule>
          <xm:sqref>E7 E5</xm:sqref>
        </x14:conditionalFormatting>
        <x14:conditionalFormatting xmlns:xm="http://schemas.microsoft.com/office/excel/2006/main">
          <x14:cfRule type="iconSet" priority="10" id="{611385AA-FEFD-4B3D-85EB-8D567CCF1545}">
            <x14:iconSet iconSet="3Stars">
              <x14:cfvo type="percent">
                <xm:f>0</xm:f>
              </x14:cfvo>
              <x14:cfvo type="percent">
                <xm:f>33</xm:f>
              </x14:cfvo>
              <x14:cfvo type="percent">
                <xm:f>67</xm:f>
              </x14:cfvo>
            </x14:iconSet>
          </x14:cfRule>
          <xm:sqref>E5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1867"/>
  <sheetViews>
    <sheetView topLeftCell="A1848" workbookViewId="0"/>
  </sheetViews>
  <sheetFormatPr defaultColWidth="14.42578125" defaultRowHeight="15" customHeight="1" x14ac:dyDescent="0.25"/>
  <cols>
    <col min="1" max="26" width="10.7109375" customWidth="1"/>
  </cols>
  <sheetData>
    <row r="1" spans="1:2" x14ac:dyDescent="0.25">
      <c r="A1" s="1" t="s">
        <v>0</v>
      </c>
      <c r="B1" s="1" t="s">
        <v>14</v>
      </c>
    </row>
    <row r="2" spans="1:2" x14ac:dyDescent="0.25">
      <c r="A2" s="2" t="s">
        <v>2245</v>
      </c>
      <c r="B2" s="2" t="s">
        <v>2356</v>
      </c>
    </row>
    <row r="3" spans="1:2" x14ac:dyDescent="0.25">
      <c r="A3" s="2" t="s">
        <v>1830</v>
      </c>
      <c r="B3" s="2" t="s">
        <v>2357</v>
      </c>
    </row>
    <row r="4" spans="1:2" x14ac:dyDescent="0.25">
      <c r="A4" s="2" t="s">
        <v>1389</v>
      </c>
      <c r="B4" s="2" t="s">
        <v>2356</v>
      </c>
    </row>
    <row r="5" spans="1:2" x14ac:dyDescent="0.25">
      <c r="A5" s="2" t="s">
        <v>2117</v>
      </c>
      <c r="B5" s="2" t="s">
        <v>2358</v>
      </c>
    </row>
    <row r="6" spans="1:2" x14ac:dyDescent="0.25">
      <c r="A6" s="2" t="s">
        <v>996</v>
      </c>
      <c r="B6" s="2" t="s">
        <v>2359</v>
      </c>
    </row>
    <row r="7" spans="1:2" x14ac:dyDescent="0.25">
      <c r="A7" s="2" t="s">
        <v>1011</v>
      </c>
      <c r="B7" s="2" t="s">
        <v>2357</v>
      </c>
    </row>
    <row r="8" spans="1:2" x14ac:dyDescent="0.25">
      <c r="A8" s="2" t="s">
        <v>2236</v>
      </c>
      <c r="B8" s="2" t="s">
        <v>2357</v>
      </c>
    </row>
    <row r="9" spans="1:2" x14ac:dyDescent="0.25">
      <c r="A9" s="2" t="s">
        <v>1316</v>
      </c>
      <c r="B9" s="2" t="s">
        <v>2356</v>
      </c>
    </row>
    <row r="10" spans="1:2" x14ac:dyDescent="0.25">
      <c r="A10" s="2" t="s">
        <v>948</v>
      </c>
      <c r="B10" s="2" t="s">
        <v>2357</v>
      </c>
    </row>
    <row r="11" spans="1:2" x14ac:dyDescent="0.25">
      <c r="A11" s="2" t="s">
        <v>1991</v>
      </c>
      <c r="B11" s="2" t="s">
        <v>2357</v>
      </c>
    </row>
    <row r="12" spans="1:2" x14ac:dyDescent="0.25">
      <c r="A12" s="2" t="s">
        <v>1268</v>
      </c>
      <c r="B12" s="2" t="s">
        <v>2357</v>
      </c>
    </row>
    <row r="13" spans="1:2" x14ac:dyDescent="0.25">
      <c r="A13" s="2" t="s">
        <v>500</v>
      </c>
      <c r="B13" s="2" t="s">
        <v>2357</v>
      </c>
    </row>
    <row r="14" spans="1:2" x14ac:dyDescent="0.25">
      <c r="A14" s="2" t="s">
        <v>208</v>
      </c>
      <c r="B14" s="2" t="s">
        <v>2357</v>
      </c>
    </row>
    <row r="15" spans="1:2" x14ac:dyDescent="0.25">
      <c r="A15" s="2" t="s">
        <v>349</v>
      </c>
      <c r="B15" s="2" t="s">
        <v>2357</v>
      </c>
    </row>
    <row r="16" spans="1:2" x14ac:dyDescent="0.25">
      <c r="A16" s="2" t="s">
        <v>1195</v>
      </c>
      <c r="B16" s="2" t="s">
        <v>2359</v>
      </c>
    </row>
    <row r="17" spans="1:2" x14ac:dyDescent="0.25">
      <c r="A17" s="2" t="s">
        <v>31</v>
      </c>
      <c r="B17" s="2" t="s">
        <v>2357</v>
      </c>
    </row>
    <row r="18" spans="1:2" x14ac:dyDescent="0.25">
      <c r="A18" s="2" t="s">
        <v>720</v>
      </c>
      <c r="B18" s="2" t="s">
        <v>2357</v>
      </c>
    </row>
    <row r="19" spans="1:2" x14ac:dyDescent="0.25">
      <c r="A19" s="2" t="s">
        <v>2027</v>
      </c>
      <c r="B19" s="2" t="s">
        <v>2357</v>
      </c>
    </row>
    <row r="20" spans="1:2" x14ac:dyDescent="0.25">
      <c r="A20" s="2" t="s">
        <v>1772</v>
      </c>
      <c r="B20" s="2" t="s">
        <v>2357</v>
      </c>
    </row>
    <row r="21" spans="1:2" ht="15.75" customHeight="1" x14ac:dyDescent="0.25">
      <c r="A21" s="2" t="s">
        <v>2123</v>
      </c>
      <c r="B21" s="2" t="s">
        <v>2357</v>
      </c>
    </row>
    <row r="22" spans="1:2" ht="15.75" customHeight="1" x14ac:dyDescent="0.25">
      <c r="A22" s="2" t="s">
        <v>1375</v>
      </c>
      <c r="B22" s="2" t="s">
        <v>2357</v>
      </c>
    </row>
    <row r="23" spans="1:2" ht="15.75" customHeight="1" x14ac:dyDescent="0.25">
      <c r="A23" s="2" t="s">
        <v>232</v>
      </c>
      <c r="B23" s="2" t="s">
        <v>2357</v>
      </c>
    </row>
    <row r="24" spans="1:2" ht="15.75" customHeight="1" x14ac:dyDescent="0.25">
      <c r="A24" s="2" t="s">
        <v>341</v>
      </c>
      <c r="B24" s="2" t="s">
        <v>2357</v>
      </c>
    </row>
    <row r="25" spans="1:2" ht="15.75" customHeight="1" x14ac:dyDescent="0.25">
      <c r="A25" s="2" t="s">
        <v>422</v>
      </c>
      <c r="B25" s="2" t="s">
        <v>2356</v>
      </c>
    </row>
    <row r="26" spans="1:2" ht="15.75" customHeight="1" x14ac:dyDescent="0.25">
      <c r="A26" s="2" t="s">
        <v>696</v>
      </c>
      <c r="B26" s="2" t="s">
        <v>2357</v>
      </c>
    </row>
    <row r="27" spans="1:2" ht="15.75" customHeight="1" x14ac:dyDescent="0.25">
      <c r="A27" s="2" t="s">
        <v>1020</v>
      </c>
      <c r="B27" s="2" t="s">
        <v>2357</v>
      </c>
    </row>
    <row r="28" spans="1:2" ht="15.75" customHeight="1" x14ac:dyDescent="0.25">
      <c r="A28" s="2" t="s">
        <v>2338</v>
      </c>
      <c r="B28" s="2" t="s">
        <v>2357</v>
      </c>
    </row>
    <row r="29" spans="1:2" ht="15.75" customHeight="1" x14ac:dyDescent="0.25">
      <c r="A29" s="2" t="s">
        <v>753</v>
      </c>
      <c r="B29" s="2" t="s">
        <v>2357</v>
      </c>
    </row>
    <row r="30" spans="1:2" ht="15.75" customHeight="1" x14ac:dyDescent="0.25">
      <c r="A30" s="2" t="s">
        <v>290</v>
      </c>
      <c r="B30" s="2" t="s">
        <v>2356</v>
      </c>
    </row>
    <row r="31" spans="1:2" ht="15.75" customHeight="1" x14ac:dyDescent="0.25">
      <c r="A31" s="2" t="s">
        <v>829</v>
      </c>
      <c r="B31" s="2" t="s">
        <v>2356</v>
      </c>
    </row>
    <row r="32" spans="1:2" ht="15.75" customHeight="1" x14ac:dyDescent="0.25">
      <c r="A32" s="2" t="s">
        <v>859</v>
      </c>
      <c r="B32" s="2" t="s">
        <v>2357</v>
      </c>
    </row>
    <row r="33" spans="1:2" ht="15.75" customHeight="1" x14ac:dyDescent="0.25">
      <c r="A33" s="2" t="s">
        <v>1636</v>
      </c>
      <c r="B33" s="2" t="s">
        <v>2357</v>
      </c>
    </row>
    <row r="34" spans="1:2" ht="15.75" customHeight="1" x14ac:dyDescent="0.25">
      <c r="A34" s="2" t="s">
        <v>2044</v>
      </c>
      <c r="B34" s="2" t="s">
        <v>2357</v>
      </c>
    </row>
    <row r="35" spans="1:2" ht="15.75" customHeight="1" x14ac:dyDescent="0.25">
      <c r="A35" s="2" t="s">
        <v>460</v>
      </c>
      <c r="B35" s="2" t="s">
        <v>2357</v>
      </c>
    </row>
    <row r="36" spans="1:2" ht="15.75" customHeight="1" x14ac:dyDescent="0.25">
      <c r="A36" s="2" t="s">
        <v>982</v>
      </c>
      <c r="B36" s="2" t="s">
        <v>2356</v>
      </c>
    </row>
    <row r="37" spans="1:2" ht="15.75" customHeight="1" x14ac:dyDescent="0.25">
      <c r="A37" s="2" t="s">
        <v>2226</v>
      </c>
      <c r="B37" s="2" t="s">
        <v>2358</v>
      </c>
    </row>
    <row r="38" spans="1:2" ht="15.75" customHeight="1" x14ac:dyDescent="0.25">
      <c r="A38" s="2" t="s">
        <v>438</v>
      </c>
      <c r="B38" s="2" t="s">
        <v>2357</v>
      </c>
    </row>
    <row r="39" spans="1:2" ht="15.75" customHeight="1" x14ac:dyDescent="0.25">
      <c r="A39" s="2" t="s">
        <v>682</v>
      </c>
      <c r="B39" s="2" t="s">
        <v>2356</v>
      </c>
    </row>
    <row r="40" spans="1:2" ht="15.75" customHeight="1" x14ac:dyDescent="0.25">
      <c r="A40" s="2" t="s">
        <v>2346</v>
      </c>
      <c r="B40" s="2" t="s">
        <v>2358</v>
      </c>
    </row>
    <row r="41" spans="1:2" ht="15.75" customHeight="1" x14ac:dyDescent="0.25">
      <c r="A41" s="2" t="s">
        <v>1351</v>
      </c>
      <c r="B41" s="2" t="s">
        <v>2357</v>
      </c>
    </row>
    <row r="42" spans="1:2" ht="15.75" customHeight="1" x14ac:dyDescent="0.25">
      <c r="A42" s="2" t="s">
        <v>1944</v>
      </c>
      <c r="B42" s="2" t="s">
        <v>2357</v>
      </c>
    </row>
    <row r="43" spans="1:2" ht="15.75" customHeight="1" x14ac:dyDescent="0.25">
      <c r="A43" s="2" t="s">
        <v>1221</v>
      </c>
      <c r="B43" s="2" t="s">
        <v>2357</v>
      </c>
    </row>
    <row r="44" spans="1:2" ht="15.75" customHeight="1" x14ac:dyDescent="0.25">
      <c r="A44" s="2" t="s">
        <v>1144</v>
      </c>
      <c r="B44" s="2" t="s">
        <v>2356</v>
      </c>
    </row>
    <row r="45" spans="1:2" ht="15.75" customHeight="1" x14ac:dyDescent="0.25">
      <c r="A45" s="2" t="s">
        <v>907</v>
      </c>
      <c r="B45" s="2" t="s">
        <v>2357</v>
      </c>
    </row>
    <row r="46" spans="1:2" ht="15.75" customHeight="1" x14ac:dyDescent="0.25">
      <c r="A46" s="2" t="s">
        <v>1110</v>
      </c>
      <c r="B46" s="2" t="s">
        <v>2357</v>
      </c>
    </row>
    <row r="47" spans="1:2" ht="15.75" customHeight="1" x14ac:dyDescent="0.25">
      <c r="A47" s="2" t="s">
        <v>2095</v>
      </c>
      <c r="B47" s="2" t="s">
        <v>2357</v>
      </c>
    </row>
    <row r="48" spans="1:2" ht="15.75" customHeight="1" x14ac:dyDescent="0.25">
      <c r="A48" s="2" t="s">
        <v>2019</v>
      </c>
      <c r="B48" s="2" t="s">
        <v>2357</v>
      </c>
    </row>
    <row r="49" spans="1:2" ht="15.75" customHeight="1" x14ac:dyDescent="0.25">
      <c r="A49" s="2" t="s">
        <v>1670</v>
      </c>
      <c r="B49" s="2" t="s">
        <v>2359</v>
      </c>
    </row>
    <row r="50" spans="1:2" ht="15.75" customHeight="1" x14ac:dyDescent="0.25">
      <c r="A50" s="2" t="s">
        <v>64</v>
      </c>
      <c r="B50" s="2" t="s">
        <v>2357</v>
      </c>
    </row>
    <row r="51" spans="1:2" ht="15.75" customHeight="1" x14ac:dyDescent="0.25">
      <c r="A51" s="2" t="s">
        <v>1016</v>
      </c>
      <c r="B51" s="2" t="s">
        <v>2359</v>
      </c>
    </row>
    <row r="52" spans="1:2" ht="15.75" customHeight="1" x14ac:dyDescent="0.25">
      <c r="A52" s="2" t="s">
        <v>83</v>
      </c>
      <c r="B52" s="2" t="s">
        <v>2357</v>
      </c>
    </row>
    <row r="53" spans="1:2" ht="15.75" customHeight="1" x14ac:dyDescent="0.25">
      <c r="A53" s="2" t="s">
        <v>2071</v>
      </c>
      <c r="B53" s="2" t="s">
        <v>2356</v>
      </c>
    </row>
    <row r="54" spans="1:2" ht="15.75" customHeight="1" x14ac:dyDescent="0.25">
      <c r="A54" s="2" t="s">
        <v>1349</v>
      </c>
      <c r="B54" s="2" t="s">
        <v>2357</v>
      </c>
    </row>
    <row r="55" spans="1:2" ht="15.75" customHeight="1" x14ac:dyDescent="0.25">
      <c r="A55" s="2" t="s">
        <v>2070</v>
      </c>
      <c r="B55" s="2" t="s">
        <v>2357</v>
      </c>
    </row>
    <row r="56" spans="1:2" ht="15.75" customHeight="1" x14ac:dyDescent="0.25">
      <c r="A56" s="2" t="s">
        <v>1793</v>
      </c>
      <c r="B56" s="2" t="s">
        <v>2357</v>
      </c>
    </row>
    <row r="57" spans="1:2" ht="15.75" customHeight="1" x14ac:dyDescent="0.25">
      <c r="A57" s="2" t="s">
        <v>1803</v>
      </c>
      <c r="B57" s="2" t="s">
        <v>2357</v>
      </c>
    </row>
    <row r="58" spans="1:2" ht="15.75" customHeight="1" x14ac:dyDescent="0.25">
      <c r="A58" s="2" t="s">
        <v>1730</v>
      </c>
      <c r="B58" s="2" t="s">
        <v>2359</v>
      </c>
    </row>
    <row r="59" spans="1:2" ht="15.75" customHeight="1" x14ac:dyDescent="0.25">
      <c r="A59" s="2" t="s">
        <v>550</v>
      </c>
      <c r="B59" s="2" t="s">
        <v>2359</v>
      </c>
    </row>
    <row r="60" spans="1:2" ht="15.75" customHeight="1" x14ac:dyDescent="0.25">
      <c r="A60" s="2" t="s">
        <v>689</v>
      </c>
      <c r="B60" s="2" t="s">
        <v>2356</v>
      </c>
    </row>
    <row r="61" spans="1:2" ht="15.75" customHeight="1" x14ac:dyDescent="0.25">
      <c r="A61" s="2" t="s">
        <v>1651</v>
      </c>
      <c r="B61" s="2" t="s">
        <v>2357</v>
      </c>
    </row>
    <row r="62" spans="1:2" ht="15.75" customHeight="1" x14ac:dyDescent="0.25">
      <c r="A62" s="2" t="s">
        <v>1090</v>
      </c>
      <c r="B62" s="2" t="s">
        <v>2357</v>
      </c>
    </row>
    <row r="63" spans="1:2" ht="15.75" customHeight="1" x14ac:dyDescent="0.25">
      <c r="A63" s="2" t="s">
        <v>259</v>
      </c>
      <c r="B63" s="2" t="s">
        <v>2357</v>
      </c>
    </row>
    <row r="64" spans="1:2" ht="15.75" customHeight="1" x14ac:dyDescent="0.25">
      <c r="A64" s="2" t="s">
        <v>957</v>
      </c>
      <c r="B64" s="2" t="s">
        <v>2357</v>
      </c>
    </row>
    <row r="65" spans="1:2" ht="15.75" customHeight="1" x14ac:dyDescent="0.25">
      <c r="A65" s="2" t="s">
        <v>2035</v>
      </c>
      <c r="B65" s="2" t="s">
        <v>2357</v>
      </c>
    </row>
    <row r="66" spans="1:2" ht="15.75" customHeight="1" x14ac:dyDescent="0.25">
      <c r="A66" s="2" t="s">
        <v>1759</v>
      </c>
      <c r="B66" s="2" t="s">
        <v>2357</v>
      </c>
    </row>
    <row r="67" spans="1:2" ht="15.75" customHeight="1" x14ac:dyDescent="0.25">
      <c r="A67" s="2" t="s">
        <v>1702</v>
      </c>
      <c r="B67" s="2" t="s">
        <v>2357</v>
      </c>
    </row>
    <row r="68" spans="1:2" ht="15.75" customHeight="1" x14ac:dyDescent="0.25">
      <c r="A68" s="2" t="s">
        <v>2053</v>
      </c>
      <c r="B68" s="2" t="s">
        <v>2357</v>
      </c>
    </row>
    <row r="69" spans="1:2" ht="15.75" customHeight="1" x14ac:dyDescent="0.25">
      <c r="A69" s="2" t="s">
        <v>1324</v>
      </c>
      <c r="B69" s="2" t="s">
        <v>2357</v>
      </c>
    </row>
    <row r="70" spans="1:2" ht="15.75" customHeight="1" x14ac:dyDescent="0.25">
      <c r="A70" s="2" t="s">
        <v>491</v>
      </c>
      <c r="B70" s="2" t="s">
        <v>2356</v>
      </c>
    </row>
    <row r="71" spans="1:2" ht="15.75" customHeight="1" x14ac:dyDescent="0.25">
      <c r="A71" s="2" t="s">
        <v>2220</v>
      </c>
      <c r="B71" s="2" t="s">
        <v>2359</v>
      </c>
    </row>
    <row r="72" spans="1:2" ht="15.75" customHeight="1" x14ac:dyDescent="0.25">
      <c r="A72" s="2" t="s">
        <v>882</v>
      </c>
      <c r="B72" s="2" t="s">
        <v>2357</v>
      </c>
    </row>
    <row r="73" spans="1:2" ht="15.75" customHeight="1" x14ac:dyDescent="0.25">
      <c r="A73" s="2" t="s">
        <v>559</v>
      </c>
      <c r="B73" s="2" t="s">
        <v>2357</v>
      </c>
    </row>
    <row r="74" spans="1:2" ht="15.75" customHeight="1" x14ac:dyDescent="0.25">
      <c r="A74" s="2" t="s">
        <v>1592</v>
      </c>
      <c r="B74" s="2" t="s">
        <v>2357</v>
      </c>
    </row>
    <row r="75" spans="1:2" ht="15.75" customHeight="1" x14ac:dyDescent="0.25">
      <c r="A75" s="2" t="s">
        <v>1197</v>
      </c>
      <c r="B75" s="2" t="s">
        <v>2356</v>
      </c>
    </row>
    <row r="76" spans="1:2" ht="15.75" customHeight="1" x14ac:dyDescent="0.25">
      <c r="A76" s="2" t="s">
        <v>1215</v>
      </c>
      <c r="B76" s="2" t="s">
        <v>2359</v>
      </c>
    </row>
    <row r="77" spans="1:2" ht="15.75" customHeight="1" x14ac:dyDescent="0.25">
      <c r="A77" s="2" t="s">
        <v>1890</v>
      </c>
      <c r="B77" s="2" t="s">
        <v>2357</v>
      </c>
    </row>
    <row r="78" spans="1:2" ht="15.75" customHeight="1" x14ac:dyDescent="0.25">
      <c r="A78" s="2" t="s">
        <v>1363</v>
      </c>
      <c r="B78" s="2" t="s">
        <v>2359</v>
      </c>
    </row>
    <row r="79" spans="1:2" ht="15.75" customHeight="1" x14ac:dyDescent="0.25">
      <c r="A79" s="2" t="s">
        <v>2201</v>
      </c>
      <c r="B79" s="2" t="s">
        <v>2358</v>
      </c>
    </row>
    <row r="80" spans="1:2" ht="15.75" customHeight="1" x14ac:dyDescent="0.25">
      <c r="A80" s="2" t="s">
        <v>1613</v>
      </c>
      <c r="B80" s="2" t="s">
        <v>2357</v>
      </c>
    </row>
    <row r="81" spans="1:2" ht="15.75" customHeight="1" x14ac:dyDescent="0.25">
      <c r="A81" s="2" t="s">
        <v>1923</v>
      </c>
      <c r="B81" s="2" t="s">
        <v>2357</v>
      </c>
    </row>
    <row r="82" spans="1:2" ht="15.75" customHeight="1" x14ac:dyDescent="0.25">
      <c r="A82" s="2" t="s">
        <v>944</v>
      </c>
      <c r="B82" s="2" t="s">
        <v>2357</v>
      </c>
    </row>
    <row r="83" spans="1:2" ht="15.75" customHeight="1" x14ac:dyDescent="0.25">
      <c r="A83" s="2" t="s">
        <v>1099</v>
      </c>
      <c r="B83" s="2" t="s">
        <v>2357</v>
      </c>
    </row>
    <row r="84" spans="1:2" ht="15.75" customHeight="1" x14ac:dyDescent="0.25">
      <c r="A84" s="2" t="s">
        <v>1335</v>
      </c>
      <c r="B84" s="2" t="s">
        <v>2357</v>
      </c>
    </row>
    <row r="85" spans="1:2" ht="15.75" customHeight="1" x14ac:dyDescent="0.25">
      <c r="A85" s="2" t="s">
        <v>686</v>
      </c>
      <c r="B85" s="2" t="s">
        <v>2359</v>
      </c>
    </row>
    <row r="86" spans="1:2" ht="15.75" customHeight="1" x14ac:dyDescent="0.25">
      <c r="A86" s="2" t="s">
        <v>1475</v>
      </c>
      <c r="B86" s="2" t="s">
        <v>2357</v>
      </c>
    </row>
    <row r="87" spans="1:2" ht="15.75" customHeight="1" x14ac:dyDescent="0.25">
      <c r="A87" s="2" t="s">
        <v>903</v>
      </c>
      <c r="B87" s="2" t="s">
        <v>2356</v>
      </c>
    </row>
    <row r="88" spans="1:2" ht="15.75" customHeight="1" x14ac:dyDescent="0.25">
      <c r="A88" s="2" t="s">
        <v>2042</v>
      </c>
      <c r="B88" s="2" t="s">
        <v>2357</v>
      </c>
    </row>
    <row r="89" spans="1:2" ht="15.75" customHeight="1" x14ac:dyDescent="0.25">
      <c r="A89" s="2" t="s">
        <v>563</v>
      </c>
      <c r="B89" s="2" t="s">
        <v>2357</v>
      </c>
    </row>
    <row r="90" spans="1:2" ht="15.75" customHeight="1" x14ac:dyDescent="0.25">
      <c r="A90" s="2" t="s">
        <v>1987</v>
      </c>
      <c r="B90" s="2" t="s">
        <v>2357</v>
      </c>
    </row>
    <row r="91" spans="1:2" ht="15.75" customHeight="1" x14ac:dyDescent="0.25">
      <c r="A91" s="2" t="s">
        <v>637</v>
      </c>
      <c r="B91" s="2" t="s">
        <v>2357</v>
      </c>
    </row>
    <row r="92" spans="1:2" ht="15.75" customHeight="1" x14ac:dyDescent="0.25">
      <c r="A92" s="2" t="s">
        <v>1861</v>
      </c>
      <c r="B92" s="2" t="s">
        <v>2357</v>
      </c>
    </row>
    <row r="93" spans="1:2" ht="15.75" customHeight="1" x14ac:dyDescent="0.25">
      <c r="A93" s="2" t="s">
        <v>1746</v>
      </c>
      <c r="B93" s="2" t="s">
        <v>2357</v>
      </c>
    </row>
    <row r="94" spans="1:2" ht="15.75" customHeight="1" x14ac:dyDescent="0.25">
      <c r="A94" s="2" t="s">
        <v>2219</v>
      </c>
      <c r="B94" s="2" t="s">
        <v>2357</v>
      </c>
    </row>
    <row r="95" spans="1:2" ht="15.75" customHeight="1" x14ac:dyDescent="0.25">
      <c r="A95" s="2" t="s">
        <v>1275</v>
      </c>
      <c r="B95" s="2" t="s">
        <v>2357</v>
      </c>
    </row>
    <row r="96" spans="1:2" ht="15.75" customHeight="1" x14ac:dyDescent="0.25">
      <c r="A96" s="2" t="s">
        <v>1340</v>
      </c>
      <c r="B96" s="2" t="s">
        <v>2359</v>
      </c>
    </row>
    <row r="97" spans="1:2" ht="15.75" customHeight="1" x14ac:dyDescent="0.25">
      <c r="A97" s="2" t="s">
        <v>475</v>
      </c>
      <c r="B97" s="2" t="s">
        <v>2357</v>
      </c>
    </row>
    <row r="98" spans="1:2" ht="15.75" customHeight="1" x14ac:dyDescent="0.25">
      <c r="A98" s="2" t="s">
        <v>1690</v>
      </c>
      <c r="B98" s="2" t="s">
        <v>2356</v>
      </c>
    </row>
    <row r="99" spans="1:2" ht="15.75" customHeight="1" x14ac:dyDescent="0.25">
      <c r="A99" s="2" t="s">
        <v>854</v>
      </c>
      <c r="B99" s="2" t="s">
        <v>2357</v>
      </c>
    </row>
    <row r="100" spans="1:2" ht="15.75" customHeight="1" x14ac:dyDescent="0.25">
      <c r="A100" s="2" t="s">
        <v>1577</v>
      </c>
      <c r="B100" s="2" t="s">
        <v>2357</v>
      </c>
    </row>
    <row r="101" spans="1:2" ht="15.75" customHeight="1" x14ac:dyDescent="0.25">
      <c r="A101" s="2" t="s">
        <v>2262</v>
      </c>
      <c r="B101" s="2" t="s">
        <v>2357</v>
      </c>
    </row>
    <row r="102" spans="1:2" ht="15.75" customHeight="1" x14ac:dyDescent="0.25">
      <c r="A102" s="2" t="s">
        <v>1821</v>
      </c>
      <c r="B102" s="2" t="s">
        <v>2357</v>
      </c>
    </row>
    <row r="103" spans="1:2" ht="15.75" customHeight="1" x14ac:dyDescent="0.25">
      <c r="A103" s="2" t="s">
        <v>1034</v>
      </c>
      <c r="B103" s="2" t="s">
        <v>2357</v>
      </c>
    </row>
    <row r="104" spans="1:2" ht="15.75" customHeight="1" x14ac:dyDescent="0.25">
      <c r="A104" s="2" t="s">
        <v>2046</v>
      </c>
      <c r="B104" s="2" t="s">
        <v>2356</v>
      </c>
    </row>
    <row r="105" spans="1:2" ht="15.75" customHeight="1" x14ac:dyDescent="0.25">
      <c r="A105" s="2" t="s">
        <v>251</v>
      </c>
      <c r="B105" s="2" t="s">
        <v>2356</v>
      </c>
    </row>
    <row r="106" spans="1:2" ht="15.75" customHeight="1" x14ac:dyDescent="0.25">
      <c r="A106" s="2" t="s">
        <v>672</v>
      </c>
      <c r="B106" s="2" t="s">
        <v>2357</v>
      </c>
    </row>
    <row r="107" spans="1:2" ht="15.75" customHeight="1" x14ac:dyDescent="0.25">
      <c r="A107" s="2" t="s">
        <v>2203</v>
      </c>
      <c r="B107" s="2" t="s">
        <v>2357</v>
      </c>
    </row>
    <row r="108" spans="1:2" ht="15.75" customHeight="1" x14ac:dyDescent="0.25">
      <c r="A108" s="2" t="s">
        <v>1185</v>
      </c>
      <c r="B108" s="2" t="s">
        <v>2357</v>
      </c>
    </row>
    <row r="109" spans="1:2" ht="15.75" customHeight="1" x14ac:dyDescent="0.25">
      <c r="A109" s="2" t="s">
        <v>897</v>
      </c>
      <c r="B109" s="2" t="s">
        <v>2357</v>
      </c>
    </row>
    <row r="110" spans="1:2" ht="15.75" customHeight="1" x14ac:dyDescent="0.25">
      <c r="A110" s="2" t="s">
        <v>1545</v>
      </c>
      <c r="B110" s="2" t="s">
        <v>2357</v>
      </c>
    </row>
    <row r="111" spans="1:2" ht="15.75" customHeight="1" x14ac:dyDescent="0.25">
      <c r="A111" s="2" t="s">
        <v>1169</v>
      </c>
      <c r="B111" s="2" t="s">
        <v>2357</v>
      </c>
    </row>
    <row r="112" spans="1:2" ht="15.75" customHeight="1" x14ac:dyDescent="0.25">
      <c r="A112" s="2" t="s">
        <v>409</v>
      </c>
      <c r="B112" s="2" t="s">
        <v>2357</v>
      </c>
    </row>
    <row r="113" spans="1:2" ht="15.75" customHeight="1" x14ac:dyDescent="0.25">
      <c r="A113" s="2" t="s">
        <v>2194</v>
      </c>
      <c r="B113" s="2" t="s">
        <v>2360</v>
      </c>
    </row>
    <row r="114" spans="1:2" ht="15.75" customHeight="1" x14ac:dyDescent="0.25">
      <c r="A114" s="2" t="s">
        <v>2089</v>
      </c>
      <c r="B114" s="2" t="s">
        <v>2357</v>
      </c>
    </row>
    <row r="115" spans="1:2" ht="15.75" customHeight="1" x14ac:dyDescent="0.25">
      <c r="A115" s="2" t="s">
        <v>301</v>
      </c>
      <c r="B115" s="2" t="s">
        <v>2357</v>
      </c>
    </row>
    <row r="116" spans="1:2" ht="15.75" customHeight="1" x14ac:dyDescent="0.25">
      <c r="A116" s="2" t="s">
        <v>1855</v>
      </c>
      <c r="B116" s="2" t="s">
        <v>2357</v>
      </c>
    </row>
    <row r="117" spans="1:2" ht="15.75" customHeight="1" x14ac:dyDescent="0.25">
      <c r="A117" s="2" t="s">
        <v>1699</v>
      </c>
      <c r="B117" s="2" t="s">
        <v>2356</v>
      </c>
    </row>
    <row r="118" spans="1:2" ht="15.75" customHeight="1" x14ac:dyDescent="0.25">
      <c r="A118" s="2" t="s">
        <v>2181</v>
      </c>
      <c r="B118" s="2" t="s">
        <v>2360</v>
      </c>
    </row>
    <row r="119" spans="1:2" ht="15.75" customHeight="1" x14ac:dyDescent="0.25">
      <c r="A119" s="2" t="s">
        <v>1953</v>
      </c>
      <c r="B119" s="2" t="s">
        <v>2357</v>
      </c>
    </row>
    <row r="120" spans="1:2" ht="15.75" customHeight="1" x14ac:dyDescent="0.25">
      <c r="A120" s="2" t="s">
        <v>2188</v>
      </c>
      <c r="B120" s="2" t="s">
        <v>2359</v>
      </c>
    </row>
    <row r="121" spans="1:2" ht="15.75" customHeight="1" x14ac:dyDescent="0.25">
      <c r="A121" s="2" t="s">
        <v>885</v>
      </c>
      <c r="B121" s="2" t="s">
        <v>2357</v>
      </c>
    </row>
    <row r="122" spans="1:2" ht="15.75" customHeight="1" x14ac:dyDescent="0.25">
      <c r="A122" s="2" t="s">
        <v>1921</v>
      </c>
      <c r="B122" s="2" t="s">
        <v>2357</v>
      </c>
    </row>
    <row r="123" spans="1:2" ht="15.75" customHeight="1" x14ac:dyDescent="0.25">
      <c r="A123" s="2" t="s">
        <v>1680</v>
      </c>
      <c r="B123" s="2" t="s">
        <v>2357</v>
      </c>
    </row>
    <row r="124" spans="1:2" ht="15.75" customHeight="1" x14ac:dyDescent="0.25">
      <c r="A124" s="2" t="s">
        <v>2103</v>
      </c>
      <c r="B124" s="2" t="s">
        <v>2357</v>
      </c>
    </row>
    <row r="125" spans="1:2" ht="15.75" customHeight="1" x14ac:dyDescent="0.25">
      <c r="A125" s="2" t="s">
        <v>1077</v>
      </c>
      <c r="B125" s="2" t="s">
        <v>2357</v>
      </c>
    </row>
    <row r="126" spans="1:2" ht="15.75" customHeight="1" x14ac:dyDescent="0.25">
      <c r="A126" s="2" t="s">
        <v>2143</v>
      </c>
      <c r="B126" s="2" t="s">
        <v>2358</v>
      </c>
    </row>
    <row r="127" spans="1:2" ht="15.75" customHeight="1" x14ac:dyDescent="0.25">
      <c r="A127" s="2" t="s">
        <v>1955</v>
      </c>
      <c r="B127" s="2" t="s">
        <v>2357</v>
      </c>
    </row>
    <row r="128" spans="1:2" ht="15.75" customHeight="1" x14ac:dyDescent="0.25">
      <c r="A128" s="2" t="s">
        <v>1605</v>
      </c>
      <c r="B128" s="2" t="s">
        <v>2357</v>
      </c>
    </row>
    <row r="129" spans="1:2" ht="15.75" customHeight="1" x14ac:dyDescent="0.25">
      <c r="A129" s="2" t="s">
        <v>320</v>
      </c>
      <c r="B129" s="2" t="s">
        <v>2357</v>
      </c>
    </row>
    <row r="130" spans="1:2" ht="15.75" customHeight="1" x14ac:dyDescent="0.25">
      <c r="A130" s="2" t="s">
        <v>1054</v>
      </c>
      <c r="B130" s="2" t="s">
        <v>2357</v>
      </c>
    </row>
    <row r="131" spans="1:2" ht="15.75" customHeight="1" x14ac:dyDescent="0.25">
      <c r="A131" s="2" t="s">
        <v>1709</v>
      </c>
      <c r="B131" s="2" t="s">
        <v>2357</v>
      </c>
    </row>
    <row r="132" spans="1:2" ht="15.75" customHeight="1" x14ac:dyDescent="0.25">
      <c r="A132" s="2" t="s">
        <v>413</v>
      </c>
      <c r="B132" s="2" t="s">
        <v>2357</v>
      </c>
    </row>
    <row r="133" spans="1:2" ht="15.75" customHeight="1" x14ac:dyDescent="0.25">
      <c r="A133" s="2" t="s">
        <v>1596</v>
      </c>
      <c r="B133" s="2" t="s">
        <v>2357</v>
      </c>
    </row>
    <row r="134" spans="1:2" ht="15.75" customHeight="1" x14ac:dyDescent="0.25">
      <c r="A134" s="2" t="s">
        <v>1187</v>
      </c>
      <c r="B134" s="2" t="s">
        <v>2357</v>
      </c>
    </row>
    <row r="135" spans="1:2" ht="15.75" customHeight="1" x14ac:dyDescent="0.25">
      <c r="A135" s="2" t="s">
        <v>1954</v>
      </c>
      <c r="B135" s="2" t="s">
        <v>2357</v>
      </c>
    </row>
    <row r="136" spans="1:2" ht="15.75" customHeight="1" x14ac:dyDescent="0.25">
      <c r="A136" s="2" t="s">
        <v>1731</v>
      </c>
      <c r="B136" s="2" t="s">
        <v>2357</v>
      </c>
    </row>
    <row r="137" spans="1:2" ht="15.75" customHeight="1" x14ac:dyDescent="0.25">
      <c r="A137" s="2" t="s">
        <v>1886</v>
      </c>
      <c r="B137" s="2" t="s">
        <v>2357</v>
      </c>
    </row>
    <row r="138" spans="1:2" ht="15.75" customHeight="1" x14ac:dyDescent="0.25">
      <c r="A138" s="2" t="s">
        <v>1585</v>
      </c>
      <c r="B138" s="2" t="s">
        <v>2357</v>
      </c>
    </row>
    <row r="139" spans="1:2" ht="15.75" customHeight="1" x14ac:dyDescent="0.25">
      <c r="A139" s="2" t="s">
        <v>1177</v>
      </c>
      <c r="B139" s="2" t="s">
        <v>2359</v>
      </c>
    </row>
    <row r="140" spans="1:2" ht="15.75" customHeight="1" x14ac:dyDescent="0.25">
      <c r="A140" s="2" t="s">
        <v>1299</v>
      </c>
      <c r="B140" s="2" t="s">
        <v>2357</v>
      </c>
    </row>
    <row r="141" spans="1:2" ht="15.75" customHeight="1" x14ac:dyDescent="0.25">
      <c r="A141" s="2" t="s">
        <v>2279</v>
      </c>
      <c r="B141" s="2" t="s">
        <v>2360</v>
      </c>
    </row>
    <row r="142" spans="1:2" ht="15.75" customHeight="1" x14ac:dyDescent="0.25">
      <c r="A142" s="2" t="s">
        <v>1383</v>
      </c>
      <c r="B142" s="2" t="s">
        <v>2357</v>
      </c>
    </row>
    <row r="143" spans="1:2" ht="15.75" customHeight="1" x14ac:dyDescent="0.25">
      <c r="A143" s="2" t="s">
        <v>2304</v>
      </c>
      <c r="B143" s="2" t="s">
        <v>2357</v>
      </c>
    </row>
    <row r="144" spans="1:2" ht="15.75" customHeight="1" x14ac:dyDescent="0.25">
      <c r="A144" s="2" t="s">
        <v>430</v>
      </c>
      <c r="B144" s="2" t="s">
        <v>2356</v>
      </c>
    </row>
    <row r="145" spans="1:2" ht="15.75" customHeight="1" x14ac:dyDescent="0.25">
      <c r="A145" s="2" t="s">
        <v>600</v>
      </c>
      <c r="B145" s="2" t="s">
        <v>2357</v>
      </c>
    </row>
    <row r="146" spans="1:2" ht="15.75" customHeight="1" x14ac:dyDescent="0.25">
      <c r="A146" s="2" t="s">
        <v>901</v>
      </c>
      <c r="B146" s="2" t="s">
        <v>2357</v>
      </c>
    </row>
    <row r="147" spans="1:2" ht="15.75" customHeight="1" x14ac:dyDescent="0.25">
      <c r="A147" s="2" t="s">
        <v>1867</v>
      </c>
      <c r="B147" s="2" t="s">
        <v>2357</v>
      </c>
    </row>
    <row r="148" spans="1:2" ht="15.75" customHeight="1" x14ac:dyDescent="0.25">
      <c r="A148" s="2" t="s">
        <v>2342</v>
      </c>
      <c r="B148" s="2" t="s">
        <v>2360</v>
      </c>
    </row>
    <row r="149" spans="1:2" ht="15.75" customHeight="1" x14ac:dyDescent="0.25">
      <c r="A149" s="2" t="s">
        <v>988</v>
      </c>
      <c r="B149" s="2" t="s">
        <v>2359</v>
      </c>
    </row>
    <row r="150" spans="1:2" ht="15.75" customHeight="1" x14ac:dyDescent="0.25">
      <c r="A150" s="2" t="s">
        <v>1220</v>
      </c>
      <c r="B150" s="2" t="s">
        <v>2356</v>
      </c>
    </row>
    <row r="151" spans="1:2" ht="15.75" customHeight="1" x14ac:dyDescent="0.25">
      <c r="A151" s="2" t="s">
        <v>2284</v>
      </c>
      <c r="B151" s="2" t="s">
        <v>2357</v>
      </c>
    </row>
    <row r="152" spans="1:2" ht="15.75" customHeight="1" x14ac:dyDescent="0.25">
      <c r="A152" s="2" t="s">
        <v>1368</v>
      </c>
      <c r="B152" s="2" t="s">
        <v>2357</v>
      </c>
    </row>
    <row r="153" spans="1:2" ht="15.75" customHeight="1" x14ac:dyDescent="0.25">
      <c r="A153" s="2" t="s">
        <v>1198</v>
      </c>
      <c r="B153" s="2" t="s">
        <v>2356</v>
      </c>
    </row>
    <row r="154" spans="1:2" ht="15.75" customHeight="1" x14ac:dyDescent="0.25">
      <c r="A154" s="2" t="s">
        <v>1244</v>
      </c>
      <c r="B154" s="2" t="s">
        <v>2357</v>
      </c>
    </row>
    <row r="155" spans="1:2" ht="15.75" customHeight="1" x14ac:dyDescent="0.25">
      <c r="A155" s="2" t="s">
        <v>2323</v>
      </c>
      <c r="B155" s="2" t="s">
        <v>2359</v>
      </c>
    </row>
    <row r="156" spans="1:2" ht="15.75" customHeight="1" x14ac:dyDescent="0.25">
      <c r="A156" s="2" t="s">
        <v>329</v>
      </c>
      <c r="B156" s="2" t="s">
        <v>2357</v>
      </c>
    </row>
    <row r="157" spans="1:2" ht="15.75" customHeight="1" x14ac:dyDescent="0.25">
      <c r="A157" s="2" t="s">
        <v>356</v>
      </c>
      <c r="B157" s="2" t="s">
        <v>2357</v>
      </c>
    </row>
    <row r="158" spans="1:2" ht="15.75" customHeight="1" x14ac:dyDescent="0.25">
      <c r="A158" s="2" t="s">
        <v>1533</v>
      </c>
      <c r="B158" s="2" t="s">
        <v>2357</v>
      </c>
    </row>
    <row r="159" spans="1:2" ht="15.75" customHeight="1" x14ac:dyDescent="0.25">
      <c r="A159" s="2" t="s">
        <v>1678</v>
      </c>
      <c r="B159" s="2" t="s">
        <v>2357</v>
      </c>
    </row>
    <row r="160" spans="1:2" ht="15.75" customHeight="1" x14ac:dyDescent="0.25">
      <c r="A160" s="2" t="s">
        <v>1463</v>
      </c>
      <c r="B160" s="2" t="s">
        <v>2357</v>
      </c>
    </row>
    <row r="161" spans="1:2" ht="15.75" customHeight="1" x14ac:dyDescent="0.25">
      <c r="A161" s="2" t="s">
        <v>1435</v>
      </c>
      <c r="B161" s="2" t="s">
        <v>2357</v>
      </c>
    </row>
    <row r="162" spans="1:2" ht="15.75" customHeight="1" x14ac:dyDescent="0.25">
      <c r="A162" s="2" t="s">
        <v>1768</v>
      </c>
      <c r="B162" s="2" t="s">
        <v>2357</v>
      </c>
    </row>
    <row r="163" spans="1:2" ht="15.75" customHeight="1" x14ac:dyDescent="0.25">
      <c r="A163" s="2" t="s">
        <v>623</v>
      </c>
      <c r="B163" s="2" t="s">
        <v>2357</v>
      </c>
    </row>
    <row r="164" spans="1:2" ht="15.75" customHeight="1" x14ac:dyDescent="0.25">
      <c r="A164" s="2" t="s">
        <v>1413</v>
      </c>
      <c r="B164" s="2" t="s">
        <v>2357</v>
      </c>
    </row>
    <row r="165" spans="1:2" ht="15.75" customHeight="1" x14ac:dyDescent="0.25">
      <c r="A165" s="2" t="s">
        <v>1934</v>
      </c>
      <c r="B165" s="2" t="s">
        <v>2357</v>
      </c>
    </row>
    <row r="166" spans="1:2" ht="15.75" customHeight="1" x14ac:dyDescent="0.25">
      <c r="A166" s="2" t="s">
        <v>1751</v>
      </c>
      <c r="B166" s="2" t="s">
        <v>2357</v>
      </c>
    </row>
    <row r="167" spans="1:2" ht="15.75" customHeight="1" x14ac:dyDescent="0.25">
      <c r="A167" s="2" t="s">
        <v>1105</v>
      </c>
      <c r="B167" s="2" t="s">
        <v>2359</v>
      </c>
    </row>
    <row r="168" spans="1:2" ht="15.75" customHeight="1" x14ac:dyDescent="0.25">
      <c r="A168" s="2" t="s">
        <v>742</v>
      </c>
      <c r="B168" s="2" t="s">
        <v>2357</v>
      </c>
    </row>
    <row r="169" spans="1:2" ht="15.75" customHeight="1" x14ac:dyDescent="0.25">
      <c r="A169" s="2" t="s">
        <v>2335</v>
      </c>
      <c r="B169" s="2" t="s">
        <v>2358</v>
      </c>
    </row>
    <row r="170" spans="1:2" ht="15.75" customHeight="1" x14ac:dyDescent="0.25">
      <c r="A170" s="2" t="s">
        <v>968</v>
      </c>
      <c r="B170" s="2" t="s">
        <v>2357</v>
      </c>
    </row>
    <row r="171" spans="1:2" ht="15.75" customHeight="1" x14ac:dyDescent="0.25">
      <c r="A171" s="2" t="s">
        <v>1010</v>
      </c>
      <c r="B171" s="2" t="s">
        <v>2357</v>
      </c>
    </row>
    <row r="172" spans="1:2" ht="15.75" customHeight="1" x14ac:dyDescent="0.25">
      <c r="A172" s="2" t="s">
        <v>1332</v>
      </c>
      <c r="B172" s="2" t="s">
        <v>2357</v>
      </c>
    </row>
    <row r="173" spans="1:2" ht="15.75" customHeight="1" x14ac:dyDescent="0.25">
      <c r="A173" s="2" t="s">
        <v>1397</v>
      </c>
      <c r="B173" s="2" t="s">
        <v>2357</v>
      </c>
    </row>
    <row r="174" spans="1:2" ht="15.75" customHeight="1" x14ac:dyDescent="0.25">
      <c r="A174" s="2" t="s">
        <v>997</v>
      </c>
      <c r="B174" s="2" t="s">
        <v>2357</v>
      </c>
    </row>
    <row r="175" spans="1:2" ht="15.75" customHeight="1" x14ac:dyDescent="0.25">
      <c r="A175" s="2" t="s">
        <v>1271</v>
      </c>
      <c r="B175" s="2" t="s">
        <v>2357</v>
      </c>
    </row>
    <row r="176" spans="1:2" ht="15.75" customHeight="1" x14ac:dyDescent="0.25">
      <c r="A176" s="2" t="s">
        <v>713</v>
      </c>
      <c r="B176" s="2" t="s">
        <v>2357</v>
      </c>
    </row>
    <row r="177" spans="1:2" ht="15.75" customHeight="1" x14ac:dyDescent="0.25">
      <c r="A177" s="2" t="s">
        <v>2324</v>
      </c>
      <c r="B177" s="2" t="s">
        <v>2357</v>
      </c>
    </row>
    <row r="178" spans="1:2" ht="15.75" customHeight="1" x14ac:dyDescent="0.25">
      <c r="A178" s="2" t="s">
        <v>1603</v>
      </c>
      <c r="B178" s="2" t="s">
        <v>2357</v>
      </c>
    </row>
    <row r="179" spans="1:2" ht="15.75" customHeight="1" x14ac:dyDescent="0.25">
      <c r="A179" s="2" t="s">
        <v>2285</v>
      </c>
      <c r="B179" s="2" t="s">
        <v>2360</v>
      </c>
    </row>
    <row r="180" spans="1:2" ht="15.75" customHeight="1" x14ac:dyDescent="0.25">
      <c r="A180" s="2" t="s">
        <v>132</v>
      </c>
      <c r="B180" s="2" t="s">
        <v>2357</v>
      </c>
    </row>
    <row r="181" spans="1:2" ht="15.75" customHeight="1" x14ac:dyDescent="0.25">
      <c r="A181" s="2" t="s">
        <v>2255</v>
      </c>
      <c r="B181" s="2" t="s">
        <v>2357</v>
      </c>
    </row>
    <row r="182" spans="1:2" ht="15.75" customHeight="1" x14ac:dyDescent="0.25">
      <c r="A182" s="2" t="s">
        <v>97</v>
      </c>
      <c r="B182" s="2" t="s">
        <v>2357</v>
      </c>
    </row>
    <row r="183" spans="1:2" ht="15.75" customHeight="1" x14ac:dyDescent="0.25">
      <c r="A183" s="2" t="s">
        <v>1358</v>
      </c>
      <c r="B183" s="2" t="s">
        <v>2357</v>
      </c>
    </row>
    <row r="184" spans="1:2" ht="15.75" customHeight="1" x14ac:dyDescent="0.25">
      <c r="A184" s="2" t="s">
        <v>2096</v>
      </c>
      <c r="B184" s="2" t="s">
        <v>2357</v>
      </c>
    </row>
    <row r="185" spans="1:2" ht="15.75" customHeight="1" x14ac:dyDescent="0.25">
      <c r="A185" s="2" t="s">
        <v>938</v>
      </c>
      <c r="B185" s="2" t="s">
        <v>2357</v>
      </c>
    </row>
    <row r="186" spans="1:2" ht="15.75" customHeight="1" x14ac:dyDescent="0.25">
      <c r="A186" s="2" t="s">
        <v>1049</v>
      </c>
      <c r="B186" s="2" t="s">
        <v>2357</v>
      </c>
    </row>
    <row r="187" spans="1:2" ht="15.75" customHeight="1" x14ac:dyDescent="0.25">
      <c r="A187" s="2" t="s">
        <v>304</v>
      </c>
      <c r="B187" s="2" t="s">
        <v>2357</v>
      </c>
    </row>
    <row r="188" spans="1:2" ht="15.75" customHeight="1" x14ac:dyDescent="0.25">
      <c r="A188" s="2" t="s">
        <v>1039</v>
      </c>
      <c r="B188" s="2" t="s">
        <v>2357</v>
      </c>
    </row>
    <row r="189" spans="1:2" ht="15.75" customHeight="1" x14ac:dyDescent="0.25">
      <c r="A189" s="2" t="s">
        <v>1762</v>
      </c>
      <c r="B189" s="2" t="s">
        <v>2359</v>
      </c>
    </row>
    <row r="190" spans="1:2" ht="15.75" customHeight="1" x14ac:dyDescent="0.25">
      <c r="A190" s="2" t="s">
        <v>134</v>
      </c>
      <c r="B190" s="2" t="s">
        <v>2357</v>
      </c>
    </row>
    <row r="191" spans="1:2" ht="15.75" customHeight="1" x14ac:dyDescent="0.25">
      <c r="A191" s="2" t="s">
        <v>1874</v>
      </c>
      <c r="B191" s="2" t="s">
        <v>2359</v>
      </c>
    </row>
    <row r="192" spans="1:2" ht="15.75" customHeight="1" x14ac:dyDescent="0.25">
      <c r="A192" s="2" t="s">
        <v>665</v>
      </c>
      <c r="B192" s="2" t="s">
        <v>2357</v>
      </c>
    </row>
    <row r="193" spans="1:2" ht="15.75" customHeight="1" x14ac:dyDescent="0.25">
      <c r="A193" s="2" t="s">
        <v>2340</v>
      </c>
      <c r="B193" s="2" t="s">
        <v>2357</v>
      </c>
    </row>
    <row r="194" spans="1:2" ht="15.75" customHeight="1" x14ac:dyDescent="0.25">
      <c r="A194" s="2" t="s">
        <v>223</v>
      </c>
      <c r="B194" s="2" t="s">
        <v>2357</v>
      </c>
    </row>
    <row r="195" spans="1:2" ht="15.75" customHeight="1" x14ac:dyDescent="0.25">
      <c r="A195" s="2" t="s">
        <v>1344</v>
      </c>
      <c r="B195" s="2" t="s">
        <v>2357</v>
      </c>
    </row>
    <row r="196" spans="1:2" ht="15.75" customHeight="1" x14ac:dyDescent="0.25">
      <c r="A196" s="2" t="s">
        <v>1667</v>
      </c>
      <c r="B196" s="2" t="s">
        <v>2357</v>
      </c>
    </row>
    <row r="197" spans="1:2" ht="15.75" customHeight="1" x14ac:dyDescent="0.25">
      <c r="A197" s="2" t="s">
        <v>1392</v>
      </c>
      <c r="B197" s="2" t="s">
        <v>2357</v>
      </c>
    </row>
    <row r="198" spans="1:2" ht="15.75" customHeight="1" x14ac:dyDescent="0.25">
      <c r="A198" s="2" t="s">
        <v>266</v>
      </c>
      <c r="B198" s="2" t="s">
        <v>2356</v>
      </c>
    </row>
    <row r="199" spans="1:2" ht="15.75" customHeight="1" x14ac:dyDescent="0.25">
      <c r="A199" s="2" t="s">
        <v>280</v>
      </c>
      <c r="B199" s="2" t="s">
        <v>2357</v>
      </c>
    </row>
    <row r="200" spans="1:2" ht="15.75" customHeight="1" x14ac:dyDescent="0.25">
      <c r="A200" s="2" t="s">
        <v>995</v>
      </c>
      <c r="B200" s="2" t="s">
        <v>2357</v>
      </c>
    </row>
    <row r="201" spans="1:2" ht="15.75" customHeight="1" x14ac:dyDescent="0.25">
      <c r="A201" s="2" t="s">
        <v>288</v>
      </c>
      <c r="B201" s="2" t="s">
        <v>2357</v>
      </c>
    </row>
    <row r="202" spans="1:2" ht="15.75" customHeight="1" x14ac:dyDescent="0.25">
      <c r="A202" s="2" t="s">
        <v>2008</v>
      </c>
      <c r="B202" s="2" t="s">
        <v>2357</v>
      </c>
    </row>
    <row r="203" spans="1:2" ht="15.75" customHeight="1" x14ac:dyDescent="0.25">
      <c r="A203" s="2" t="s">
        <v>1506</v>
      </c>
      <c r="B203" s="2" t="s">
        <v>2357</v>
      </c>
    </row>
    <row r="204" spans="1:2" ht="15.75" customHeight="1" x14ac:dyDescent="0.25">
      <c r="A204" s="2" t="s">
        <v>1999</v>
      </c>
      <c r="B204" s="2" t="s">
        <v>2357</v>
      </c>
    </row>
    <row r="205" spans="1:2" ht="15.75" customHeight="1" x14ac:dyDescent="0.25">
      <c r="A205" s="2" t="s">
        <v>1062</v>
      </c>
      <c r="B205" s="2" t="s">
        <v>2357</v>
      </c>
    </row>
    <row r="206" spans="1:2" ht="15.75" customHeight="1" x14ac:dyDescent="0.25">
      <c r="A206" s="2" t="s">
        <v>1995</v>
      </c>
      <c r="B206" s="2" t="s">
        <v>2356</v>
      </c>
    </row>
    <row r="207" spans="1:2" ht="15.75" customHeight="1" x14ac:dyDescent="0.25">
      <c r="A207" s="2" t="s">
        <v>1112</v>
      </c>
      <c r="B207" s="2" t="s">
        <v>2359</v>
      </c>
    </row>
    <row r="208" spans="1:2" ht="15.75" customHeight="1" x14ac:dyDescent="0.25">
      <c r="A208" s="2" t="s">
        <v>989</v>
      </c>
      <c r="B208" s="2" t="s">
        <v>2357</v>
      </c>
    </row>
    <row r="209" spans="1:2" ht="15.75" customHeight="1" x14ac:dyDescent="0.25">
      <c r="A209" s="2" t="s">
        <v>1322</v>
      </c>
      <c r="B209" s="2" t="s">
        <v>2357</v>
      </c>
    </row>
    <row r="210" spans="1:2" ht="15.75" customHeight="1" x14ac:dyDescent="0.25">
      <c r="A210" s="2" t="s">
        <v>1658</v>
      </c>
      <c r="B210" s="2" t="s">
        <v>2356</v>
      </c>
    </row>
    <row r="211" spans="1:2" ht="15.75" customHeight="1" x14ac:dyDescent="0.25">
      <c r="A211" s="2" t="s">
        <v>1575</v>
      </c>
      <c r="B211" s="2" t="s">
        <v>2357</v>
      </c>
    </row>
    <row r="212" spans="1:2" ht="15.75" customHeight="1" x14ac:dyDescent="0.25">
      <c r="A212" s="2" t="s">
        <v>1329</v>
      </c>
      <c r="B212" s="2" t="s">
        <v>2357</v>
      </c>
    </row>
    <row r="213" spans="1:2" ht="15.75" customHeight="1" x14ac:dyDescent="0.25">
      <c r="A213" s="2" t="s">
        <v>931</v>
      </c>
      <c r="B213" s="2" t="s">
        <v>2356</v>
      </c>
    </row>
    <row r="214" spans="1:2" ht="15.75" customHeight="1" x14ac:dyDescent="0.25">
      <c r="A214" s="2" t="s">
        <v>657</v>
      </c>
      <c r="B214" s="2" t="s">
        <v>2357</v>
      </c>
    </row>
    <row r="215" spans="1:2" ht="15.75" customHeight="1" x14ac:dyDescent="0.25">
      <c r="A215" s="2" t="s">
        <v>845</v>
      </c>
      <c r="B215" s="2" t="s">
        <v>2357</v>
      </c>
    </row>
    <row r="216" spans="1:2" ht="15.75" customHeight="1" x14ac:dyDescent="0.25">
      <c r="A216" s="2" t="s">
        <v>313</v>
      </c>
      <c r="B216" s="2" t="s">
        <v>2357</v>
      </c>
    </row>
    <row r="217" spans="1:2" ht="15.75" customHeight="1" x14ac:dyDescent="0.25">
      <c r="A217" s="2" t="s">
        <v>1370</v>
      </c>
      <c r="B217" s="2" t="s">
        <v>2357</v>
      </c>
    </row>
    <row r="218" spans="1:2" ht="15.75" customHeight="1" x14ac:dyDescent="0.25">
      <c r="A218" s="2" t="s">
        <v>1240</v>
      </c>
      <c r="B218" s="2" t="s">
        <v>2357</v>
      </c>
    </row>
    <row r="219" spans="1:2" ht="15.75" customHeight="1" x14ac:dyDescent="0.25">
      <c r="A219" s="2" t="s">
        <v>166</v>
      </c>
      <c r="B219" s="2" t="s">
        <v>2359</v>
      </c>
    </row>
    <row r="220" spans="1:2" ht="15.75" customHeight="1" x14ac:dyDescent="0.25">
      <c r="A220" s="2" t="s">
        <v>432</v>
      </c>
      <c r="B220" s="2" t="s">
        <v>2356</v>
      </c>
    </row>
    <row r="221" spans="1:2" ht="15.75" customHeight="1" x14ac:dyDescent="0.25">
      <c r="A221" s="2" t="s">
        <v>677</v>
      </c>
      <c r="B221" s="2" t="s">
        <v>2357</v>
      </c>
    </row>
    <row r="222" spans="1:2" ht="15.75" customHeight="1" x14ac:dyDescent="0.25">
      <c r="A222" s="2" t="s">
        <v>934</v>
      </c>
      <c r="B222" s="2" t="s">
        <v>2357</v>
      </c>
    </row>
    <row r="223" spans="1:2" ht="15.75" customHeight="1" x14ac:dyDescent="0.25">
      <c r="A223" s="2" t="s">
        <v>1326</v>
      </c>
      <c r="B223" s="2" t="s">
        <v>2357</v>
      </c>
    </row>
    <row r="224" spans="1:2" ht="15.75" customHeight="1" x14ac:dyDescent="0.25">
      <c r="A224" s="2" t="s">
        <v>917</v>
      </c>
      <c r="B224" s="2" t="s">
        <v>2357</v>
      </c>
    </row>
    <row r="225" spans="1:2" ht="15.75" customHeight="1" x14ac:dyDescent="0.25">
      <c r="A225" s="2" t="s">
        <v>1124</v>
      </c>
      <c r="B225" s="2" t="s">
        <v>2357</v>
      </c>
    </row>
    <row r="226" spans="1:2" ht="15.75" customHeight="1" x14ac:dyDescent="0.25">
      <c r="A226" s="2" t="s">
        <v>454</v>
      </c>
      <c r="B226" s="2" t="s">
        <v>2357</v>
      </c>
    </row>
    <row r="227" spans="1:2" ht="15.75" customHeight="1" x14ac:dyDescent="0.25">
      <c r="A227" s="2" t="s">
        <v>1004</v>
      </c>
      <c r="B227" s="2" t="s">
        <v>2357</v>
      </c>
    </row>
    <row r="228" spans="1:2" ht="15.75" customHeight="1" x14ac:dyDescent="0.25">
      <c r="A228" s="2" t="s">
        <v>1512</v>
      </c>
      <c r="B228" s="2" t="s">
        <v>2357</v>
      </c>
    </row>
    <row r="229" spans="1:2" ht="15.75" customHeight="1" x14ac:dyDescent="0.25">
      <c r="A229" s="2" t="s">
        <v>433</v>
      </c>
      <c r="B229" s="2" t="s">
        <v>2356</v>
      </c>
    </row>
    <row r="230" spans="1:2" ht="15.75" customHeight="1" x14ac:dyDescent="0.25">
      <c r="A230" s="2" t="s">
        <v>352</v>
      </c>
      <c r="B230" s="2" t="s">
        <v>2357</v>
      </c>
    </row>
    <row r="231" spans="1:2" ht="15.75" customHeight="1" x14ac:dyDescent="0.25">
      <c r="A231" s="2" t="s">
        <v>415</v>
      </c>
      <c r="B231" s="2" t="s">
        <v>2357</v>
      </c>
    </row>
    <row r="232" spans="1:2" ht="15.75" customHeight="1" x14ac:dyDescent="0.25">
      <c r="A232" s="2" t="s">
        <v>1301</v>
      </c>
      <c r="B232" s="2" t="s">
        <v>2357</v>
      </c>
    </row>
    <row r="233" spans="1:2" ht="15.75" customHeight="1" x14ac:dyDescent="0.25">
      <c r="A233" s="2" t="s">
        <v>1353</v>
      </c>
      <c r="B233" s="2" t="s">
        <v>2357</v>
      </c>
    </row>
    <row r="234" spans="1:2" ht="15.75" customHeight="1" x14ac:dyDescent="0.25">
      <c r="A234" s="2" t="s">
        <v>912</v>
      </c>
      <c r="B234" s="2" t="s">
        <v>2357</v>
      </c>
    </row>
    <row r="235" spans="1:2" ht="15.75" customHeight="1" x14ac:dyDescent="0.25">
      <c r="A235" s="2" t="s">
        <v>840</v>
      </c>
      <c r="B235" s="2" t="s">
        <v>2359</v>
      </c>
    </row>
    <row r="236" spans="1:2" ht="15.75" customHeight="1" x14ac:dyDescent="0.25">
      <c r="A236" s="2" t="s">
        <v>1203</v>
      </c>
      <c r="B236" s="2" t="s">
        <v>2357</v>
      </c>
    </row>
    <row r="237" spans="1:2" ht="15.75" customHeight="1" x14ac:dyDescent="0.25">
      <c r="A237" s="2" t="s">
        <v>2298</v>
      </c>
      <c r="B237" s="2" t="s">
        <v>2357</v>
      </c>
    </row>
    <row r="238" spans="1:2" ht="15.75" customHeight="1" x14ac:dyDescent="0.25">
      <c r="A238" s="2" t="s">
        <v>276</v>
      </c>
      <c r="B238" s="2" t="s">
        <v>2357</v>
      </c>
    </row>
    <row r="239" spans="1:2" ht="15.75" customHeight="1" x14ac:dyDescent="0.25">
      <c r="A239" s="2" t="s">
        <v>480</v>
      </c>
      <c r="B239" s="2" t="s">
        <v>2357</v>
      </c>
    </row>
    <row r="240" spans="1:2" ht="15.75" customHeight="1" x14ac:dyDescent="0.25">
      <c r="A240" s="2" t="s">
        <v>111</v>
      </c>
      <c r="B240" s="2" t="s">
        <v>2357</v>
      </c>
    </row>
    <row r="241" spans="1:2" ht="15.75" customHeight="1" x14ac:dyDescent="0.25">
      <c r="A241" s="2" t="s">
        <v>1355</v>
      </c>
      <c r="B241" s="2" t="s">
        <v>2357</v>
      </c>
    </row>
    <row r="242" spans="1:2" ht="15.75" customHeight="1" x14ac:dyDescent="0.25">
      <c r="A242" s="2" t="s">
        <v>1860</v>
      </c>
      <c r="B242" s="2" t="s">
        <v>2357</v>
      </c>
    </row>
    <row r="243" spans="1:2" ht="15.75" customHeight="1" x14ac:dyDescent="0.25">
      <c r="A243" s="2" t="s">
        <v>1848</v>
      </c>
      <c r="B243" s="2" t="s">
        <v>2357</v>
      </c>
    </row>
    <row r="244" spans="1:2" ht="15.75" customHeight="1" x14ac:dyDescent="0.25">
      <c r="A244" s="2" t="s">
        <v>2316</v>
      </c>
      <c r="B244" s="2" t="s">
        <v>2357</v>
      </c>
    </row>
    <row r="245" spans="1:2" ht="15.75" customHeight="1" x14ac:dyDescent="0.25">
      <c r="A245" s="2" t="s">
        <v>1137</v>
      </c>
      <c r="B245" s="2" t="s">
        <v>2359</v>
      </c>
    </row>
    <row r="246" spans="1:2" ht="15.75" customHeight="1" x14ac:dyDescent="0.25">
      <c r="A246" s="2" t="s">
        <v>2215</v>
      </c>
      <c r="B246" s="2" t="s">
        <v>2357</v>
      </c>
    </row>
    <row r="247" spans="1:2" ht="15.75" customHeight="1" x14ac:dyDescent="0.25">
      <c r="A247" s="2" t="s">
        <v>2202</v>
      </c>
      <c r="B247" s="2" t="s">
        <v>2357</v>
      </c>
    </row>
    <row r="248" spans="1:2" ht="15.75" customHeight="1" x14ac:dyDescent="0.25">
      <c r="A248" s="2" t="s">
        <v>1733</v>
      </c>
      <c r="B248" s="2" t="s">
        <v>2357</v>
      </c>
    </row>
    <row r="249" spans="1:2" ht="15.75" customHeight="1" x14ac:dyDescent="0.25">
      <c r="A249" s="2" t="s">
        <v>1165</v>
      </c>
      <c r="B249" s="2" t="s">
        <v>2357</v>
      </c>
    </row>
    <row r="250" spans="1:2" ht="15.75" customHeight="1" x14ac:dyDescent="0.25">
      <c r="A250" s="2" t="s">
        <v>662</v>
      </c>
      <c r="B250" s="2" t="s">
        <v>2357</v>
      </c>
    </row>
    <row r="251" spans="1:2" ht="15.75" customHeight="1" x14ac:dyDescent="0.25">
      <c r="A251" s="2" t="s">
        <v>1554</v>
      </c>
      <c r="B251" s="2" t="s">
        <v>2356</v>
      </c>
    </row>
    <row r="252" spans="1:2" ht="15.75" customHeight="1" x14ac:dyDescent="0.25">
      <c r="A252" s="2" t="s">
        <v>1460</v>
      </c>
      <c r="B252" s="2" t="s">
        <v>2357</v>
      </c>
    </row>
    <row r="253" spans="1:2" ht="15.75" customHeight="1" x14ac:dyDescent="0.25">
      <c r="A253" s="2" t="s">
        <v>1809</v>
      </c>
      <c r="B253" s="2" t="s">
        <v>2356</v>
      </c>
    </row>
    <row r="254" spans="1:2" ht="15.75" customHeight="1" x14ac:dyDescent="0.25">
      <c r="A254" s="2" t="s">
        <v>1798</v>
      </c>
      <c r="B254" s="2" t="s">
        <v>2357</v>
      </c>
    </row>
    <row r="255" spans="1:2" ht="15.75" customHeight="1" x14ac:dyDescent="0.25">
      <c r="A255" s="2" t="s">
        <v>1094</v>
      </c>
      <c r="B255" s="2" t="s">
        <v>2357</v>
      </c>
    </row>
    <row r="256" spans="1:2" ht="15.75" customHeight="1" x14ac:dyDescent="0.25">
      <c r="A256" s="2" t="s">
        <v>2200</v>
      </c>
      <c r="B256" s="2" t="s">
        <v>2358</v>
      </c>
    </row>
    <row r="257" spans="1:2" ht="15.75" customHeight="1" x14ac:dyDescent="0.25">
      <c r="A257" s="2" t="s">
        <v>1018</v>
      </c>
      <c r="B257" s="2" t="s">
        <v>2357</v>
      </c>
    </row>
    <row r="258" spans="1:2" ht="15.75" customHeight="1" x14ac:dyDescent="0.25">
      <c r="A258" s="2" t="s">
        <v>1492</v>
      </c>
      <c r="B258" s="2" t="s">
        <v>2357</v>
      </c>
    </row>
    <row r="259" spans="1:2" ht="15.75" customHeight="1" x14ac:dyDescent="0.25">
      <c r="A259" s="2" t="s">
        <v>1629</v>
      </c>
      <c r="B259" s="2" t="s">
        <v>2357</v>
      </c>
    </row>
    <row r="260" spans="1:2" ht="15.75" customHeight="1" x14ac:dyDescent="0.25">
      <c r="A260" s="2" t="s">
        <v>1714</v>
      </c>
      <c r="B260" s="2" t="s">
        <v>2357</v>
      </c>
    </row>
    <row r="261" spans="1:2" ht="15.75" customHeight="1" x14ac:dyDescent="0.25">
      <c r="A261" s="2" t="s">
        <v>1283</v>
      </c>
      <c r="B261" s="2" t="s">
        <v>2357</v>
      </c>
    </row>
    <row r="262" spans="1:2" ht="15.75" customHeight="1" x14ac:dyDescent="0.25">
      <c r="A262" s="2" t="s">
        <v>746</v>
      </c>
      <c r="B262" s="2" t="s">
        <v>2357</v>
      </c>
    </row>
    <row r="263" spans="1:2" ht="15.75" customHeight="1" x14ac:dyDescent="0.25">
      <c r="A263" s="2" t="s">
        <v>909</v>
      </c>
      <c r="B263" s="2" t="s">
        <v>2357</v>
      </c>
    </row>
    <row r="264" spans="1:2" ht="15.75" customHeight="1" x14ac:dyDescent="0.25">
      <c r="A264" s="2" t="s">
        <v>2023</v>
      </c>
      <c r="B264" s="2" t="s">
        <v>2356</v>
      </c>
    </row>
    <row r="265" spans="1:2" ht="15.75" customHeight="1" x14ac:dyDescent="0.25">
      <c r="A265" s="2" t="s">
        <v>1108</v>
      </c>
      <c r="B265" s="2" t="s">
        <v>2357</v>
      </c>
    </row>
    <row r="266" spans="1:2" ht="15.75" customHeight="1" x14ac:dyDescent="0.25">
      <c r="A266" s="2" t="s">
        <v>1388</v>
      </c>
      <c r="B266" s="2" t="s">
        <v>2357</v>
      </c>
    </row>
    <row r="267" spans="1:2" ht="15.75" customHeight="1" x14ac:dyDescent="0.25">
      <c r="A267" s="2" t="s">
        <v>2308</v>
      </c>
      <c r="B267" s="2" t="s">
        <v>2358</v>
      </c>
    </row>
    <row r="268" spans="1:2" ht="15.75" customHeight="1" x14ac:dyDescent="0.25">
      <c r="A268" s="2" t="s">
        <v>1737</v>
      </c>
      <c r="B268" s="2" t="s">
        <v>2357</v>
      </c>
    </row>
    <row r="269" spans="1:2" ht="15.75" customHeight="1" x14ac:dyDescent="0.25">
      <c r="A269" s="2" t="s">
        <v>1997</v>
      </c>
      <c r="B269" s="2" t="s">
        <v>2357</v>
      </c>
    </row>
    <row r="270" spans="1:2" ht="15.75" customHeight="1" x14ac:dyDescent="0.25">
      <c r="A270" s="2" t="s">
        <v>380</v>
      </c>
      <c r="B270" s="2" t="s">
        <v>2356</v>
      </c>
    </row>
    <row r="271" spans="1:2" ht="15.75" customHeight="1" x14ac:dyDescent="0.25">
      <c r="A271" s="2" t="s">
        <v>2020</v>
      </c>
      <c r="B271" s="2" t="s">
        <v>2357</v>
      </c>
    </row>
    <row r="272" spans="1:2" ht="15.75" customHeight="1" x14ac:dyDescent="0.25">
      <c r="A272" s="2" t="s">
        <v>2222</v>
      </c>
      <c r="B272" s="2" t="s">
        <v>2360</v>
      </c>
    </row>
    <row r="273" spans="1:2" ht="15.75" customHeight="1" x14ac:dyDescent="0.25">
      <c r="A273" s="2" t="s">
        <v>372</v>
      </c>
      <c r="B273" s="2" t="s">
        <v>2357</v>
      </c>
    </row>
    <row r="274" spans="1:2" ht="15.75" customHeight="1" x14ac:dyDescent="0.25">
      <c r="A274" s="2" t="s">
        <v>704</v>
      </c>
      <c r="B274" s="2" t="s">
        <v>2357</v>
      </c>
    </row>
    <row r="275" spans="1:2" ht="15.75" customHeight="1" x14ac:dyDescent="0.25">
      <c r="A275" s="2" t="s">
        <v>2155</v>
      </c>
      <c r="B275" s="2" t="s">
        <v>2360</v>
      </c>
    </row>
    <row r="276" spans="1:2" ht="15.75" customHeight="1" x14ac:dyDescent="0.25">
      <c r="A276" s="2" t="s">
        <v>1347</v>
      </c>
      <c r="B276" s="2" t="s">
        <v>2356</v>
      </c>
    </row>
    <row r="277" spans="1:2" ht="15.75" customHeight="1" x14ac:dyDescent="0.25">
      <c r="A277" s="2" t="s">
        <v>1183</v>
      </c>
      <c r="B277" s="2" t="s">
        <v>2357</v>
      </c>
    </row>
    <row r="278" spans="1:2" ht="15.75" customHeight="1" x14ac:dyDescent="0.25">
      <c r="A278" s="2" t="s">
        <v>447</v>
      </c>
      <c r="B278" s="2" t="s">
        <v>2357</v>
      </c>
    </row>
    <row r="279" spans="1:2" ht="15.75" customHeight="1" x14ac:dyDescent="0.25">
      <c r="A279" s="2" t="s">
        <v>407</v>
      </c>
      <c r="B279" s="2" t="s">
        <v>2357</v>
      </c>
    </row>
    <row r="280" spans="1:2" ht="15.75" customHeight="1" x14ac:dyDescent="0.25">
      <c r="A280" s="2" t="s">
        <v>2006</v>
      </c>
      <c r="B280" s="2" t="s">
        <v>2357</v>
      </c>
    </row>
    <row r="281" spans="1:2" ht="15.75" customHeight="1" x14ac:dyDescent="0.25">
      <c r="A281" s="2" t="s">
        <v>1517</v>
      </c>
      <c r="B281" s="2" t="s">
        <v>2357</v>
      </c>
    </row>
    <row r="282" spans="1:2" ht="15.75" customHeight="1" x14ac:dyDescent="0.25">
      <c r="A282" s="2" t="s">
        <v>1032</v>
      </c>
      <c r="B282" s="2" t="s">
        <v>2357</v>
      </c>
    </row>
    <row r="283" spans="1:2" ht="15.75" customHeight="1" x14ac:dyDescent="0.25">
      <c r="A283" s="2" t="s">
        <v>2026</v>
      </c>
      <c r="B283" s="2" t="s">
        <v>2357</v>
      </c>
    </row>
    <row r="284" spans="1:2" ht="15.75" customHeight="1" x14ac:dyDescent="0.25">
      <c r="A284" s="2" t="s">
        <v>1284</v>
      </c>
      <c r="B284" s="2" t="s">
        <v>2357</v>
      </c>
    </row>
    <row r="285" spans="1:2" ht="15.75" customHeight="1" x14ac:dyDescent="0.25">
      <c r="A285" s="2" t="s">
        <v>2011</v>
      </c>
      <c r="B285" s="2" t="s">
        <v>2356</v>
      </c>
    </row>
    <row r="286" spans="1:2" ht="15.75" customHeight="1" x14ac:dyDescent="0.25">
      <c r="A286" s="2" t="s">
        <v>2132</v>
      </c>
      <c r="B286" s="2" t="s">
        <v>2357</v>
      </c>
    </row>
    <row r="287" spans="1:2" ht="15.75" customHeight="1" x14ac:dyDescent="0.25">
      <c r="A287" s="2" t="s">
        <v>345</v>
      </c>
      <c r="B287" s="2" t="s">
        <v>2357</v>
      </c>
    </row>
    <row r="288" spans="1:2" ht="15.75" customHeight="1" x14ac:dyDescent="0.25">
      <c r="A288" s="2" t="s">
        <v>1257</v>
      </c>
      <c r="B288" s="2" t="s">
        <v>2357</v>
      </c>
    </row>
    <row r="289" spans="1:2" ht="15.75" customHeight="1" x14ac:dyDescent="0.25">
      <c r="A289" s="2" t="s">
        <v>1893</v>
      </c>
      <c r="B289" s="2" t="s">
        <v>2357</v>
      </c>
    </row>
    <row r="290" spans="1:2" ht="15.75" customHeight="1" x14ac:dyDescent="0.25">
      <c r="A290" s="2" t="s">
        <v>807</v>
      </c>
      <c r="B290" s="2" t="s">
        <v>2357</v>
      </c>
    </row>
    <row r="291" spans="1:2" ht="15.75" customHeight="1" x14ac:dyDescent="0.25">
      <c r="A291" s="2" t="s">
        <v>1822</v>
      </c>
      <c r="B291" s="2" t="s">
        <v>2356</v>
      </c>
    </row>
    <row r="292" spans="1:2" ht="15.75" customHeight="1" x14ac:dyDescent="0.25">
      <c r="A292" s="2" t="s">
        <v>1162</v>
      </c>
      <c r="B292" s="2" t="s">
        <v>2359</v>
      </c>
    </row>
    <row r="293" spans="1:2" ht="15.75" customHeight="1" x14ac:dyDescent="0.25">
      <c r="A293" s="2" t="s">
        <v>1924</v>
      </c>
      <c r="B293" s="2" t="s">
        <v>2357</v>
      </c>
    </row>
    <row r="294" spans="1:2" ht="15.75" customHeight="1" x14ac:dyDescent="0.25">
      <c r="A294" s="2" t="s">
        <v>2079</v>
      </c>
      <c r="B294" s="2" t="s">
        <v>2357</v>
      </c>
    </row>
    <row r="295" spans="1:2" ht="15.75" customHeight="1" x14ac:dyDescent="0.25">
      <c r="A295" s="2" t="s">
        <v>2263</v>
      </c>
      <c r="B295" s="2" t="s">
        <v>2357</v>
      </c>
    </row>
    <row r="296" spans="1:2" ht="15.75" customHeight="1" x14ac:dyDescent="0.25">
      <c r="A296" s="2" t="s">
        <v>2113</v>
      </c>
      <c r="B296" s="2" t="s">
        <v>2357</v>
      </c>
    </row>
    <row r="297" spans="1:2" ht="15.75" customHeight="1" x14ac:dyDescent="0.25">
      <c r="A297" s="2" t="s">
        <v>1464</v>
      </c>
      <c r="B297" s="2" t="s">
        <v>2357</v>
      </c>
    </row>
    <row r="298" spans="1:2" ht="15.75" customHeight="1" x14ac:dyDescent="0.25">
      <c r="A298" s="2" t="s">
        <v>604</v>
      </c>
      <c r="B298" s="2" t="s">
        <v>2357</v>
      </c>
    </row>
    <row r="299" spans="1:2" ht="15.75" customHeight="1" x14ac:dyDescent="0.25">
      <c r="A299" s="2" t="s">
        <v>2012</v>
      </c>
      <c r="B299" s="2" t="s">
        <v>2357</v>
      </c>
    </row>
    <row r="300" spans="1:2" ht="15.75" customHeight="1" x14ac:dyDescent="0.25">
      <c r="A300" s="2" t="s">
        <v>2341</v>
      </c>
      <c r="B300" s="2" t="s">
        <v>2357</v>
      </c>
    </row>
    <row r="301" spans="1:2" ht="15.75" customHeight="1" x14ac:dyDescent="0.25">
      <c r="A301" s="2" t="s">
        <v>818</v>
      </c>
      <c r="B301" s="2" t="s">
        <v>2357</v>
      </c>
    </row>
    <row r="302" spans="1:2" ht="15.75" customHeight="1" x14ac:dyDescent="0.25">
      <c r="A302" s="2" t="s">
        <v>1929</v>
      </c>
      <c r="B302" s="2" t="s">
        <v>2357</v>
      </c>
    </row>
    <row r="303" spans="1:2" ht="15.75" customHeight="1" x14ac:dyDescent="0.25">
      <c r="A303" s="2" t="s">
        <v>1276</v>
      </c>
      <c r="B303" s="2" t="s">
        <v>2357</v>
      </c>
    </row>
    <row r="304" spans="1:2" ht="15.75" customHeight="1" x14ac:dyDescent="0.25">
      <c r="A304" s="2" t="s">
        <v>2339</v>
      </c>
      <c r="B304" s="2" t="s">
        <v>2357</v>
      </c>
    </row>
    <row r="305" spans="1:2" ht="15.75" customHeight="1" x14ac:dyDescent="0.25">
      <c r="A305" s="2" t="s">
        <v>2343</v>
      </c>
      <c r="B305" s="2" t="s">
        <v>2357</v>
      </c>
    </row>
    <row r="306" spans="1:2" ht="15.75" customHeight="1" x14ac:dyDescent="0.25">
      <c r="A306" s="2" t="s">
        <v>388</v>
      </c>
      <c r="B306" s="2" t="s">
        <v>2357</v>
      </c>
    </row>
    <row r="307" spans="1:2" ht="15.75" customHeight="1" x14ac:dyDescent="0.25">
      <c r="A307" s="2" t="s">
        <v>1403</v>
      </c>
      <c r="B307" s="2" t="s">
        <v>2357</v>
      </c>
    </row>
    <row r="308" spans="1:2" ht="15.75" customHeight="1" x14ac:dyDescent="0.25">
      <c r="A308" s="2" t="s">
        <v>417</v>
      </c>
      <c r="B308" s="2" t="s">
        <v>2357</v>
      </c>
    </row>
    <row r="309" spans="1:2" ht="15.75" customHeight="1" x14ac:dyDescent="0.25">
      <c r="A309" s="2" t="s">
        <v>1957</v>
      </c>
      <c r="B309" s="2" t="s">
        <v>2356</v>
      </c>
    </row>
    <row r="310" spans="1:2" ht="15.75" customHeight="1" x14ac:dyDescent="0.25">
      <c r="A310" s="2" t="s">
        <v>1664</v>
      </c>
      <c r="B310" s="2" t="s">
        <v>2357</v>
      </c>
    </row>
    <row r="311" spans="1:2" ht="15.75" customHeight="1" x14ac:dyDescent="0.25">
      <c r="A311" s="2" t="s">
        <v>1878</v>
      </c>
      <c r="B311" s="2" t="s">
        <v>2357</v>
      </c>
    </row>
    <row r="312" spans="1:2" ht="15.75" customHeight="1" x14ac:dyDescent="0.25">
      <c r="A312" s="2" t="s">
        <v>1132</v>
      </c>
      <c r="B312" s="2" t="s">
        <v>2357</v>
      </c>
    </row>
    <row r="313" spans="1:2" ht="15.75" customHeight="1" x14ac:dyDescent="0.25">
      <c r="A313" s="2" t="s">
        <v>1969</v>
      </c>
      <c r="B313" s="2" t="s">
        <v>2356</v>
      </c>
    </row>
    <row r="314" spans="1:2" ht="15.75" customHeight="1" x14ac:dyDescent="0.25">
      <c r="A314" s="2" t="s">
        <v>1261</v>
      </c>
      <c r="B314" s="2" t="s">
        <v>2356</v>
      </c>
    </row>
    <row r="315" spans="1:2" ht="15.75" customHeight="1" x14ac:dyDescent="0.25">
      <c r="A315" s="2" t="s">
        <v>1802</v>
      </c>
      <c r="B315" s="2" t="s">
        <v>2357</v>
      </c>
    </row>
    <row r="316" spans="1:2" ht="15.75" customHeight="1" x14ac:dyDescent="0.25">
      <c r="A316" s="2" t="s">
        <v>723</v>
      </c>
      <c r="B316" s="2" t="s">
        <v>2356</v>
      </c>
    </row>
    <row r="317" spans="1:2" ht="15.75" customHeight="1" x14ac:dyDescent="0.25">
      <c r="A317" s="2" t="s">
        <v>880</v>
      </c>
      <c r="B317" s="2" t="s">
        <v>2357</v>
      </c>
    </row>
    <row r="318" spans="1:2" ht="15.75" customHeight="1" x14ac:dyDescent="0.25">
      <c r="A318" s="2" t="s">
        <v>1705</v>
      </c>
      <c r="B318" s="2" t="s">
        <v>2357</v>
      </c>
    </row>
    <row r="319" spans="1:2" ht="15.75" customHeight="1" x14ac:dyDescent="0.25">
      <c r="A319" s="2" t="s">
        <v>1824</v>
      </c>
      <c r="B319" s="2" t="s">
        <v>2357</v>
      </c>
    </row>
    <row r="320" spans="1:2" ht="15.75" customHeight="1" x14ac:dyDescent="0.25">
      <c r="A320" s="2" t="s">
        <v>1716</v>
      </c>
      <c r="B320" s="2" t="s">
        <v>2356</v>
      </c>
    </row>
    <row r="321" spans="1:2" ht="15.75" customHeight="1" x14ac:dyDescent="0.25">
      <c r="A321" s="2" t="s">
        <v>800</v>
      </c>
      <c r="B321" s="2" t="s">
        <v>2357</v>
      </c>
    </row>
    <row r="322" spans="1:2" ht="15.75" customHeight="1" x14ac:dyDescent="0.25">
      <c r="A322" s="2" t="s">
        <v>1990</v>
      </c>
      <c r="B322" s="2" t="s">
        <v>2356</v>
      </c>
    </row>
    <row r="323" spans="1:2" ht="15.75" customHeight="1" x14ac:dyDescent="0.25">
      <c r="A323" s="2" t="s">
        <v>2278</v>
      </c>
      <c r="B323" s="2" t="s">
        <v>2359</v>
      </c>
    </row>
    <row r="324" spans="1:2" ht="15.75" customHeight="1" x14ac:dyDescent="0.25">
      <c r="A324" s="2" t="s">
        <v>1399</v>
      </c>
      <c r="B324" s="2" t="s">
        <v>2357</v>
      </c>
    </row>
    <row r="325" spans="1:2" ht="15.75" customHeight="1" x14ac:dyDescent="0.25">
      <c r="A325" s="2" t="s">
        <v>2052</v>
      </c>
      <c r="B325" s="2" t="s">
        <v>2357</v>
      </c>
    </row>
    <row r="326" spans="1:2" ht="15.75" customHeight="1" x14ac:dyDescent="0.25">
      <c r="A326" s="2" t="s">
        <v>1587</v>
      </c>
      <c r="B326" s="2" t="s">
        <v>2357</v>
      </c>
    </row>
    <row r="327" spans="1:2" ht="15.75" customHeight="1" x14ac:dyDescent="0.25">
      <c r="A327" s="2" t="s">
        <v>42</v>
      </c>
      <c r="B327" s="2" t="s">
        <v>2357</v>
      </c>
    </row>
    <row r="328" spans="1:2" ht="15.75" customHeight="1" x14ac:dyDescent="0.25">
      <c r="A328" s="2" t="s">
        <v>1294</v>
      </c>
      <c r="B328" s="2" t="s">
        <v>2356</v>
      </c>
    </row>
    <row r="329" spans="1:2" ht="15.75" customHeight="1" x14ac:dyDescent="0.25">
      <c r="A329" s="2" t="s">
        <v>471</v>
      </c>
      <c r="B329" s="2" t="s">
        <v>2357</v>
      </c>
    </row>
    <row r="330" spans="1:2" ht="15.75" customHeight="1" x14ac:dyDescent="0.25">
      <c r="A330" s="2" t="s">
        <v>1634</v>
      </c>
      <c r="B330" s="2" t="s">
        <v>2356</v>
      </c>
    </row>
    <row r="331" spans="1:2" ht="15.75" customHeight="1" x14ac:dyDescent="0.25">
      <c r="A331" s="2" t="s">
        <v>710</v>
      </c>
      <c r="B331" s="2" t="s">
        <v>2357</v>
      </c>
    </row>
    <row r="332" spans="1:2" ht="15.75" customHeight="1" x14ac:dyDescent="0.25">
      <c r="A332" s="2" t="s">
        <v>951</v>
      </c>
      <c r="B332" s="2" t="s">
        <v>2357</v>
      </c>
    </row>
    <row r="333" spans="1:2" ht="15.75" customHeight="1" x14ac:dyDescent="0.25">
      <c r="A333" s="2" t="s">
        <v>2305</v>
      </c>
      <c r="B333" s="2" t="s">
        <v>2357</v>
      </c>
    </row>
    <row r="334" spans="1:2" ht="15.75" customHeight="1" x14ac:dyDescent="0.25">
      <c r="A334" s="2" t="s">
        <v>2115</v>
      </c>
      <c r="B334" s="2" t="s">
        <v>2357</v>
      </c>
    </row>
    <row r="335" spans="1:2" ht="15.75" customHeight="1" x14ac:dyDescent="0.25">
      <c r="A335" s="2" t="s">
        <v>573</v>
      </c>
      <c r="B335" s="2" t="s">
        <v>2359</v>
      </c>
    </row>
    <row r="336" spans="1:2" ht="15.75" customHeight="1" x14ac:dyDescent="0.25">
      <c r="A336" s="2" t="s">
        <v>1915</v>
      </c>
      <c r="B336" s="2" t="s">
        <v>2357</v>
      </c>
    </row>
    <row r="337" spans="1:2" ht="15.75" customHeight="1" x14ac:dyDescent="0.25">
      <c r="A337" s="2" t="s">
        <v>315</v>
      </c>
      <c r="B337" s="2" t="s">
        <v>2357</v>
      </c>
    </row>
    <row r="338" spans="1:2" ht="15.75" customHeight="1" x14ac:dyDescent="0.25">
      <c r="A338" s="2" t="s">
        <v>1042</v>
      </c>
      <c r="B338" s="2" t="s">
        <v>2357</v>
      </c>
    </row>
    <row r="339" spans="1:2" ht="15.75" customHeight="1" x14ac:dyDescent="0.25">
      <c r="A339" s="2" t="s">
        <v>2131</v>
      </c>
      <c r="B339" s="2" t="s">
        <v>2357</v>
      </c>
    </row>
    <row r="340" spans="1:2" ht="15.75" customHeight="1" x14ac:dyDescent="0.25">
      <c r="A340" s="2" t="s">
        <v>2182</v>
      </c>
      <c r="B340" s="2" t="s">
        <v>2357</v>
      </c>
    </row>
    <row r="341" spans="1:2" ht="15.75" customHeight="1" x14ac:dyDescent="0.25">
      <c r="A341" s="2" t="s">
        <v>1994</v>
      </c>
      <c r="B341" s="2" t="s">
        <v>2357</v>
      </c>
    </row>
    <row r="342" spans="1:2" ht="15.75" customHeight="1" x14ac:dyDescent="0.25">
      <c r="A342" s="2" t="s">
        <v>1430</v>
      </c>
      <c r="B342" s="2" t="s">
        <v>2357</v>
      </c>
    </row>
    <row r="343" spans="1:2" ht="15.75" customHeight="1" x14ac:dyDescent="0.25">
      <c r="A343" s="2" t="s">
        <v>1914</v>
      </c>
      <c r="B343" s="2" t="s">
        <v>2357</v>
      </c>
    </row>
    <row r="344" spans="1:2" ht="15.75" customHeight="1" x14ac:dyDescent="0.25">
      <c r="A344" s="2" t="s">
        <v>1727</v>
      </c>
      <c r="B344" s="2" t="s">
        <v>2357</v>
      </c>
    </row>
    <row r="345" spans="1:2" ht="15.75" customHeight="1" x14ac:dyDescent="0.25">
      <c r="A345" s="2" t="s">
        <v>1950</v>
      </c>
      <c r="B345" s="2" t="s">
        <v>2356</v>
      </c>
    </row>
    <row r="346" spans="1:2" ht="15.75" customHeight="1" x14ac:dyDescent="0.25">
      <c r="A346" s="2" t="s">
        <v>2217</v>
      </c>
      <c r="B346" s="2" t="s">
        <v>2360</v>
      </c>
    </row>
    <row r="347" spans="1:2" ht="15.75" customHeight="1" x14ac:dyDescent="0.25">
      <c r="A347" s="2" t="s">
        <v>639</v>
      </c>
      <c r="B347" s="2" t="s">
        <v>2357</v>
      </c>
    </row>
    <row r="348" spans="1:2" ht="15.75" customHeight="1" x14ac:dyDescent="0.25">
      <c r="A348" s="2" t="s">
        <v>2240</v>
      </c>
      <c r="B348" s="2" t="s">
        <v>2360</v>
      </c>
    </row>
    <row r="349" spans="1:2" ht="15.75" customHeight="1" x14ac:dyDescent="0.25">
      <c r="A349" s="2" t="s">
        <v>1774</v>
      </c>
      <c r="B349" s="2" t="s">
        <v>2359</v>
      </c>
    </row>
    <row r="350" spans="1:2" ht="15.75" customHeight="1" x14ac:dyDescent="0.25">
      <c r="A350" s="2" t="s">
        <v>1443</v>
      </c>
      <c r="B350" s="2" t="s">
        <v>2357</v>
      </c>
    </row>
    <row r="351" spans="1:2" ht="15.75" customHeight="1" x14ac:dyDescent="0.25">
      <c r="A351" s="2" t="s">
        <v>1660</v>
      </c>
      <c r="B351" s="2" t="s">
        <v>2357</v>
      </c>
    </row>
    <row r="352" spans="1:2" ht="15.75" customHeight="1" x14ac:dyDescent="0.25">
      <c r="A352" s="2" t="s">
        <v>1621</v>
      </c>
      <c r="B352" s="2" t="s">
        <v>2357</v>
      </c>
    </row>
    <row r="353" spans="1:2" ht="15.75" customHeight="1" x14ac:dyDescent="0.25">
      <c r="A353" s="2" t="s">
        <v>828</v>
      </c>
      <c r="B353" s="2" t="s">
        <v>2356</v>
      </c>
    </row>
    <row r="354" spans="1:2" ht="15.75" customHeight="1" x14ac:dyDescent="0.25">
      <c r="A354" s="2" t="s">
        <v>1212</v>
      </c>
      <c r="B354" s="2" t="s">
        <v>2357</v>
      </c>
    </row>
    <row r="355" spans="1:2" ht="15.75" customHeight="1" x14ac:dyDescent="0.25">
      <c r="A355" s="2" t="s">
        <v>1486</v>
      </c>
      <c r="B355" s="2" t="s">
        <v>2359</v>
      </c>
    </row>
    <row r="356" spans="1:2" ht="15.75" customHeight="1" x14ac:dyDescent="0.25">
      <c r="A356" s="2" t="s">
        <v>822</v>
      </c>
      <c r="B356" s="2" t="s">
        <v>2357</v>
      </c>
    </row>
    <row r="357" spans="1:2" ht="15.75" customHeight="1" x14ac:dyDescent="0.25">
      <c r="A357" s="2" t="s">
        <v>2178</v>
      </c>
      <c r="B357" s="2" t="s">
        <v>2358</v>
      </c>
    </row>
    <row r="358" spans="1:2" ht="15.75" customHeight="1" x14ac:dyDescent="0.25">
      <c r="A358" s="2" t="s">
        <v>2207</v>
      </c>
      <c r="B358" s="2" t="s">
        <v>2357</v>
      </c>
    </row>
    <row r="359" spans="1:2" ht="15.75" customHeight="1" x14ac:dyDescent="0.25">
      <c r="A359" s="2" t="s">
        <v>620</v>
      </c>
      <c r="B359" s="2" t="s">
        <v>2357</v>
      </c>
    </row>
    <row r="360" spans="1:2" ht="15.75" customHeight="1" x14ac:dyDescent="0.25">
      <c r="A360" s="2" t="s">
        <v>2145</v>
      </c>
      <c r="B360" s="2" t="s">
        <v>2358</v>
      </c>
    </row>
    <row r="361" spans="1:2" ht="15.75" customHeight="1" x14ac:dyDescent="0.25">
      <c r="A361" s="2" t="s">
        <v>2101</v>
      </c>
      <c r="B361" s="2" t="s">
        <v>2357</v>
      </c>
    </row>
    <row r="362" spans="1:2" ht="15.75" customHeight="1" x14ac:dyDescent="0.25">
      <c r="A362" s="2" t="s">
        <v>852</v>
      </c>
      <c r="B362" s="2" t="s">
        <v>2357</v>
      </c>
    </row>
    <row r="363" spans="1:2" ht="15.75" customHeight="1" x14ac:dyDescent="0.25">
      <c r="A363" s="2" t="s">
        <v>973</v>
      </c>
      <c r="B363" s="2" t="s">
        <v>2357</v>
      </c>
    </row>
    <row r="364" spans="1:2" ht="15.75" customHeight="1" x14ac:dyDescent="0.25">
      <c r="A364" s="2" t="s">
        <v>1431</v>
      </c>
      <c r="B364" s="2" t="s">
        <v>2357</v>
      </c>
    </row>
    <row r="365" spans="1:2" ht="15.75" customHeight="1" x14ac:dyDescent="0.25">
      <c r="A365" s="2" t="s">
        <v>1562</v>
      </c>
      <c r="B365" s="2" t="s">
        <v>2357</v>
      </c>
    </row>
    <row r="366" spans="1:2" ht="15.75" customHeight="1" x14ac:dyDescent="0.25">
      <c r="A366" s="2" t="s">
        <v>718</v>
      </c>
      <c r="B366" s="2" t="s">
        <v>2359</v>
      </c>
    </row>
    <row r="367" spans="1:2" ht="15.75" customHeight="1" x14ac:dyDescent="0.25">
      <c r="A367" s="2" t="s">
        <v>611</v>
      </c>
      <c r="B367" s="2" t="s">
        <v>2357</v>
      </c>
    </row>
    <row r="368" spans="1:2" ht="15.75" customHeight="1" x14ac:dyDescent="0.25">
      <c r="A368" s="2" t="s">
        <v>2242</v>
      </c>
      <c r="B368" s="2" t="s">
        <v>2356</v>
      </c>
    </row>
    <row r="369" spans="1:2" ht="15.75" customHeight="1" x14ac:dyDescent="0.25">
      <c r="A369" s="2" t="s">
        <v>1619</v>
      </c>
      <c r="B369" s="2" t="s">
        <v>2357</v>
      </c>
    </row>
    <row r="370" spans="1:2" ht="15.75" customHeight="1" x14ac:dyDescent="0.25">
      <c r="A370" s="2" t="s">
        <v>171</v>
      </c>
      <c r="B370" s="2" t="s">
        <v>2357</v>
      </c>
    </row>
    <row r="371" spans="1:2" ht="15.75" customHeight="1" x14ac:dyDescent="0.25">
      <c r="A371" s="2" t="s">
        <v>1978</v>
      </c>
      <c r="B371" s="2" t="s">
        <v>2356</v>
      </c>
    </row>
    <row r="372" spans="1:2" ht="15.75" customHeight="1" x14ac:dyDescent="0.25">
      <c r="A372" s="2" t="s">
        <v>1006</v>
      </c>
      <c r="B372" s="2" t="s">
        <v>2357</v>
      </c>
    </row>
    <row r="373" spans="1:2" ht="15.75" customHeight="1" x14ac:dyDescent="0.25">
      <c r="A373" s="2" t="s">
        <v>817</v>
      </c>
      <c r="B373" s="2" t="s">
        <v>2357</v>
      </c>
    </row>
    <row r="374" spans="1:2" ht="15.75" customHeight="1" x14ac:dyDescent="0.25">
      <c r="A374" s="2" t="s">
        <v>2165</v>
      </c>
      <c r="B374" s="2" t="s">
        <v>2360</v>
      </c>
    </row>
    <row r="375" spans="1:2" ht="15.75" customHeight="1" x14ac:dyDescent="0.25">
      <c r="A375" s="2" t="s">
        <v>1494</v>
      </c>
      <c r="B375" s="2" t="s">
        <v>2357</v>
      </c>
    </row>
    <row r="376" spans="1:2" ht="15.75" customHeight="1" x14ac:dyDescent="0.25">
      <c r="A376" s="2" t="s">
        <v>1172</v>
      </c>
      <c r="B376" s="2" t="s">
        <v>2357</v>
      </c>
    </row>
    <row r="377" spans="1:2" ht="15.75" customHeight="1" x14ac:dyDescent="0.25">
      <c r="A377" s="2" t="s">
        <v>648</v>
      </c>
      <c r="B377" s="2" t="s">
        <v>2357</v>
      </c>
    </row>
    <row r="378" spans="1:2" ht="15.75" customHeight="1" x14ac:dyDescent="0.25">
      <c r="A378" s="2" t="s">
        <v>2186</v>
      </c>
      <c r="B378" s="2" t="s">
        <v>2358</v>
      </c>
    </row>
    <row r="379" spans="1:2" ht="15.75" customHeight="1" x14ac:dyDescent="0.25">
      <c r="A379" s="2" t="s">
        <v>312</v>
      </c>
      <c r="B379" s="2" t="s">
        <v>2356</v>
      </c>
    </row>
    <row r="380" spans="1:2" ht="15.75" customHeight="1" x14ac:dyDescent="0.25">
      <c r="A380" s="2" t="s">
        <v>659</v>
      </c>
      <c r="B380" s="2" t="s">
        <v>2357</v>
      </c>
    </row>
    <row r="381" spans="1:2" ht="15.75" customHeight="1" x14ac:dyDescent="0.25">
      <c r="A381" s="2" t="s">
        <v>617</v>
      </c>
      <c r="B381" s="2" t="s">
        <v>2357</v>
      </c>
    </row>
    <row r="382" spans="1:2" ht="15.75" customHeight="1" x14ac:dyDescent="0.25">
      <c r="A382" s="2" t="s">
        <v>2109</v>
      </c>
      <c r="B382" s="2" t="s">
        <v>2356</v>
      </c>
    </row>
    <row r="383" spans="1:2" ht="15.75" customHeight="1" x14ac:dyDescent="0.25">
      <c r="A383" s="2" t="s">
        <v>1882</v>
      </c>
      <c r="B383" s="2" t="s">
        <v>2359</v>
      </c>
    </row>
    <row r="384" spans="1:2" ht="15.75" customHeight="1" x14ac:dyDescent="0.25">
      <c r="A384" s="2" t="s">
        <v>392</v>
      </c>
      <c r="B384" s="2" t="s">
        <v>2356</v>
      </c>
    </row>
    <row r="385" spans="1:2" ht="15.75" customHeight="1" x14ac:dyDescent="0.25">
      <c r="A385" s="2" t="s">
        <v>1642</v>
      </c>
      <c r="B385" s="2" t="s">
        <v>2356</v>
      </c>
    </row>
    <row r="386" spans="1:2" ht="15.75" customHeight="1" x14ac:dyDescent="0.25">
      <c r="A386" s="2" t="s">
        <v>1640</v>
      </c>
      <c r="B386" s="2" t="s">
        <v>2357</v>
      </c>
    </row>
    <row r="387" spans="1:2" ht="15.75" customHeight="1" x14ac:dyDescent="0.25">
      <c r="A387" s="2" t="s">
        <v>736</v>
      </c>
      <c r="B387" s="2" t="s">
        <v>2357</v>
      </c>
    </row>
    <row r="388" spans="1:2" ht="15.75" customHeight="1" x14ac:dyDescent="0.25">
      <c r="A388" s="2" t="s">
        <v>1939</v>
      </c>
      <c r="B388" s="2" t="s">
        <v>2357</v>
      </c>
    </row>
    <row r="389" spans="1:2" ht="15.75" customHeight="1" x14ac:dyDescent="0.25">
      <c r="A389" s="2" t="s">
        <v>1566</v>
      </c>
      <c r="B389" s="2" t="s">
        <v>2357</v>
      </c>
    </row>
    <row r="390" spans="1:2" ht="15.75" customHeight="1" x14ac:dyDescent="0.25">
      <c r="A390" s="2" t="s">
        <v>2329</v>
      </c>
      <c r="B390" s="2" t="s">
        <v>2357</v>
      </c>
    </row>
    <row r="391" spans="1:2" ht="15.75" customHeight="1" x14ac:dyDescent="0.25">
      <c r="A391" s="2" t="s">
        <v>137</v>
      </c>
      <c r="B391" s="2" t="s">
        <v>2356</v>
      </c>
    </row>
    <row r="392" spans="1:2" ht="15.75" customHeight="1" x14ac:dyDescent="0.25">
      <c r="A392" s="2" t="s">
        <v>531</v>
      </c>
      <c r="B392" s="2" t="s">
        <v>2357</v>
      </c>
    </row>
    <row r="393" spans="1:2" ht="15.75" customHeight="1" x14ac:dyDescent="0.25">
      <c r="A393" s="2" t="s">
        <v>2266</v>
      </c>
      <c r="B393" s="2" t="s">
        <v>2357</v>
      </c>
    </row>
    <row r="394" spans="1:2" ht="15.75" customHeight="1" x14ac:dyDescent="0.25">
      <c r="A394" s="2" t="s">
        <v>963</v>
      </c>
      <c r="B394" s="2" t="s">
        <v>2356</v>
      </c>
    </row>
    <row r="395" spans="1:2" ht="15.75" customHeight="1" x14ac:dyDescent="0.25">
      <c r="A395" s="2" t="s">
        <v>658</v>
      </c>
      <c r="B395" s="2" t="s">
        <v>2356</v>
      </c>
    </row>
    <row r="396" spans="1:2" ht="15.75" customHeight="1" x14ac:dyDescent="0.25">
      <c r="A396" s="2" t="s">
        <v>970</v>
      </c>
      <c r="B396" s="2" t="s">
        <v>2357</v>
      </c>
    </row>
    <row r="397" spans="1:2" ht="15.75" customHeight="1" x14ac:dyDescent="0.25">
      <c r="A397" s="2" t="s">
        <v>1611</v>
      </c>
      <c r="B397" s="2" t="s">
        <v>2357</v>
      </c>
    </row>
    <row r="398" spans="1:2" ht="15.75" customHeight="1" x14ac:dyDescent="0.25">
      <c r="A398" s="2" t="s">
        <v>660</v>
      </c>
      <c r="B398" s="2" t="s">
        <v>2357</v>
      </c>
    </row>
    <row r="399" spans="1:2" ht="15.75" customHeight="1" x14ac:dyDescent="0.25">
      <c r="A399" s="2" t="s">
        <v>1333</v>
      </c>
      <c r="B399" s="2" t="s">
        <v>2357</v>
      </c>
    </row>
    <row r="400" spans="1:2" ht="15.75" customHeight="1" x14ac:dyDescent="0.25">
      <c r="A400" s="2" t="s">
        <v>2099</v>
      </c>
      <c r="B400" s="2" t="s">
        <v>2357</v>
      </c>
    </row>
    <row r="401" spans="1:2" ht="15.75" customHeight="1" x14ac:dyDescent="0.25">
      <c r="A401" s="2" t="s">
        <v>823</v>
      </c>
      <c r="B401" s="2" t="s">
        <v>2357</v>
      </c>
    </row>
    <row r="402" spans="1:2" ht="15.75" customHeight="1" x14ac:dyDescent="0.25">
      <c r="A402" s="2" t="s">
        <v>2238</v>
      </c>
      <c r="B402" s="2" t="s">
        <v>2360</v>
      </c>
    </row>
    <row r="403" spans="1:2" ht="15.75" customHeight="1" x14ac:dyDescent="0.25">
      <c r="A403" s="2" t="s">
        <v>670</v>
      </c>
      <c r="B403" s="2" t="s">
        <v>2356</v>
      </c>
    </row>
    <row r="404" spans="1:2" ht="15.75" customHeight="1" x14ac:dyDescent="0.25">
      <c r="A404" s="2" t="s">
        <v>114</v>
      </c>
      <c r="B404" s="2" t="s">
        <v>2357</v>
      </c>
    </row>
    <row r="405" spans="1:2" ht="15.75" customHeight="1" x14ac:dyDescent="0.25">
      <c r="A405" s="2" t="s">
        <v>692</v>
      </c>
      <c r="B405" s="2" t="s">
        <v>2356</v>
      </c>
    </row>
    <row r="406" spans="1:2" ht="15.75" customHeight="1" x14ac:dyDescent="0.25">
      <c r="A406" s="2" t="s">
        <v>1247</v>
      </c>
      <c r="B406" s="2" t="s">
        <v>2357</v>
      </c>
    </row>
    <row r="407" spans="1:2" ht="15.75" customHeight="1" x14ac:dyDescent="0.25">
      <c r="A407" s="2" t="s">
        <v>911</v>
      </c>
      <c r="B407" s="2" t="s">
        <v>2357</v>
      </c>
    </row>
    <row r="408" spans="1:2" ht="15.75" customHeight="1" x14ac:dyDescent="0.25">
      <c r="A408" s="2" t="s">
        <v>1525</v>
      </c>
      <c r="B408" s="2" t="s">
        <v>2357</v>
      </c>
    </row>
    <row r="409" spans="1:2" ht="15.75" customHeight="1" x14ac:dyDescent="0.25">
      <c r="A409" s="2" t="s">
        <v>2161</v>
      </c>
      <c r="B409" s="2" t="s">
        <v>2360</v>
      </c>
    </row>
    <row r="410" spans="1:2" ht="15.75" customHeight="1" x14ac:dyDescent="0.25">
      <c r="A410" s="2" t="s">
        <v>629</v>
      </c>
      <c r="B410" s="2" t="s">
        <v>2357</v>
      </c>
    </row>
    <row r="411" spans="1:2" ht="15.75" customHeight="1" x14ac:dyDescent="0.25">
      <c r="A411" s="2" t="s">
        <v>1000</v>
      </c>
      <c r="B411" s="2" t="s">
        <v>2357</v>
      </c>
    </row>
    <row r="412" spans="1:2" ht="15.75" customHeight="1" x14ac:dyDescent="0.25">
      <c r="A412" s="2" t="s">
        <v>39</v>
      </c>
      <c r="B412" s="2" t="s">
        <v>2357</v>
      </c>
    </row>
    <row r="413" spans="1:2" ht="15.75" customHeight="1" x14ac:dyDescent="0.25">
      <c r="A413" s="2" t="s">
        <v>1362</v>
      </c>
      <c r="B413" s="2" t="s">
        <v>2357</v>
      </c>
    </row>
    <row r="414" spans="1:2" ht="15.75" customHeight="1" x14ac:dyDescent="0.25">
      <c r="A414" s="2" t="s">
        <v>929</v>
      </c>
      <c r="B414" s="2" t="s">
        <v>2357</v>
      </c>
    </row>
    <row r="415" spans="1:2" ht="15.75" customHeight="1" x14ac:dyDescent="0.25">
      <c r="A415" s="2" t="s">
        <v>1394</v>
      </c>
      <c r="B415" s="2" t="s">
        <v>2356</v>
      </c>
    </row>
    <row r="416" spans="1:2" ht="15.75" customHeight="1" x14ac:dyDescent="0.25">
      <c r="A416" s="2" t="s">
        <v>1801</v>
      </c>
      <c r="B416" s="2" t="s">
        <v>2357</v>
      </c>
    </row>
    <row r="417" spans="1:2" ht="15.75" customHeight="1" x14ac:dyDescent="0.25">
      <c r="A417" s="2" t="s">
        <v>2036</v>
      </c>
      <c r="B417" s="2" t="s">
        <v>2357</v>
      </c>
    </row>
    <row r="418" spans="1:2" ht="15.75" customHeight="1" x14ac:dyDescent="0.25">
      <c r="A418" s="2" t="s">
        <v>1677</v>
      </c>
      <c r="B418" s="2" t="s">
        <v>2357</v>
      </c>
    </row>
    <row r="419" spans="1:2" ht="15.75" customHeight="1" x14ac:dyDescent="0.25">
      <c r="A419" s="2" t="s">
        <v>2076</v>
      </c>
      <c r="B419" s="2" t="s">
        <v>2357</v>
      </c>
    </row>
    <row r="420" spans="1:2" ht="15.75" customHeight="1" x14ac:dyDescent="0.25">
      <c r="A420" s="2" t="s">
        <v>1043</v>
      </c>
      <c r="B420" s="2" t="s">
        <v>2357</v>
      </c>
    </row>
    <row r="421" spans="1:2" ht="15.75" customHeight="1" x14ac:dyDescent="0.25">
      <c r="A421" s="2" t="s">
        <v>1245</v>
      </c>
      <c r="B421" s="2" t="s">
        <v>2356</v>
      </c>
    </row>
    <row r="422" spans="1:2" ht="15.75" customHeight="1" x14ac:dyDescent="0.25">
      <c r="A422" s="2" t="s">
        <v>977</v>
      </c>
      <c r="B422" s="2" t="s">
        <v>2356</v>
      </c>
    </row>
    <row r="423" spans="1:2" ht="15.75" customHeight="1" x14ac:dyDescent="0.25">
      <c r="A423" s="2" t="s">
        <v>286</v>
      </c>
      <c r="B423" s="2" t="s">
        <v>2357</v>
      </c>
    </row>
    <row r="424" spans="1:2" ht="15.75" customHeight="1" x14ac:dyDescent="0.25">
      <c r="A424" s="2" t="s">
        <v>1710</v>
      </c>
      <c r="B424" s="2" t="s">
        <v>2357</v>
      </c>
    </row>
    <row r="425" spans="1:2" ht="15.75" customHeight="1" x14ac:dyDescent="0.25">
      <c r="A425" s="2" t="s">
        <v>1983</v>
      </c>
      <c r="B425" s="2" t="s">
        <v>2357</v>
      </c>
    </row>
    <row r="426" spans="1:2" ht="15.75" customHeight="1" x14ac:dyDescent="0.25">
      <c r="A426" s="2" t="s">
        <v>1925</v>
      </c>
      <c r="B426" s="2" t="s">
        <v>2356</v>
      </c>
    </row>
    <row r="427" spans="1:2" ht="15.75" customHeight="1" x14ac:dyDescent="0.25">
      <c r="A427" s="2" t="s">
        <v>1850</v>
      </c>
      <c r="B427" s="2" t="s">
        <v>2357</v>
      </c>
    </row>
    <row r="428" spans="1:2" ht="15.75" customHeight="1" x14ac:dyDescent="0.25">
      <c r="A428" s="2" t="s">
        <v>1175</v>
      </c>
      <c r="B428" s="2" t="s">
        <v>2357</v>
      </c>
    </row>
    <row r="429" spans="1:2" ht="15.75" customHeight="1" x14ac:dyDescent="0.25">
      <c r="A429" s="2" t="s">
        <v>612</v>
      </c>
      <c r="B429" s="2" t="s">
        <v>2357</v>
      </c>
    </row>
    <row r="430" spans="1:2" ht="15.75" customHeight="1" x14ac:dyDescent="0.25">
      <c r="A430" s="2" t="s">
        <v>2043</v>
      </c>
      <c r="B430" s="2" t="s">
        <v>2357</v>
      </c>
    </row>
    <row r="431" spans="1:2" ht="15.75" customHeight="1" x14ac:dyDescent="0.25">
      <c r="A431" s="2" t="s">
        <v>945</v>
      </c>
      <c r="B431" s="2" t="s">
        <v>2356</v>
      </c>
    </row>
    <row r="432" spans="1:2" ht="15.75" customHeight="1" x14ac:dyDescent="0.25">
      <c r="A432" s="2" t="s">
        <v>769</v>
      </c>
      <c r="B432" s="2" t="s">
        <v>2356</v>
      </c>
    </row>
    <row r="433" spans="1:2" ht="15.75" customHeight="1" x14ac:dyDescent="0.25">
      <c r="A433" s="2" t="s">
        <v>1186</v>
      </c>
      <c r="B433" s="2" t="s">
        <v>2357</v>
      </c>
    </row>
    <row r="434" spans="1:2" ht="15.75" customHeight="1" x14ac:dyDescent="0.25">
      <c r="A434" s="2" t="s">
        <v>212</v>
      </c>
      <c r="B434" s="2" t="s">
        <v>2357</v>
      </c>
    </row>
    <row r="435" spans="1:2" ht="15.75" customHeight="1" x14ac:dyDescent="0.25">
      <c r="A435" s="2" t="s">
        <v>872</v>
      </c>
      <c r="B435" s="2" t="s">
        <v>2359</v>
      </c>
    </row>
    <row r="436" spans="1:2" ht="15.75" customHeight="1" x14ac:dyDescent="0.25">
      <c r="A436" s="2" t="s">
        <v>1243</v>
      </c>
      <c r="B436" s="2" t="s">
        <v>2357</v>
      </c>
    </row>
    <row r="437" spans="1:2" ht="15.75" customHeight="1" x14ac:dyDescent="0.25">
      <c r="A437" s="2" t="s">
        <v>1433</v>
      </c>
      <c r="B437" s="2" t="s">
        <v>2356</v>
      </c>
    </row>
    <row r="438" spans="1:2" ht="15.75" customHeight="1" x14ac:dyDescent="0.25">
      <c r="A438" s="2" t="s">
        <v>1536</v>
      </c>
      <c r="B438" s="2" t="s">
        <v>2357</v>
      </c>
    </row>
    <row r="439" spans="1:2" ht="15.75" customHeight="1" x14ac:dyDescent="0.25">
      <c r="A439" s="2" t="s">
        <v>574</v>
      </c>
      <c r="B439" s="2" t="s">
        <v>2357</v>
      </c>
    </row>
    <row r="440" spans="1:2" ht="15.75" customHeight="1" x14ac:dyDescent="0.25">
      <c r="A440" s="2" t="s">
        <v>766</v>
      </c>
      <c r="B440" s="2" t="s">
        <v>2356</v>
      </c>
    </row>
    <row r="441" spans="1:2" ht="15.75" customHeight="1" x14ac:dyDescent="0.25">
      <c r="A441" s="2" t="s">
        <v>1811</v>
      </c>
      <c r="B441" s="2" t="s">
        <v>2357</v>
      </c>
    </row>
    <row r="442" spans="1:2" ht="15.75" customHeight="1" x14ac:dyDescent="0.25">
      <c r="A442" s="2" t="s">
        <v>1295</v>
      </c>
      <c r="B442" s="2" t="s">
        <v>2359</v>
      </c>
    </row>
    <row r="443" spans="1:2" ht="15.75" customHeight="1" x14ac:dyDescent="0.25">
      <c r="A443" s="2" t="s">
        <v>915</v>
      </c>
      <c r="B443" s="2" t="s">
        <v>2357</v>
      </c>
    </row>
    <row r="444" spans="1:2" ht="15.75" customHeight="1" x14ac:dyDescent="0.25">
      <c r="A444" s="2" t="s">
        <v>1204</v>
      </c>
      <c r="B444" s="2" t="s">
        <v>2357</v>
      </c>
    </row>
    <row r="445" spans="1:2" ht="15.75" customHeight="1" x14ac:dyDescent="0.25">
      <c r="A445" s="2" t="s">
        <v>645</v>
      </c>
      <c r="B445" s="2" t="s">
        <v>2357</v>
      </c>
    </row>
    <row r="446" spans="1:2" ht="15.75" customHeight="1" x14ac:dyDescent="0.25">
      <c r="A446" s="2" t="s">
        <v>953</v>
      </c>
      <c r="B446" s="2" t="s">
        <v>2357</v>
      </c>
    </row>
    <row r="447" spans="1:2" ht="15.75" customHeight="1" x14ac:dyDescent="0.25">
      <c r="A447" s="2" t="s">
        <v>1941</v>
      </c>
      <c r="B447" s="2" t="s">
        <v>2357</v>
      </c>
    </row>
    <row r="448" spans="1:2" ht="15.75" customHeight="1" x14ac:dyDescent="0.25">
      <c r="A448" s="2" t="s">
        <v>2345</v>
      </c>
      <c r="B448" s="2" t="s">
        <v>2360</v>
      </c>
    </row>
    <row r="449" spans="1:2" ht="15.75" customHeight="1" x14ac:dyDescent="0.25">
      <c r="A449" s="2" t="s">
        <v>1964</v>
      </c>
      <c r="B449" s="2" t="s">
        <v>2357</v>
      </c>
    </row>
    <row r="450" spans="1:2" ht="15.75" customHeight="1" x14ac:dyDescent="0.25">
      <c r="A450" s="2" t="s">
        <v>1222</v>
      </c>
      <c r="B450" s="2" t="s">
        <v>2357</v>
      </c>
    </row>
    <row r="451" spans="1:2" ht="15.75" customHeight="1" x14ac:dyDescent="0.25">
      <c r="A451" s="2" t="s">
        <v>1232</v>
      </c>
      <c r="B451" s="2" t="s">
        <v>2357</v>
      </c>
    </row>
    <row r="452" spans="1:2" ht="15.75" customHeight="1" x14ac:dyDescent="0.25">
      <c r="A452" s="2" t="s">
        <v>691</v>
      </c>
      <c r="B452" s="2" t="s">
        <v>2357</v>
      </c>
    </row>
    <row r="453" spans="1:2" ht="15.75" customHeight="1" x14ac:dyDescent="0.25">
      <c r="A453" s="2" t="s">
        <v>147</v>
      </c>
      <c r="B453" s="2" t="s">
        <v>2356</v>
      </c>
    </row>
    <row r="454" spans="1:2" ht="15.75" customHeight="1" x14ac:dyDescent="0.25">
      <c r="A454" s="2" t="s">
        <v>580</v>
      </c>
      <c r="B454" s="2" t="s">
        <v>2357</v>
      </c>
    </row>
    <row r="455" spans="1:2" ht="15.75" customHeight="1" x14ac:dyDescent="0.25">
      <c r="A455" s="2" t="s">
        <v>2135</v>
      </c>
      <c r="B455" s="2" t="s">
        <v>2357</v>
      </c>
    </row>
    <row r="456" spans="1:2" ht="15.75" customHeight="1" x14ac:dyDescent="0.25">
      <c r="A456" s="2" t="s">
        <v>327</v>
      </c>
      <c r="B456" s="2" t="s">
        <v>2359</v>
      </c>
    </row>
    <row r="457" spans="1:2" ht="15.75" customHeight="1" x14ac:dyDescent="0.25">
      <c r="A457" s="2" t="s">
        <v>1632</v>
      </c>
      <c r="B457" s="2" t="s">
        <v>2357</v>
      </c>
    </row>
    <row r="458" spans="1:2" ht="15.75" customHeight="1" x14ac:dyDescent="0.25">
      <c r="A458" s="2" t="s">
        <v>1209</v>
      </c>
      <c r="B458" s="2" t="s">
        <v>2356</v>
      </c>
    </row>
    <row r="459" spans="1:2" ht="15.75" customHeight="1" x14ac:dyDescent="0.25">
      <c r="A459" s="2" t="s">
        <v>709</v>
      </c>
      <c r="B459" s="2" t="s">
        <v>2357</v>
      </c>
    </row>
    <row r="460" spans="1:2" ht="15.75" customHeight="1" x14ac:dyDescent="0.25">
      <c r="A460" s="2" t="s">
        <v>1700</v>
      </c>
      <c r="B460" s="2" t="s">
        <v>2357</v>
      </c>
    </row>
    <row r="461" spans="1:2" ht="15.75" customHeight="1" x14ac:dyDescent="0.25">
      <c r="A461" s="2" t="s">
        <v>2149</v>
      </c>
      <c r="B461" s="2" t="s">
        <v>2357</v>
      </c>
    </row>
    <row r="462" spans="1:2" ht="15.75" customHeight="1" x14ac:dyDescent="0.25">
      <c r="A462" s="2" t="s">
        <v>1565</v>
      </c>
      <c r="B462" s="2" t="s">
        <v>2357</v>
      </c>
    </row>
    <row r="463" spans="1:2" ht="15.75" customHeight="1" x14ac:dyDescent="0.25">
      <c r="A463" s="2" t="s">
        <v>1100</v>
      </c>
      <c r="B463" s="2" t="s">
        <v>2357</v>
      </c>
    </row>
    <row r="464" spans="1:2" ht="15.75" customHeight="1" x14ac:dyDescent="0.25">
      <c r="A464" s="2" t="s">
        <v>1877</v>
      </c>
      <c r="B464" s="2" t="s">
        <v>2357</v>
      </c>
    </row>
    <row r="465" spans="1:2" ht="15.75" customHeight="1" x14ac:dyDescent="0.25">
      <c r="A465" s="2" t="s">
        <v>1121</v>
      </c>
      <c r="B465" s="2" t="s">
        <v>2356</v>
      </c>
    </row>
    <row r="466" spans="1:2" ht="15.75" customHeight="1" x14ac:dyDescent="0.25">
      <c r="A466" s="2" t="s">
        <v>202</v>
      </c>
      <c r="B466" s="2" t="s">
        <v>2357</v>
      </c>
    </row>
    <row r="467" spans="1:2" ht="15.75" customHeight="1" x14ac:dyDescent="0.25">
      <c r="A467" s="2" t="s">
        <v>2333</v>
      </c>
      <c r="B467" s="2" t="s">
        <v>2357</v>
      </c>
    </row>
    <row r="468" spans="1:2" ht="15.75" customHeight="1" x14ac:dyDescent="0.25">
      <c r="A468" s="2" t="s">
        <v>2276</v>
      </c>
      <c r="B468" s="2" t="s">
        <v>2357</v>
      </c>
    </row>
    <row r="469" spans="1:2" ht="15.75" customHeight="1" x14ac:dyDescent="0.25">
      <c r="A469" s="2" t="s">
        <v>1807</v>
      </c>
      <c r="B469" s="2" t="s">
        <v>2357</v>
      </c>
    </row>
    <row r="470" spans="1:2" ht="15.75" customHeight="1" x14ac:dyDescent="0.25">
      <c r="A470" s="2" t="s">
        <v>1959</v>
      </c>
      <c r="B470" s="2" t="s">
        <v>2356</v>
      </c>
    </row>
    <row r="471" spans="1:2" ht="15.75" customHeight="1" x14ac:dyDescent="0.25">
      <c r="A471" s="2" t="s">
        <v>1438</v>
      </c>
      <c r="B471" s="2" t="s">
        <v>2357</v>
      </c>
    </row>
    <row r="472" spans="1:2" ht="15.75" customHeight="1" x14ac:dyDescent="0.25">
      <c r="A472" s="2" t="s">
        <v>594</v>
      </c>
      <c r="B472" s="2" t="s">
        <v>2357</v>
      </c>
    </row>
    <row r="473" spans="1:2" ht="15.75" customHeight="1" x14ac:dyDescent="0.25">
      <c r="A473" s="2" t="s">
        <v>1947</v>
      </c>
      <c r="B473" s="2" t="s">
        <v>2357</v>
      </c>
    </row>
    <row r="474" spans="1:2" ht="15.75" customHeight="1" x14ac:dyDescent="0.25">
      <c r="A474" s="2" t="s">
        <v>1372</v>
      </c>
      <c r="B474" s="2" t="s">
        <v>2357</v>
      </c>
    </row>
    <row r="475" spans="1:2" ht="15.75" customHeight="1" x14ac:dyDescent="0.25">
      <c r="A475" s="2" t="s">
        <v>1248</v>
      </c>
      <c r="B475" s="2" t="s">
        <v>2357</v>
      </c>
    </row>
    <row r="476" spans="1:2" ht="15.75" customHeight="1" x14ac:dyDescent="0.25">
      <c r="A476" s="2" t="s">
        <v>881</v>
      </c>
      <c r="B476" s="2" t="s">
        <v>2357</v>
      </c>
    </row>
    <row r="477" spans="1:2" ht="15.75" customHeight="1" x14ac:dyDescent="0.25">
      <c r="A477" s="2" t="s">
        <v>2033</v>
      </c>
      <c r="B477" s="2" t="s">
        <v>2357</v>
      </c>
    </row>
    <row r="478" spans="1:2" ht="15.75" customHeight="1" x14ac:dyDescent="0.25">
      <c r="A478" s="2" t="s">
        <v>1075</v>
      </c>
      <c r="B478" s="2" t="s">
        <v>2357</v>
      </c>
    </row>
    <row r="479" spans="1:2" ht="15.75" customHeight="1" x14ac:dyDescent="0.25">
      <c r="A479" s="2" t="s">
        <v>2292</v>
      </c>
      <c r="B479" s="2" t="s">
        <v>2360</v>
      </c>
    </row>
    <row r="480" spans="1:2" ht="15.75" customHeight="1" x14ac:dyDescent="0.25">
      <c r="A480" s="2" t="s">
        <v>1074</v>
      </c>
      <c r="B480" s="2" t="s">
        <v>2357</v>
      </c>
    </row>
    <row r="481" spans="1:2" ht="15.75" customHeight="1" x14ac:dyDescent="0.25">
      <c r="A481" s="2" t="s">
        <v>1052</v>
      </c>
      <c r="B481" s="2" t="s">
        <v>2356</v>
      </c>
    </row>
    <row r="482" spans="1:2" ht="15.75" customHeight="1" x14ac:dyDescent="0.25">
      <c r="A482" s="2" t="s">
        <v>2017</v>
      </c>
      <c r="B482" s="2" t="s">
        <v>2356</v>
      </c>
    </row>
    <row r="483" spans="1:2" ht="15.75" customHeight="1" x14ac:dyDescent="0.25">
      <c r="A483" s="2" t="s">
        <v>1917</v>
      </c>
      <c r="B483" s="2" t="s">
        <v>2356</v>
      </c>
    </row>
    <row r="484" spans="1:2" ht="15.75" customHeight="1" x14ac:dyDescent="0.25">
      <c r="A484" s="2" t="s">
        <v>370</v>
      </c>
      <c r="B484" s="2" t="s">
        <v>2357</v>
      </c>
    </row>
    <row r="485" spans="1:2" ht="15.75" customHeight="1" x14ac:dyDescent="0.25">
      <c r="A485" s="2" t="s">
        <v>1689</v>
      </c>
      <c r="B485" s="2" t="s">
        <v>2359</v>
      </c>
    </row>
    <row r="486" spans="1:2" ht="15.75" customHeight="1" x14ac:dyDescent="0.25">
      <c r="A486" s="2" t="s">
        <v>2045</v>
      </c>
      <c r="B486" s="2" t="s">
        <v>2357</v>
      </c>
    </row>
    <row r="487" spans="1:2" ht="15.75" customHeight="1" x14ac:dyDescent="0.25">
      <c r="A487" s="2" t="s">
        <v>1142</v>
      </c>
      <c r="B487" s="2" t="s">
        <v>2357</v>
      </c>
    </row>
    <row r="488" spans="1:2" ht="15.75" customHeight="1" x14ac:dyDescent="0.25">
      <c r="A488" s="2" t="s">
        <v>1599</v>
      </c>
      <c r="B488" s="2" t="s">
        <v>2357</v>
      </c>
    </row>
    <row r="489" spans="1:2" ht="15.75" customHeight="1" x14ac:dyDescent="0.25">
      <c r="A489" s="2" t="s">
        <v>1786</v>
      </c>
      <c r="B489" s="2" t="s">
        <v>2357</v>
      </c>
    </row>
    <row r="490" spans="1:2" ht="15.75" customHeight="1" x14ac:dyDescent="0.25">
      <c r="A490" s="2" t="s">
        <v>1606</v>
      </c>
      <c r="B490" s="2" t="s">
        <v>2357</v>
      </c>
    </row>
    <row r="491" spans="1:2" ht="15.75" customHeight="1" x14ac:dyDescent="0.25">
      <c r="A491" s="2" t="s">
        <v>1883</v>
      </c>
      <c r="B491" s="2" t="s">
        <v>2359</v>
      </c>
    </row>
    <row r="492" spans="1:2" ht="15.75" customHeight="1" x14ac:dyDescent="0.25">
      <c r="A492" s="2" t="s">
        <v>1648</v>
      </c>
      <c r="B492" s="2" t="s">
        <v>2356</v>
      </c>
    </row>
    <row r="493" spans="1:2" ht="15.75" customHeight="1" x14ac:dyDescent="0.25">
      <c r="A493" s="2" t="s">
        <v>1615</v>
      </c>
      <c r="B493" s="2" t="s">
        <v>2357</v>
      </c>
    </row>
    <row r="494" spans="1:2" ht="15.75" customHeight="1" x14ac:dyDescent="0.25">
      <c r="A494" s="2" t="s">
        <v>874</v>
      </c>
      <c r="B494" s="2" t="s">
        <v>2357</v>
      </c>
    </row>
    <row r="495" spans="1:2" ht="15.75" customHeight="1" x14ac:dyDescent="0.25">
      <c r="A495" s="2" t="s">
        <v>1116</v>
      </c>
      <c r="B495" s="2" t="s">
        <v>2356</v>
      </c>
    </row>
    <row r="496" spans="1:2" ht="15.75" customHeight="1" x14ac:dyDescent="0.25">
      <c r="A496" s="2" t="s">
        <v>1297</v>
      </c>
      <c r="B496" s="2" t="s">
        <v>2356</v>
      </c>
    </row>
    <row r="497" spans="1:2" ht="15.75" customHeight="1" x14ac:dyDescent="0.25">
      <c r="A497" s="2" t="s">
        <v>1289</v>
      </c>
      <c r="B497" s="2" t="s">
        <v>2357</v>
      </c>
    </row>
    <row r="498" spans="1:2" ht="15.75" customHeight="1" x14ac:dyDescent="0.25">
      <c r="A498" s="2" t="s">
        <v>1508</v>
      </c>
      <c r="B498" s="2" t="s">
        <v>2356</v>
      </c>
    </row>
    <row r="499" spans="1:2" ht="15.75" customHeight="1" x14ac:dyDescent="0.25">
      <c r="A499" s="2" t="s">
        <v>161</v>
      </c>
      <c r="B499" s="2" t="s">
        <v>2357</v>
      </c>
    </row>
    <row r="500" spans="1:2" ht="15.75" customHeight="1" x14ac:dyDescent="0.25">
      <c r="A500" s="2" t="s">
        <v>2126</v>
      </c>
      <c r="B500" s="2" t="s">
        <v>2358</v>
      </c>
    </row>
    <row r="501" spans="1:2" ht="15.75" customHeight="1" x14ac:dyDescent="0.25">
      <c r="A501" s="2" t="s">
        <v>1319</v>
      </c>
      <c r="B501" s="2" t="s">
        <v>2357</v>
      </c>
    </row>
    <row r="502" spans="1:2" ht="15.75" customHeight="1" x14ac:dyDescent="0.25">
      <c r="A502" s="2" t="s">
        <v>1703</v>
      </c>
      <c r="B502" s="2" t="s">
        <v>2357</v>
      </c>
    </row>
    <row r="503" spans="1:2" ht="15.75" customHeight="1" x14ac:dyDescent="0.25">
      <c r="A503" s="2" t="s">
        <v>1628</v>
      </c>
      <c r="B503" s="2" t="s">
        <v>2357</v>
      </c>
    </row>
    <row r="504" spans="1:2" ht="15.75" customHeight="1" x14ac:dyDescent="0.25">
      <c r="A504" s="2" t="s">
        <v>228</v>
      </c>
      <c r="B504" s="2" t="s">
        <v>2359</v>
      </c>
    </row>
    <row r="505" spans="1:2" ht="15.75" customHeight="1" x14ac:dyDescent="0.25">
      <c r="A505" s="2" t="s">
        <v>634</v>
      </c>
      <c r="B505" s="2" t="s">
        <v>2357</v>
      </c>
    </row>
    <row r="506" spans="1:2" ht="15.75" customHeight="1" x14ac:dyDescent="0.25">
      <c r="A506" s="2" t="s">
        <v>1626</v>
      </c>
      <c r="B506" s="2" t="s">
        <v>2356</v>
      </c>
    </row>
    <row r="507" spans="1:2" ht="15.75" customHeight="1" x14ac:dyDescent="0.25">
      <c r="A507" s="2" t="s">
        <v>2085</v>
      </c>
      <c r="B507" s="2" t="s">
        <v>2357</v>
      </c>
    </row>
    <row r="508" spans="1:2" ht="15.75" customHeight="1" x14ac:dyDescent="0.25">
      <c r="A508" s="2" t="s">
        <v>1211</v>
      </c>
      <c r="B508" s="2" t="s">
        <v>2357</v>
      </c>
    </row>
    <row r="509" spans="1:2" ht="15.75" customHeight="1" x14ac:dyDescent="0.25">
      <c r="A509" s="2" t="s">
        <v>892</v>
      </c>
      <c r="B509" s="2" t="s">
        <v>2357</v>
      </c>
    </row>
    <row r="510" spans="1:2" ht="15.75" customHeight="1" x14ac:dyDescent="0.25">
      <c r="A510" s="2" t="s">
        <v>888</v>
      </c>
      <c r="B510" s="2" t="s">
        <v>2357</v>
      </c>
    </row>
    <row r="511" spans="1:2" ht="15.75" customHeight="1" x14ac:dyDescent="0.25">
      <c r="A511" s="2" t="s">
        <v>472</v>
      </c>
      <c r="B511" s="2" t="s">
        <v>2356</v>
      </c>
    </row>
    <row r="512" spans="1:2" ht="15.75" customHeight="1" x14ac:dyDescent="0.25">
      <c r="A512" s="2" t="s">
        <v>632</v>
      </c>
      <c r="B512" s="2" t="s">
        <v>2357</v>
      </c>
    </row>
    <row r="513" spans="1:2" ht="15.75" customHeight="1" x14ac:dyDescent="0.25">
      <c r="A513" s="2" t="s">
        <v>861</v>
      </c>
      <c r="B513" s="2" t="s">
        <v>2357</v>
      </c>
    </row>
    <row r="514" spans="1:2" ht="15.75" customHeight="1" x14ac:dyDescent="0.25">
      <c r="A514" s="2" t="s">
        <v>606</v>
      </c>
      <c r="B514" s="2" t="s">
        <v>2357</v>
      </c>
    </row>
    <row r="515" spans="1:2" ht="15.75" customHeight="1" x14ac:dyDescent="0.25">
      <c r="A515" s="2" t="s">
        <v>1303</v>
      </c>
      <c r="B515" s="2" t="s">
        <v>2357</v>
      </c>
    </row>
    <row r="516" spans="1:2" ht="15.75" customHeight="1" x14ac:dyDescent="0.25">
      <c r="A516" s="2" t="s">
        <v>668</v>
      </c>
      <c r="B516" s="2" t="s">
        <v>2357</v>
      </c>
    </row>
    <row r="517" spans="1:2" ht="15.75" customHeight="1" x14ac:dyDescent="0.25">
      <c r="A517" s="2" t="s">
        <v>1960</v>
      </c>
      <c r="B517" s="2" t="s">
        <v>2357</v>
      </c>
    </row>
    <row r="518" spans="1:2" ht="15.75" customHeight="1" x14ac:dyDescent="0.25">
      <c r="A518" s="2" t="s">
        <v>1178</v>
      </c>
      <c r="B518" s="2" t="s">
        <v>2357</v>
      </c>
    </row>
    <row r="519" spans="1:2" ht="15.75" customHeight="1" x14ac:dyDescent="0.25">
      <c r="A519" s="2" t="s">
        <v>1724</v>
      </c>
      <c r="B519" s="2" t="s">
        <v>2357</v>
      </c>
    </row>
    <row r="520" spans="1:2" ht="15.75" customHeight="1" x14ac:dyDescent="0.25">
      <c r="A520" s="2" t="s">
        <v>463</v>
      </c>
      <c r="B520" s="2" t="s">
        <v>2357</v>
      </c>
    </row>
    <row r="521" spans="1:2" ht="15.75" customHeight="1" x14ac:dyDescent="0.25">
      <c r="A521" s="2" t="s">
        <v>865</v>
      </c>
      <c r="B521" s="2" t="s">
        <v>2357</v>
      </c>
    </row>
    <row r="522" spans="1:2" ht="15.75" customHeight="1" x14ac:dyDescent="0.25">
      <c r="A522" s="2" t="s">
        <v>234</v>
      </c>
      <c r="B522" s="2" t="s">
        <v>2357</v>
      </c>
    </row>
    <row r="523" spans="1:2" ht="15.75" customHeight="1" x14ac:dyDescent="0.25">
      <c r="A523" s="2" t="s">
        <v>376</v>
      </c>
      <c r="B523" s="2" t="s">
        <v>2357</v>
      </c>
    </row>
    <row r="524" spans="1:2" ht="15.75" customHeight="1" x14ac:dyDescent="0.25">
      <c r="A524" s="2" t="s">
        <v>1029</v>
      </c>
      <c r="B524" s="2" t="s">
        <v>2357</v>
      </c>
    </row>
    <row r="525" spans="1:2" ht="15.75" customHeight="1" x14ac:dyDescent="0.25">
      <c r="A525" s="2" t="s">
        <v>1256</v>
      </c>
      <c r="B525" s="2" t="s">
        <v>2357</v>
      </c>
    </row>
    <row r="526" spans="1:2" ht="15.75" customHeight="1" x14ac:dyDescent="0.25">
      <c r="A526" s="2" t="s">
        <v>1201</v>
      </c>
      <c r="B526" s="2" t="s">
        <v>2357</v>
      </c>
    </row>
    <row r="527" spans="1:2" ht="15.75" customHeight="1" x14ac:dyDescent="0.25">
      <c r="A527" s="2" t="s">
        <v>1163</v>
      </c>
      <c r="B527" s="2" t="s">
        <v>2357</v>
      </c>
    </row>
    <row r="528" spans="1:2" ht="15.75" customHeight="1" x14ac:dyDescent="0.25">
      <c r="A528" s="2" t="s">
        <v>2325</v>
      </c>
      <c r="B528" s="2" t="s">
        <v>2357</v>
      </c>
    </row>
    <row r="529" spans="1:2" ht="15.75" customHeight="1" x14ac:dyDescent="0.25">
      <c r="A529" s="2" t="s">
        <v>927</v>
      </c>
      <c r="B529" s="2" t="s">
        <v>2356</v>
      </c>
    </row>
    <row r="530" spans="1:2" ht="15.75" customHeight="1" x14ac:dyDescent="0.25">
      <c r="A530" s="2" t="s">
        <v>1298</v>
      </c>
      <c r="B530" s="2" t="s">
        <v>2359</v>
      </c>
    </row>
    <row r="531" spans="1:2" ht="15.75" customHeight="1" x14ac:dyDescent="0.25">
      <c r="A531" s="2" t="s">
        <v>1484</v>
      </c>
      <c r="B531" s="2" t="s">
        <v>2357</v>
      </c>
    </row>
    <row r="532" spans="1:2" ht="15.75" customHeight="1" x14ac:dyDescent="0.25">
      <c r="A532" s="2" t="s">
        <v>1048</v>
      </c>
      <c r="B532" s="2" t="s">
        <v>2357</v>
      </c>
    </row>
    <row r="533" spans="1:2" ht="15.75" customHeight="1" x14ac:dyDescent="0.25">
      <c r="A533" s="2" t="s">
        <v>1571</v>
      </c>
      <c r="B533" s="2" t="s">
        <v>2357</v>
      </c>
    </row>
    <row r="534" spans="1:2" ht="15.75" customHeight="1" x14ac:dyDescent="0.25">
      <c r="A534" s="2" t="s">
        <v>319</v>
      </c>
      <c r="B534" s="2" t="s">
        <v>2357</v>
      </c>
    </row>
    <row r="535" spans="1:2" ht="15.75" customHeight="1" x14ac:dyDescent="0.25">
      <c r="A535" s="2" t="s">
        <v>1031</v>
      </c>
      <c r="B535" s="2" t="s">
        <v>2357</v>
      </c>
    </row>
    <row r="536" spans="1:2" ht="15.75" customHeight="1" x14ac:dyDescent="0.25">
      <c r="A536" s="2" t="s">
        <v>653</v>
      </c>
      <c r="B536" s="2" t="s">
        <v>2357</v>
      </c>
    </row>
    <row r="537" spans="1:2" ht="15.75" customHeight="1" x14ac:dyDescent="0.25">
      <c r="A537" s="2" t="s">
        <v>762</v>
      </c>
      <c r="B537" s="2" t="s">
        <v>2357</v>
      </c>
    </row>
    <row r="538" spans="1:2" ht="15.75" customHeight="1" x14ac:dyDescent="0.25">
      <c r="A538" s="2" t="s">
        <v>1406</v>
      </c>
      <c r="B538" s="2" t="s">
        <v>2356</v>
      </c>
    </row>
    <row r="539" spans="1:2" ht="15.75" customHeight="1" x14ac:dyDescent="0.25">
      <c r="A539" s="2" t="s">
        <v>674</v>
      </c>
      <c r="B539" s="2" t="s">
        <v>2357</v>
      </c>
    </row>
    <row r="540" spans="1:2" ht="15.75" customHeight="1" x14ac:dyDescent="0.25">
      <c r="A540" s="2" t="s">
        <v>728</v>
      </c>
      <c r="B540" s="2" t="s">
        <v>2357</v>
      </c>
    </row>
    <row r="541" spans="1:2" ht="15.75" customHeight="1" x14ac:dyDescent="0.25">
      <c r="A541" s="2" t="s">
        <v>2233</v>
      </c>
      <c r="B541" s="2" t="s">
        <v>2357</v>
      </c>
    </row>
    <row r="542" spans="1:2" ht="15.75" customHeight="1" x14ac:dyDescent="0.25">
      <c r="A542" s="2" t="s">
        <v>586</v>
      </c>
      <c r="B542" s="2" t="s">
        <v>2357</v>
      </c>
    </row>
    <row r="543" spans="1:2" ht="15.75" customHeight="1" x14ac:dyDescent="0.25">
      <c r="A543" s="2" t="s">
        <v>747</v>
      </c>
      <c r="B543" s="2" t="s">
        <v>2357</v>
      </c>
    </row>
    <row r="544" spans="1:2" ht="15.75" customHeight="1" x14ac:dyDescent="0.25">
      <c r="A544" s="2" t="s">
        <v>149</v>
      </c>
      <c r="B544" s="2" t="s">
        <v>2356</v>
      </c>
    </row>
    <row r="545" spans="1:2" ht="15.75" customHeight="1" x14ac:dyDescent="0.25">
      <c r="A545" s="2" t="s">
        <v>384</v>
      </c>
      <c r="B545" s="2" t="s">
        <v>2359</v>
      </c>
    </row>
    <row r="546" spans="1:2" ht="15.75" customHeight="1" x14ac:dyDescent="0.25">
      <c r="A546" s="2" t="s">
        <v>2205</v>
      </c>
      <c r="B546" s="2" t="s">
        <v>2357</v>
      </c>
    </row>
    <row r="547" spans="1:2" ht="15.75" customHeight="1" x14ac:dyDescent="0.25">
      <c r="A547" s="2" t="s">
        <v>972</v>
      </c>
      <c r="B547" s="2" t="s">
        <v>2356</v>
      </c>
    </row>
    <row r="548" spans="1:2" ht="15.75" customHeight="1" x14ac:dyDescent="0.25">
      <c r="A548" s="2" t="s">
        <v>1998</v>
      </c>
      <c r="B548" s="2" t="s">
        <v>2356</v>
      </c>
    </row>
    <row r="549" spans="1:2" ht="15.75" customHeight="1" x14ac:dyDescent="0.25">
      <c r="A549" s="2" t="s">
        <v>633</v>
      </c>
      <c r="B549" s="2" t="s">
        <v>2357</v>
      </c>
    </row>
    <row r="550" spans="1:2" ht="15.75" customHeight="1" x14ac:dyDescent="0.25">
      <c r="A550" s="2" t="s">
        <v>1482</v>
      </c>
      <c r="B550" s="2" t="s">
        <v>2357</v>
      </c>
    </row>
    <row r="551" spans="1:2" ht="15.75" customHeight="1" x14ac:dyDescent="0.25">
      <c r="A551" s="2" t="s">
        <v>1988</v>
      </c>
      <c r="B551" s="2" t="s">
        <v>2357</v>
      </c>
    </row>
    <row r="552" spans="1:2" ht="15.75" customHeight="1" x14ac:dyDescent="0.25">
      <c r="A552" s="2" t="s">
        <v>1171</v>
      </c>
      <c r="B552" s="2" t="s">
        <v>2357</v>
      </c>
    </row>
    <row r="553" spans="1:2" ht="15.75" customHeight="1" x14ac:dyDescent="0.25">
      <c r="A553" s="2" t="s">
        <v>2246</v>
      </c>
      <c r="B553" s="2" t="s">
        <v>2357</v>
      </c>
    </row>
    <row r="554" spans="1:2" ht="15.75" customHeight="1" x14ac:dyDescent="0.25">
      <c r="A554" s="2" t="s">
        <v>2355</v>
      </c>
      <c r="B554" s="2" t="s">
        <v>2358</v>
      </c>
    </row>
    <row r="555" spans="1:2" ht="15.75" customHeight="1" x14ac:dyDescent="0.25">
      <c r="A555" s="2" t="s">
        <v>1688</v>
      </c>
      <c r="B555" s="2" t="s">
        <v>2356</v>
      </c>
    </row>
    <row r="556" spans="1:2" ht="15.75" customHeight="1" x14ac:dyDescent="0.25">
      <c r="A556" s="2" t="s">
        <v>2319</v>
      </c>
      <c r="B556" s="2" t="s">
        <v>2360</v>
      </c>
    </row>
    <row r="557" spans="1:2" ht="15.75" customHeight="1" x14ac:dyDescent="0.25">
      <c r="A557" s="2" t="s">
        <v>933</v>
      </c>
      <c r="B557" s="2" t="s">
        <v>2357</v>
      </c>
    </row>
    <row r="558" spans="1:2" ht="15.75" customHeight="1" x14ac:dyDescent="0.25">
      <c r="A558" s="2" t="s">
        <v>2146</v>
      </c>
      <c r="B558" s="2" t="s">
        <v>2358</v>
      </c>
    </row>
    <row r="559" spans="1:2" ht="15.75" customHeight="1" x14ac:dyDescent="0.25">
      <c r="A559" s="2" t="s">
        <v>2128</v>
      </c>
      <c r="B559" s="2" t="s">
        <v>2357</v>
      </c>
    </row>
    <row r="560" spans="1:2" ht="15.75" customHeight="1" x14ac:dyDescent="0.25">
      <c r="A560" s="2" t="s">
        <v>86</v>
      </c>
      <c r="B560" s="2" t="s">
        <v>2357</v>
      </c>
    </row>
    <row r="561" spans="1:2" ht="15.75" customHeight="1" x14ac:dyDescent="0.25">
      <c r="A561" s="2" t="s">
        <v>1913</v>
      </c>
      <c r="B561" s="2" t="s">
        <v>2357</v>
      </c>
    </row>
    <row r="562" spans="1:2" ht="15.75" customHeight="1" x14ac:dyDescent="0.25">
      <c r="A562" s="2" t="s">
        <v>2100</v>
      </c>
      <c r="B562" s="2" t="s">
        <v>2357</v>
      </c>
    </row>
    <row r="563" spans="1:2" ht="15.75" customHeight="1" x14ac:dyDescent="0.25">
      <c r="A563" s="2" t="s">
        <v>191</v>
      </c>
      <c r="B563" s="2" t="s">
        <v>2357</v>
      </c>
    </row>
    <row r="564" spans="1:2" ht="15.75" customHeight="1" x14ac:dyDescent="0.25">
      <c r="A564" s="2" t="s">
        <v>2239</v>
      </c>
      <c r="B564" s="2" t="s">
        <v>2357</v>
      </c>
    </row>
    <row r="565" spans="1:2" ht="15.75" customHeight="1" x14ac:dyDescent="0.25">
      <c r="A565" s="2" t="s">
        <v>787</v>
      </c>
      <c r="B565" s="2" t="s">
        <v>2359</v>
      </c>
    </row>
    <row r="566" spans="1:2" ht="15.75" customHeight="1" x14ac:dyDescent="0.25">
      <c r="A566" s="2" t="s">
        <v>1386</v>
      </c>
      <c r="B566" s="2" t="s">
        <v>2357</v>
      </c>
    </row>
    <row r="567" spans="1:2" ht="15.75" customHeight="1" x14ac:dyDescent="0.25">
      <c r="A567" s="2" t="s">
        <v>759</v>
      </c>
      <c r="B567" s="2" t="s">
        <v>2357</v>
      </c>
    </row>
    <row r="568" spans="1:2" ht="15.75" customHeight="1" x14ac:dyDescent="0.25">
      <c r="A568" s="2" t="s">
        <v>2209</v>
      </c>
      <c r="B568" s="2" t="s">
        <v>2357</v>
      </c>
    </row>
    <row r="569" spans="1:2" ht="15.75" customHeight="1" x14ac:dyDescent="0.25">
      <c r="A569" s="2" t="s">
        <v>2056</v>
      </c>
      <c r="B569" s="2" t="s">
        <v>2357</v>
      </c>
    </row>
    <row r="570" spans="1:2" ht="15.75" customHeight="1" x14ac:dyDescent="0.25">
      <c r="A570" s="2" t="s">
        <v>991</v>
      </c>
      <c r="B570" s="2" t="s">
        <v>2359</v>
      </c>
    </row>
    <row r="571" spans="1:2" ht="15.75" customHeight="1" x14ac:dyDescent="0.25">
      <c r="A571" s="2" t="s">
        <v>1738</v>
      </c>
      <c r="B571" s="2" t="s">
        <v>2357</v>
      </c>
    </row>
    <row r="572" spans="1:2" ht="15.75" customHeight="1" x14ac:dyDescent="0.25">
      <c r="A572" s="2" t="s">
        <v>1769</v>
      </c>
      <c r="B572" s="2" t="s">
        <v>2357</v>
      </c>
    </row>
    <row r="573" spans="1:2" ht="15.75" customHeight="1" x14ac:dyDescent="0.25">
      <c r="A573" s="2" t="s">
        <v>2127</v>
      </c>
      <c r="B573" s="2" t="s">
        <v>2357</v>
      </c>
    </row>
    <row r="574" spans="1:2" ht="15.75" customHeight="1" x14ac:dyDescent="0.25">
      <c r="A574" s="2" t="s">
        <v>814</v>
      </c>
      <c r="B574" s="2" t="s">
        <v>2357</v>
      </c>
    </row>
    <row r="575" spans="1:2" ht="15.75" customHeight="1" x14ac:dyDescent="0.25">
      <c r="A575" s="2" t="s">
        <v>1127</v>
      </c>
      <c r="B575" s="2" t="s">
        <v>2357</v>
      </c>
    </row>
    <row r="576" spans="1:2" ht="15.75" customHeight="1" x14ac:dyDescent="0.25">
      <c r="A576" s="2" t="s">
        <v>503</v>
      </c>
      <c r="B576" s="2" t="s">
        <v>2359</v>
      </c>
    </row>
    <row r="577" spans="1:2" ht="15.75" customHeight="1" x14ac:dyDescent="0.25">
      <c r="A577" s="2" t="s">
        <v>585</v>
      </c>
      <c r="B577" s="2" t="s">
        <v>2356</v>
      </c>
    </row>
    <row r="578" spans="1:2" ht="15.75" customHeight="1" x14ac:dyDescent="0.25">
      <c r="A578" s="2" t="s">
        <v>2068</v>
      </c>
      <c r="B578" s="2" t="s">
        <v>2357</v>
      </c>
    </row>
    <row r="579" spans="1:2" ht="15.75" customHeight="1" x14ac:dyDescent="0.25">
      <c r="A579" s="2" t="s">
        <v>1872</v>
      </c>
      <c r="B579" s="2" t="s">
        <v>2357</v>
      </c>
    </row>
    <row r="580" spans="1:2" ht="15.75" customHeight="1" x14ac:dyDescent="0.25">
      <c r="A580" s="2" t="s">
        <v>1637</v>
      </c>
      <c r="B580" s="2" t="s">
        <v>2357</v>
      </c>
    </row>
    <row r="581" spans="1:2" ht="15.75" customHeight="1" x14ac:dyDescent="0.25">
      <c r="A581" s="2" t="s">
        <v>652</v>
      </c>
      <c r="B581" s="2" t="s">
        <v>2357</v>
      </c>
    </row>
    <row r="582" spans="1:2" ht="15.75" customHeight="1" x14ac:dyDescent="0.25">
      <c r="A582" s="2" t="s">
        <v>2232</v>
      </c>
      <c r="B582" s="2" t="s">
        <v>2359</v>
      </c>
    </row>
    <row r="583" spans="1:2" ht="15.75" customHeight="1" x14ac:dyDescent="0.25">
      <c r="A583" s="2" t="s">
        <v>1657</v>
      </c>
      <c r="B583" s="2" t="s">
        <v>2357</v>
      </c>
    </row>
    <row r="584" spans="1:2" ht="15.75" customHeight="1" x14ac:dyDescent="0.25">
      <c r="A584" s="2" t="s">
        <v>2122</v>
      </c>
      <c r="B584" s="2" t="s">
        <v>2357</v>
      </c>
    </row>
    <row r="585" spans="1:2" ht="15.75" customHeight="1" x14ac:dyDescent="0.25">
      <c r="A585" s="2" t="s">
        <v>798</v>
      </c>
      <c r="B585" s="2" t="s">
        <v>2357</v>
      </c>
    </row>
    <row r="586" spans="1:2" ht="15.75" customHeight="1" x14ac:dyDescent="0.25">
      <c r="A586" s="2" t="s">
        <v>336</v>
      </c>
      <c r="B586" s="2" t="s">
        <v>2357</v>
      </c>
    </row>
    <row r="587" spans="1:2" ht="15.75" customHeight="1" x14ac:dyDescent="0.25">
      <c r="A587" s="2" t="s">
        <v>1096</v>
      </c>
      <c r="B587" s="2" t="s">
        <v>2357</v>
      </c>
    </row>
    <row r="588" spans="1:2" ht="15.75" customHeight="1" x14ac:dyDescent="0.25">
      <c r="A588" s="2" t="s">
        <v>1980</v>
      </c>
      <c r="B588" s="2" t="s">
        <v>2357</v>
      </c>
    </row>
    <row r="589" spans="1:2" ht="15.75" customHeight="1" x14ac:dyDescent="0.25">
      <c r="A589" s="2" t="s">
        <v>1181</v>
      </c>
      <c r="B589" s="2" t="s">
        <v>2357</v>
      </c>
    </row>
    <row r="590" spans="1:2" ht="15.75" customHeight="1" x14ac:dyDescent="0.25">
      <c r="A590" s="2" t="s">
        <v>469</v>
      </c>
      <c r="B590" s="2" t="s">
        <v>2357</v>
      </c>
    </row>
    <row r="591" spans="1:2" ht="15.75" customHeight="1" x14ac:dyDescent="0.25">
      <c r="A591" s="2" t="s">
        <v>956</v>
      </c>
      <c r="B591" s="2" t="s">
        <v>2357</v>
      </c>
    </row>
    <row r="592" spans="1:2" ht="15.75" customHeight="1" x14ac:dyDescent="0.25">
      <c r="A592" s="2" t="s">
        <v>811</v>
      </c>
      <c r="B592" s="2" t="s">
        <v>2357</v>
      </c>
    </row>
    <row r="593" spans="1:2" ht="15.75" customHeight="1" x14ac:dyDescent="0.25">
      <c r="A593" s="2" t="s">
        <v>1071</v>
      </c>
      <c r="B593" s="2" t="s">
        <v>2357</v>
      </c>
    </row>
    <row r="594" spans="1:2" ht="15.75" customHeight="1" x14ac:dyDescent="0.25">
      <c r="A594" s="2" t="s">
        <v>2350</v>
      </c>
      <c r="B594" s="2" t="s">
        <v>2357</v>
      </c>
    </row>
    <row r="595" spans="1:2" ht="15.75" customHeight="1" x14ac:dyDescent="0.25">
      <c r="A595" s="2" t="s">
        <v>1898</v>
      </c>
      <c r="B595" s="2" t="s">
        <v>2357</v>
      </c>
    </row>
    <row r="596" spans="1:2" ht="15.75" customHeight="1" x14ac:dyDescent="0.25">
      <c r="A596" s="2" t="s">
        <v>1723</v>
      </c>
      <c r="B596" s="2" t="s">
        <v>2357</v>
      </c>
    </row>
    <row r="597" spans="1:2" ht="15.75" customHeight="1" x14ac:dyDescent="0.25">
      <c r="A597" s="2" t="s">
        <v>1419</v>
      </c>
      <c r="B597" s="2" t="s">
        <v>2357</v>
      </c>
    </row>
    <row r="598" spans="1:2" ht="15.75" customHeight="1" x14ac:dyDescent="0.25">
      <c r="A598" s="2" t="s">
        <v>2086</v>
      </c>
      <c r="B598" s="2" t="s">
        <v>2357</v>
      </c>
    </row>
    <row r="599" spans="1:2" ht="15.75" customHeight="1" x14ac:dyDescent="0.25">
      <c r="A599" s="2" t="s">
        <v>2198</v>
      </c>
      <c r="B599" s="2" t="s">
        <v>2357</v>
      </c>
    </row>
    <row r="600" spans="1:2" ht="15.75" customHeight="1" x14ac:dyDescent="0.25">
      <c r="A600" s="2" t="s">
        <v>993</v>
      </c>
      <c r="B600" s="2" t="s">
        <v>2357</v>
      </c>
    </row>
    <row r="601" spans="1:2" ht="15.75" customHeight="1" x14ac:dyDescent="0.25">
      <c r="A601" s="2" t="s">
        <v>210</v>
      </c>
      <c r="B601" s="2" t="s">
        <v>2357</v>
      </c>
    </row>
    <row r="602" spans="1:2" ht="15.75" customHeight="1" x14ac:dyDescent="0.25">
      <c r="A602" s="2" t="s">
        <v>961</v>
      </c>
      <c r="B602" s="2" t="s">
        <v>2357</v>
      </c>
    </row>
    <row r="603" spans="1:2" ht="15.75" customHeight="1" x14ac:dyDescent="0.25">
      <c r="A603" s="2" t="s">
        <v>2140</v>
      </c>
      <c r="B603" s="2" t="s">
        <v>2357</v>
      </c>
    </row>
    <row r="604" spans="1:2" ht="15.75" customHeight="1" x14ac:dyDescent="0.25">
      <c r="A604" s="2" t="s">
        <v>1459</v>
      </c>
      <c r="B604" s="2" t="s">
        <v>2357</v>
      </c>
    </row>
    <row r="605" spans="1:2" ht="15.75" customHeight="1" x14ac:dyDescent="0.25">
      <c r="A605" s="2" t="s">
        <v>2025</v>
      </c>
      <c r="B605" s="2" t="s">
        <v>2357</v>
      </c>
    </row>
    <row r="606" spans="1:2" ht="15.75" customHeight="1" x14ac:dyDescent="0.25">
      <c r="A606" s="2" t="s">
        <v>1328</v>
      </c>
      <c r="B606" s="2" t="s">
        <v>2357</v>
      </c>
    </row>
    <row r="607" spans="1:2" ht="15.75" customHeight="1" x14ac:dyDescent="0.25">
      <c r="A607" s="2" t="s">
        <v>1453</v>
      </c>
      <c r="B607" s="2" t="s">
        <v>2357</v>
      </c>
    </row>
    <row r="608" spans="1:2" ht="15.75" customHeight="1" x14ac:dyDescent="0.25">
      <c r="A608" s="2" t="s">
        <v>1791</v>
      </c>
      <c r="B608" s="2" t="s">
        <v>2357</v>
      </c>
    </row>
    <row r="609" spans="1:2" ht="15.75" customHeight="1" x14ac:dyDescent="0.25">
      <c r="A609" s="2" t="s">
        <v>1380</v>
      </c>
      <c r="B609" s="2" t="s">
        <v>2357</v>
      </c>
    </row>
    <row r="610" spans="1:2" ht="15.75" customHeight="1" x14ac:dyDescent="0.25">
      <c r="A610" s="2" t="s">
        <v>1107</v>
      </c>
      <c r="B610" s="2" t="s">
        <v>2357</v>
      </c>
    </row>
    <row r="611" spans="1:2" ht="15.75" customHeight="1" x14ac:dyDescent="0.25">
      <c r="A611" s="2" t="s">
        <v>2332</v>
      </c>
      <c r="B611" s="2" t="s">
        <v>2357</v>
      </c>
    </row>
    <row r="612" spans="1:2" ht="15.75" customHeight="1" x14ac:dyDescent="0.25">
      <c r="A612" s="2" t="s">
        <v>2179</v>
      </c>
      <c r="B612" s="2" t="s">
        <v>2358</v>
      </c>
    </row>
    <row r="613" spans="1:2" ht="15.75" customHeight="1" x14ac:dyDescent="0.25">
      <c r="A613" s="2" t="s">
        <v>292</v>
      </c>
      <c r="B613" s="2" t="s">
        <v>2359</v>
      </c>
    </row>
    <row r="614" spans="1:2" ht="15.75" customHeight="1" x14ac:dyDescent="0.25">
      <c r="A614" s="2" t="s">
        <v>1857</v>
      </c>
      <c r="B614" s="2" t="s">
        <v>2356</v>
      </c>
    </row>
    <row r="615" spans="1:2" ht="15.75" customHeight="1" x14ac:dyDescent="0.25">
      <c r="A615" s="2" t="s">
        <v>1041</v>
      </c>
      <c r="B615" s="2" t="s">
        <v>2357</v>
      </c>
    </row>
    <row r="616" spans="1:2" ht="15.75" customHeight="1" x14ac:dyDescent="0.25">
      <c r="A616" s="2" t="s">
        <v>2166</v>
      </c>
      <c r="B616" s="2" t="s">
        <v>2360</v>
      </c>
    </row>
    <row r="617" spans="1:2" ht="15.75" customHeight="1" x14ac:dyDescent="0.25">
      <c r="A617" s="2" t="s">
        <v>926</v>
      </c>
      <c r="B617" s="2" t="s">
        <v>2357</v>
      </c>
    </row>
    <row r="618" spans="1:2" ht="15.75" customHeight="1" x14ac:dyDescent="0.25">
      <c r="A618" s="2" t="s">
        <v>2087</v>
      </c>
      <c r="B618" s="2" t="s">
        <v>2357</v>
      </c>
    </row>
    <row r="619" spans="1:2" ht="15.75" customHeight="1" x14ac:dyDescent="0.25">
      <c r="A619" s="2" t="s">
        <v>610</v>
      </c>
      <c r="B619" s="2" t="s">
        <v>2357</v>
      </c>
    </row>
    <row r="620" spans="1:2" ht="15.75" customHeight="1" x14ac:dyDescent="0.25">
      <c r="A620" s="2" t="s">
        <v>200</v>
      </c>
      <c r="B620" s="2" t="s">
        <v>2357</v>
      </c>
    </row>
    <row r="621" spans="1:2" ht="15.75" customHeight="1" x14ac:dyDescent="0.25">
      <c r="A621" s="2" t="s">
        <v>1361</v>
      </c>
      <c r="B621" s="2" t="s">
        <v>2357</v>
      </c>
    </row>
    <row r="622" spans="1:2" ht="15.75" customHeight="1" x14ac:dyDescent="0.25">
      <c r="A622" s="2" t="s">
        <v>1952</v>
      </c>
      <c r="B622" s="2" t="s">
        <v>2357</v>
      </c>
    </row>
    <row r="623" spans="1:2" ht="15.75" customHeight="1" x14ac:dyDescent="0.25">
      <c r="A623" s="2" t="s">
        <v>2192</v>
      </c>
      <c r="B623" s="2" t="s">
        <v>2360</v>
      </c>
    </row>
    <row r="624" spans="1:2" ht="15.75" customHeight="1" x14ac:dyDescent="0.25">
      <c r="A624" s="2" t="s">
        <v>1001</v>
      </c>
      <c r="B624" s="2" t="s">
        <v>2357</v>
      </c>
    </row>
    <row r="625" spans="1:2" ht="15.75" customHeight="1" x14ac:dyDescent="0.25">
      <c r="A625" s="2" t="s">
        <v>257</v>
      </c>
      <c r="B625" s="2" t="s">
        <v>2357</v>
      </c>
    </row>
    <row r="626" spans="1:2" ht="15.75" customHeight="1" x14ac:dyDescent="0.25">
      <c r="A626" s="2" t="s">
        <v>1467</v>
      </c>
      <c r="B626" s="2" t="s">
        <v>2357</v>
      </c>
    </row>
    <row r="627" spans="1:2" ht="15.75" customHeight="1" x14ac:dyDescent="0.25">
      <c r="A627" s="2" t="s">
        <v>2162</v>
      </c>
      <c r="B627" s="2" t="s">
        <v>2357</v>
      </c>
    </row>
    <row r="628" spans="1:2" ht="15.75" customHeight="1" x14ac:dyDescent="0.25">
      <c r="A628" s="2" t="s">
        <v>558</v>
      </c>
      <c r="B628" s="2" t="s">
        <v>2357</v>
      </c>
    </row>
    <row r="629" spans="1:2" ht="15.75" customHeight="1" x14ac:dyDescent="0.25">
      <c r="A629" s="2" t="s">
        <v>59</v>
      </c>
      <c r="B629" s="2" t="s">
        <v>2357</v>
      </c>
    </row>
    <row r="630" spans="1:2" ht="15.75" customHeight="1" x14ac:dyDescent="0.25">
      <c r="A630" s="2" t="s">
        <v>2327</v>
      </c>
      <c r="B630" s="2" t="s">
        <v>2360</v>
      </c>
    </row>
    <row r="631" spans="1:2" ht="15.75" customHeight="1" x14ac:dyDescent="0.25">
      <c r="A631" s="2" t="s">
        <v>1643</v>
      </c>
      <c r="B631" s="2" t="s">
        <v>2357</v>
      </c>
    </row>
    <row r="632" spans="1:2" ht="15.75" customHeight="1" x14ac:dyDescent="0.25">
      <c r="A632" s="2" t="s">
        <v>2133</v>
      </c>
      <c r="B632" s="2" t="s">
        <v>2357</v>
      </c>
    </row>
    <row r="633" spans="1:2" ht="15.75" customHeight="1" x14ac:dyDescent="0.25">
      <c r="A633" s="2" t="s">
        <v>278</v>
      </c>
      <c r="B633" s="2" t="s">
        <v>2357</v>
      </c>
    </row>
    <row r="634" spans="1:2" ht="15.75" customHeight="1" x14ac:dyDescent="0.25">
      <c r="A634" s="2" t="s">
        <v>154</v>
      </c>
      <c r="B634" s="2" t="s">
        <v>2357</v>
      </c>
    </row>
    <row r="635" spans="1:2" ht="15.75" customHeight="1" x14ac:dyDescent="0.25">
      <c r="A635" s="2" t="s">
        <v>68</v>
      </c>
      <c r="B635" s="2" t="s">
        <v>2357</v>
      </c>
    </row>
    <row r="636" spans="1:2" ht="15.75" customHeight="1" x14ac:dyDescent="0.25">
      <c r="A636" s="2" t="s">
        <v>1795</v>
      </c>
      <c r="B636" s="2" t="s">
        <v>2359</v>
      </c>
    </row>
    <row r="637" spans="1:2" ht="15.75" customHeight="1" x14ac:dyDescent="0.25">
      <c r="A637" s="2" t="s">
        <v>1713</v>
      </c>
      <c r="B637" s="2" t="s">
        <v>2357</v>
      </c>
    </row>
    <row r="638" spans="1:2" ht="15.75" customHeight="1" x14ac:dyDescent="0.25">
      <c r="A638" s="2" t="s">
        <v>1697</v>
      </c>
      <c r="B638" s="2" t="s">
        <v>2356</v>
      </c>
    </row>
    <row r="639" spans="1:2" ht="15.75" customHeight="1" x14ac:dyDescent="0.25">
      <c r="A639" s="2" t="s">
        <v>824</v>
      </c>
      <c r="B639" s="2" t="s">
        <v>2357</v>
      </c>
    </row>
    <row r="640" spans="1:2" ht="15.75" customHeight="1" x14ac:dyDescent="0.25">
      <c r="A640" s="2" t="s">
        <v>1617</v>
      </c>
      <c r="B640" s="2" t="s">
        <v>2356</v>
      </c>
    </row>
    <row r="641" spans="1:2" ht="15.75" customHeight="1" x14ac:dyDescent="0.25">
      <c r="A641" s="2" t="s">
        <v>357</v>
      </c>
      <c r="B641" s="2" t="s">
        <v>2357</v>
      </c>
    </row>
    <row r="642" spans="1:2" ht="15.75" customHeight="1" x14ac:dyDescent="0.25">
      <c r="A642" s="2" t="s">
        <v>978</v>
      </c>
      <c r="B642" s="2" t="s">
        <v>2357</v>
      </c>
    </row>
    <row r="643" spans="1:2" ht="15.75" customHeight="1" x14ac:dyDescent="0.25">
      <c r="A643" s="2" t="s">
        <v>923</v>
      </c>
      <c r="B643" s="2" t="s">
        <v>2357</v>
      </c>
    </row>
    <row r="644" spans="1:2" ht="15.75" customHeight="1" x14ac:dyDescent="0.25">
      <c r="A644" s="2" t="s">
        <v>1213</v>
      </c>
      <c r="B644" s="2" t="s">
        <v>2356</v>
      </c>
    </row>
    <row r="645" spans="1:2" ht="15.75" customHeight="1" x14ac:dyDescent="0.25">
      <c r="A645" s="2" t="s">
        <v>55</v>
      </c>
      <c r="B645" s="2" t="s">
        <v>2357</v>
      </c>
    </row>
    <row r="646" spans="1:2" ht="15.75" customHeight="1" x14ac:dyDescent="0.25">
      <c r="A646" s="2" t="s">
        <v>715</v>
      </c>
      <c r="B646" s="2" t="s">
        <v>2357</v>
      </c>
    </row>
    <row r="647" spans="1:2" ht="15.75" customHeight="1" x14ac:dyDescent="0.25">
      <c r="A647" s="2" t="s">
        <v>650</v>
      </c>
      <c r="B647" s="2" t="s">
        <v>2356</v>
      </c>
    </row>
    <row r="648" spans="1:2" ht="15.75" customHeight="1" x14ac:dyDescent="0.25">
      <c r="A648" s="2" t="s">
        <v>2315</v>
      </c>
      <c r="B648" s="2" t="s">
        <v>2360</v>
      </c>
    </row>
    <row r="649" spans="1:2" ht="15.75" customHeight="1" x14ac:dyDescent="0.25">
      <c r="A649" s="2" t="s">
        <v>1653</v>
      </c>
      <c r="B649" s="2" t="s">
        <v>2356</v>
      </c>
    </row>
    <row r="650" spans="1:2" ht="15.75" customHeight="1" x14ac:dyDescent="0.25">
      <c r="A650" s="2" t="s">
        <v>420</v>
      </c>
      <c r="B650" s="2" t="s">
        <v>2357</v>
      </c>
    </row>
    <row r="651" spans="1:2" ht="15.75" customHeight="1" x14ac:dyDescent="0.25">
      <c r="A651" s="2" t="s">
        <v>1864</v>
      </c>
      <c r="B651" s="2" t="s">
        <v>2357</v>
      </c>
    </row>
    <row r="652" spans="1:2" ht="15.75" customHeight="1" x14ac:dyDescent="0.25">
      <c r="A652" s="2" t="s">
        <v>1390</v>
      </c>
      <c r="B652" s="2" t="s">
        <v>2357</v>
      </c>
    </row>
    <row r="653" spans="1:2" ht="15.75" customHeight="1" x14ac:dyDescent="0.25">
      <c r="A653" s="2" t="s">
        <v>2147</v>
      </c>
      <c r="B653" s="2" t="s">
        <v>2357</v>
      </c>
    </row>
    <row r="654" spans="1:2" ht="15.75" customHeight="1" x14ac:dyDescent="0.25">
      <c r="A654" s="2" t="s">
        <v>518</v>
      </c>
      <c r="B654" s="2" t="s">
        <v>2356</v>
      </c>
    </row>
    <row r="655" spans="1:2" ht="15.75" customHeight="1" x14ac:dyDescent="0.25">
      <c r="A655" s="2" t="s">
        <v>2022</v>
      </c>
      <c r="B655" s="2" t="s">
        <v>2357</v>
      </c>
    </row>
    <row r="656" spans="1:2" ht="15.75" customHeight="1" x14ac:dyDescent="0.25">
      <c r="A656" s="2" t="s">
        <v>2224</v>
      </c>
      <c r="B656" s="2" t="s">
        <v>2357</v>
      </c>
    </row>
    <row r="657" spans="1:2" ht="15.75" customHeight="1" x14ac:dyDescent="0.25">
      <c r="A657" s="2" t="s">
        <v>939</v>
      </c>
      <c r="B657" s="2" t="s">
        <v>2357</v>
      </c>
    </row>
    <row r="658" spans="1:2" ht="15.75" customHeight="1" x14ac:dyDescent="0.25">
      <c r="A658" s="2" t="s">
        <v>627</v>
      </c>
      <c r="B658" s="2" t="s">
        <v>2357</v>
      </c>
    </row>
    <row r="659" spans="1:2" ht="15.75" customHeight="1" x14ac:dyDescent="0.25">
      <c r="A659" s="2" t="s">
        <v>1009</v>
      </c>
      <c r="B659" s="2" t="s">
        <v>2357</v>
      </c>
    </row>
    <row r="660" spans="1:2" ht="15.75" customHeight="1" x14ac:dyDescent="0.25">
      <c r="A660" s="2" t="s">
        <v>2334</v>
      </c>
      <c r="B660" s="2" t="s">
        <v>2357</v>
      </c>
    </row>
    <row r="661" spans="1:2" ht="15.75" customHeight="1" x14ac:dyDescent="0.25">
      <c r="A661" s="2" t="s">
        <v>424</v>
      </c>
      <c r="B661" s="2" t="s">
        <v>2359</v>
      </c>
    </row>
    <row r="662" spans="1:2" ht="15.75" customHeight="1" x14ac:dyDescent="0.25">
      <c r="A662" s="2" t="s">
        <v>587</v>
      </c>
      <c r="B662" s="2" t="s">
        <v>2357</v>
      </c>
    </row>
    <row r="663" spans="1:2" ht="15.75" customHeight="1" x14ac:dyDescent="0.25">
      <c r="A663" s="2" t="s">
        <v>641</v>
      </c>
      <c r="B663" s="2" t="s">
        <v>2357</v>
      </c>
    </row>
    <row r="664" spans="1:2" ht="15.75" customHeight="1" x14ac:dyDescent="0.25">
      <c r="A664" s="2" t="s">
        <v>890</v>
      </c>
      <c r="B664" s="2" t="s">
        <v>2357</v>
      </c>
    </row>
    <row r="665" spans="1:2" ht="15.75" customHeight="1" x14ac:dyDescent="0.25">
      <c r="A665" s="2" t="s">
        <v>2191</v>
      </c>
      <c r="B665" s="2" t="s">
        <v>2358</v>
      </c>
    </row>
    <row r="666" spans="1:2" ht="15.75" customHeight="1" x14ac:dyDescent="0.25">
      <c r="A666" s="2" t="s">
        <v>2074</v>
      </c>
      <c r="B666" s="2" t="s">
        <v>2357</v>
      </c>
    </row>
    <row r="667" spans="1:2" ht="15.75" customHeight="1" x14ac:dyDescent="0.25">
      <c r="A667" s="2" t="s">
        <v>1546</v>
      </c>
      <c r="B667" s="2" t="s">
        <v>2357</v>
      </c>
    </row>
    <row r="668" spans="1:2" ht="15.75" customHeight="1" x14ac:dyDescent="0.25">
      <c r="A668" s="2" t="s">
        <v>835</v>
      </c>
      <c r="B668" s="2" t="s">
        <v>2356</v>
      </c>
    </row>
    <row r="669" spans="1:2" ht="15.75" customHeight="1" x14ac:dyDescent="0.25">
      <c r="A669" s="2" t="s">
        <v>1909</v>
      </c>
      <c r="B669" s="2" t="s">
        <v>2357</v>
      </c>
    </row>
    <row r="670" spans="1:2" ht="15.75" customHeight="1" x14ac:dyDescent="0.25">
      <c r="A670" s="2" t="s">
        <v>2119</v>
      </c>
      <c r="B670" s="2" t="s">
        <v>2360</v>
      </c>
    </row>
    <row r="671" spans="1:2" ht="15.75" customHeight="1" x14ac:dyDescent="0.25">
      <c r="A671" s="2" t="s">
        <v>932</v>
      </c>
      <c r="B671" s="2" t="s">
        <v>2356</v>
      </c>
    </row>
    <row r="672" spans="1:2" ht="15.75" customHeight="1" x14ac:dyDescent="0.25">
      <c r="A672" s="2" t="s">
        <v>1884</v>
      </c>
      <c r="B672" s="2" t="s">
        <v>2357</v>
      </c>
    </row>
    <row r="673" spans="1:2" ht="15.75" customHeight="1" x14ac:dyDescent="0.25">
      <c r="A673" s="2" t="s">
        <v>1649</v>
      </c>
      <c r="B673" s="2" t="s">
        <v>2356</v>
      </c>
    </row>
    <row r="674" spans="1:2" ht="15.75" customHeight="1" x14ac:dyDescent="0.25">
      <c r="A674" s="2" t="s">
        <v>1647</v>
      </c>
      <c r="B674" s="2" t="s">
        <v>2356</v>
      </c>
    </row>
    <row r="675" spans="1:2" ht="15.75" customHeight="1" x14ac:dyDescent="0.25">
      <c r="A675" s="2" t="s">
        <v>552</v>
      </c>
      <c r="B675" s="2" t="s">
        <v>2357</v>
      </c>
    </row>
    <row r="676" spans="1:2" ht="15.75" customHeight="1" x14ac:dyDescent="0.25">
      <c r="A676" s="2" t="s">
        <v>1138</v>
      </c>
      <c r="B676" s="2" t="s">
        <v>2357</v>
      </c>
    </row>
    <row r="677" spans="1:2" ht="15.75" customHeight="1" x14ac:dyDescent="0.25">
      <c r="A677" s="2" t="s">
        <v>2349</v>
      </c>
      <c r="B677" s="2" t="s">
        <v>2357</v>
      </c>
    </row>
    <row r="678" spans="1:2" ht="15.75" customHeight="1" x14ac:dyDescent="0.25">
      <c r="A678" s="2" t="s">
        <v>930</v>
      </c>
      <c r="B678" s="2" t="s">
        <v>2357</v>
      </c>
    </row>
    <row r="679" spans="1:2" ht="15.75" customHeight="1" x14ac:dyDescent="0.25">
      <c r="A679" s="2" t="s">
        <v>756</v>
      </c>
      <c r="B679" s="2" t="s">
        <v>2357</v>
      </c>
    </row>
    <row r="680" spans="1:2" ht="15.75" customHeight="1" x14ac:dyDescent="0.25">
      <c r="A680" s="2" t="s">
        <v>303</v>
      </c>
      <c r="B680" s="2" t="s">
        <v>2357</v>
      </c>
    </row>
    <row r="681" spans="1:2" ht="15.75" customHeight="1" x14ac:dyDescent="0.25">
      <c r="A681" s="2" t="s">
        <v>2227</v>
      </c>
      <c r="B681" s="2" t="s">
        <v>2357</v>
      </c>
    </row>
    <row r="682" spans="1:2" ht="15.75" customHeight="1" x14ac:dyDescent="0.25">
      <c r="A682" s="2" t="s">
        <v>511</v>
      </c>
      <c r="B682" s="2" t="s">
        <v>2357</v>
      </c>
    </row>
    <row r="683" spans="1:2" ht="15.75" customHeight="1" x14ac:dyDescent="0.25">
      <c r="A683" s="2" t="s">
        <v>1728</v>
      </c>
      <c r="B683" s="2" t="s">
        <v>2357</v>
      </c>
    </row>
    <row r="684" spans="1:2" ht="15.75" customHeight="1" x14ac:dyDescent="0.25">
      <c r="A684" s="2" t="s">
        <v>1818</v>
      </c>
      <c r="B684" s="2" t="s">
        <v>2357</v>
      </c>
    </row>
    <row r="685" spans="1:2" ht="15.75" customHeight="1" x14ac:dyDescent="0.25">
      <c r="A685" s="2" t="s">
        <v>588</v>
      </c>
      <c r="B685" s="2" t="s">
        <v>2357</v>
      </c>
    </row>
    <row r="686" spans="1:2" ht="15.75" customHeight="1" x14ac:dyDescent="0.25">
      <c r="A686" s="2" t="s">
        <v>1722</v>
      </c>
      <c r="B686" s="2" t="s">
        <v>2356</v>
      </c>
    </row>
    <row r="687" spans="1:2" ht="15.75" customHeight="1" x14ac:dyDescent="0.25">
      <c r="A687" s="2" t="s">
        <v>219</v>
      </c>
      <c r="B687" s="2" t="s">
        <v>2357</v>
      </c>
    </row>
    <row r="688" spans="1:2" ht="15.75" customHeight="1" x14ac:dyDescent="0.25">
      <c r="A688" s="2" t="s">
        <v>2352</v>
      </c>
      <c r="B688" s="2" t="s">
        <v>2357</v>
      </c>
    </row>
    <row r="689" spans="1:2" ht="15.75" customHeight="1" x14ac:dyDescent="0.25">
      <c r="A689" s="2" t="s">
        <v>1633</v>
      </c>
      <c r="B689" s="2" t="s">
        <v>2356</v>
      </c>
    </row>
    <row r="690" spans="1:2" ht="15.75" customHeight="1" x14ac:dyDescent="0.25">
      <c r="A690" s="2" t="s">
        <v>180</v>
      </c>
      <c r="B690" s="2" t="s">
        <v>2357</v>
      </c>
    </row>
    <row r="691" spans="1:2" ht="15.75" customHeight="1" x14ac:dyDescent="0.25">
      <c r="A691" s="2" t="s">
        <v>1806</v>
      </c>
      <c r="B691" s="2" t="s">
        <v>2357</v>
      </c>
    </row>
    <row r="692" spans="1:2" ht="15.75" customHeight="1" x14ac:dyDescent="0.25">
      <c r="A692" s="2" t="s">
        <v>1880</v>
      </c>
      <c r="B692" s="2" t="s">
        <v>2357</v>
      </c>
    </row>
    <row r="693" spans="1:2" ht="15.75" customHeight="1" x14ac:dyDescent="0.25">
      <c r="A693" s="2" t="s">
        <v>1827</v>
      </c>
      <c r="B693" s="2" t="s">
        <v>2357</v>
      </c>
    </row>
    <row r="694" spans="1:2" ht="15.75" customHeight="1" x14ac:dyDescent="0.25">
      <c r="A694" s="2" t="s">
        <v>1814</v>
      </c>
      <c r="B694" s="2" t="s">
        <v>2357</v>
      </c>
    </row>
    <row r="695" spans="1:2" ht="15.75" customHeight="1" x14ac:dyDescent="0.25">
      <c r="A695" s="2" t="s">
        <v>1840</v>
      </c>
      <c r="B695" s="2" t="s">
        <v>2357</v>
      </c>
    </row>
    <row r="696" spans="1:2" ht="15.75" customHeight="1" x14ac:dyDescent="0.25">
      <c r="A696" s="2" t="s">
        <v>156</v>
      </c>
      <c r="B696" s="2" t="s">
        <v>2357</v>
      </c>
    </row>
    <row r="697" spans="1:2" ht="15.75" customHeight="1" x14ac:dyDescent="0.25">
      <c r="A697" s="2" t="s">
        <v>484</v>
      </c>
      <c r="B697" s="2" t="s">
        <v>2357</v>
      </c>
    </row>
    <row r="698" spans="1:2" ht="15.75" customHeight="1" x14ac:dyDescent="0.25">
      <c r="A698" s="2" t="s">
        <v>554</v>
      </c>
      <c r="B698" s="2" t="s">
        <v>2357</v>
      </c>
    </row>
    <row r="699" spans="1:2" ht="15.75" customHeight="1" x14ac:dyDescent="0.25">
      <c r="A699" s="2" t="s">
        <v>1602</v>
      </c>
      <c r="B699" s="2" t="s">
        <v>2357</v>
      </c>
    </row>
    <row r="700" spans="1:2" ht="15.75" customHeight="1" x14ac:dyDescent="0.25">
      <c r="A700" s="2" t="s">
        <v>306</v>
      </c>
      <c r="B700" s="2" t="s">
        <v>2357</v>
      </c>
    </row>
    <row r="701" spans="1:2" ht="15.75" customHeight="1" x14ac:dyDescent="0.25">
      <c r="A701" s="2" t="s">
        <v>2354</v>
      </c>
      <c r="B701" s="2" t="s">
        <v>2360</v>
      </c>
    </row>
    <row r="702" spans="1:2" ht="15.75" customHeight="1" x14ac:dyDescent="0.25">
      <c r="A702" s="2" t="s">
        <v>215</v>
      </c>
      <c r="B702" s="2" t="s">
        <v>2357</v>
      </c>
    </row>
    <row r="703" spans="1:2" ht="15.75" customHeight="1" x14ac:dyDescent="0.25">
      <c r="A703" s="2" t="s">
        <v>1182</v>
      </c>
      <c r="B703" s="2" t="s">
        <v>2357</v>
      </c>
    </row>
    <row r="704" spans="1:2" ht="15.75" customHeight="1" x14ac:dyDescent="0.25">
      <c r="A704" s="2" t="s">
        <v>2037</v>
      </c>
      <c r="B704" s="2" t="s">
        <v>2357</v>
      </c>
    </row>
    <row r="705" spans="1:2" ht="15.75" customHeight="1" x14ac:dyDescent="0.25">
      <c r="A705" s="2" t="s">
        <v>952</v>
      </c>
      <c r="B705" s="2" t="s">
        <v>2357</v>
      </c>
    </row>
    <row r="706" spans="1:2" ht="15.75" customHeight="1" x14ac:dyDescent="0.25">
      <c r="A706" s="2" t="s">
        <v>1564</v>
      </c>
      <c r="B706" s="2" t="s">
        <v>2357</v>
      </c>
    </row>
    <row r="707" spans="1:2" ht="15.75" customHeight="1" x14ac:dyDescent="0.25">
      <c r="A707" s="2" t="s">
        <v>602</v>
      </c>
      <c r="B707" s="2" t="s">
        <v>2356</v>
      </c>
    </row>
    <row r="708" spans="1:2" ht="15.75" customHeight="1" x14ac:dyDescent="0.25">
      <c r="A708" s="2" t="s">
        <v>1687</v>
      </c>
      <c r="B708" s="2" t="s">
        <v>2357</v>
      </c>
    </row>
    <row r="709" spans="1:2" ht="15.75" customHeight="1" x14ac:dyDescent="0.25">
      <c r="A709" s="2" t="s">
        <v>2330</v>
      </c>
      <c r="B709" s="2" t="s">
        <v>2359</v>
      </c>
    </row>
    <row r="710" spans="1:2" ht="15.75" customHeight="1" x14ac:dyDescent="0.25">
      <c r="A710" s="2" t="s">
        <v>1601</v>
      </c>
      <c r="B710" s="2" t="s">
        <v>2357</v>
      </c>
    </row>
    <row r="711" spans="1:2" ht="15.75" customHeight="1" x14ac:dyDescent="0.25">
      <c r="A711" s="2" t="s">
        <v>887</v>
      </c>
      <c r="B711" s="2" t="s">
        <v>2357</v>
      </c>
    </row>
    <row r="712" spans="1:2" ht="15.75" customHeight="1" x14ac:dyDescent="0.25">
      <c r="A712" s="2" t="s">
        <v>2136</v>
      </c>
      <c r="B712" s="2" t="s">
        <v>2360</v>
      </c>
    </row>
    <row r="713" spans="1:2" ht="15.75" customHeight="1" x14ac:dyDescent="0.25">
      <c r="A713" s="2" t="s">
        <v>1046</v>
      </c>
      <c r="B713" s="2" t="s">
        <v>2357</v>
      </c>
    </row>
    <row r="714" spans="1:2" ht="15.75" customHeight="1" x14ac:dyDescent="0.25">
      <c r="A714" s="2" t="s">
        <v>1318</v>
      </c>
      <c r="B714" s="2" t="s">
        <v>2357</v>
      </c>
    </row>
    <row r="715" spans="1:2" ht="15.75" customHeight="1" x14ac:dyDescent="0.25">
      <c r="A715" s="2" t="s">
        <v>1542</v>
      </c>
      <c r="B715" s="2" t="s">
        <v>2357</v>
      </c>
    </row>
    <row r="716" spans="1:2" ht="15.75" customHeight="1" x14ac:dyDescent="0.25">
      <c r="A716" s="2" t="s">
        <v>1761</v>
      </c>
      <c r="B716" s="2" t="s">
        <v>2357</v>
      </c>
    </row>
    <row r="717" spans="1:2" ht="15.75" customHeight="1" x14ac:dyDescent="0.25">
      <c r="A717" s="2" t="s">
        <v>330</v>
      </c>
      <c r="B717" s="2" t="s">
        <v>2357</v>
      </c>
    </row>
    <row r="718" spans="1:2" ht="15.75" customHeight="1" x14ac:dyDescent="0.25">
      <c r="A718" s="2" t="s">
        <v>2112</v>
      </c>
      <c r="B718" s="2" t="s">
        <v>2357</v>
      </c>
    </row>
    <row r="719" spans="1:2" ht="15.75" customHeight="1" x14ac:dyDescent="0.25">
      <c r="A719" s="2" t="s">
        <v>2228</v>
      </c>
      <c r="B719" s="2" t="s">
        <v>2357</v>
      </c>
    </row>
    <row r="720" spans="1:2" ht="15.75" customHeight="1" x14ac:dyDescent="0.25">
      <c r="A720" s="2" t="s">
        <v>1868</v>
      </c>
      <c r="B720" s="2" t="s">
        <v>2357</v>
      </c>
    </row>
    <row r="721" spans="1:2" ht="15.75" customHeight="1" x14ac:dyDescent="0.25">
      <c r="A721" s="2" t="s">
        <v>2120</v>
      </c>
      <c r="B721" s="2" t="s">
        <v>2360</v>
      </c>
    </row>
    <row r="722" spans="1:2" ht="15.75" customHeight="1" x14ac:dyDescent="0.25">
      <c r="A722" s="2" t="s">
        <v>2066</v>
      </c>
      <c r="B722" s="2" t="s">
        <v>2357</v>
      </c>
    </row>
    <row r="723" spans="1:2" ht="15.75" customHeight="1" x14ac:dyDescent="0.25">
      <c r="A723" s="2" t="s">
        <v>2075</v>
      </c>
      <c r="B723" s="2" t="s">
        <v>2357</v>
      </c>
    </row>
    <row r="724" spans="1:2" ht="15.75" customHeight="1" x14ac:dyDescent="0.25">
      <c r="A724" s="2" t="s">
        <v>2269</v>
      </c>
      <c r="B724" s="2" t="s">
        <v>2358</v>
      </c>
    </row>
    <row r="725" spans="1:2" ht="15.75" customHeight="1" x14ac:dyDescent="0.25">
      <c r="A725" s="2" t="s">
        <v>919</v>
      </c>
      <c r="B725" s="2" t="s">
        <v>2357</v>
      </c>
    </row>
    <row r="726" spans="1:2" ht="15.75" customHeight="1" x14ac:dyDescent="0.25">
      <c r="A726" s="2" t="s">
        <v>869</v>
      </c>
      <c r="B726" s="2" t="s">
        <v>2357</v>
      </c>
    </row>
    <row r="727" spans="1:2" ht="15.75" customHeight="1" x14ac:dyDescent="0.25">
      <c r="A727" s="2" t="s">
        <v>2184</v>
      </c>
      <c r="B727" s="2" t="s">
        <v>2360</v>
      </c>
    </row>
    <row r="728" spans="1:2" ht="15.75" customHeight="1" x14ac:dyDescent="0.25">
      <c r="A728" s="2" t="s">
        <v>1180</v>
      </c>
      <c r="B728" s="2" t="s">
        <v>2356</v>
      </c>
    </row>
    <row r="729" spans="1:2" ht="15.75" customHeight="1" x14ac:dyDescent="0.25">
      <c r="A729" s="2" t="s">
        <v>1457</v>
      </c>
      <c r="B729" s="2" t="s">
        <v>2357</v>
      </c>
    </row>
    <row r="730" spans="1:2" ht="15.75" customHeight="1" x14ac:dyDescent="0.25">
      <c r="A730" s="2" t="s">
        <v>1549</v>
      </c>
      <c r="B730" s="2" t="s">
        <v>2357</v>
      </c>
    </row>
    <row r="731" spans="1:2" ht="15.75" customHeight="1" x14ac:dyDescent="0.25">
      <c r="A731" s="2" t="s">
        <v>1593</v>
      </c>
      <c r="B731" s="2" t="s">
        <v>2357</v>
      </c>
    </row>
    <row r="732" spans="1:2" ht="15.75" customHeight="1" x14ac:dyDescent="0.25">
      <c r="A732" s="2" t="s">
        <v>2326</v>
      </c>
      <c r="B732" s="2" t="s">
        <v>2357</v>
      </c>
    </row>
    <row r="733" spans="1:2" ht="15.75" customHeight="1" x14ac:dyDescent="0.25">
      <c r="A733" s="2" t="s">
        <v>1570</v>
      </c>
      <c r="B733" s="2" t="s">
        <v>2357</v>
      </c>
    </row>
    <row r="734" spans="1:2" ht="15.75" customHeight="1" x14ac:dyDescent="0.25">
      <c r="A734" s="2" t="s">
        <v>382</v>
      </c>
      <c r="B734" s="2" t="s">
        <v>2357</v>
      </c>
    </row>
    <row r="735" spans="1:2" ht="15.75" customHeight="1" x14ac:dyDescent="0.25">
      <c r="A735" s="2" t="s">
        <v>1192</v>
      </c>
      <c r="B735" s="2" t="s">
        <v>2357</v>
      </c>
    </row>
    <row r="736" spans="1:2" ht="15.75" customHeight="1" x14ac:dyDescent="0.25">
      <c r="A736" s="2" t="s">
        <v>481</v>
      </c>
      <c r="B736" s="2" t="s">
        <v>2357</v>
      </c>
    </row>
    <row r="737" spans="1:2" ht="15.75" customHeight="1" x14ac:dyDescent="0.25">
      <c r="A737" s="2" t="s">
        <v>1948</v>
      </c>
      <c r="B737" s="2" t="s">
        <v>2357</v>
      </c>
    </row>
    <row r="738" spans="1:2" ht="15.75" customHeight="1" x14ac:dyDescent="0.25">
      <c r="A738" s="2" t="s">
        <v>1903</v>
      </c>
      <c r="B738" s="2" t="s">
        <v>2357</v>
      </c>
    </row>
    <row r="739" spans="1:2" ht="15.75" customHeight="1" x14ac:dyDescent="0.25">
      <c r="A739" s="2" t="s">
        <v>2139</v>
      </c>
      <c r="B739" s="2" t="s">
        <v>2358</v>
      </c>
    </row>
    <row r="740" spans="1:2" ht="15.75" customHeight="1" x14ac:dyDescent="0.25">
      <c r="A740" s="2" t="s">
        <v>2282</v>
      </c>
      <c r="B740" s="2" t="s">
        <v>2357</v>
      </c>
    </row>
    <row r="741" spans="1:2" ht="15.75" customHeight="1" x14ac:dyDescent="0.25">
      <c r="A741" s="2" t="s">
        <v>1845</v>
      </c>
      <c r="B741" s="2" t="s">
        <v>2357</v>
      </c>
    </row>
    <row r="742" spans="1:2" ht="15.75" customHeight="1" x14ac:dyDescent="0.25">
      <c r="A742" s="2" t="s">
        <v>270</v>
      </c>
      <c r="B742" s="2" t="s">
        <v>2357</v>
      </c>
    </row>
    <row r="743" spans="1:2" ht="15.75" customHeight="1" x14ac:dyDescent="0.25">
      <c r="A743" s="2" t="s">
        <v>1665</v>
      </c>
      <c r="B743" s="2" t="s">
        <v>2357</v>
      </c>
    </row>
    <row r="744" spans="1:2" ht="15.75" customHeight="1" x14ac:dyDescent="0.25">
      <c r="A744" s="2" t="s">
        <v>1594</v>
      </c>
      <c r="B744" s="2" t="s">
        <v>2357</v>
      </c>
    </row>
    <row r="745" spans="1:2" ht="15.75" customHeight="1" x14ac:dyDescent="0.25">
      <c r="A745" s="2" t="s">
        <v>1505</v>
      </c>
      <c r="B745" s="2" t="s">
        <v>2356</v>
      </c>
    </row>
    <row r="746" spans="1:2" ht="15.75" customHeight="1" x14ac:dyDescent="0.25">
      <c r="A746" s="2" t="s">
        <v>2093</v>
      </c>
      <c r="B746" s="2" t="s">
        <v>2359</v>
      </c>
    </row>
    <row r="747" spans="1:2" ht="15.75" customHeight="1" x14ac:dyDescent="0.25">
      <c r="A747" s="2" t="s">
        <v>351</v>
      </c>
      <c r="B747" s="2" t="s">
        <v>2356</v>
      </c>
    </row>
    <row r="748" spans="1:2" ht="15.75" customHeight="1" x14ac:dyDescent="0.25">
      <c r="A748" s="2" t="s">
        <v>406</v>
      </c>
      <c r="B748" s="2" t="s">
        <v>2357</v>
      </c>
    </row>
    <row r="749" spans="1:2" ht="15.75" customHeight="1" x14ac:dyDescent="0.25">
      <c r="A749" s="2" t="s">
        <v>906</v>
      </c>
      <c r="B749" s="2" t="s">
        <v>2357</v>
      </c>
    </row>
    <row r="750" spans="1:2" ht="15.75" customHeight="1" x14ac:dyDescent="0.25">
      <c r="A750" s="2" t="s">
        <v>1044</v>
      </c>
      <c r="B750" s="2" t="s">
        <v>2356</v>
      </c>
    </row>
    <row r="751" spans="1:2" ht="15.75" customHeight="1" x14ac:dyDescent="0.25">
      <c r="A751" s="2" t="s">
        <v>1426</v>
      </c>
      <c r="B751" s="2" t="s">
        <v>2357</v>
      </c>
    </row>
    <row r="752" spans="1:2" ht="15.75" customHeight="1" x14ac:dyDescent="0.25">
      <c r="A752" s="2" t="s">
        <v>1583</v>
      </c>
      <c r="B752" s="2" t="s">
        <v>2357</v>
      </c>
    </row>
    <row r="753" spans="1:2" ht="15.75" customHeight="1" x14ac:dyDescent="0.25">
      <c r="A753" s="2" t="s">
        <v>1725</v>
      </c>
      <c r="B753" s="2" t="s">
        <v>2356</v>
      </c>
    </row>
    <row r="754" spans="1:2" ht="15.75" customHeight="1" x14ac:dyDescent="0.25">
      <c r="A754" s="2" t="s">
        <v>529</v>
      </c>
      <c r="B754" s="2" t="s">
        <v>2357</v>
      </c>
    </row>
    <row r="755" spans="1:2" ht="15.75" customHeight="1" x14ac:dyDescent="0.25">
      <c r="A755" s="2" t="s">
        <v>348</v>
      </c>
      <c r="B755" s="2" t="s">
        <v>2357</v>
      </c>
    </row>
    <row r="756" spans="1:2" ht="15.75" customHeight="1" x14ac:dyDescent="0.25">
      <c r="A756" s="2" t="s">
        <v>2351</v>
      </c>
      <c r="B756" s="2" t="s">
        <v>2360</v>
      </c>
    </row>
    <row r="757" spans="1:2" ht="15.75" customHeight="1" x14ac:dyDescent="0.25">
      <c r="A757" s="2" t="s">
        <v>2144</v>
      </c>
      <c r="B757" s="2" t="s">
        <v>2358</v>
      </c>
    </row>
    <row r="758" spans="1:2" ht="15.75" customHeight="1" x14ac:dyDescent="0.25">
      <c r="A758" s="2" t="s">
        <v>2174</v>
      </c>
      <c r="B758" s="2" t="s">
        <v>2358</v>
      </c>
    </row>
    <row r="759" spans="1:2" ht="15.75" customHeight="1" x14ac:dyDescent="0.25">
      <c r="A759" s="2" t="s">
        <v>1780</v>
      </c>
      <c r="B759" s="2" t="s">
        <v>2357</v>
      </c>
    </row>
    <row r="760" spans="1:2" ht="15.75" customHeight="1" x14ac:dyDescent="0.25">
      <c r="A760" s="2" t="s">
        <v>1365</v>
      </c>
      <c r="B760" s="2" t="s">
        <v>2357</v>
      </c>
    </row>
    <row r="761" spans="1:2" ht="15.75" customHeight="1" x14ac:dyDescent="0.25">
      <c r="A761" s="2" t="s">
        <v>2302</v>
      </c>
      <c r="B761" s="2" t="s">
        <v>2357</v>
      </c>
    </row>
    <row r="762" spans="1:2" ht="15.75" customHeight="1" x14ac:dyDescent="0.25">
      <c r="A762" s="2" t="s">
        <v>675</v>
      </c>
      <c r="B762" s="2" t="s">
        <v>2356</v>
      </c>
    </row>
    <row r="763" spans="1:2" ht="15.75" customHeight="1" x14ac:dyDescent="0.25">
      <c r="A763" s="2" t="s">
        <v>790</v>
      </c>
      <c r="B763" s="2" t="s">
        <v>2357</v>
      </c>
    </row>
    <row r="764" spans="1:2" ht="15.75" customHeight="1" x14ac:dyDescent="0.25">
      <c r="A764" s="2" t="s">
        <v>1030</v>
      </c>
      <c r="B764" s="2" t="s">
        <v>2357</v>
      </c>
    </row>
    <row r="765" spans="1:2" ht="15.75" customHeight="1" x14ac:dyDescent="0.25">
      <c r="A765" s="2" t="s">
        <v>1581</v>
      </c>
      <c r="B765" s="2" t="s">
        <v>2359</v>
      </c>
    </row>
    <row r="766" spans="1:2" ht="15.75" customHeight="1" x14ac:dyDescent="0.25">
      <c r="A766" s="2" t="s">
        <v>2055</v>
      </c>
      <c r="B766" s="2" t="s">
        <v>2356</v>
      </c>
    </row>
    <row r="767" spans="1:2" ht="15.75" customHeight="1" x14ac:dyDescent="0.25">
      <c r="A767" s="2" t="s">
        <v>1763</v>
      </c>
      <c r="B767" s="2" t="s">
        <v>2356</v>
      </c>
    </row>
    <row r="768" spans="1:2" ht="15.75" customHeight="1" x14ac:dyDescent="0.25">
      <c r="A768" s="2" t="s">
        <v>2091</v>
      </c>
      <c r="B768" s="2" t="s">
        <v>2356</v>
      </c>
    </row>
    <row r="769" spans="1:2" ht="15.75" customHeight="1" x14ac:dyDescent="0.25">
      <c r="A769" s="2" t="s">
        <v>1816</v>
      </c>
      <c r="B769" s="2" t="s">
        <v>2357</v>
      </c>
    </row>
    <row r="770" spans="1:2" ht="15.75" customHeight="1" x14ac:dyDescent="0.25">
      <c r="A770" s="2" t="s">
        <v>1873</v>
      </c>
      <c r="B770" s="2" t="s">
        <v>2357</v>
      </c>
    </row>
    <row r="771" spans="1:2" ht="15.75" customHeight="1" x14ac:dyDescent="0.25">
      <c r="A771" s="2" t="s">
        <v>1904</v>
      </c>
      <c r="B771" s="2" t="s">
        <v>2357</v>
      </c>
    </row>
    <row r="772" spans="1:2" ht="15.75" customHeight="1" x14ac:dyDescent="0.25">
      <c r="A772" s="2" t="s">
        <v>1497</v>
      </c>
      <c r="B772" s="2" t="s">
        <v>2359</v>
      </c>
    </row>
    <row r="773" spans="1:2" ht="15.75" customHeight="1" x14ac:dyDescent="0.25">
      <c r="A773" s="2" t="s">
        <v>1471</v>
      </c>
      <c r="B773" s="2" t="s">
        <v>2357</v>
      </c>
    </row>
    <row r="774" spans="1:2" ht="15.75" customHeight="1" x14ac:dyDescent="0.25">
      <c r="A774" s="2" t="s">
        <v>1093</v>
      </c>
      <c r="B774" s="2" t="s">
        <v>2357</v>
      </c>
    </row>
    <row r="775" spans="1:2" ht="15.75" customHeight="1" x14ac:dyDescent="0.25">
      <c r="A775" s="2" t="s">
        <v>1711</v>
      </c>
      <c r="B775" s="2" t="s">
        <v>2357</v>
      </c>
    </row>
    <row r="776" spans="1:2" ht="15.75" customHeight="1" x14ac:dyDescent="0.25">
      <c r="A776" s="2" t="s">
        <v>1191</v>
      </c>
      <c r="B776" s="2" t="s">
        <v>2359</v>
      </c>
    </row>
    <row r="777" spans="1:2" ht="15.75" customHeight="1" x14ac:dyDescent="0.25">
      <c r="A777" s="2" t="s">
        <v>2058</v>
      </c>
      <c r="B777" s="2" t="s">
        <v>2359</v>
      </c>
    </row>
    <row r="778" spans="1:2" ht="15.75" customHeight="1" x14ac:dyDescent="0.25">
      <c r="A778" s="2" t="s">
        <v>1304</v>
      </c>
      <c r="B778" s="2" t="s">
        <v>2357</v>
      </c>
    </row>
    <row r="779" spans="1:2" ht="15.75" customHeight="1" x14ac:dyDescent="0.25">
      <c r="A779" s="2" t="s">
        <v>1696</v>
      </c>
      <c r="B779" s="2" t="s">
        <v>2357</v>
      </c>
    </row>
    <row r="780" spans="1:2" ht="15.75" customHeight="1" x14ac:dyDescent="0.25">
      <c r="A780" s="2" t="s">
        <v>771</v>
      </c>
      <c r="B780" s="2" t="s">
        <v>2357</v>
      </c>
    </row>
    <row r="781" spans="1:2" ht="15.75" customHeight="1" x14ac:dyDescent="0.25">
      <c r="A781" s="2" t="s">
        <v>687</v>
      </c>
      <c r="B781" s="2" t="s">
        <v>2357</v>
      </c>
    </row>
    <row r="782" spans="1:2" ht="15.75" customHeight="1" x14ac:dyDescent="0.25">
      <c r="A782" s="2" t="s">
        <v>569</v>
      </c>
      <c r="B782" s="2" t="s">
        <v>2357</v>
      </c>
    </row>
    <row r="783" spans="1:2" ht="15.75" customHeight="1" x14ac:dyDescent="0.25">
      <c r="A783" s="2" t="s">
        <v>442</v>
      </c>
      <c r="B783" s="2" t="s">
        <v>2357</v>
      </c>
    </row>
    <row r="784" spans="1:2" ht="15.75" customHeight="1" x14ac:dyDescent="0.25">
      <c r="A784" s="2" t="s">
        <v>2283</v>
      </c>
      <c r="B784" s="2" t="s">
        <v>2358</v>
      </c>
    </row>
    <row r="785" spans="1:2" ht="15.75" customHeight="1" x14ac:dyDescent="0.25">
      <c r="A785" s="2" t="s">
        <v>1384</v>
      </c>
      <c r="B785" s="2" t="s">
        <v>2359</v>
      </c>
    </row>
    <row r="786" spans="1:2" ht="15.75" customHeight="1" x14ac:dyDescent="0.25">
      <c r="A786" s="2" t="s">
        <v>899</v>
      </c>
      <c r="B786" s="2" t="s">
        <v>2356</v>
      </c>
    </row>
    <row r="787" spans="1:2" ht="15.75" customHeight="1" x14ac:dyDescent="0.25">
      <c r="A787" s="2" t="s">
        <v>2021</v>
      </c>
      <c r="B787" s="2" t="s">
        <v>2359</v>
      </c>
    </row>
    <row r="788" spans="1:2" ht="15.75" customHeight="1" x14ac:dyDescent="0.25">
      <c r="A788" s="2" t="s">
        <v>1461</v>
      </c>
      <c r="B788" s="2" t="s">
        <v>2356</v>
      </c>
    </row>
    <row r="789" spans="1:2" ht="15.75" customHeight="1" x14ac:dyDescent="0.25">
      <c r="A789" s="2" t="s">
        <v>1310</v>
      </c>
      <c r="B789" s="2" t="s">
        <v>2357</v>
      </c>
    </row>
    <row r="790" spans="1:2" ht="15.75" customHeight="1" x14ac:dyDescent="0.25">
      <c r="A790" s="2" t="s">
        <v>702</v>
      </c>
      <c r="B790" s="2" t="s">
        <v>2357</v>
      </c>
    </row>
    <row r="791" spans="1:2" ht="15.75" customHeight="1" x14ac:dyDescent="0.25">
      <c r="A791" s="2" t="s">
        <v>1338</v>
      </c>
      <c r="B791" s="2" t="s">
        <v>2357</v>
      </c>
    </row>
    <row r="792" spans="1:2" ht="15.75" customHeight="1" x14ac:dyDescent="0.25">
      <c r="A792" s="2" t="s">
        <v>2286</v>
      </c>
      <c r="B792" s="2" t="s">
        <v>2357</v>
      </c>
    </row>
    <row r="793" spans="1:2" ht="15.75" customHeight="1" x14ac:dyDescent="0.25">
      <c r="A793" s="2" t="s">
        <v>2062</v>
      </c>
      <c r="B793" s="2" t="s">
        <v>2357</v>
      </c>
    </row>
    <row r="794" spans="1:2" ht="15.75" customHeight="1" x14ac:dyDescent="0.25">
      <c r="A794" s="2" t="s">
        <v>1242</v>
      </c>
      <c r="B794" s="2" t="s">
        <v>2357</v>
      </c>
    </row>
    <row r="795" spans="1:2" ht="15.75" customHeight="1" x14ac:dyDescent="0.25">
      <c r="A795" s="2" t="s">
        <v>543</v>
      </c>
      <c r="B795" s="2" t="s">
        <v>2357</v>
      </c>
    </row>
    <row r="796" spans="1:2" ht="15.75" customHeight="1" x14ac:dyDescent="0.25">
      <c r="A796" s="2" t="s">
        <v>538</v>
      </c>
      <c r="B796" s="2" t="s">
        <v>2357</v>
      </c>
    </row>
    <row r="797" spans="1:2" ht="15.75" customHeight="1" x14ac:dyDescent="0.25">
      <c r="A797" s="2" t="s">
        <v>456</v>
      </c>
      <c r="B797" s="2" t="s">
        <v>2357</v>
      </c>
    </row>
    <row r="798" spans="1:2" ht="15.75" customHeight="1" x14ac:dyDescent="0.25">
      <c r="A798" s="2" t="s">
        <v>1635</v>
      </c>
      <c r="B798" s="2" t="s">
        <v>2356</v>
      </c>
    </row>
    <row r="799" spans="1:2" ht="15.75" customHeight="1" x14ac:dyDescent="0.25">
      <c r="A799" s="2" t="s">
        <v>1291</v>
      </c>
      <c r="B799" s="2" t="s">
        <v>2357</v>
      </c>
    </row>
    <row r="800" spans="1:2" ht="15.75" customHeight="1" x14ac:dyDescent="0.25">
      <c r="A800" s="2" t="s">
        <v>1305</v>
      </c>
      <c r="B800" s="2" t="s">
        <v>2357</v>
      </c>
    </row>
    <row r="801" spans="1:2" ht="15.75" customHeight="1" x14ac:dyDescent="0.25">
      <c r="A801" s="2" t="s">
        <v>274</v>
      </c>
      <c r="B801" s="2" t="s">
        <v>2356</v>
      </c>
    </row>
    <row r="802" spans="1:2" ht="15.75" customHeight="1" x14ac:dyDescent="0.25">
      <c r="A802" s="2" t="s">
        <v>428</v>
      </c>
      <c r="B802" s="2" t="s">
        <v>2356</v>
      </c>
    </row>
    <row r="803" spans="1:2" ht="15.75" customHeight="1" x14ac:dyDescent="0.25">
      <c r="A803" s="2" t="s">
        <v>1659</v>
      </c>
      <c r="B803" s="2" t="s">
        <v>2357</v>
      </c>
    </row>
    <row r="804" spans="1:2" ht="15.75" customHeight="1" x14ac:dyDescent="0.25">
      <c r="A804" s="2" t="s">
        <v>1102</v>
      </c>
      <c r="B804" s="2" t="s">
        <v>2357</v>
      </c>
    </row>
    <row r="805" spans="1:2" ht="15.75" customHeight="1" x14ac:dyDescent="0.25">
      <c r="A805" s="2" t="s">
        <v>1691</v>
      </c>
      <c r="B805" s="2" t="s">
        <v>2357</v>
      </c>
    </row>
    <row r="806" spans="1:2" ht="15.75" customHeight="1" x14ac:dyDescent="0.25">
      <c r="A806" s="2" t="s">
        <v>1364</v>
      </c>
      <c r="B806" s="2" t="s">
        <v>2356</v>
      </c>
    </row>
    <row r="807" spans="1:2" ht="15.75" customHeight="1" x14ac:dyDescent="0.25">
      <c r="A807" s="2" t="s">
        <v>1437</v>
      </c>
      <c r="B807" s="2" t="s">
        <v>2357</v>
      </c>
    </row>
    <row r="808" spans="1:2" ht="15.75" customHeight="1" x14ac:dyDescent="0.25">
      <c r="A808" s="2" t="s">
        <v>378</v>
      </c>
      <c r="B808" s="2" t="s">
        <v>2357</v>
      </c>
    </row>
    <row r="809" spans="1:2" ht="15.75" customHeight="1" x14ac:dyDescent="0.25">
      <c r="A809" s="2" t="s">
        <v>795</v>
      </c>
      <c r="B809" s="2" t="s">
        <v>2357</v>
      </c>
    </row>
    <row r="810" spans="1:2" ht="15.75" customHeight="1" x14ac:dyDescent="0.25">
      <c r="A810" s="2" t="s">
        <v>928</v>
      </c>
      <c r="B810" s="2" t="s">
        <v>2357</v>
      </c>
    </row>
    <row r="811" spans="1:2" ht="15.75" customHeight="1" x14ac:dyDescent="0.25">
      <c r="A811" s="2" t="s">
        <v>2310</v>
      </c>
      <c r="B811" s="2" t="s">
        <v>2357</v>
      </c>
    </row>
    <row r="812" spans="1:2" ht="15.75" customHeight="1" x14ac:dyDescent="0.25">
      <c r="A812" s="2" t="s">
        <v>127</v>
      </c>
      <c r="B812" s="2" t="s">
        <v>2357</v>
      </c>
    </row>
    <row r="813" spans="1:2" ht="15.75" customHeight="1" x14ac:dyDescent="0.25">
      <c r="A813" s="2" t="s">
        <v>1021</v>
      </c>
      <c r="B813" s="2" t="s">
        <v>2357</v>
      </c>
    </row>
    <row r="814" spans="1:2" ht="15.75" customHeight="1" x14ac:dyDescent="0.25">
      <c r="A814" s="2" t="s">
        <v>1422</v>
      </c>
      <c r="B814" s="2" t="s">
        <v>2357</v>
      </c>
    </row>
    <row r="815" spans="1:2" ht="15.75" customHeight="1" x14ac:dyDescent="0.25">
      <c r="A815" s="2" t="s">
        <v>2295</v>
      </c>
      <c r="B815" s="2" t="s">
        <v>2357</v>
      </c>
    </row>
    <row r="816" spans="1:2" ht="15.75" customHeight="1" x14ac:dyDescent="0.25">
      <c r="A816" s="2" t="s">
        <v>2237</v>
      </c>
      <c r="B816" s="2" t="s">
        <v>2360</v>
      </c>
    </row>
    <row r="817" spans="1:2" ht="15.75" customHeight="1" x14ac:dyDescent="0.25">
      <c r="A817" s="2" t="s">
        <v>505</v>
      </c>
      <c r="B817" s="2" t="s">
        <v>2357</v>
      </c>
    </row>
    <row r="818" spans="1:2" ht="15.75" customHeight="1" x14ac:dyDescent="0.25">
      <c r="A818" s="2" t="s">
        <v>1580</v>
      </c>
      <c r="B818" s="2" t="s">
        <v>2357</v>
      </c>
    </row>
    <row r="819" spans="1:2" ht="15.75" customHeight="1" x14ac:dyDescent="0.25">
      <c r="A819" s="2" t="s">
        <v>1876</v>
      </c>
      <c r="B819" s="2" t="s">
        <v>2357</v>
      </c>
    </row>
    <row r="820" spans="1:2" ht="15.75" customHeight="1" x14ac:dyDescent="0.25">
      <c r="A820" s="2" t="s">
        <v>1777</v>
      </c>
      <c r="B820" s="2" t="s">
        <v>2356</v>
      </c>
    </row>
    <row r="821" spans="1:2" ht="15.75" customHeight="1" x14ac:dyDescent="0.25">
      <c r="A821" s="2" t="s">
        <v>2257</v>
      </c>
      <c r="B821" s="2" t="s">
        <v>2357</v>
      </c>
    </row>
    <row r="822" spans="1:2" ht="15.75" customHeight="1" x14ac:dyDescent="0.25">
      <c r="A822" s="2" t="s">
        <v>524</v>
      </c>
      <c r="B822" s="2" t="s">
        <v>2357</v>
      </c>
    </row>
    <row r="823" spans="1:2" ht="15.75" customHeight="1" x14ac:dyDescent="0.25">
      <c r="A823" s="2" t="s">
        <v>2208</v>
      </c>
      <c r="B823" s="2" t="s">
        <v>2358</v>
      </c>
    </row>
    <row r="824" spans="1:2" ht="15.75" customHeight="1" x14ac:dyDescent="0.25">
      <c r="A824" s="2" t="s">
        <v>873</v>
      </c>
      <c r="B824" s="2" t="s">
        <v>2357</v>
      </c>
    </row>
    <row r="825" spans="1:2" ht="15.75" customHeight="1" x14ac:dyDescent="0.25">
      <c r="A825" s="2" t="s">
        <v>893</v>
      </c>
      <c r="B825" s="2" t="s">
        <v>2357</v>
      </c>
    </row>
    <row r="826" spans="1:2" ht="15.75" customHeight="1" x14ac:dyDescent="0.25">
      <c r="A826" s="2" t="s">
        <v>1852</v>
      </c>
      <c r="B826" s="2" t="s">
        <v>2357</v>
      </c>
    </row>
    <row r="827" spans="1:2" ht="15.75" customHeight="1" x14ac:dyDescent="0.25">
      <c r="A827" s="2" t="s">
        <v>1149</v>
      </c>
      <c r="B827" s="2" t="s">
        <v>2357</v>
      </c>
    </row>
    <row r="828" spans="1:2" ht="15.75" customHeight="1" x14ac:dyDescent="0.25">
      <c r="A828" s="2" t="s">
        <v>567</v>
      </c>
      <c r="B828" s="2" t="s">
        <v>2357</v>
      </c>
    </row>
    <row r="829" spans="1:2" ht="15.75" customHeight="1" x14ac:dyDescent="0.25">
      <c r="A829" s="2" t="s">
        <v>242</v>
      </c>
      <c r="B829" s="2" t="s">
        <v>2357</v>
      </c>
    </row>
    <row r="830" spans="1:2" ht="15.75" customHeight="1" x14ac:dyDescent="0.25">
      <c r="A830" s="2" t="s">
        <v>1825</v>
      </c>
      <c r="B830" s="2" t="s">
        <v>2356</v>
      </c>
    </row>
    <row r="831" spans="1:2" ht="15.75" customHeight="1" x14ac:dyDescent="0.25">
      <c r="A831" s="2" t="s">
        <v>1007</v>
      </c>
      <c r="B831" s="2" t="s">
        <v>2357</v>
      </c>
    </row>
    <row r="832" spans="1:2" ht="15.75" customHeight="1" x14ac:dyDescent="0.25">
      <c r="A832" s="2" t="s">
        <v>1526</v>
      </c>
      <c r="B832" s="2" t="s">
        <v>2359</v>
      </c>
    </row>
    <row r="833" spans="1:2" ht="15.75" customHeight="1" x14ac:dyDescent="0.25">
      <c r="A833" s="2" t="s">
        <v>636</v>
      </c>
      <c r="B833" s="2" t="s">
        <v>2356</v>
      </c>
    </row>
    <row r="834" spans="1:2" ht="15.75" customHeight="1" x14ac:dyDescent="0.25">
      <c r="A834" s="2" t="s">
        <v>2152</v>
      </c>
      <c r="B834" s="2" t="s">
        <v>2360</v>
      </c>
    </row>
    <row r="835" spans="1:2" ht="15.75" customHeight="1" x14ac:dyDescent="0.25">
      <c r="A835" s="2" t="s">
        <v>1491</v>
      </c>
      <c r="B835" s="2" t="s">
        <v>2357</v>
      </c>
    </row>
    <row r="836" spans="1:2" ht="15.75" customHeight="1" x14ac:dyDescent="0.25">
      <c r="A836" s="2" t="s">
        <v>476</v>
      </c>
      <c r="B836" s="2" t="s">
        <v>2356</v>
      </c>
    </row>
    <row r="837" spans="1:2" ht="15.75" customHeight="1" x14ac:dyDescent="0.25">
      <c r="A837" s="2" t="s">
        <v>501</v>
      </c>
      <c r="B837" s="2" t="s">
        <v>2357</v>
      </c>
    </row>
    <row r="838" spans="1:2" ht="15.75" customHeight="1" x14ac:dyDescent="0.25">
      <c r="A838" s="2" t="s">
        <v>1202</v>
      </c>
      <c r="B838" s="2" t="s">
        <v>2356</v>
      </c>
    </row>
    <row r="839" spans="1:2" ht="15.75" customHeight="1" x14ac:dyDescent="0.25">
      <c r="A839" s="2" t="s">
        <v>1455</v>
      </c>
      <c r="B839" s="2" t="s">
        <v>2357</v>
      </c>
    </row>
    <row r="840" spans="1:2" ht="15.75" customHeight="1" x14ac:dyDescent="0.25">
      <c r="A840" s="2" t="s">
        <v>2142</v>
      </c>
      <c r="B840" s="2" t="s">
        <v>2358</v>
      </c>
    </row>
    <row r="841" spans="1:2" ht="15.75" customHeight="1" x14ac:dyDescent="0.25">
      <c r="A841" s="2" t="s">
        <v>1541</v>
      </c>
      <c r="B841" s="2" t="s">
        <v>2356</v>
      </c>
    </row>
    <row r="842" spans="1:2" ht="15.75" customHeight="1" x14ac:dyDescent="0.25">
      <c r="A842" s="2" t="s">
        <v>1465</v>
      </c>
      <c r="B842" s="2" t="s">
        <v>2357</v>
      </c>
    </row>
    <row r="843" spans="1:2" ht="15.75" customHeight="1" x14ac:dyDescent="0.25">
      <c r="A843" s="2" t="s">
        <v>2098</v>
      </c>
      <c r="B843" s="2" t="s">
        <v>2357</v>
      </c>
    </row>
    <row r="844" spans="1:2" ht="15.75" customHeight="1" x14ac:dyDescent="0.25">
      <c r="A844" s="2" t="s">
        <v>624</v>
      </c>
      <c r="B844" s="2" t="s">
        <v>2356</v>
      </c>
    </row>
    <row r="845" spans="1:2" ht="15.75" customHeight="1" x14ac:dyDescent="0.25">
      <c r="A845" s="2" t="s">
        <v>76</v>
      </c>
      <c r="B845" s="2" t="s">
        <v>2357</v>
      </c>
    </row>
    <row r="846" spans="1:2" ht="15.75" customHeight="1" x14ac:dyDescent="0.25">
      <c r="A846" s="2" t="s">
        <v>958</v>
      </c>
      <c r="B846" s="2" t="s">
        <v>2357</v>
      </c>
    </row>
    <row r="847" spans="1:2" ht="15.75" customHeight="1" x14ac:dyDescent="0.25">
      <c r="A847" s="2" t="s">
        <v>2277</v>
      </c>
      <c r="B847" s="2" t="s">
        <v>2360</v>
      </c>
    </row>
    <row r="848" spans="1:2" ht="15.75" customHeight="1" x14ac:dyDescent="0.25">
      <c r="A848" s="2" t="s">
        <v>1862</v>
      </c>
      <c r="B848" s="2" t="s">
        <v>2357</v>
      </c>
    </row>
    <row r="849" spans="1:2" ht="15.75" customHeight="1" x14ac:dyDescent="0.25">
      <c r="A849" s="2" t="s">
        <v>1644</v>
      </c>
      <c r="B849" s="2" t="s">
        <v>2357</v>
      </c>
    </row>
    <row r="850" spans="1:2" ht="15.75" customHeight="1" x14ac:dyDescent="0.25">
      <c r="A850" s="2" t="s">
        <v>1895</v>
      </c>
      <c r="B850" s="2" t="s">
        <v>2357</v>
      </c>
    </row>
    <row r="851" spans="1:2" ht="15.75" customHeight="1" x14ac:dyDescent="0.25">
      <c r="A851" s="2" t="s">
        <v>1196</v>
      </c>
      <c r="B851" s="2" t="s">
        <v>2356</v>
      </c>
    </row>
    <row r="852" spans="1:2" ht="15.75" customHeight="1" x14ac:dyDescent="0.25">
      <c r="A852" s="2" t="s">
        <v>941</v>
      </c>
      <c r="B852" s="2" t="s">
        <v>2357</v>
      </c>
    </row>
    <row r="853" spans="1:2" ht="15.75" customHeight="1" x14ac:dyDescent="0.25">
      <c r="A853" s="2" t="s">
        <v>1488</v>
      </c>
      <c r="B853" s="2" t="s">
        <v>2357</v>
      </c>
    </row>
    <row r="854" spans="1:2" ht="15.75" customHeight="1" x14ac:dyDescent="0.25">
      <c r="A854" s="2" t="s">
        <v>2311</v>
      </c>
      <c r="B854" s="2" t="s">
        <v>2358</v>
      </c>
    </row>
    <row r="855" spans="1:2" ht="15.75" customHeight="1" x14ac:dyDescent="0.25">
      <c r="A855" s="2" t="s">
        <v>1150</v>
      </c>
      <c r="B855" s="2" t="s">
        <v>2357</v>
      </c>
    </row>
    <row r="856" spans="1:2" ht="15.75" customHeight="1" x14ac:dyDescent="0.25">
      <c r="A856" s="2" t="s">
        <v>1528</v>
      </c>
      <c r="B856" s="2" t="s">
        <v>2357</v>
      </c>
    </row>
    <row r="857" spans="1:2" ht="15.75" customHeight="1" x14ac:dyDescent="0.25">
      <c r="A857" s="2" t="s">
        <v>1409</v>
      </c>
      <c r="B857" s="2" t="s">
        <v>2357</v>
      </c>
    </row>
    <row r="858" spans="1:2" ht="15.75" customHeight="1" x14ac:dyDescent="0.25">
      <c r="A858" s="2" t="s">
        <v>158</v>
      </c>
      <c r="B858" s="2" t="s">
        <v>2357</v>
      </c>
    </row>
    <row r="859" spans="1:2" ht="15.75" customHeight="1" x14ac:dyDescent="0.25">
      <c r="A859" s="2" t="s">
        <v>2048</v>
      </c>
      <c r="B859" s="2" t="s">
        <v>2357</v>
      </c>
    </row>
    <row r="860" spans="1:2" ht="15.75" customHeight="1" x14ac:dyDescent="0.25">
      <c r="A860" s="2" t="s">
        <v>478</v>
      </c>
      <c r="B860" s="2" t="s">
        <v>2357</v>
      </c>
    </row>
    <row r="861" spans="1:2" ht="15.75" customHeight="1" x14ac:dyDescent="0.25">
      <c r="A861" s="2" t="s">
        <v>2344</v>
      </c>
      <c r="B861" s="2" t="s">
        <v>2357</v>
      </c>
    </row>
    <row r="862" spans="1:2" ht="15.75" customHeight="1" x14ac:dyDescent="0.25">
      <c r="A862" s="2" t="s">
        <v>896</v>
      </c>
      <c r="B862" s="2" t="s">
        <v>2357</v>
      </c>
    </row>
    <row r="863" spans="1:2" ht="15.75" customHeight="1" x14ac:dyDescent="0.25">
      <c r="A863" s="2" t="s">
        <v>221</v>
      </c>
      <c r="B863" s="2" t="s">
        <v>2357</v>
      </c>
    </row>
    <row r="864" spans="1:2" ht="15.75" customHeight="1" x14ac:dyDescent="0.25">
      <c r="A864" s="2" t="s">
        <v>1604</v>
      </c>
      <c r="B864" s="2" t="s">
        <v>2357</v>
      </c>
    </row>
    <row r="865" spans="1:2" ht="15.75" customHeight="1" x14ac:dyDescent="0.25">
      <c r="A865" s="2" t="s">
        <v>1742</v>
      </c>
      <c r="B865" s="2" t="s">
        <v>2356</v>
      </c>
    </row>
    <row r="866" spans="1:2" ht="15.75" customHeight="1" x14ac:dyDescent="0.25">
      <c r="A866" s="2" t="s">
        <v>866</v>
      </c>
      <c r="B866" s="2" t="s">
        <v>2357</v>
      </c>
    </row>
    <row r="867" spans="1:2" ht="15.75" customHeight="1" x14ac:dyDescent="0.25">
      <c r="A867" s="2" t="s">
        <v>1325</v>
      </c>
      <c r="B867" s="2" t="s">
        <v>2357</v>
      </c>
    </row>
    <row r="868" spans="1:2" ht="15.75" customHeight="1" x14ac:dyDescent="0.25">
      <c r="A868" s="2" t="s">
        <v>2290</v>
      </c>
      <c r="B868" s="2" t="s">
        <v>2359</v>
      </c>
    </row>
    <row r="869" spans="1:2" ht="15.75" customHeight="1" x14ac:dyDescent="0.25">
      <c r="A869" s="2" t="s">
        <v>364</v>
      </c>
      <c r="B869" s="2" t="s">
        <v>2357</v>
      </c>
    </row>
    <row r="870" spans="1:2" ht="15.75" customHeight="1" x14ac:dyDescent="0.25">
      <c r="A870" s="2" t="s">
        <v>2300</v>
      </c>
      <c r="B870" s="2" t="s">
        <v>2357</v>
      </c>
    </row>
    <row r="871" spans="1:2" ht="15.75" customHeight="1" x14ac:dyDescent="0.25">
      <c r="A871" s="2" t="s">
        <v>597</v>
      </c>
      <c r="B871" s="2" t="s">
        <v>2357</v>
      </c>
    </row>
    <row r="872" spans="1:2" ht="15.75" customHeight="1" x14ac:dyDescent="0.25">
      <c r="A872" s="2" t="s">
        <v>791</v>
      </c>
      <c r="B872" s="2" t="s">
        <v>2357</v>
      </c>
    </row>
    <row r="873" spans="1:2" ht="15.75" customHeight="1" x14ac:dyDescent="0.25">
      <c r="A873" s="2" t="s">
        <v>1072</v>
      </c>
      <c r="B873" s="2" t="s">
        <v>2357</v>
      </c>
    </row>
    <row r="874" spans="1:2" ht="15.75" customHeight="1" x14ac:dyDescent="0.25">
      <c r="A874" s="2" t="s">
        <v>2256</v>
      </c>
      <c r="B874" s="2" t="s">
        <v>2360</v>
      </c>
    </row>
    <row r="875" spans="1:2" ht="15.75" customHeight="1" x14ac:dyDescent="0.25">
      <c r="A875" s="2" t="s">
        <v>294</v>
      </c>
      <c r="B875" s="2" t="s">
        <v>2356</v>
      </c>
    </row>
    <row r="876" spans="1:2" ht="15.75" customHeight="1" x14ac:dyDescent="0.25">
      <c r="A876" s="2" t="s">
        <v>575</v>
      </c>
      <c r="B876" s="2" t="s">
        <v>2357</v>
      </c>
    </row>
    <row r="877" spans="1:2" ht="15.75" customHeight="1" x14ac:dyDescent="0.25">
      <c r="A877" s="2" t="s">
        <v>755</v>
      </c>
      <c r="B877" s="2" t="s">
        <v>2357</v>
      </c>
    </row>
    <row r="878" spans="1:2" ht="15.75" customHeight="1" x14ac:dyDescent="0.25">
      <c r="A878" s="2" t="s">
        <v>1686</v>
      </c>
      <c r="B878" s="2" t="s">
        <v>2357</v>
      </c>
    </row>
    <row r="879" spans="1:2" ht="15.75" customHeight="1" x14ac:dyDescent="0.25">
      <c r="A879" s="2" t="s">
        <v>1900</v>
      </c>
      <c r="B879" s="2" t="s">
        <v>2357</v>
      </c>
    </row>
    <row r="880" spans="1:2" ht="15.75" customHeight="1" x14ac:dyDescent="0.25">
      <c r="A880" s="2" t="s">
        <v>679</v>
      </c>
      <c r="B880" s="2" t="s">
        <v>2357</v>
      </c>
    </row>
    <row r="881" spans="1:2" ht="15.75" customHeight="1" x14ac:dyDescent="0.25">
      <c r="A881" s="2" t="s">
        <v>2154</v>
      </c>
      <c r="B881" s="2" t="s">
        <v>2360</v>
      </c>
    </row>
    <row r="882" spans="1:2" ht="15.75" customHeight="1" x14ac:dyDescent="0.25">
      <c r="A882" s="2" t="s">
        <v>1630</v>
      </c>
      <c r="B882" s="2" t="s">
        <v>2357</v>
      </c>
    </row>
    <row r="883" spans="1:2" ht="15.75" customHeight="1" x14ac:dyDescent="0.25">
      <c r="A883" s="2" t="s">
        <v>878</v>
      </c>
      <c r="B883" s="2" t="s">
        <v>2357</v>
      </c>
    </row>
    <row r="884" spans="1:2" ht="15.75" customHeight="1" x14ac:dyDescent="0.25">
      <c r="A884" s="2" t="s">
        <v>1551</v>
      </c>
      <c r="B884" s="2" t="s">
        <v>2357</v>
      </c>
    </row>
    <row r="885" spans="1:2" ht="15.75" customHeight="1" x14ac:dyDescent="0.25">
      <c r="A885" s="2" t="s">
        <v>2061</v>
      </c>
      <c r="B885" s="2" t="s">
        <v>2357</v>
      </c>
    </row>
    <row r="886" spans="1:2" ht="15.75" customHeight="1" x14ac:dyDescent="0.25">
      <c r="A886" s="2" t="s">
        <v>264</v>
      </c>
      <c r="B886" s="2" t="s">
        <v>2357</v>
      </c>
    </row>
    <row r="887" spans="1:2" ht="15.75" customHeight="1" x14ac:dyDescent="0.25">
      <c r="A887" s="2" t="s">
        <v>1415</v>
      </c>
      <c r="B887" s="2" t="s">
        <v>2357</v>
      </c>
    </row>
    <row r="888" spans="1:2" ht="15.75" customHeight="1" x14ac:dyDescent="0.25">
      <c r="A888" s="2" t="s">
        <v>792</v>
      </c>
      <c r="B888" s="2" t="s">
        <v>2357</v>
      </c>
    </row>
    <row r="889" spans="1:2" ht="15.75" customHeight="1" x14ac:dyDescent="0.25">
      <c r="A889" s="2" t="s">
        <v>643</v>
      </c>
      <c r="B889" s="2" t="s">
        <v>2357</v>
      </c>
    </row>
    <row r="890" spans="1:2" ht="15.75" customHeight="1" x14ac:dyDescent="0.25">
      <c r="A890" s="2" t="s">
        <v>1251</v>
      </c>
      <c r="B890" s="2" t="s">
        <v>2357</v>
      </c>
    </row>
    <row r="891" spans="1:2" ht="15.75" customHeight="1" x14ac:dyDescent="0.25">
      <c r="A891" s="2" t="s">
        <v>1841</v>
      </c>
      <c r="B891" s="2" t="s">
        <v>2357</v>
      </c>
    </row>
    <row r="892" spans="1:2" ht="15.75" customHeight="1" x14ac:dyDescent="0.25">
      <c r="A892" s="2" t="s">
        <v>1519</v>
      </c>
      <c r="B892" s="2" t="s">
        <v>2357</v>
      </c>
    </row>
    <row r="893" spans="1:2" ht="15.75" customHeight="1" x14ac:dyDescent="0.25">
      <c r="A893" s="2" t="s">
        <v>1253</v>
      </c>
      <c r="B893" s="2" t="s">
        <v>2359</v>
      </c>
    </row>
    <row r="894" spans="1:2" ht="15.75" customHeight="1" x14ac:dyDescent="0.25">
      <c r="A894" s="2" t="s">
        <v>1352</v>
      </c>
      <c r="B894" s="2" t="s">
        <v>2357</v>
      </c>
    </row>
    <row r="895" spans="1:2" ht="15.75" customHeight="1" x14ac:dyDescent="0.25">
      <c r="A895" s="2" t="s">
        <v>1892</v>
      </c>
      <c r="B895" s="2" t="s">
        <v>2356</v>
      </c>
    </row>
    <row r="896" spans="1:2" ht="15.75" customHeight="1" x14ac:dyDescent="0.25">
      <c r="A896" s="2" t="s">
        <v>1194</v>
      </c>
      <c r="B896" s="2" t="s">
        <v>2356</v>
      </c>
    </row>
    <row r="897" spans="1:2" ht="15.75" customHeight="1" x14ac:dyDescent="0.25">
      <c r="A897" s="2" t="s">
        <v>1623</v>
      </c>
      <c r="B897" s="2" t="s">
        <v>2357</v>
      </c>
    </row>
    <row r="898" spans="1:2" ht="15.75" customHeight="1" x14ac:dyDescent="0.25">
      <c r="A898" s="2" t="s">
        <v>1590</v>
      </c>
      <c r="B898" s="2" t="s">
        <v>2357</v>
      </c>
    </row>
    <row r="899" spans="1:2" ht="15.75" customHeight="1" x14ac:dyDescent="0.25">
      <c r="A899" s="2" t="s">
        <v>2130</v>
      </c>
      <c r="B899" s="2" t="s">
        <v>2357</v>
      </c>
    </row>
    <row r="900" spans="1:2" ht="15.75" customHeight="1" x14ac:dyDescent="0.25">
      <c r="A900" s="2" t="s">
        <v>1631</v>
      </c>
      <c r="B900" s="2" t="s">
        <v>2357</v>
      </c>
    </row>
    <row r="901" spans="1:2" ht="15.75" customHeight="1" x14ac:dyDescent="0.25">
      <c r="A901" s="2" t="s">
        <v>1279</v>
      </c>
      <c r="B901" s="2" t="s">
        <v>2357</v>
      </c>
    </row>
    <row r="902" spans="1:2" ht="15.75" customHeight="1" x14ac:dyDescent="0.25">
      <c r="A902" s="2" t="s">
        <v>1567</v>
      </c>
      <c r="B902" s="2" t="s">
        <v>2357</v>
      </c>
    </row>
    <row r="903" spans="1:2" ht="15.75" customHeight="1" x14ac:dyDescent="0.25">
      <c r="A903" s="2" t="s">
        <v>2322</v>
      </c>
      <c r="B903" s="2" t="s">
        <v>2357</v>
      </c>
    </row>
    <row r="904" spans="1:2" ht="15.75" customHeight="1" x14ac:dyDescent="0.25">
      <c r="A904" s="2" t="s">
        <v>684</v>
      </c>
      <c r="B904" s="2" t="s">
        <v>2357</v>
      </c>
    </row>
    <row r="905" spans="1:2" ht="15.75" customHeight="1" x14ac:dyDescent="0.25">
      <c r="A905" s="2" t="s">
        <v>571</v>
      </c>
      <c r="B905" s="2" t="s">
        <v>2356</v>
      </c>
    </row>
    <row r="906" spans="1:2" ht="15.75" customHeight="1" x14ac:dyDescent="0.25">
      <c r="A906" s="2" t="s">
        <v>467</v>
      </c>
      <c r="B906" s="2" t="s">
        <v>2357</v>
      </c>
    </row>
    <row r="907" spans="1:2" ht="15.75" customHeight="1" x14ac:dyDescent="0.25">
      <c r="A907" s="2" t="s">
        <v>2291</v>
      </c>
      <c r="B907" s="2" t="s">
        <v>2357</v>
      </c>
    </row>
    <row r="908" spans="1:2" ht="15.75" customHeight="1" x14ac:dyDescent="0.25">
      <c r="A908" s="2" t="s">
        <v>1155</v>
      </c>
      <c r="B908" s="2" t="s">
        <v>2356</v>
      </c>
    </row>
    <row r="909" spans="1:2" ht="15.75" customHeight="1" x14ac:dyDescent="0.25">
      <c r="A909" s="2" t="s">
        <v>579</v>
      </c>
      <c r="B909" s="2" t="s">
        <v>2357</v>
      </c>
    </row>
    <row r="910" spans="1:2" ht="15.75" customHeight="1" x14ac:dyDescent="0.25">
      <c r="A910" s="2" t="s">
        <v>506</v>
      </c>
      <c r="B910" s="2" t="s">
        <v>2359</v>
      </c>
    </row>
    <row r="911" spans="1:2" ht="15.75" customHeight="1" x14ac:dyDescent="0.25">
      <c r="A911" s="2" t="s">
        <v>386</v>
      </c>
      <c r="B911" s="2" t="s">
        <v>2357</v>
      </c>
    </row>
    <row r="912" spans="1:2" ht="15.75" customHeight="1" x14ac:dyDescent="0.25">
      <c r="A912" s="2" t="s">
        <v>2216</v>
      </c>
      <c r="B912" s="2" t="s">
        <v>2357</v>
      </c>
    </row>
    <row r="913" spans="1:2" ht="15.75" customHeight="1" x14ac:dyDescent="0.25">
      <c r="A913" s="2" t="s">
        <v>2193</v>
      </c>
      <c r="B913" s="2" t="s">
        <v>2357</v>
      </c>
    </row>
    <row r="914" spans="1:2" ht="15.75" customHeight="1" x14ac:dyDescent="0.25">
      <c r="A914" s="2" t="s">
        <v>2114</v>
      </c>
      <c r="B914" s="2" t="s">
        <v>2357</v>
      </c>
    </row>
    <row r="915" spans="1:2" ht="15.75" customHeight="1" x14ac:dyDescent="0.25">
      <c r="A915" s="2" t="s">
        <v>2038</v>
      </c>
      <c r="B915" s="2" t="s">
        <v>2357</v>
      </c>
    </row>
    <row r="916" spans="1:2" ht="15.75" customHeight="1" x14ac:dyDescent="0.25">
      <c r="A916" s="2" t="s">
        <v>1376</v>
      </c>
      <c r="B916" s="2" t="s">
        <v>2356</v>
      </c>
    </row>
    <row r="917" spans="1:2" ht="15.75" customHeight="1" x14ac:dyDescent="0.25">
      <c r="A917" s="2" t="s">
        <v>894</v>
      </c>
      <c r="B917" s="2" t="s">
        <v>2356</v>
      </c>
    </row>
    <row r="918" spans="1:2" ht="15.75" customHeight="1" x14ac:dyDescent="0.25">
      <c r="A918" s="2" t="s">
        <v>1817</v>
      </c>
      <c r="B918" s="2" t="s">
        <v>2357</v>
      </c>
    </row>
    <row r="919" spans="1:2" ht="15.75" customHeight="1" x14ac:dyDescent="0.25">
      <c r="A919" s="2" t="s">
        <v>761</v>
      </c>
      <c r="B919" s="2" t="s">
        <v>2357</v>
      </c>
    </row>
    <row r="920" spans="1:2" ht="15.75" customHeight="1" x14ac:dyDescent="0.25">
      <c r="A920" s="2" t="s">
        <v>1176</v>
      </c>
      <c r="B920" s="2" t="s">
        <v>2356</v>
      </c>
    </row>
    <row r="921" spans="1:2" ht="15.75" customHeight="1" x14ac:dyDescent="0.25">
      <c r="A921" s="2" t="s">
        <v>2110</v>
      </c>
      <c r="B921" s="2" t="s">
        <v>2356</v>
      </c>
    </row>
    <row r="922" spans="1:2" ht="15.75" customHeight="1" x14ac:dyDescent="0.25">
      <c r="A922" s="2" t="s">
        <v>1502</v>
      </c>
      <c r="B922" s="2" t="s">
        <v>2357</v>
      </c>
    </row>
    <row r="923" spans="1:2" ht="15.75" customHeight="1" x14ac:dyDescent="0.25">
      <c r="A923" s="2" t="s">
        <v>805</v>
      </c>
      <c r="B923" s="2" t="s">
        <v>2357</v>
      </c>
    </row>
    <row r="924" spans="1:2" ht="15.75" customHeight="1" x14ac:dyDescent="0.25">
      <c r="A924" s="2" t="s">
        <v>1945</v>
      </c>
      <c r="B924" s="2" t="s">
        <v>2357</v>
      </c>
    </row>
    <row r="925" spans="1:2" ht="15.75" customHeight="1" x14ac:dyDescent="0.25">
      <c r="A925" s="2" t="s">
        <v>1679</v>
      </c>
      <c r="B925" s="2" t="s">
        <v>2357</v>
      </c>
    </row>
    <row r="926" spans="1:2" ht="15.75" customHeight="1" x14ac:dyDescent="0.25">
      <c r="A926" s="2" t="s">
        <v>1008</v>
      </c>
      <c r="B926" s="2" t="s">
        <v>2357</v>
      </c>
    </row>
    <row r="927" spans="1:2" ht="15.75" customHeight="1" x14ac:dyDescent="0.25">
      <c r="A927" s="2" t="s">
        <v>1233</v>
      </c>
      <c r="B927" s="2" t="s">
        <v>2357</v>
      </c>
    </row>
    <row r="928" spans="1:2" ht="15.75" customHeight="1" x14ac:dyDescent="0.25">
      <c r="A928" s="2" t="s">
        <v>347</v>
      </c>
      <c r="B928" s="2" t="s">
        <v>2357</v>
      </c>
    </row>
    <row r="929" spans="1:2" ht="15.75" customHeight="1" x14ac:dyDescent="0.25">
      <c r="A929" s="2" t="s">
        <v>260</v>
      </c>
      <c r="B929" s="2" t="s">
        <v>2357</v>
      </c>
    </row>
    <row r="930" spans="1:2" ht="15.75" customHeight="1" x14ac:dyDescent="0.25">
      <c r="A930" s="2" t="s">
        <v>1879</v>
      </c>
      <c r="B930" s="2" t="s">
        <v>2357</v>
      </c>
    </row>
    <row r="931" spans="1:2" ht="15.75" customHeight="1" x14ac:dyDescent="0.25">
      <c r="A931" s="2" t="s">
        <v>562</v>
      </c>
      <c r="B931" s="2" t="s">
        <v>2357</v>
      </c>
    </row>
    <row r="932" spans="1:2" ht="15.75" customHeight="1" x14ac:dyDescent="0.25">
      <c r="A932" s="2" t="s">
        <v>1026</v>
      </c>
      <c r="B932" s="2" t="s">
        <v>2357</v>
      </c>
    </row>
    <row r="933" spans="1:2" ht="15.75" customHeight="1" x14ac:dyDescent="0.25">
      <c r="A933" s="2" t="s">
        <v>752</v>
      </c>
      <c r="B933" s="2" t="s">
        <v>2357</v>
      </c>
    </row>
    <row r="934" spans="1:2" ht="15.75" customHeight="1" x14ac:dyDescent="0.25">
      <c r="A934" s="2" t="s">
        <v>117</v>
      </c>
      <c r="B934" s="2" t="s">
        <v>2357</v>
      </c>
    </row>
    <row r="935" spans="1:2" ht="15.75" customHeight="1" x14ac:dyDescent="0.25">
      <c r="A935" s="2" t="s">
        <v>1750</v>
      </c>
      <c r="B935" s="2" t="s">
        <v>2357</v>
      </c>
    </row>
    <row r="936" spans="1:2" ht="15.75" customHeight="1" x14ac:dyDescent="0.25">
      <c r="A936" s="2" t="s">
        <v>2253</v>
      </c>
      <c r="B936" s="2" t="s">
        <v>2360</v>
      </c>
    </row>
    <row r="937" spans="1:2" ht="15.75" customHeight="1" x14ac:dyDescent="0.25">
      <c r="A937" s="2" t="s">
        <v>806</v>
      </c>
      <c r="B937" s="2" t="s">
        <v>2357</v>
      </c>
    </row>
    <row r="938" spans="1:2" ht="15.75" customHeight="1" x14ac:dyDescent="0.25">
      <c r="A938" s="2" t="s">
        <v>2296</v>
      </c>
      <c r="B938" s="2" t="s">
        <v>2358</v>
      </c>
    </row>
    <row r="939" spans="1:2" ht="15.75" customHeight="1" x14ac:dyDescent="0.25">
      <c r="A939" s="2" t="s">
        <v>2105</v>
      </c>
      <c r="B939" s="2" t="s">
        <v>2357</v>
      </c>
    </row>
    <row r="940" spans="1:2" ht="15.75" customHeight="1" x14ac:dyDescent="0.25">
      <c r="A940" s="2" t="s">
        <v>541</v>
      </c>
      <c r="B940" s="2" t="s">
        <v>2357</v>
      </c>
    </row>
    <row r="941" spans="1:2" ht="15.75" customHeight="1" x14ac:dyDescent="0.25">
      <c r="A941" s="2" t="s">
        <v>770</v>
      </c>
      <c r="B941" s="2" t="s">
        <v>2357</v>
      </c>
    </row>
    <row r="942" spans="1:2" ht="15.75" customHeight="1" x14ac:dyDescent="0.25">
      <c r="A942" s="2" t="s">
        <v>1538</v>
      </c>
      <c r="B942" s="2" t="s">
        <v>2357</v>
      </c>
    </row>
    <row r="943" spans="1:2" ht="15.75" customHeight="1" x14ac:dyDescent="0.25">
      <c r="A943" s="2" t="s">
        <v>1578</v>
      </c>
      <c r="B943" s="2" t="s">
        <v>2357</v>
      </c>
    </row>
    <row r="944" spans="1:2" ht="15.75" customHeight="1" x14ac:dyDescent="0.25">
      <c r="A944" s="2" t="s">
        <v>841</v>
      </c>
      <c r="B944" s="2" t="s">
        <v>2356</v>
      </c>
    </row>
    <row r="945" spans="1:2" ht="15.75" customHeight="1" x14ac:dyDescent="0.25">
      <c r="A945" s="2" t="s">
        <v>1870</v>
      </c>
      <c r="B945" s="2" t="s">
        <v>2357</v>
      </c>
    </row>
    <row r="946" spans="1:2" ht="15.75" customHeight="1" x14ac:dyDescent="0.25">
      <c r="A946" s="2" t="s">
        <v>1563</v>
      </c>
      <c r="B946" s="2" t="s">
        <v>2357</v>
      </c>
    </row>
    <row r="947" spans="1:2" ht="15.75" customHeight="1" x14ac:dyDescent="0.25">
      <c r="A947" s="2" t="s">
        <v>78</v>
      </c>
      <c r="B947" s="2" t="s">
        <v>2357</v>
      </c>
    </row>
    <row r="948" spans="1:2" ht="15.75" customHeight="1" x14ac:dyDescent="0.25">
      <c r="A948" s="2" t="s">
        <v>1833</v>
      </c>
      <c r="B948" s="2" t="s">
        <v>2357</v>
      </c>
    </row>
    <row r="949" spans="1:2" ht="15.75" customHeight="1" x14ac:dyDescent="0.25">
      <c r="A949" s="2" t="s">
        <v>1051</v>
      </c>
      <c r="B949" s="2" t="s">
        <v>2357</v>
      </c>
    </row>
    <row r="950" spans="1:2" ht="15.75" customHeight="1" x14ac:dyDescent="0.25">
      <c r="A950" s="2" t="s">
        <v>1450</v>
      </c>
      <c r="B950" s="2" t="s">
        <v>2357</v>
      </c>
    </row>
    <row r="951" spans="1:2" ht="15.75" customHeight="1" x14ac:dyDescent="0.25">
      <c r="A951" s="2" t="s">
        <v>1800</v>
      </c>
      <c r="B951" s="2" t="s">
        <v>2357</v>
      </c>
    </row>
    <row r="952" spans="1:2" ht="15.75" customHeight="1" x14ac:dyDescent="0.25">
      <c r="A952" s="2" t="s">
        <v>947</v>
      </c>
      <c r="B952" s="2" t="s">
        <v>2357</v>
      </c>
    </row>
    <row r="953" spans="1:2" ht="15.75" customHeight="1" x14ac:dyDescent="0.25">
      <c r="A953" s="2" t="s">
        <v>487</v>
      </c>
      <c r="B953" s="2" t="s">
        <v>2357</v>
      </c>
    </row>
    <row r="954" spans="1:2" ht="15.75" customHeight="1" x14ac:dyDescent="0.25">
      <c r="A954" s="2" t="s">
        <v>2248</v>
      </c>
      <c r="B954" s="2" t="s">
        <v>2360</v>
      </c>
    </row>
    <row r="955" spans="1:2" ht="15.75" customHeight="1" x14ac:dyDescent="0.25">
      <c r="A955" s="2" t="s">
        <v>72</v>
      </c>
      <c r="B955" s="2" t="s">
        <v>2356</v>
      </c>
    </row>
    <row r="956" spans="1:2" ht="15.75" customHeight="1" x14ac:dyDescent="0.25">
      <c r="A956" s="2" t="s">
        <v>1391</v>
      </c>
      <c r="B956" s="2" t="s">
        <v>2357</v>
      </c>
    </row>
    <row r="957" spans="1:2" ht="15.75" customHeight="1" x14ac:dyDescent="0.25">
      <c r="A957" s="2" t="s">
        <v>322</v>
      </c>
      <c r="B957" s="2" t="s">
        <v>2357</v>
      </c>
    </row>
    <row r="958" spans="1:2" ht="15.75" customHeight="1" x14ac:dyDescent="0.25">
      <c r="A958" s="2" t="s">
        <v>1331</v>
      </c>
      <c r="B958" s="2" t="s">
        <v>2357</v>
      </c>
    </row>
    <row r="959" spans="1:2" ht="15.75" customHeight="1" x14ac:dyDescent="0.25">
      <c r="A959" s="2" t="s">
        <v>178</v>
      </c>
      <c r="B959" s="2" t="s">
        <v>2357</v>
      </c>
    </row>
    <row r="960" spans="1:2" ht="15.75" customHeight="1" x14ac:dyDescent="0.25">
      <c r="A960" s="2" t="s">
        <v>426</v>
      </c>
      <c r="B960" s="2" t="s">
        <v>2357</v>
      </c>
    </row>
    <row r="961" spans="1:2" ht="15.75" customHeight="1" x14ac:dyDescent="0.25">
      <c r="A961" s="2" t="s">
        <v>964</v>
      </c>
      <c r="B961" s="2" t="s">
        <v>2357</v>
      </c>
    </row>
    <row r="962" spans="1:2" ht="15.75" customHeight="1" x14ac:dyDescent="0.25">
      <c r="A962" s="2" t="s">
        <v>908</v>
      </c>
      <c r="B962" s="2" t="s">
        <v>2357</v>
      </c>
    </row>
    <row r="963" spans="1:2" ht="15.75" customHeight="1" x14ac:dyDescent="0.25">
      <c r="A963" s="2" t="s">
        <v>1931</v>
      </c>
      <c r="B963" s="2" t="s">
        <v>2359</v>
      </c>
    </row>
    <row r="964" spans="1:2" ht="15.75" customHeight="1" x14ac:dyDescent="0.25">
      <c r="A964" s="2" t="s">
        <v>2014</v>
      </c>
      <c r="B964" s="2" t="s">
        <v>2357</v>
      </c>
    </row>
    <row r="965" spans="1:2" ht="15.75" customHeight="1" x14ac:dyDescent="0.25">
      <c r="A965" s="2" t="s">
        <v>1308</v>
      </c>
      <c r="B965" s="2" t="s">
        <v>2357</v>
      </c>
    </row>
    <row r="966" spans="1:2" ht="15.75" customHeight="1" x14ac:dyDescent="0.25">
      <c r="A966" s="2" t="s">
        <v>1614</v>
      </c>
      <c r="B966" s="2" t="s">
        <v>2357</v>
      </c>
    </row>
    <row r="967" spans="1:2" ht="15.75" customHeight="1" x14ac:dyDescent="0.25">
      <c r="A967" s="2" t="s">
        <v>1214</v>
      </c>
      <c r="B967" s="2" t="s">
        <v>2357</v>
      </c>
    </row>
    <row r="968" spans="1:2" ht="15.75" customHeight="1" x14ac:dyDescent="0.25">
      <c r="A968" s="2" t="s">
        <v>546</v>
      </c>
      <c r="B968" s="2" t="s">
        <v>2357</v>
      </c>
    </row>
    <row r="969" spans="1:2" ht="15.75" customHeight="1" x14ac:dyDescent="0.25">
      <c r="A969" s="2" t="s">
        <v>1067</v>
      </c>
      <c r="B969" s="2" t="s">
        <v>2357</v>
      </c>
    </row>
    <row r="970" spans="1:2" ht="15.75" customHeight="1" x14ac:dyDescent="0.25">
      <c r="A970" s="2" t="s">
        <v>1524</v>
      </c>
      <c r="B970" s="2" t="s">
        <v>2357</v>
      </c>
    </row>
    <row r="971" spans="1:2" ht="15.75" customHeight="1" x14ac:dyDescent="0.25">
      <c r="A971" s="2" t="s">
        <v>1265</v>
      </c>
      <c r="B971" s="2" t="s">
        <v>2357</v>
      </c>
    </row>
    <row r="972" spans="1:2" ht="15.75" customHeight="1" x14ac:dyDescent="0.25">
      <c r="A972" s="2" t="s">
        <v>1490</v>
      </c>
      <c r="B972" s="2" t="s">
        <v>2357</v>
      </c>
    </row>
    <row r="973" spans="1:2" ht="15.75" customHeight="1" x14ac:dyDescent="0.25">
      <c r="A973" s="2" t="s">
        <v>512</v>
      </c>
      <c r="B973" s="2" t="s">
        <v>2357</v>
      </c>
    </row>
    <row r="974" spans="1:2" ht="15.75" customHeight="1" x14ac:dyDescent="0.25">
      <c r="A974" s="2" t="s">
        <v>1516</v>
      </c>
      <c r="B974" s="2" t="s">
        <v>2357</v>
      </c>
    </row>
    <row r="975" spans="1:2" ht="15.75" customHeight="1" x14ac:dyDescent="0.25">
      <c r="A975" s="2" t="s">
        <v>962</v>
      </c>
      <c r="B975" s="2" t="s">
        <v>2359</v>
      </c>
    </row>
    <row r="976" spans="1:2" ht="15.75" customHeight="1" x14ac:dyDescent="0.25">
      <c r="A976" s="2" t="s">
        <v>1174</v>
      </c>
      <c r="B976" s="2" t="s">
        <v>2359</v>
      </c>
    </row>
    <row r="977" spans="1:2" ht="15.75" customHeight="1" x14ac:dyDescent="0.25">
      <c r="A977" s="2" t="s">
        <v>1109</v>
      </c>
      <c r="B977" s="2" t="s">
        <v>2357</v>
      </c>
    </row>
    <row r="978" spans="1:2" ht="15.75" customHeight="1" x14ac:dyDescent="0.25">
      <c r="A978" s="2" t="s">
        <v>980</v>
      </c>
      <c r="B978" s="2" t="s">
        <v>2359</v>
      </c>
    </row>
    <row r="979" spans="1:2" ht="15.75" customHeight="1" x14ac:dyDescent="0.25">
      <c r="A979" s="2" t="s">
        <v>1971</v>
      </c>
      <c r="B979" s="2" t="s">
        <v>2357</v>
      </c>
    </row>
    <row r="980" spans="1:2" ht="15.75" customHeight="1" x14ac:dyDescent="0.25">
      <c r="A980" s="2" t="s">
        <v>1576</v>
      </c>
      <c r="B980" s="2" t="s">
        <v>2357</v>
      </c>
    </row>
    <row r="981" spans="1:2" ht="15.75" customHeight="1" x14ac:dyDescent="0.25">
      <c r="A981" s="2" t="s">
        <v>1002</v>
      </c>
      <c r="B981" s="2" t="s">
        <v>2357</v>
      </c>
    </row>
    <row r="982" spans="1:2" ht="15.75" customHeight="1" x14ac:dyDescent="0.25">
      <c r="A982" s="2" t="s">
        <v>2288</v>
      </c>
      <c r="B982" s="2" t="s">
        <v>2357</v>
      </c>
    </row>
    <row r="983" spans="1:2" ht="15.75" customHeight="1" x14ac:dyDescent="0.25">
      <c r="A983" s="2" t="s">
        <v>1266</v>
      </c>
      <c r="B983" s="2" t="s">
        <v>2357</v>
      </c>
    </row>
    <row r="984" spans="1:2" ht="15.75" customHeight="1" x14ac:dyDescent="0.25">
      <c r="A984" s="2" t="s">
        <v>1539</v>
      </c>
      <c r="B984" s="2" t="s">
        <v>2357</v>
      </c>
    </row>
    <row r="985" spans="1:2" ht="15.75" customHeight="1" x14ac:dyDescent="0.25">
      <c r="A985" s="2" t="s">
        <v>2137</v>
      </c>
      <c r="B985" s="2" t="s">
        <v>2360</v>
      </c>
    </row>
    <row r="986" spans="1:2" ht="15.75" customHeight="1" x14ac:dyDescent="0.25">
      <c r="A986" s="2" t="s">
        <v>1531</v>
      </c>
      <c r="B986" s="2" t="s">
        <v>2356</v>
      </c>
    </row>
    <row r="987" spans="1:2" ht="15.75" customHeight="1" x14ac:dyDescent="0.25">
      <c r="A987" s="2" t="s">
        <v>2031</v>
      </c>
      <c r="B987" s="2" t="s">
        <v>2359</v>
      </c>
    </row>
    <row r="988" spans="1:2" ht="15.75" customHeight="1" x14ac:dyDescent="0.25">
      <c r="A988" s="2" t="s">
        <v>411</v>
      </c>
      <c r="B988" s="2" t="s">
        <v>2357</v>
      </c>
    </row>
    <row r="989" spans="1:2" ht="15.75" customHeight="1" x14ac:dyDescent="0.25">
      <c r="A989" s="2" t="s">
        <v>1123</v>
      </c>
      <c r="B989" s="2" t="s">
        <v>2357</v>
      </c>
    </row>
    <row r="990" spans="1:2" ht="15.75" customHeight="1" x14ac:dyDescent="0.25">
      <c r="A990" s="2" t="s">
        <v>870</v>
      </c>
      <c r="B990" s="2" t="s">
        <v>2357</v>
      </c>
    </row>
    <row r="991" spans="1:2" ht="15.75" customHeight="1" x14ac:dyDescent="0.25">
      <c r="A991" s="2" t="s">
        <v>1652</v>
      </c>
      <c r="B991" s="2" t="s">
        <v>2357</v>
      </c>
    </row>
    <row r="992" spans="1:2" ht="15.75" customHeight="1" x14ac:dyDescent="0.25">
      <c r="A992" s="2" t="s">
        <v>793</v>
      </c>
      <c r="B992" s="2" t="s">
        <v>2357</v>
      </c>
    </row>
    <row r="993" spans="1:2" ht="15.75" customHeight="1" x14ac:dyDescent="0.25">
      <c r="A993" s="2" t="s">
        <v>1510</v>
      </c>
      <c r="B993" s="2" t="s">
        <v>2357</v>
      </c>
    </row>
    <row r="994" spans="1:2" ht="15.75" customHeight="1" x14ac:dyDescent="0.25">
      <c r="A994" s="2" t="s">
        <v>494</v>
      </c>
      <c r="B994" s="2" t="s">
        <v>2357</v>
      </c>
    </row>
    <row r="995" spans="1:2" ht="15.75" customHeight="1" x14ac:dyDescent="0.25">
      <c r="A995" s="2" t="s">
        <v>1339</v>
      </c>
      <c r="B995" s="2" t="s">
        <v>2357</v>
      </c>
    </row>
    <row r="996" spans="1:2" ht="15.75" customHeight="1" x14ac:dyDescent="0.25">
      <c r="A996" s="2" t="s">
        <v>414</v>
      </c>
      <c r="B996" s="2" t="s">
        <v>2356</v>
      </c>
    </row>
    <row r="997" spans="1:2" ht="15.75" customHeight="1" x14ac:dyDescent="0.25">
      <c r="A997" s="2" t="s">
        <v>889</v>
      </c>
      <c r="B997" s="2" t="s">
        <v>2357</v>
      </c>
    </row>
    <row r="998" spans="1:2" ht="15.75" customHeight="1" x14ac:dyDescent="0.25">
      <c r="A998" s="2" t="s">
        <v>1906</v>
      </c>
      <c r="B998" s="2" t="s">
        <v>2357</v>
      </c>
    </row>
    <row r="999" spans="1:2" ht="15.75" customHeight="1" x14ac:dyDescent="0.25">
      <c r="A999" s="2" t="s">
        <v>1671</v>
      </c>
      <c r="B999" s="2" t="s">
        <v>2357</v>
      </c>
    </row>
    <row r="1000" spans="1:2" ht="15.75" customHeight="1" x14ac:dyDescent="0.25">
      <c r="A1000" s="2" t="s">
        <v>1095</v>
      </c>
      <c r="B1000" s="2" t="s">
        <v>2357</v>
      </c>
    </row>
    <row r="1001" spans="1:2" ht="15.75" customHeight="1" x14ac:dyDescent="0.25">
      <c r="A1001" s="2" t="s">
        <v>1835</v>
      </c>
      <c r="B1001" s="2" t="s">
        <v>2357</v>
      </c>
    </row>
    <row r="1002" spans="1:2" ht="15.75" customHeight="1" x14ac:dyDescent="0.25">
      <c r="A1002" s="2" t="s">
        <v>855</v>
      </c>
      <c r="B1002" s="2" t="s">
        <v>2356</v>
      </c>
    </row>
    <row r="1003" spans="1:2" ht="15.75" customHeight="1" x14ac:dyDescent="0.25">
      <c r="A1003" s="2" t="s">
        <v>2331</v>
      </c>
      <c r="B1003" s="2" t="s">
        <v>2360</v>
      </c>
    </row>
    <row r="1004" spans="1:2" ht="15.75" customHeight="1" x14ac:dyDescent="0.25">
      <c r="A1004" s="2" t="s">
        <v>548</v>
      </c>
      <c r="B1004" s="2" t="s">
        <v>2359</v>
      </c>
    </row>
    <row r="1005" spans="1:2" ht="15.75" customHeight="1" x14ac:dyDescent="0.25">
      <c r="A1005" s="2" t="s">
        <v>1188</v>
      </c>
      <c r="B1005" s="2" t="s">
        <v>2357</v>
      </c>
    </row>
    <row r="1006" spans="1:2" ht="15.75" customHeight="1" x14ac:dyDescent="0.25">
      <c r="A1006" s="2" t="s">
        <v>1507</v>
      </c>
      <c r="B1006" s="2" t="s">
        <v>2357</v>
      </c>
    </row>
    <row r="1007" spans="1:2" ht="15.75" customHeight="1" x14ac:dyDescent="0.25">
      <c r="A1007" s="2" t="s">
        <v>777</v>
      </c>
      <c r="B1007" s="2" t="s">
        <v>2357</v>
      </c>
    </row>
    <row r="1008" spans="1:2" ht="15.75" customHeight="1" x14ac:dyDescent="0.25">
      <c r="A1008" s="2" t="s">
        <v>2030</v>
      </c>
      <c r="B1008" s="2" t="s">
        <v>2357</v>
      </c>
    </row>
    <row r="1009" spans="1:2" ht="15.75" customHeight="1" x14ac:dyDescent="0.25">
      <c r="A1009" s="2" t="s">
        <v>1065</v>
      </c>
      <c r="B1009" s="2" t="s">
        <v>2356</v>
      </c>
    </row>
    <row r="1010" spans="1:2" ht="15.75" customHeight="1" x14ac:dyDescent="0.25">
      <c r="A1010" s="2" t="s">
        <v>1407</v>
      </c>
      <c r="B1010" s="2" t="s">
        <v>2357</v>
      </c>
    </row>
    <row r="1011" spans="1:2" ht="15.75" customHeight="1" x14ac:dyDescent="0.25">
      <c r="A1011" s="2" t="s">
        <v>765</v>
      </c>
      <c r="B1011" s="2" t="s">
        <v>2359</v>
      </c>
    </row>
    <row r="1012" spans="1:2" ht="15.75" customHeight="1" x14ac:dyDescent="0.25">
      <c r="A1012" s="2" t="s">
        <v>2313</v>
      </c>
      <c r="B1012" s="2" t="s">
        <v>2360</v>
      </c>
    </row>
    <row r="1013" spans="1:2" ht="15.75" customHeight="1" x14ac:dyDescent="0.25">
      <c r="A1013" s="2" t="s">
        <v>1962</v>
      </c>
      <c r="B1013" s="2" t="s">
        <v>2357</v>
      </c>
    </row>
    <row r="1014" spans="1:2" ht="15.75" customHeight="1" x14ac:dyDescent="0.25">
      <c r="A1014" s="2" t="s">
        <v>1951</v>
      </c>
      <c r="B1014" s="2" t="s">
        <v>2357</v>
      </c>
    </row>
    <row r="1015" spans="1:2" ht="15.75" customHeight="1" x14ac:dyDescent="0.25">
      <c r="A1015" s="2" t="s">
        <v>332</v>
      </c>
      <c r="B1015" s="2" t="s">
        <v>2357</v>
      </c>
    </row>
    <row r="1016" spans="1:2" ht="15.75" customHeight="1" x14ac:dyDescent="0.25">
      <c r="A1016" s="2" t="s">
        <v>1521</v>
      </c>
      <c r="B1016" s="2" t="s">
        <v>2357</v>
      </c>
    </row>
    <row r="1017" spans="1:2" ht="15.75" customHeight="1" x14ac:dyDescent="0.25">
      <c r="A1017" s="2" t="s">
        <v>1400</v>
      </c>
      <c r="B1017" s="2" t="s">
        <v>2356</v>
      </c>
    </row>
    <row r="1018" spans="1:2" ht="15.75" customHeight="1" x14ac:dyDescent="0.25">
      <c r="A1018" s="2" t="s">
        <v>842</v>
      </c>
      <c r="B1018" s="2" t="s">
        <v>2357</v>
      </c>
    </row>
    <row r="1019" spans="1:2" ht="15.75" customHeight="1" x14ac:dyDescent="0.25">
      <c r="A1019" s="2" t="s">
        <v>1846</v>
      </c>
      <c r="B1019" s="2" t="s">
        <v>2356</v>
      </c>
    </row>
    <row r="1020" spans="1:2" ht="15.75" customHeight="1" x14ac:dyDescent="0.25">
      <c r="A1020" s="2" t="s">
        <v>1984</v>
      </c>
      <c r="B1020" s="2" t="s">
        <v>2357</v>
      </c>
    </row>
    <row r="1021" spans="1:2" ht="15.75" customHeight="1" x14ac:dyDescent="0.25">
      <c r="A1021" s="2" t="s">
        <v>1532</v>
      </c>
      <c r="B1021" s="2" t="s">
        <v>2357</v>
      </c>
    </row>
    <row r="1022" spans="1:2" ht="15.75" customHeight="1" x14ac:dyDescent="0.25">
      <c r="A1022" s="2" t="s">
        <v>1452</v>
      </c>
      <c r="B1022" s="2" t="s">
        <v>2357</v>
      </c>
    </row>
    <row r="1023" spans="1:2" ht="15.75" customHeight="1" x14ac:dyDescent="0.25">
      <c r="A1023" s="2" t="s">
        <v>960</v>
      </c>
      <c r="B1023" s="2" t="s">
        <v>2357</v>
      </c>
    </row>
    <row r="1024" spans="1:2" ht="15.75" customHeight="1" x14ac:dyDescent="0.25">
      <c r="A1024" s="2" t="s">
        <v>858</v>
      </c>
      <c r="B1024" s="2" t="s">
        <v>2357</v>
      </c>
    </row>
    <row r="1025" spans="1:2" ht="15.75" customHeight="1" x14ac:dyDescent="0.25">
      <c r="A1025" s="2" t="s">
        <v>1473</v>
      </c>
      <c r="B1025" s="2" t="s">
        <v>2357</v>
      </c>
    </row>
    <row r="1026" spans="1:2" ht="15.75" customHeight="1" x14ac:dyDescent="0.25">
      <c r="A1026" s="2" t="s">
        <v>1360</v>
      </c>
      <c r="B1026" s="2" t="s">
        <v>2357</v>
      </c>
    </row>
    <row r="1027" spans="1:2" ht="15.75" customHeight="1" x14ac:dyDescent="0.25">
      <c r="A1027" s="2" t="s">
        <v>1785</v>
      </c>
      <c r="B1027" s="2" t="s">
        <v>2357</v>
      </c>
    </row>
    <row r="1028" spans="1:2" ht="15.75" customHeight="1" x14ac:dyDescent="0.25">
      <c r="A1028" s="2" t="s">
        <v>1765</v>
      </c>
      <c r="B1028" s="2" t="s">
        <v>2357</v>
      </c>
    </row>
    <row r="1029" spans="1:2" ht="15.75" customHeight="1" x14ac:dyDescent="0.25">
      <c r="A1029" s="2" t="s">
        <v>1309</v>
      </c>
      <c r="B1029" s="2" t="s">
        <v>2357</v>
      </c>
    </row>
    <row r="1030" spans="1:2" ht="15.75" customHeight="1" x14ac:dyDescent="0.25">
      <c r="A1030" s="2" t="s">
        <v>905</v>
      </c>
      <c r="B1030" s="2" t="s">
        <v>2357</v>
      </c>
    </row>
    <row r="1031" spans="1:2" ht="15.75" customHeight="1" x14ac:dyDescent="0.25">
      <c r="A1031" s="2" t="s">
        <v>436</v>
      </c>
      <c r="B1031" s="2" t="s">
        <v>2357</v>
      </c>
    </row>
    <row r="1032" spans="1:2" ht="15.75" customHeight="1" x14ac:dyDescent="0.25">
      <c r="A1032" s="2" t="s">
        <v>1974</v>
      </c>
      <c r="B1032" s="2" t="s">
        <v>2357</v>
      </c>
    </row>
    <row r="1033" spans="1:2" ht="15.75" customHeight="1" x14ac:dyDescent="0.25">
      <c r="A1033" s="2" t="s">
        <v>2268</v>
      </c>
      <c r="B1033" s="2" t="s">
        <v>2357</v>
      </c>
    </row>
    <row r="1034" spans="1:2" ht="15.75" customHeight="1" x14ac:dyDescent="0.25">
      <c r="A1034" s="2" t="s">
        <v>1869</v>
      </c>
      <c r="B1034" s="2" t="s">
        <v>2357</v>
      </c>
    </row>
    <row r="1035" spans="1:2" ht="15.75" customHeight="1" x14ac:dyDescent="0.25">
      <c r="A1035" s="2" t="s">
        <v>868</v>
      </c>
      <c r="B1035" s="2" t="s">
        <v>2357</v>
      </c>
    </row>
    <row r="1036" spans="1:2" ht="15.75" customHeight="1" x14ac:dyDescent="0.25">
      <c r="A1036" s="2" t="s">
        <v>1961</v>
      </c>
      <c r="B1036" s="2" t="s">
        <v>2357</v>
      </c>
    </row>
    <row r="1037" spans="1:2" ht="15.75" customHeight="1" x14ac:dyDescent="0.25">
      <c r="A1037" s="2" t="s">
        <v>825</v>
      </c>
      <c r="B1037" s="2" t="s">
        <v>2356</v>
      </c>
    </row>
    <row r="1038" spans="1:2" ht="15.75" customHeight="1" x14ac:dyDescent="0.25">
      <c r="A1038" s="2" t="s">
        <v>2111</v>
      </c>
      <c r="B1038" s="2" t="s">
        <v>2357</v>
      </c>
    </row>
    <row r="1039" spans="1:2" ht="15.75" customHeight="1" x14ac:dyDescent="0.25">
      <c r="A1039" s="2" t="s">
        <v>1831</v>
      </c>
      <c r="B1039" s="2" t="s">
        <v>2356</v>
      </c>
    </row>
    <row r="1040" spans="1:2" ht="15.75" customHeight="1" x14ac:dyDescent="0.25">
      <c r="A1040" s="2" t="s">
        <v>1851</v>
      </c>
      <c r="B1040" s="2" t="s">
        <v>2357</v>
      </c>
    </row>
    <row r="1041" spans="1:2" ht="15.75" customHeight="1" x14ac:dyDescent="0.25">
      <c r="A1041" s="2" t="s">
        <v>1411</v>
      </c>
      <c r="B1041" s="2" t="s">
        <v>2357</v>
      </c>
    </row>
    <row r="1042" spans="1:2" ht="15.75" customHeight="1" x14ac:dyDescent="0.25">
      <c r="A1042" s="2" t="s">
        <v>1853</v>
      </c>
      <c r="B1042" s="2" t="s">
        <v>2357</v>
      </c>
    </row>
    <row r="1043" spans="1:2" ht="15.75" customHeight="1" x14ac:dyDescent="0.25">
      <c r="A1043" s="2" t="s">
        <v>206</v>
      </c>
      <c r="B1043" s="2" t="s">
        <v>2357</v>
      </c>
    </row>
    <row r="1044" spans="1:2" ht="15.75" customHeight="1" x14ac:dyDescent="0.25">
      <c r="A1044" s="2" t="s">
        <v>2211</v>
      </c>
      <c r="B1044" s="2" t="s">
        <v>2360</v>
      </c>
    </row>
    <row r="1045" spans="1:2" ht="15.75" customHeight="1" x14ac:dyDescent="0.25">
      <c r="A1045" s="2" t="s">
        <v>815</v>
      </c>
      <c r="B1045" s="2" t="s">
        <v>2357</v>
      </c>
    </row>
    <row r="1046" spans="1:2" ht="15.75" customHeight="1" x14ac:dyDescent="0.25">
      <c r="A1046" s="2" t="s">
        <v>843</v>
      </c>
      <c r="B1046" s="2" t="s">
        <v>2357</v>
      </c>
    </row>
    <row r="1047" spans="1:2" ht="15.75" customHeight="1" x14ac:dyDescent="0.25">
      <c r="A1047" s="2" t="s">
        <v>450</v>
      </c>
      <c r="B1047" s="2" t="s">
        <v>2357</v>
      </c>
    </row>
    <row r="1048" spans="1:2" ht="15.75" customHeight="1" x14ac:dyDescent="0.25">
      <c r="A1048" s="2" t="s">
        <v>164</v>
      </c>
      <c r="B1048" s="2" t="s">
        <v>2357</v>
      </c>
    </row>
    <row r="1049" spans="1:2" ht="15.75" customHeight="1" x14ac:dyDescent="0.25">
      <c r="A1049" s="2" t="s">
        <v>2293</v>
      </c>
      <c r="B1049" s="2" t="s">
        <v>2357</v>
      </c>
    </row>
    <row r="1050" spans="1:2" ht="15.75" customHeight="1" x14ac:dyDescent="0.25">
      <c r="A1050" s="2" t="s">
        <v>2328</v>
      </c>
      <c r="B1050" s="2" t="s">
        <v>2357</v>
      </c>
    </row>
    <row r="1051" spans="1:2" ht="15.75" customHeight="1" x14ac:dyDescent="0.25">
      <c r="A1051" s="2" t="s">
        <v>516</v>
      </c>
      <c r="B1051" s="2" t="s">
        <v>2357</v>
      </c>
    </row>
    <row r="1052" spans="1:2" ht="15.75" customHeight="1" x14ac:dyDescent="0.25">
      <c r="A1052" s="2" t="s">
        <v>955</v>
      </c>
      <c r="B1052" s="2" t="s">
        <v>2357</v>
      </c>
    </row>
    <row r="1053" spans="1:2" ht="15.75" customHeight="1" x14ac:dyDescent="0.25">
      <c r="A1053" s="2" t="s">
        <v>328</v>
      </c>
      <c r="B1053" s="2" t="s">
        <v>2357</v>
      </c>
    </row>
    <row r="1054" spans="1:2" ht="15.75" customHeight="1" x14ac:dyDescent="0.25">
      <c r="A1054" s="2" t="s">
        <v>1058</v>
      </c>
      <c r="B1054" s="2" t="s">
        <v>2356</v>
      </c>
    </row>
    <row r="1055" spans="1:2" ht="15.75" customHeight="1" x14ac:dyDescent="0.25">
      <c r="A1055" s="2" t="s">
        <v>949</v>
      </c>
      <c r="B1055" s="2" t="s">
        <v>2357</v>
      </c>
    </row>
    <row r="1056" spans="1:2" ht="15.75" customHeight="1" x14ac:dyDescent="0.25">
      <c r="A1056" s="2" t="s">
        <v>1260</v>
      </c>
      <c r="B1056" s="2" t="s">
        <v>2357</v>
      </c>
    </row>
    <row r="1057" spans="1:2" ht="15.75" customHeight="1" x14ac:dyDescent="0.25">
      <c r="A1057" s="2" t="s">
        <v>2050</v>
      </c>
      <c r="B1057" s="2" t="s">
        <v>2357</v>
      </c>
    </row>
    <row r="1058" spans="1:2" ht="15.75" customHeight="1" x14ac:dyDescent="0.25">
      <c r="A1058" s="2" t="s">
        <v>599</v>
      </c>
      <c r="B1058" s="2" t="s">
        <v>2357</v>
      </c>
    </row>
    <row r="1059" spans="1:2" ht="15.75" customHeight="1" x14ac:dyDescent="0.25">
      <c r="A1059" s="2" t="s">
        <v>1315</v>
      </c>
      <c r="B1059" s="2" t="s">
        <v>2357</v>
      </c>
    </row>
    <row r="1060" spans="1:2" ht="15.75" customHeight="1" x14ac:dyDescent="0.25">
      <c r="A1060" s="2" t="s">
        <v>224</v>
      </c>
      <c r="B1060" s="2" t="s">
        <v>2357</v>
      </c>
    </row>
    <row r="1061" spans="1:2" ht="15.75" customHeight="1" x14ac:dyDescent="0.25">
      <c r="A1061" s="2" t="s">
        <v>94</v>
      </c>
      <c r="B1061" s="2" t="s">
        <v>2357</v>
      </c>
    </row>
    <row r="1062" spans="1:2" ht="15.75" customHeight="1" x14ac:dyDescent="0.25">
      <c r="A1062" s="2" t="s">
        <v>1956</v>
      </c>
      <c r="B1062" s="2" t="s">
        <v>2357</v>
      </c>
    </row>
    <row r="1063" spans="1:2" ht="15.75" customHeight="1" x14ac:dyDescent="0.25">
      <c r="A1063" s="2" t="s">
        <v>1023</v>
      </c>
      <c r="B1063" s="2" t="s">
        <v>2356</v>
      </c>
    </row>
    <row r="1064" spans="1:2" ht="15.75" customHeight="1" x14ac:dyDescent="0.25">
      <c r="A1064" s="2" t="s">
        <v>324</v>
      </c>
      <c r="B1064" s="2" t="s">
        <v>2357</v>
      </c>
    </row>
    <row r="1065" spans="1:2" ht="15.75" customHeight="1" x14ac:dyDescent="0.25">
      <c r="A1065" s="2" t="s">
        <v>1729</v>
      </c>
      <c r="B1065" s="2" t="s">
        <v>2357</v>
      </c>
    </row>
    <row r="1066" spans="1:2" ht="15.75" customHeight="1" x14ac:dyDescent="0.25">
      <c r="A1066" s="2" t="s">
        <v>913</v>
      </c>
      <c r="B1066" s="2" t="s">
        <v>2357</v>
      </c>
    </row>
    <row r="1067" spans="1:2" ht="15.75" customHeight="1" x14ac:dyDescent="0.25">
      <c r="A1067" s="2" t="s">
        <v>975</v>
      </c>
      <c r="B1067" s="2" t="s">
        <v>2357</v>
      </c>
    </row>
    <row r="1068" spans="1:2" ht="15.75" customHeight="1" x14ac:dyDescent="0.25">
      <c r="A1068" s="2" t="s">
        <v>1207</v>
      </c>
      <c r="B1068" s="2" t="s">
        <v>2357</v>
      </c>
    </row>
    <row r="1069" spans="1:2" ht="15.75" customHeight="1" x14ac:dyDescent="0.25">
      <c r="A1069" s="2" t="s">
        <v>1706</v>
      </c>
      <c r="B1069" s="2" t="s">
        <v>2356</v>
      </c>
    </row>
    <row r="1070" spans="1:2" ht="15.75" customHeight="1" x14ac:dyDescent="0.25">
      <c r="A1070" s="2" t="s">
        <v>1547</v>
      </c>
      <c r="B1070" s="2" t="s">
        <v>2357</v>
      </c>
    </row>
    <row r="1071" spans="1:2" ht="15.75" customHeight="1" x14ac:dyDescent="0.25">
      <c r="A1071" s="2" t="s">
        <v>2073</v>
      </c>
      <c r="B1071" s="2" t="s">
        <v>2356</v>
      </c>
    </row>
    <row r="1072" spans="1:2" ht="15.75" customHeight="1" x14ac:dyDescent="0.25">
      <c r="A1072" s="2" t="s">
        <v>950</v>
      </c>
      <c r="B1072" s="2" t="s">
        <v>2357</v>
      </c>
    </row>
    <row r="1073" spans="1:2" ht="15.75" customHeight="1" x14ac:dyDescent="0.25">
      <c r="A1073" s="2" t="s">
        <v>1504</v>
      </c>
      <c r="B1073" s="2" t="s">
        <v>2357</v>
      </c>
    </row>
    <row r="1074" spans="1:2" ht="15.75" customHeight="1" x14ac:dyDescent="0.25">
      <c r="A1074" s="2" t="s">
        <v>1254</v>
      </c>
      <c r="B1074" s="2" t="s">
        <v>2357</v>
      </c>
    </row>
    <row r="1075" spans="1:2" ht="15.75" customHeight="1" x14ac:dyDescent="0.25">
      <c r="A1075" s="2" t="s">
        <v>1487</v>
      </c>
      <c r="B1075" s="2" t="s">
        <v>2357</v>
      </c>
    </row>
    <row r="1076" spans="1:2" ht="15.75" customHeight="1" x14ac:dyDescent="0.25">
      <c r="A1076" s="2" t="s">
        <v>1663</v>
      </c>
      <c r="B1076" s="2" t="s">
        <v>2357</v>
      </c>
    </row>
    <row r="1077" spans="1:2" ht="15.75" customHeight="1" x14ac:dyDescent="0.25">
      <c r="A1077" s="2" t="s">
        <v>1434</v>
      </c>
      <c r="B1077" s="2" t="s">
        <v>2357</v>
      </c>
    </row>
    <row r="1078" spans="1:2" ht="15.75" customHeight="1" x14ac:dyDescent="0.25">
      <c r="A1078" s="2" t="s">
        <v>1079</v>
      </c>
      <c r="B1078" s="2" t="s">
        <v>2357</v>
      </c>
    </row>
    <row r="1079" spans="1:2" ht="15.75" customHeight="1" x14ac:dyDescent="0.25">
      <c r="A1079" s="2" t="s">
        <v>830</v>
      </c>
      <c r="B1079" s="2" t="s">
        <v>2357</v>
      </c>
    </row>
    <row r="1080" spans="1:2" ht="15.75" customHeight="1" x14ac:dyDescent="0.25">
      <c r="A1080" s="2" t="s">
        <v>245</v>
      </c>
      <c r="B1080" s="2" t="s">
        <v>2357</v>
      </c>
    </row>
    <row r="1081" spans="1:2" ht="15.75" customHeight="1" x14ac:dyDescent="0.25">
      <c r="A1081" s="2" t="s">
        <v>1675</v>
      </c>
      <c r="B1081" s="2" t="s">
        <v>2357</v>
      </c>
    </row>
    <row r="1082" spans="1:2" ht="15.75" customHeight="1" x14ac:dyDescent="0.25">
      <c r="A1082" s="2" t="s">
        <v>1140</v>
      </c>
      <c r="B1082" s="2" t="s">
        <v>2357</v>
      </c>
    </row>
    <row r="1083" spans="1:2" ht="15.75" customHeight="1" x14ac:dyDescent="0.25">
      <c r="A1083" s="2" t="s">
        <v>1753</v>
      </c>
      <c r="B1083" s="2" t="s">
        <v>2357</v>
      </c>
    </row>
    <row r="1084" spans="1:2" ht="15.75" customHeight="1" x14ac:dyDescent="0.25">
      <c r="A1084" s="2" t="s">
        <v>1429</v>
      </c>
      <c r="B1084" s="2" t="s">
        <v>2357</v>
      </c>
    </row>
    <row r="1085" spans="1:2" ht="15.75" customHeight="1" x14ac:dyDescent="0.25">
      <c r="A1085" s="2" t="s">
        <v>248</v>
      </c>
      <c r="B1085" s="2" t="s">
        <v>2357</v>
      </c>
    </row>
    <row r="1086" spans="1:2" ht="15.75" customHeight="1" x14ac:dyDescent="0.25">
      <c r="A1086" s="2" t="s">
        <v>2247</v>
      </c>
      <c r="B1086" s="2" t="s">
        <v>2357</v>
      </c>
    </row>
    <row r="1087" spans="1:2" ht="15.75" customHeight="1" x14ac:dyDescent="0.25">
      <c r="A1087" s="2" t="s">
        <v>1734</v>
      </c>
      <c r="B1087" s="2" t="s">
        <v>2356</v>
      </c>
    </row>
    <row r="1088" spans="1:2" ht="15.75" customHeight="1" x14ac:dyDescent="0.25">
      <c r="A1088" s="2" t="s">
        <v>1229</v>
      </c>
      <c r="B1088" s="2" t="s">
        <v>2357</v>
      </c>
    </row>
    <row r="1089" spans="1:2" ht="15.75" customHeight="1" x14ac:dyDescent="0.25">
      <c r="A1089" s="2" t="s">
        <v>465</v>
      </c>
      <c r="B1089" s="2" t="s">
        <v>2357</v>
      </c>
    </row>
    <row r="1090" spans="1:2" ht="15.75" customHeight="1" x14ac:dyDescent="0.25">
      <c r="A1090" s="2" t="s">
        <v>2289</v>
      </c>
      <c r="B1090" s="2" t="s">
        <v>2357</v>
      </c>
    </row>
    <row r="1091" spans="1:2" ht="15.75" customHeight="1" x14ac:dyDescent="0.25">
      <c r="A1091" s="2" t="s">
        <v>1548</v>
      </c>
      <c r="B1091" s="2" t="s">
        <v>2356</v>
      </c>
    </row>
    <row r="1092" spans="1:2" ht="15.75" customHeight="1" x14ac:dyDescent="0.25">
      <c r="A1092" s="2" t="s">
        <v>1103</v>
      </c>
      <c r="B1092" s="2" t="s">
        <v>2357</v>
      </c>
    </row>
    <row r="1093" spans="1:2" ht="15.75" customHeight="1" x14ac:dyDescent="0.25">
      <c r="A1093" s="2" t="s">
        <v>2004</v>
      </c>
      <c r="B1093" s="2" t="s">
        <v>2357</v>
      </c>
    </row>
    <row r="1094" spans="1:2" ht="15.75" customHeight="1" x14ac:dyDescent="0.25">
      <c r="A1094" s="2" t="s">
        <v>2064</v>
      </c>
      <c r="B1094" s="2" t="s">
        <v>2357</v>
      </c>
    </row>
    <row r="1095" spans="1:2" ht="15.75" customHeight="1" x14ac:dyDescent="0.25">
      <c r="A1095" s="2" t="s">
        <v>2082</v>
      </c>
      <c r="B1095" s="2" t="s">
        <v>2357</v>
      </c>
    </row>
    <row r="1096" spans="1:2" ht="15.75" customHeight="1" x14ac:dyDescent="0.25">
      <c r="A1096" s="2" t="s">
        <v>1154</v>
      </c>
      <c r="B1096" s="2" t="s">
        <v>2357</v>
      </c>
    </row>
    <row r="1097" spans="1:2" ht="15.75" customHeight="1" x14ac:dyDescent="0.25">
      <c r="A1097" s="2" t="s">
        <v>2013</v>
      </c>
      <c r="B1097" s="2" t="s">
        <v>2357</v>
      </c>
    </row>
    <row r="1098" spans="1:2" ht="15.75" customHeight="1" x14ac:dyDescent="0.25">
      <c r="A1098" s="2" t="s">
        <v>2301</v>
      </c>
      <c r="B1098" s="2" t="s">
        <v>2358</v>
      </c>
    </row>
    <row r="1099" spans="1:2" ht="15.75" customHeight="1" x14ac:dyDescent="0.25">
      <c r="A1099" s="2" t="s">
        <v>2090</v>
      </c>
      <c r="B1099" s="2" t="s">
        <v>2357</v>
      </c>
    </row>
    <row r="1100" spans="1:2" ht="15.75" customHeight="1" x14ac:dyDescent="0.25">
      <c r="A1100" s="2" t="s">
        <v>773</v>
      </c>
      <c r="B1100" s="2" t="s">
        <v>2357</v>
      </c>
    </row>
    <row r="1101" spans="1:2" ht="15.75" customHeight="1" x14ac:dyDescent="0.25">
      <c r="A1101" s="2" t="s">
        <v>1823</v>
      </c>
      <c r="B1101" s="2" t="s">
        <v>2357</v>
      </c>
    </row>
    <row r="1102" spans="1:2" ht="15.75" customHeight="1" x14ac:dyDescent="0.25">
      <c r="A1102" s="2" t="s">
        <v>555</v>
      </c>
      <c r="B1102" s="2" t="s">
        <v>2357</v>
      </c>
    </row>
    <row r="1103" spans="1:2" ht="15.75" customHeight="1" x14ac:dyDescent="0.25">
      <c r="A1103" s="2" t="s">
        <v>1500</v>
      </c>
      <c r="B1103" s="2" t="s">
        <v>2357</v>
      </c>
    </row>
    <row r="1104" spans="1:2" ht="15.75" customHeight="1" x14ac:dyDescent="0.25">
      <c r="A1104" s="2" t="s">
        <v>1949</v>
      </c>
      <c r="B1104" s="2" t="s">
        <v>2356</v>
      </c>
    </row>
    <row r="1105" spans="1:2" ht="15.75" customHeight="1" x14ac:dyDescent="0.25">
      <c r="A1105" s="2" t="s">
        <v>373</v>
      </c>
      <c r="B1105" s="2" t="s">
        <v>2357</v>
      </c>
    </row>
    <row r="1106" spans="1:2" ht="15.75" customHeight="1" x14ac:dyDescent="0.25">
      <c r="A1106" s="2" t="s">
        <v>496</v>
      </c>
      <c r="B1106" s="2" t="s">
        <v>2356</v>
      </c>
    </row>
    <row r="1107" spans="1:2" ht="15.75" customHeight="1" x14ac:dyDescent="0.25">
      <c r="A1107" s="2" t="s">
        <v>358</v>
      </c>
      <c r="B1107" s="2" t="s">
        <v>2357</v>
      </c>
    </row>
    <row r="1108" spans="1:2" ht="15.75" customHeight="1" x14ac:dyDescent="0.25">
      <c r="A1108" s="2" t="s">
        <v>1462</v>
      </c>
      <c r="B1108" s="2" t="s">
        <v>2357</v>
      </c>
    </row>
    <row r="1109" spans="1:2" ht="15.75" customHeight="1" x14ac:dyDescent="0.25">
      <c r="A1109" s="2" t="s">
        <v>616</v>
      </c>
      <c r="B1109" s="2" t="s">
        <v>2356</v>
      </c>
    </row>
    <row r="1110" spans="1:2" ht="15.75" customHeight="1" x14ac:dyDescent="0.25">
      <c r="A1110" s="2" t="s">
        <v>706</v>
      </c>
      <c r="B1110" s="2" t="s">
        <v>2357</v>
      </c>
    </row>
    <row r="1111" spans="1:2" ht="15.75" customHeight="1" x14ac:dyDescent="0.25">
      <c r="A1111" s="2" t="s">
        <v>1804</v>
      </c>
      <c r="B1111" s="2" t="s">
        <v>2357</v>
      </c>
    </row>
    <row r="1112" spans="1:2" ht="15.75" customHeight="1" x14ac:dyDescent="0.25">
      <c r="A1112" s="2" t="s">
        <v>1609</v>
      </c>
      <c r="B1112" s="2" t="s">
        <v>2357</v>
      </c>
    </row>
    <row r="1113" spans="1:2" ht="15.75" customHeight="1" x14ac:dyDescent="0.25">
      <c r="A1113" s="2" t="s">
        <v>1668</v>
      </c>
      <c r="B1113" s="2" t="s">
        <v>2357</v>
      </c>
    </row>
    <row r="1114" spans="1:2" ht="15.75" customHeight="1" x14ac:dyDescent="0.25">
      <c r="A1114" s="2" t="s">
        <v>213</v>
      </c>
      <c r="B1114" s="2" t="s">
        <v>2357</v>
      </c>
    </row>
    <row r="1115" spans="1:2" ht="15.75" customHeight="1" x14ac:dyDescent="0.25">
      <c r="A1115" s="2" t="s">
        <v>2125</v>
      </c>
      <c r="B1115" s="2" t="s">
        <v>2356</v>
      </c>
    </row>
    <row r="1116" spans="1:2" ht="15.75" customHeight="1" x14ac:dyDescent="0.25">
      <c r="A1116" s="2" t="s">
        <v>1813</v>
      </c>
      <c r="B1116" s="2" t="s">
        <v>2359</v>
      </c>
    </row>
    <row r="1117" spans="1:2" ht="15.75" customHeight="1" x14ac:dyDescent="0.25">
      <c r="A1117" s="2" t="s">
        <v>577</v>
      </c>
      <c r="B1117" s="2" t="s">
        <v>2357</v>
      </c>
    </row>
    <row r="1118" spans="1:2" ht="15.75" customHeight="1" x14ac:dyDescent="0.25">
      <c r="A1118" s="2" t="s">
        <v>2018</v>
      </c>
      <c r="B1118" s="2" t="s">
        <v>2357</v>
      </c>
    </row>
    <row r="1119" spans="1:2" ht="15.75" customHeight="1" x14ac:dyDescent="0.25">
      <c r="A1119" s="2" t="s">
        <v>1314</v>
      </c>
      <c r="B1119" s="2" t="s">
        <v>2357</v>
      </c>
    </row>
    <row r="1120" spans="1:2" ht="15.75" customHeight="1" x14ac:dyDescent="0.25">
      <c r="A1120" s="2" t="s">
        <v>556</v>
      </c>
      <c r="B1120" s="2" t="s">
        <v>2357</v>
      </c>
    </row>
    <row r="1121" spans="1:2" ht="15.75" customHeight="1" x14ac:dyDescent="0.25">
      <c r="A1121" s="2" t="s">
        <v>2213</v>
      </c>
      <c r="B1121" s="2" t="s">
        <v>2357</v>
      </c>
    </row>
    <row r="1122" spans="1:2" ht="15.75" customHeight="1" x14ac:dyDescent="0.25">
      <c r="A1122" s="2" t="s">
        <v>935</v>
      </c>
      <c r="B1122" s="2" t="s">
        <v>2357</v>
      </c>
    </row>
    <row r="1123" spans="1:2" ht="15.75" customHeight="1" x14ac:dyDescent="0.25">
      <c r="A1123" s="2" t="s">
        <v>1200</v>
      </c>
      <c r="B1123" s="2" t="s">
        <v>2357</v>
      </c>
    </row>
    <row r="1124" spans="1:2" ht="15.75" customHeight="1" x14ac:dyDescent="0.25">
      <c r="A1124" s="2" t="s">
        <v>717</v>
      </c>
      <c r="B1124" s="2" t="s">
        <v>2357</v>
      </c>
    </row>
    <row r="1125" spans="1:2" ht="15.75" customHeight="1" x14ac:dyDescent="0.25">
      <c r="A1125" s="2" t="s">
        <v>528</v>
      </c>
      <c r="B1125" s="2" t="s">
        <v>2356</v>
      </c>
    </row>
    <row r="1126" spans="1:2" ht="15.75" customHeight="1" x14ac:dyDescent="0.25">
      <c r="A1126" s="2" t="s">
        <v>533</v>
      </c>
      <c r="B1126" s="2" t="s">
        <v>2357</v>
      </c>
    </row>
    <row r="1127" spans="1:2" ht="15.75" customHeight="1" x14ac:dyDescent="0.25">
      <c r="A1127" s="2" t="s">
        <v>1141</v>
      </c>
      <c r="B1127" s="2" t="s">
        <v>2357</v>
      </c>
    </row>
    <row r="1128" spans="1:2" ht="15.75" customHeight="1" x14ac:dyDescent="0.25">
      <c r="A1128" s="2" t="s">
        <v>1070</v>
      </c>
      <c r="B1128" s="2" t="s">
        <v>2357</v>
      </c>
    </row>
    <row r="1129" spans="1:2" ht="15.75" customHeight="1" x14ac:dyDescent="0.25">
      <c r="A1129" s="2" t="s">
        <v>139</v>
      </c>
      <c r="B1129" s="2" t="s">
        <v>2356</v>
      </c>
    </row>
    <row r="1130" spans="1:2" ht="15.75" customHeight="1" x14ac:dyDescent="0.25">
      <c r="A1130" s="2" t="s">
        <v>1977</v>
      </c>
      <c r="B1130" s="2" t="s">
        <v>2356</v>
      </c>
    </row>
    <row r="1131" spans="1:2" ht="15.75" customHeight="1" x14ac:dyDescent="0.25">
      <c r="A1131" s="2" t="s">
        <v>1673</v>
      </c>
      <c r="B1131" s="2" t="s">
        <v>2357</v>
      </c>
    </row>
    <row r="1132" spans="1:2" ht="15.75" customHeight="1" x14ac:dyDescent="0.25">
      <c r="A1132" s="2" t="s">
        <v>725</v>
      </c>
      <c r="B1132" s="2" t="s">
        <v>2357</v>
      </c>
    </row>
    <row r="1133" spans="1:2" ht="15.75" customHeight="1" x14ac:dyDescent="0.25">
      <c r="A1133" s="2" t="s">
        <v>1350</v>
      </c>
      <c r="B1133" s="2" t="s">
        <v>2359</v>
      </c>
    </row>
    <row r="1134" spans="1:2" ht="15.75" customHeight="1" x14ac:dyDescent="0.25">
      <c r="A1134" s="2" t="s">
        <v>965</v>
      </c>
      <c r="B1134" s="2" t="s">
        <v>2357</v>
      </c>
    </row>
    <row r="1135" spans="1:2" ht="15.75" customHeight="1" x14ac:dyDescent="0.25">
      <c r="A1135" s="2" t="s">
        <v>1771</v>
      </c>
      <c r="B1135" s="2" t="s">
        <v>2357</v>
      </c>
    </row>
    <row r="1136" spans="1:2" ht="15.75" customHeight="1" x14ac:dyDescent="0.25">
      <c r="A1136" s="2" t="s">
        <v>1306</v>
      </c>
      <c r="B1136" s="2" t="s">
        <v>2357</v>
      </c>
    </row>
    <row r="1137" spans="1:2" ht="15.75" customHeight="1" x14ac:dyDescent="0.25">
      <c r="A1137" s="2" t="s">
        <v>2000</v>
      </c>
      <c r="B1137" s="2" t="s">
        <v>2357</v>
      </c>
    </row>
    <row r="1138" spans="1:2" ht="15.75" customHeight="1" x14ac:dyDescent="0.25">
      <c r="A1138" s="2" t="s">
        <v>1875</v>
      </c>
      <c r="B1138" s="2" t="s">
        <v>2357</v>
      </c>
    </row>
    <row r="1139" spans="1:2" ht="15.75" customHeight="1" x14ac:dyDescent="0.25">
      <c r="A1139" s="2" t="s">
        <v>785</v>
      </c>
      <c r="B1139" s="2" t="s">
        <v>2357</v>
      </c>
    </row>
    <row r="1140" spans="1:2" ht="15.75" customHeight="1" x14ac:dyDescent="0.25">
      <c r="A1140" s="2" t="s">
        <v>884</v>
      </c>
      <c r="B1140" s="2" t="s">
        <v>2357</v>
      </c>
    </row>
    <row r="1141" spans="1:2" ht="15.75" customHeight="1" x14ac:dyDescent="0.25">
      <c r="A1141" s="2" t="s">
        <v>1655</v>
      </c>
      <c r="B1141" s="2" t="s">
        <v>2357</v>
      </c>
    </row>
    <row r="1142" spans="1:2" ht="15.75" customHeight="1" x14ac:dyDescent="0.25">
      <c r="A1142" s="2" t="s">
        <v>1489</v>
      </c>
      <c r="B1142" s="2" t="s">
        <v>2356</v>
      </c>
    </row>
    <row r="1143" spans="1:2" ht="15.75" customHeight="1" x14ac:dyDescent="0.25">
      <c r="A1143" s="2" t="s">
        <v>1919</v>
      </c>
      <c r="B1143" s="2" t="s">
        <v>2357</v>
      </c>
    </row>
    <row r="1144" spans="1:2" ht="15.75" customHeight="1" x14ac:dyDescent="0.25">
      <c r="A1144" s="2" t="s">
        <v>1989</v>
      </c>
      <c r="B1144" s="2" t="s">
        <v>2357</v>
      </c>
    </row>
    <row r="1145" spans="1:2" ht="15.75" customHeight="1" x14ac:dyDescent="0.25">
      <c r="A1145" s="2" t="s">
        <v>864</v>
      </c>
      <c r="B1145" s="2" t="s">
        <v>2357</v>
      </c>
    </row>
    <row r="1146" spans="1:2" ht="15.75" customHeight="1" x14ac:dyDescent="0.25">
      <c r="A1146" s="2" t="s">
        <v>183</v>
      </c>
      <c r="B1146" s="2" t="s">
        <v>2357</v>
      </c>
    </row>
    <row r="1147" spans="1:2" ht="15.75" customHeight="1" x14ac:dyDescent="0.25">
      <c r="A1147" s="2" t="s">
        <v>839</v>
      </c>
      <c r="B1147" s="2" t="s">
        <v>2357</v>
      </c>
    </row>
    <row r="1148" spans="1:2" ht="15.75" customHeight="1" x14ac:dyDescent="0.25">
      <c r="A1148" s="2" t="s">
        <v>1246</v>
      </c>
      <c r="B1148" s="2" t="s">
        <v>2357</v>
      </c>
    </row>
    <row r="1149" spans="1:2" ht="15.75" customHeight="1" x14ac:dyDescent="0.25">
      <c r="A1149" s="2" t="s">
        <v>1839</v>
      </c>
      <c r="B1149" s="2" t="s">
        <v>2357</v>
      </c>
    </row>
    <row r="1150" spans="1:2" ht="15.75" customHeight="1" x14ac:dyDescent="0.25">
      <c r="A1150" s="2" t="s">
        <v>366</v>
      </c>
      <c r="B1150" s="2" t="s">
        <v>2357</v>
      </c>
    </row>
    <row r="1151" spans="1:2" ht="15.75" customHeight="1" x14ac:dyDescent="0.25">
      <c r="A1151" s="2" t="s">
        <v>1417</v>
      </c>
      <c r="B1151" s="2" t="s">
        <v>2357</v>
      </c>
    </row>
    <row r="1152" spans="1:2" ht="15.75" customHeight="1" x14ac:dyDescent="0.25">
      <c r="A1152" s="2" t="s">
        <v>217</v>
      </c>
      <c r="B1152" s="2" t="s">
        <v>2357</v>
      </c>
    </row>
    <row r="1153" spans="1:2" ht="15.75" customHeight="1" x14ac:dyDescent="0.25">
      <c r="A1153" s="2" t="s">
        <v>1745</v>
      </c>
      <c r="B1153" s="2" t="s">
        <v>2357</v>
      </c>
    </row>
    <row r="1154" spans="1:2" ht="15.75" customHeight="1" x14ac:dyDescent="0.25">
      <c r="A1154" s="2" t="s">
        <v>2176</v>
      </c>
      <c r="B1154" s="2" t="s">
        <v>2357</v>
      </c>
    </row>
    <row r="1155" spans="1:2" ht="15.75" customHeight="1" x14ac:dyDescent="0.25">
      <c r="A1155" s="2" t="s">
        <v>1280</v>
      </c>
      <c r="B1155" s="2" t="s">
        <v>2357</v>
      </c>
    </row>
    <row r="1156" spans="1:2" ht="15.75" customHeight="1" x14ac:dyDescent="0.25">
      <c r="A1156" s="2" t="s">
        <v>1735</v>
      </c>
      <c r="B1156" s="2" t="s">
        <v>2357</v>
      </c>
    </row>
    <row r="1157" spans="1:2" ht="15.75" customHeight="1" x14ac:dyDescent="0.25">
      <c r="A1157" s="2" t="s">
        <v>405</v>
      </c>
      <c r="B1157" s="2" t="s">
        <v>2357</v>
      </c>
    </row>
    <row r="1158" spans="1:2" ht="15.75" customHeight="1" x14ac:dyDescent="0.25">
      <c r="A1158" s="2" t="s">
        <v>1573</v>
      </c>
      <c r="B1158" s="2" t="s">
        <v>2357</v>
      </c>
    </row>
    <row r="1159" spans="1:2" ht="15.75" customHeight="1" x14ac:dyDescent="0.25">
      <c r="A1159" s="2" t="s">
        <v>2254</v>
      </c>
      <c r="B1159" s="2" t="s">
        <v>2360</v>
      </c>
    </row>
    <row r="1160" spans="1:2" ht="15.75" customHeight="1" x14ac:dyDescent="0.25">
      <c r="A1160" s="2" t="s">
        <v>2167</v>
      </c>
      <c r="B1160" s="2" t="s">
        <v>2357</v>
      </c>
    </row>
    <row r="1161" spans="1:2" ht="15.75" customHeight="1" x14ac:dyDescent="0.25">
      <c r="A1161" s="2" t="s">
        <v>90</v>
      </c>
      <c r="B1161" s="2" t="s">
        <v>2357</v>
      </c>
    </row>
    <row r="1162" spans="1:2" ht="15.75" customHeight="1" x14ac:dyDescent="0.25">
      <c r="A1162" s="2" t="s">
        <v>1607</v>
      </c>
      <c r="B1162" s="2" t="s">
        <v>2357</v>
      </c>
    </row>
    <row r="1163" spans="1:2" ht="15.75" customHeight="1" x14ac:dyDescent="0.25">
      <c r="A1163" s="2" t="s">
        <v>2083</v>
      </c>
      <c r="B1163" s="2" t="s">
        <v>2357</v>
      </c>
    </row>
    <row r="1164" spans="1:2" ht="15.75" customHeight="1" x14ac:dyDescent="0.25">
      <c r="A1164" s="2" t="s">
        <v>300</v>
      </c>
      <c r="B1164" s="2" t="s">
        <v>2356</v>
      </c>
    </row>
    <row r="1165" spans="1:2" ht="15.75" customHeight="1" x14ac:dyDescent="0.25">
      <c r="A1165" s="2" t="s">
        <v>1610</v>
      </c>
      <c r="B1165" s="2" t="s">
        <v>2357</v>
      </c>
    </row>
    <row r="1166" spans="1:2" ht="15.75" customHeight="1" x14ac:dyDescent="0.25">
      <c r="A1166" s="2" t="s">
        <v>1557</v>
      </c>
      <c r="B1166" s="2" t="s">
        <v>2357</v>
      </c>
    </row>
    <row r="1167" spans="1:2" ht="15.75" customHeight="1" x14ac:dyDescent="0.25">
      <c r="A1167" s="2" t="s">
        <v>2169</v>
      </c>
      <c r="B1167" s="2" t="s">
        <v>2358</v>
      </c>
    </row>
    <row r="1168" spans="1:2" ht="15.75" customHeight="1" x14ac:dyDescent="0.25">
      <c r="A1168" s="2" t="s">
        <v>1719</v>
      </c>
      <c r="B1168" s="2" t="s">
        <v>2356</v>
      </c>
    </row>
    <row r="1169" spans="1:2" ht="15.75" customHeight="1" x14ac:dyDescent="0.25">
      <c r="A1169" s="2" t="s">
        <v>1114</v>
      </c>
      <c r="B1169" s="2" t="s">
        <v>2357</v>
      </c>
    </row>
    <row r="1170" spans="1:2" ht="15.75" customHeight="1" x14ac:dyDescent="0.25">
      <c r="A1170" s="2" t="s">
        <v>255</v>
      </c>
      <c r="B1170" s="2" t="s">
        <v>2357</v>
      </c>
    </row>
    <row r="1171" spans="1:2" ht="15.75" customHeight="1" x14ac:dyDescent="0.25">
      <c r="A1171" s="2" t="s">
        <v>1579</v>
      </c>
      <c r="B1171" s="2" t="s">
        <v>2357</v>
      </c>
    </row>
    <row r="1172" spans="1:2" ht="15.75" customHeight="1" x14ac:dyDescent="0.25">
      <c r="A1172" s="2" t="s">
        <v>1168</v>
      </c>
      <c r="B1172" s="2" t="s">
        <v>2357</v>
      </c>
    </row>
    <row r="1173" spans="1:2" ht="15.75" customHeight="1" x14ac:dyDescent="0.25">
      <c r="A1173" s="2" t="s">
        <v>1501</v>
      </c>
      <c r="B1173" s="2" t="s">
        <v>2357</v>
      </c>
    </row>
    <row r="1174" spans="1:2" ht="15.75" customHeight="1" x14ac:dyDescent="0.25">
      <c r="A1174" s="2" t="s">
        <v>1157</v>
      </c>
      <c r="B1174" s="2" t="s">
        <v>2357</v>
      </c>
    </row>
    <row r="1175" spans="1:2" ht="15.75" customHeight="1" x14ac:dyDescent="0.25">
      <c r="A1175" s="2" t="s">
        <v>1695</v>
      </c>
      <c r="B1175" s="2" t="s">
        <v>2357</v>
      </c>
    </row>
    <row r="1176" spans="1:2" ht="15.75" customHeight="1" x14ac:dyDescent="0.25">
      <c r="A1176" s="2" t="s">
        <v>1374</v>
      </c>
      <c r="B1176" s="2" t="s">
        <v>2357</v>
      </c>
    </row>
    <row r="1177" spans="1:2" ht="15.75" customHeight="1" x14ac:dyDescent="0.25">
      <c r="A1177" s="2" t="s">
        <v>1828</v>
      </c>
      <c r="B1177" s="2" t="s">
        <v>2357</v>
      </c>
    </row>
    <row r="1178" spans="1:2" ht="15.75" customHeight="1" x14ac:dyDescent="0.25">
      <c r="A1178" s="2" t="s">
        <v>595</v>
      </c>
      <c r="B1178" s="2" t="s">
        <v>2357</v>
      </c>
    </row>
    <row r="1179" spans="1:2" ht="15.75" customHeight="1" x14ac:dyDescent="0.25">
      <c r="A1179" s="2" t="s">
        <v>1373</v>
      </c>
      <c r="B1179" s="2" t="s">
        <v>2356</v>
      </c>
    </row>
    <row r="1180" spans="1:2" ht="15.75" customHeight="1" x14ac:dyDescent="0.25">
      <c r="A1180" s="2" t="s">
        <v>1760</v>
      </c>
      <c r="B1180" s="2" t="s">
        <v>2357</v>
      </c>
    </row>
    <row r="1181" spans="1:2" ht="15.75" customHeight="1" x14ac:dyDescent="0.25">
      <c r="A1181" s="2" t="s">
        <v>1101</v>
      </c>
      <c r="B1181" s="2" t="s">
        <v>2357</v>
      </c>
    </row>
    <row r="1182" spans="1:2" ht="15.75" customHeight="1" x14ac:dyDescent="0.25">
      <c r="A1182" s="2" t="s">
        <v>1812</v>
      </c>
      <c r="B1182" s="2" t="s">
        <v>2357</v>
      </c>
    </row>
    <row r="1183" spans="1:2" ht="15.75" customHeight="1" x14ac:dyDescent="0.25">
      <c r="A1183" s="2" t="s">
        <v>974</v>
      </c>
      <c r="B1183" s="2" t="s">
        <v>2357</v>
      </c>
    </row>
    <row r="1184" spans="1:2" ht="15.75" customHeight="1" x14ac:dyDescent="0.25">
      <c r="A1184" s="2" t="s">
        <v>2321</v>
      </c>
      <c r="B1184" s="2" t="s">
        <v>2360</v>
      </c>
    </row>
    <row r="1185" spans="1:2" ht="15.75" customHeight="1" x14ac:dyDescent="0.25">
      <c r="A1185" s="2" t="s">
        <v>1916</v>
      </c>
      <c r="B1185" s="2" t="s">
        <v>2357</v>
      </c>
    </row>
    <row r="1186" spans="1:2" ht="15.75" customHeight="1" x14ac:dyDescent="0.25">
      <c r="A1186" s="2" t="s">
        <v>2170</v>
      </c>
      <c r="B1186" s="2" t="s">
        <v>2357</v>
      </c>
    </row>
    <row r="1187" spans="1:2" ht="15.75" customHeight="1" x14ac:dyDescent="0.25">
      <c r="A1187" s="2" t="s">
        <v>1905</v>
      </c>
      <c r="B1187" s="2" t="s">
        <v>2356</v>
      </c>
    </row>
    <row r="1188" spans="1:2" ht="15.75" customHeight="1" x14ac:dyDescent="0.25">
      <c r="A1188" s="2" t="s">
        <v>820</v>
      </c>
      <c r="B1188" s="2" t="s">
        <v>2357</v>
      </c>
    </row>
    <row r="1189" spans="1:2" ht="15.75" customHeight="1" x14ac:dyDescent="0.25">
      <c r="A1189" s="2" t="s">
        <v>1410</v>
      </c>
      <c r="B1189" s="2" t="s">
        <v>2357</v>
      </c>
    </row>
    <row r="1190" spans="1:2" ht="15.75" customHeight="1" x14ac:dyDescent="0.25">
      <c r="A1190" s="2" t="s">
        <v>1119</v>
      </c>
      <c r="B1190" s="2" t="s">
        <v>2357</v>
      </c>
    </row>
    <row r="1191" spans="1:2" ht="15.75" customHeight="1" x14ac:dyDescent="0.25">
      <c r="A1191" s="2" t="s">
        <v>175</v>
      </c>
      <c r="B1191" s="2" t="s">
        <v>2357</v>
      </c>
    </row>
    <row r="1192" spans="1:2" ht="15.75" customHeight="1" x14ac:dyDescent="0.25">
      <c r="A1192" s="2" t="s">
        <v>1170</v>
      </c>
      <c r="B1192" s="2" t="s">
        <v>2357</v>
      </c>
    </row>
    <row r="1193" spans="1:2" ht="15.75" customHeight="1" x14ac:dyDescent="0.25">
      <c r="A1193" s="2" t="s">
        <v>764</v>
      </c>
      <c r="B1193" s="2" t="s">
        <v>2357</v>
      </c>
    </row>
    <row r="1194" spans="1:2" ht="15.75" customHeight="1" x14ac:dyDescent="0.25">
      <c r="A1194" s="2" t="s">
        <v>735</v>
      </c>
      <c r="B1194" s="2" t="s">
        <v>2357</v>
      </c>
    </row>
    <row r="1195" spans="1:2" ht="15.75" customHeight="1" x14ac:dyDescent="0.25">
      <c r="A1195" s="2" t="s">
        <v>1456</v>
      </c>
      <c r="B1195" s="2" t="s">
        <v>2357</v>
      </c>
    </row>
    <row r="1196" spans="1:2" ht="15.75" customHeight="1" x14ac:dyDescent="0.25">
      <c r="A1196" s="2" t="s">
        <v>1683</v>
      </c>
      <c r="B1196" s="2" t="s">
        <v>2357</v>
      </c>
    </row>
    <row r="1197" spans="1:2" ht="15.75" customHeight="1" x14ac:dyDescent="0.25">
      <c r="A1197" s="2" t="s">
        <v>1920</v>
      </c>
      <c r="B1197" s="2" t="s">
        <v>2357</v>
      </c>
    </row>
    <row r="1198" spans="1:2" ht="15.75" customHeight="1" x14ac:dyDescent="0.25">
      <c r="A1198" s="2" t="s">
        <v>198</v>
      </c>
      <c r="B1198" s="2" t="s">
        <v>2357</v>
      </c>
    </row>
    <row r="1199" spans="1:2" ht="15.75" customHeight="1" x14ac:dyDescent="0.25">
      <c r="A1199" s="2" t="s">
        <v>680</v>
      </c>
      <c r="B1199" s="2" t="s">
        <v>2357</v>
      </c>
    </row>
    <row r="1200" spans="1:2" ht="15.75" customHeight="1" x14ac:dyDescent="0.25">
      <c r="A1200" s="2" t="s">
        <v>2264</v>
      </c>
      <c r="B1200" s="2" t="s">
        <v>2360</v>
      </c>
    </row>
    <row r="1201" spans="1:2" ht="15.75" customHeight="1" x14ac:dyDescent="0.25">
      <c r="A1201" s="2" t="s">
        <v>564</v>
      </c>
      <c r="B1201" s="2" t="s">
        <v>2357</v>
      </c>
    </row>
    <row r="1202" spans="1:2" ht="15.75" customHeight="1" x14ac:dyDescent="0.25">
      <c r="A1202" s="2" t="s">
        <v>354</v>
      </c>
      <c r="B1202" s="2" t="s">
        <v>2356</v>
      </c>
    </row>
    <row r="1203" spans="1:2" ht="15.75" customHeight="1" x14ac:dyDescent="0.25">
      <c r="A1203" s="2" t="s">
        <v>418</v>
      </c>
      <c r="B1203" s="2" t="s">
        <v>2356</v>
      </c>
    </row>
    <row r="1204" spans="1:2" ht="15.75" customHeight="1" x14ac:dyDescent="0.25">
      <c r="A1204" s="2" t="s">
        <v>1672</v>
      </c>
      <c r="B1204" s="2" t="s">
        <v>2357</v>
      </c>
    </row>
    <row r="1205" spans="1:2" ht="15.75" customHeight="1" x14ac:dyDescent="0.25">
      <c r="A1205" s="2" t="s">
        <v>1627</v>
      </c>
      <c r="B1205" s="2" t="s">
        <v>2357</v>
      </c>
    </row>
    <row r="1206" spans="1:2" ht="15.75" customHeight="1" x14ac:dyDescent="0.25">
      <c r="A1206" s="2" t="s">
        <v>673</v>
      </c>
      <c r="B1206" s="2" t="s">
        <v>2357</v>
      </c>
    </row>
    <row r="1207" spans="1:2" ht="15.75" customHeight="1" x14ac:dyDescent="0.25">
      <c r="A1207" s="2" t="s">
        <v>514</v>
      </c>
      <c r="B1207" s="2" t="s">
        <v>2357</v>
      </c>
    </row>
    <row r="1208" spans="1:2" ht="15.75" customHeight="1" x14ac:dyDescent="0.25">
      <c r="A1208" s="2" t="s">
        <v>1820</v>
      </c>
      <c r="B1208" s="2" t="s">
        <v>2357</v>
      </c>
    </row>
    <row r="1209" spans="1:2" ht="15.75" customHeight="1" x14ac:dyDescent="0.25">
      <c r="A1209" s="2" t="s">
        <v>47</v>
      </c>
      <c r="B1209" s="2" t="s">
        <v>2357</v>
      </c>
    </row>
    <row r="1210" spans="1:2" ht="15.75" customHeight="1" x14ac:dyDescent="0.25">
      <c r="A1210" s="2" t="s">
        <v>1231</v>
      </c>
      <c r="B1210" s="2" t="s">
        <v>2359</v>
      </c>
    </row>
    <row r="1211" spans="1:2" ht="15.75" customHeight="1" x14ac:dyDescent="0.25">
      <c r="A1211" s="2" t="s">
        <v>1718</v>
      </c>
      <c r="B1211" s="2" t="s">
        <v>2357</v>
      </c>
    </row>
    <row r="1212" spans="1:2" ht="15.75" customHeight="1" x14ac:dyDescent="0.25">
      <c r="A1212" s="2" t="s">
        <v>1404</v>
      </c>
      <c r="B1212" s="2" t="s">
        <v>2357</v>
      </c>
    </row>
    <row r="1213" spans="1:2" ht="15.75" customHeight="1" x14ac:dyDescent="0.25">
      <c r="A1213" s="2" t="s">
        <v>760</v>
      </c>
      <c r="B1213" s="2" t="s">
        <v>2357</v>
      </c>
    </row>
    <row r="1214" spans="1:2" ht="15.75" customHeight="1" x14ac:dyDescent="0.25">
      <c r="A1214" s="2" t="s">
        <v>1715</v>
      </c>
      <c r="B1214" s="2" t="s">
        <v>2357</v>
      </c>
    </row>
    <row r="1215" spans="1:2" ht="15.75" customHeight="1" x14ac:dyDescent="0.25">
      <c r="A1215" s="2" t="s">
        <v>618</v>
      </c>
      <c r="B1215" s="2" t="s">
        <v>2357</v>
      </c>
    </row>
    <row r="1216" spans="1:2" ht="15.75" customHeight="1" x14ac:dyDescent="0.25">
      <c r="A1216" s="2" t="s">
        <v>2150</v>
      </c>
      <c r="B1216" s="2" t="s">
        <v>2357</v>
      </c>
    </row>
    <row r="1217" spans="1:2" ht="15.75" customHeight="1" x14ac:dyDescent="0.25">
      <c r="A1217" s="2" t="s">
        <v>1965</v>
      </c>
      <c r="B1217" s="2" t="s">
        <v>2357</v>
      </c>
    </row>
    <row r="1218" spans="1:2" ht="15.75" customHeight="1" x14ac:dyDescent="0.25">
      <c r="A1218" s="2" t="s">
        <v>1387</v>
      </c>
      <c r="B1218" s="2" t="s">
        <v>2357</v>
      </c>
    </row>
    <row r="1219" spans="1:2" ht="15.75" customHeight="1" x14ac:dyDescent="0.25">
      <c r="A1219" s="2" t="s">
        <v>534</v>
      </c>
      <c r="B1219" s="2" t="s">
        <v>2357</v>
      </c>
    </row>
    <row r="1220" spans="1:2" ht="15.75" customHeight="1" x14ac:dyDescent="0.25">
      <c r="A1220" s="2" t="s">
        <v>1441</v>
      </c>
      <c r="B1220" s="2" t="s">
        <v>2357</v>
      </c>
    </row>
    <row r="1221" spans="1:2" ht="15.75" customHeight="1" x14ac:dyDescent="0.25">
      <c r="A1221" s="2" t="s">
        <v>1267</v>
      </c>
      <c r="B1221" s="2" t="s">
        <v>2357</v>
      </c>
    </row>
    <row r="1222" spans="1:2" ht="15.75" customHeight="1" x14ac:dyDescent="0.25">
      <c r="A1222" s="2" t="s">
        <v>1485</v>
      </c>
      <c r="B1222" s="2" t="s">
        <v>2357</v>
      </c>
    </row>
    <row r="1223" spans="1:2" ht="15.75" customHeight="1" x14ac:dyDescent="0.25">
      <c r="A1223" s="2" t="s">
        <v>1966</v>
      </c>
      <c r="B1223" s="2" t="s">
        <v>2356</v>
      </c>
    </row>
    <row r="1224" spans="1:2" ht="15.75" customHeight="1" x14ac:dyDescent="0.25">
      <c r="A1224" s="2" t="s">
        <v>1184</v>
      </c>
      <c r="B1224" s="2" t="s">
        <v>2359</v>
      </c>
    </row>
    <row r="1225" spans="1:2" ht="15.75" customHeight="1" x14ac:dyDescent="0.25">
      <c r="A1225" s="2" t="s">
        <v>1781</v>
      </c>
      <c r="B1225" s="2" t="s">
        <v>2357</v>
      </c>
    </row>
    <row r="1226" spans="1:2" ht="15.75" customHeight="1" x14ac:dyDescent="0.25">
      <c r="A1226" s="2" t="s">
        <v>1770</v>
      </c>
      <c r="B1226" s="2" t="s">
        <v>2357</v>
      </c>
    </row>
    <row r="1227" spans="1:2" ht="15.75" customHeight="1" x14ac:dyDescent="0.25">
      <c r="A1227" s="2" t="s">
        <v>1369</v>
      </c>
      <c r="B1227" s="2" t="s">
        <v>2357</v>
      </c>
    </row>
    <row r="1228" spans="1:2" ht="15.75" customHeight="1" x14ac:dyDescent="0.25">
      <c r="A1228" s="2" t="s">
        <v>1717</v>
      </c>
      <c r="B1228" s="2" t="s">
        <v>2357</v>
      </c>
    </row>
    <row r="1229" spans="1:2" ht="15.75" customHeight="1" x14ac:dyDescent="0.25">
      <c r="A1229" s="2" t="s">
        <v>1942</v>
      </c>
      <c r="B1229" s="2" t="s">
        <v>2356</v>
      </c>
    </row>
    <row r="1230" spans="1:2" ht="15.75" customHeight="1" x14ac:dyDescent="0.25">
      <c r="A1230" s="2" t="s">
        <v>1863</v>
      </c>
      <c r="B1230" s="2" t="s">
        <v>2357</v>
      </c>
    </row>
    <row r="1231" spans="1:2" ht="15.75" customHeight="1" x14ac:dyDescent="0.25">
      <c r="A1231" s="2" t="s">
        <v>1843</v>
      </c>
      <c r="B1231" s="2" t="s">
        <v>2357</v>
      </c>
    </row>
    <row r="1232" spans="1:2" ht="15.75" customHeight="1" x14ac:dyDescent="0.25">
      <c r="A1232" s="2" t="s">
        <v>1720</v>
      </c>
      <c r="B1232" s="2" t="s">
        <v>2357</v>
      </c>
    </row>
    <row r="1233" spans="1:2" ht="15.75" customHeight="1" x14ac:dyDescent="0.25">
      <c r="A1233" s="2" t="s">
        <v>397</v>
      </c>
      <c r="B1233" s="2" t="s">
        <v>2356</v>
      </c>
    </row>
    <row r="1234" spans="1:2" ht="15.75" customHeight="1" x14ac:dyDescent="0.25">
      <c r="A1234" s="2" t="s">
        <v>253</v>
      </c>
      <c r="B1234" s="2" t="s">
        <v>2357</v>
      </c>
    </row>
    <row r="1235" spans="1:2" ht="15.75" customHeight="1" x14ac:dyDescent="0.25">
      <c r="A1235" s="2" t="s">
        <v>999</v>
      </c>
      <c r="B1235" s="2" t="s">
        <v>2357</v>
      </c>
    </row>
    <row r="1236" spans="1:2" ht="15.75" customHeight="1" x14ac:dyDescent="0.25">
      <c r="A1236" s="2" t="s">
        <v>1085</v>
      </c>
      <c r="B1236" s="2" t="s">
        <v>2357</v>
      </c>
    </row>
    <row r="1237" spans="1:2" ht="15.75" customHeight="1" x14ac:dyDescent="0.25">
      <c r="A1237" s="2" t="s">
        <v>2175</v>
      </c>
      <c r="B1237" s="2" t="s">
        <v>2357</v>
      </c>
    </row>
    <row r="1238" spans="1:2" ht="15.75" customHeight="1" x14ac:dyDescent="0.25">
      <c r="A1238" s="2" t="s">
        <v>1286</v>
      </c>
      <c r="B1238" s="2" t="s">
        <v>2359</v>
      </c>
    </row>
    <row r="1239" spans="1:2" ht="15.75" customHeight="1" x14ac:dyDescent="0.25">
      <c r="A1239" s="2" t="s">
        <v>1081</v>
      </c>
      <c r="B1239" s="2" t="s">
        <v>2357</v>
      </c>
    </row>
    <row r="1240" spans="1:2" ht="15.75" customHeight="1" x14ac:dyDescent="0.25">
      <c r="A1240" s="2" t="s">
        <v>1068</v>
      </c>
      <c r="B1240" s="2" t="s">
        <v>2356</v>
      </c>
    </row>
    <row r="1241" spans="1:2" ht="15.75" customHeight="1" x14ac:dyDescent="0.25">
      <c r="A1241" s="2" t="s">
        <v>1084</v>
      </c>
      <c r="B1241" s="2" t="s">
        <v>2357</v>
      </c>
    </row>
    <row r="1242" spans="1:2" ht="15.75" customHeight="1" x14ac:dyDescent="0.25">
      <c r="A1242" s="2" t="s">
        <v>2199</v>
      </c>
      <c r="B1242" s="2" t="s">
        <v>2358</v>
      </c>
    </row>
    <row r="1243" spans="1:2" ht="15.75" customHeight="1" x14ac:dyDescent="0.25">
      <c r="A1243" s="2" t="s">
        <v>2225</v>
      </c>
      <c r="B1243" s="2" t="s">
        <v>2360</v>
      </c>
    </row>
    <row r="1244" spans="1:2" ht="15.75" customHeight="1" x14ac:dyDescent="0.25">
      <c r="A1244" s="2" t="s">
        <v>2249</v>
      </c>
      <c r="B1244" s="2" t="s">
        <v>2358</v>
      </c>
    </row>
    <row r="1245" spans="1:2" ht="15.75" customHeight="1" x14ac:dyDescent="0.25">
      <c r="A1245" s="2" t="s">
        <v>1230</v>
      </c>
      <c r="B1245" s="2" t="s">
        <v>2357</v>
      </c>
    </row>
    <row r="1246" spans="1:2" ht="15.75" customHeight="1" x14ac:dyDescent="0.25">
      <c r="A1246" s="2" t="s">
        <v>1926</v>
      </c>
      <c r="B1246" s="2" t="s">
        <v>2357</v>
      </c>
    </row>
    <row r="1247" spans="1:2" ht="15.75" customHeight="1" x14ac:dyDescent="0.25">
      <c r="A1247" s="2" t="s">
        <v>743</v>
      </c>
      <c r="B1247" s="2" t="s">
        <v>2357</v>
      </c>
    </row>
    <row r="1248" spans="1:2" ht="15.75" customHeight="1" x14ac:dyDescent="0.25">
      <c r="A1248" s="2" t="s">
        <v>1797</v>
      </c>
      <c r="B1248" s="2" t="s">
        <v>2356</v>
      </c>
    </row>
    <row r="1249" spans="1:2" ht="15.75" customHeight="1" x14ac:dyDescent="0.25">
      <c r="A1249" s="2" t="s">
        <v>813</v>
      </c>
      <c r="B1249" s="2" t="s">
        <v>2357</v>
      </c>
    </row>
    <row r="1250" spans="1:2" ht="15.75" customHeight="1" x14ac:dyDescent="0.25">
      <c r="A1250" s="2" t="s">
        <v>2306</v>
      </c>
      <c r="B1250" s="2" t="s">
        <v>2358</v>
      </c>
    </row>
    <row r="1251" spans="1:2" ht="15.75" customHeight="1" x14ac:dyDescent="0.25">
      <c r="A1251" s="2" t="s">
        <v>2040</v>
      </c>
      <c r="B1251" s="2" t="s">
        <v>2357</v>
      </c>
    </row>
    <row r="1252" spans="1:2" ht="15.75" customHeight="1" x14ac:dyDescent="0.25">
      <c r="A1252" s="2" t="s">
        <v>984</v>
      </c>
      <c r="B1252" s="2" t="s">
        <v>2356</v>
      </c>
    </row>
    <row r="1253" spans="1:2" ht="15.75" customHeight="1" x14ac:dyDescent="0.25">
      <c r="A1253" s="2" t="s">
        <v>1766</v>
      </c>
      <c r="B1253" s="2" t="s">
        <v>2357</v>
      </c>
    </row>
    <row r="1254" spans="1:2" ht="15.75" customHeight="1" x14ac:dyDescent="0.25">
      <c r="A1254" s="2" t="s">
        <v>1986</v>
      </c>
      <c r="B1254" s="2" t="s">
        <v>2357</v>
      </c>
    </row>
    <row r="1255" spans="1:2" ht="15.75" customHeight="1" x14ac:dyDescent="0.25">
      <c r="A1255" s="2" t="s">
        <v>1405</v>
      </c>
      <c r="B1255" s="2" t="s">
        <v>2356</v>
      </c>
    </row>
    <row r="1256" spans="1:2" ht="15.75" customHeight="1" x14ac:dyDescent="0.25">
      <c r="A1256" s="2" t="s">
        <v>1371</v>
      </c>
      <c r="B1256" s="2" t="s">
        <v>2357</v>
      </c>
    </row>
    <row r="1257" spans="1:2" ht="15.75" customHeight="1" x14ac:dyDescent="0.25">
      <c r="A1257" s="2" t="s">
        <v>2164</v>
      </c>
      <c r="B1257" s="2" t="s">
        <v>2358</v>
      </c>
    </row>
    <row r="1258" spans="1:2" ht="15.75" customHeight="1" x14ac:dyDescent="0.25">
      <c r="A1258" s="2" t="s">
        <v>1996</v>
      </c>
      <c r="B1258" s="2" t="s">
        <v>2357</v>
      </c>
    </row>
    <row r="1259" spans="1:2" ht="15.75" customHeight="1" x14ac:dyDescent="0.25">
      <c r="A1259" s="2" t="s">
        <v>1466</v>
      </c>
      <c r="B1259" s="2" t="s">
        <v>2357</v>
      </c>
    </row>
    <row r="1260" spans="1:2" ht="15.75" customHeight="1" x14ac:dyDescent="0.25">
      <c r="A1260" s="2" t="s">
        <v>509</v>
      </c>
      <c r="B1260" s="2" t="s">
        <v>2357</v>
      </c>
    </row>
    <row r="1261" spans="1:2" ht="15.75" customHeight="1" x14ac:dyDescent="0.25">
      <c r="A1261" s="2" t="s">
        <v>2270</v>
      </c>
      <c r="B1261" s="2" t="s">
        <v>2360</v>
      </c>
    </row>
    <row r="1262" spans="1:2" ht="15.75" customHeight="1" x14ac:dyDescent="0.25">
      <c r="A1262" s="2" t="s">
        <v>1963</v>
      </c>
      <c r="B1262" s="2" t="s">
        <v>2357</v>
      </c>
    </row>
    <row r="1263" spans="1:2" ht="15.75" customHeight="1" x14ac:dyDescent="0.25">
      <c r="A1263" s="2" t="s">
        <v>2047</v>
      </c>
      <c r="B1263" s="2" t="s">
        <v>2357</v>
      </c>
    </row>
    <row r="1264" spans="1:2" ht="15.75" customHeight="1" x14ac:dyDescent="0.25">
      <c r="A1264" s="2" t="s">
        <v>440</v>
      </c>
      <c r="B1264" s="2" t="s">
        <v>2357</v>
      </c>
    </row>
    <row r="1265" spans="1:2" ht="15.75" customHeight="1" x14ac:dyDescent="0.25">
      <c r="A1265" s="2" t="s">
        <v>1764</v>
      </c>
      <c r="B1265" s="2" t="s">
        <v>2356</v>
      </c>
    </row>
    <row r="1266" spans="1:2" ht="15.75" customHeight="1" x14ac:dyDescent="0.25">
      <c r="A1266" s="2" t="s">
        <v>871</v>
      </c>
      <c r="B1266" s="2" t="s">
        <v>2356</v>
      </c>
    </row>
    <row r="1267" spans="1:2" ht="15.75" customHeight="1" x14ac:dyDescent="0.25">
      <c r="A1267" s="2" t="s">
        <v>1134</v>
      </c>
      <c r="B1267" s="2" t="s">
        <v>2357</v>
      </c>
    </row>
    <row r="1268" spans="1:2" ht="15.75" customHeight="1" x14ac:dyDescent="0.25">
      <c r="A1268" s="2" t="s">
        <v>1732</v>
      </c>
      <c r="B1268" s="2" t="s">
        <v>2357</v>
      </c>
    </row>
    <row r="1269" spans="1:2" ht="15.75" customHeight="1" x14ac:dyDescent="0.25">
      <c r="A1269" s="2" t="s">
        <v>2106</v>
      </c>
      <c r="B1269" s="2" t="s">
        <v>2356</v>
      </c>
    </row>
    <row r="1270" spans="1:2" ht="15.75" customHeight="1" x14ac:dyDescent="0.25">
      <c r="A1270" s="2" t="s">
        <v>1478</v>
      </c>
      <c r="B1270" s="2" t="s">
        <v>2357</v>
      </c>
    </row>
    <row r="1271" spans="1:2" ht="15.75" customHeight="1" x14ac:dyDescent="0.25">
      <c r="A1271" s="2" t="s">
        <v>2221</v>
      </c>
      <c r="B1271" s="2" t="s">
        <v>2357</v>
      </c>
    </row>
    <row r="1272" spans="1:2" ht="15.75" customHeight="1" x14ac:dyDescent="0.25">
      <c r="A1272" s="2" t="s">
        <v>1343</v>
      </c>
      <c r="B1272" s="2" t="s">
        <v>2357</v>
      </c>
    </row>
    <row r="1273" spans="1:2" ht="15.75" customHeight="1" x14ac:dyDescent="0.25">
      <c r="A1273" s="2" t="s">
        <v>1752</v>
      </c>
      <c r="B1273" s="2" t="s">
        <v>2357</v>
      </c>
    </row>
    <row r="1274" spans="1:2" ht="15.75" customHeight="1" x14ac:dyDescent="0.25">
      <c r="A1274" s="2" t="s">
        <v>2159</v>
      </c>
      <c r="B1274" s="2" t="s">
        <v>2360</v>
      </c>
    </row>
    <row r="1275" spans="1:2" ht="15.75" customHeight="1" x14ac:dyDescent="0.25">
      <c r="A1275" s="2" t="s">
        <v>1439</v>
      </c>
      <c r="B1275" s="2" t="s">
        <v>2359</v>
      </c>
    </row>
    <row r="1276" spans="1:2" ht="15.75" customHeight="1" x14ac:dyDescent="0.25">
      <c r="A1276" s="2" t="s">
        <v>1236</v>
      </c>
      <c r="B1276" s="2" t="s">
        <v>2357</v>
      </c>
    </row>
    <row r="1277" spans="1:2" ht="15.75" customHeight="1" x14ac:dyDescent="0.25">
      <c r="A1277" s="2" t="s">
        <v>1420</v>
      </c>
      <c r="B1277" s="2" t="s">
        <v>2357</v>
      </c>
    </row>
    <row r="1278" spans="1:2" ht="15.75" customHeight="1" x14ac:dyDescent="0.25">
      <c r="A1278" s="2" t="s">
        <v>1859</v>
      </c>
      <c r="B1278" s="2" t="s">
        <v>2357</v>
      </c>
    </row>
    <row r="1279" spans="1:2" ht="15.75" customHeight="1" x14ac:dyDescent="0.25">
      <c r="A1279" s="2" t="s">
        <v>731</v>
      </c>
      <c r="B1279" s="2" t="s">
        <v>2357</v>
      </c>
    </row>
    <row r="1280" spans="1:2" ht="15.75" customHeight="1" x14ac:dyDescent="0.25">
      <c r="A1280" s="2" t="s">
        <v>1428</v>
      </c>
      <c r="B1280" s="2" t="s">
        <v>2357</v>
      </c>
    </row>
    <row r="1281" spans="1:2" ht="15.75" customHeight="1" x14ac:dyDescent="0.25">
      <c r="A1281" s="2" t="s">
        <v>445</v>
      </c>
      <c r="B1281" s="2" t="s">
        <v>2356</v>
      </c>
    </row>
    <row r="1282" spans="1:2" ht="15.75" customHeight="1" x14ac:dyDescent="0.25">
      <c r="A1282" s="2" t="s">
        <v>1225</v>
      </c>
      <c r="B1282" s="2" t="s">
        <v>2357</v>
      </c>
    </row>
    <row r="1283" spans="1:2" ht="15.75" customHeight="1" x14ac:dyDescent="0.25">
      <c r="A1283" s="2" t="s">
        <v>1258</v>
      </c>
      <c r="B1283" s="2" t="s">
        <v>2357</v>
      </c>
    </row>
    <row r="1284" spans="1:2" ht="15.75" customHeight="1" x14ac:dyDescent="0.25">
      <c r="A1284" s="2" t="s">
        <v>241</v>
      </c>
      <c r="B1284" s="2" t="s">
        <v>2359</v>
      </c>
    </row>
    <row r="1285" spans="1:2" ht="15.75" customHeight="1" x14ac:dyDescent="0.25">
      <c r="A1285" s="2" t="s">
        <v>2049</v>
      </c>
      <c r="B1285" s="2" t="s">
        <v>2357</v>
      </c>
    </row>
    <row r="1286" spans="1:2" ht="15.75" customHeight="1" x14ac:dyDescent="0.25">
      <c r="A1286" s="2" t="s">
        <v>2171</v>
      </c>
      <c r="B1286" s="2" t="s">
        <v>2360</v>
      </c>
    </row>
    <row r="1287" spans="1:2" ht="15.75" customHeight="1" x14ac:dyDescent="0.25">
      <c r="A1287" s="2" t="s">
        <v>1515</v>
      </c>
      <c r="B1287" s="2" t="s">
        <v>2357</v>
      </c>
    </row>
    <row r="1288" spans="1:2" ht="15.75" customHeight="1" x14ac:dyDescent="0.25">
      <c r="A1288" s="2" t="s">
        <v>2251</v>
      </c>
      <c r="B1288" s="2" t="s">
        <v>2360</v>
      </c>
    </row>
    <row r="1289" spans="1:2" ht="15.75" customHeight="1" x14ac:dyDescent="0.25">
      <c r="A1289" s="2" t="s">
        <v>1076</v>
      </c>
      <c r="B1289" s="2" t="s">
        <v>2357</v>
      </c>
    </row>
    <row r="1290" spans="1:2" ht="15.75" customHeight="1" x14ac:dyDescent="0.25">
      <c r="A1290" s="2" t="s">
        <v>2214</v>
      </c>
      <c r="B1290" s="2" t="s">
        <v>2357</v>
      </c>
    </row>
    <row r="1291" spans="1:2" ht="15.75" customHeight="1" x14ac:dyDescent="0.25">
      <c r="A1291" s="2" t="s">
        <v>831</v>
      </c>
      <c r="B1291" s="2" t="s">
        <v>2357</v>
      </c>
    </row>
    <row r="1292" spans="1:2" ht="15.75" customHeight="1" x14ac:dyDescent="0.25">
      <c r="A1292" s="2" t="s">
        <v>971</v>
      </c>
      <c r="B1292" s="2" t="s">
        <v>2356</v>
      </c>
    </row>
    <row r="1293" spans="1:2" ht="15.75" customHeight="1" x14ac:dyDescent="0.25">
      <c r="A1293" s="2" t="s">
        <v>1019</v>
      </c>
      <c r="B1293" s="2" t="s">
        <v>2357</v>
      </c>
    </row>
    <row r="1294" spans="1:2" ht="15.75" customHeight="1" x14ac:dyDescent="0.25">
      <c r="A1294" s="2" t="s">
        <v>540</v>
      </c>
      <c r="B1294" s="2" t="s">
        <v>2357</v>
      </c>
    </row>
    <row r="1295" spans="1:2" ht="15.75" customHeight="1" x14ac:dyDescent="0.25">
      <c r="A1295" s="2" t="s">
        <v>1503</v>
      </c>
      <c r="B1295" s="2" t="s">
        <v>2357</v>
      </c>
    </row>
    <row r="1296" spans="1:2" ht="15.75" customHeight="1" x14ac:dyDescent="0.25">
      <c r="A1296" s="2" t="s">
        <v>1600</v>
      </c>
      <c r="B1296" s="2" t="s">
        <v>2357</v>
      </c>
    </row>
    <row r="1297" spans="1:2" ht="15.75" customHeight="1" x14ac:dyDescent="0.25">
      <c r="A1297" s="2" t="s">
        <v>1454</v>
      </c>
      <c r="B1297" s="2" t="s">
        <v>2357</v>
      </c>
    </row>
    <row r="1298" spans="1:2" ht="15.75" customHeight="1" x14ac:dyDescent="0.25">
      <c r="A1298" s="2" t="s">
        <v>1933</v>
      </c>
      <c r="B1298" s="2" t="s">
        <v>2357</v>
      </c>
    </row>
    <row r="1299" spans="1:2" ht="15.75" customHeight="1" x14ac:dyDescent="0.25">
      <c r="A1299" s="2" t="s">
        <v>2299</v>
      </c>
      <c r="B1299" s="2" t="s">
        <v>2357</v>
      </c>
    </row>
    <row r="1300" spans="1:2" ht="15.75" customHeight="1" x14ac:dyDescent="0.25">
      <c r="A1300" s="2" t="s">
        <v>2303</v>
      </c>
      <c r="B1300" s="2" t="s">
        <v>2357</v>
      </c>
    </row>
    <row r="1301" spans="1:2" ht="15.75" customHeight="1" x14ac:dyDescent="0.25">
      <c r="A1301" s="2" t="s">
        <v>1147</v>
      </c>
      <c r="B1301" s="2" t="s">
        <v>2357</v>
      </c>
    </row>
    <row r="1302" spans="1:2" ht="15.75" customHeight="1" x14ac:dyDescent="0.25">
      <c r="A1302" s="2" t="s">
        <v>1423</v>
      </c>
      <c r="B1302" s="2" t="s">
        <v>2357</v>
      </c>
    </row>
    <row r="1303" spans="1:2" ht="15.75" customHeight="1" x14ac:dyDescent="0.25">
      <c r="A1303" s="2" t="s">
        <v>1588</v>
      </c>
      <c r="B1303" s="2" t="s">
        <v>2357</v>
      </c>
    </row>
    <row r="1304" spans="1:2" ht="15.75" customHeight="1" x14ac:dyDescent="0.25">
      <c r="A1304" s="2" t="s">
        <v>1598</v>
      </c>
      <c r="B1304" s="2" t="s">
        <v>2357</v>
      </c>
    </row>
    <row r="1305" spans="1:2" ht="15.75" customHeight="1" x14ac:dyDescent="0.25">
      <c r="A1305" s="2" t="s">
        <v>737</v>
      </c>
      <c r="B1305" s="2" t="s">
        <v>2359</v>
      </c>
    </row>
    <row r="1306" spans="1:2" ht="15.75" customHeight="1" x14ac:dyDescent="0.25">
      <c r="A1306" s="2" t="s">
        <v>2069</v>
      </c>
      <c r="B1306" s="2" t="s">
        <v>2357</v>
      </c>
    </row>
    <row r="1307" spans="1:2" ht="15.75" customHeight="1" x14ac:dyDescent="0.25">
      <c r="A1307" s="2" t="s">
        <v>1159</v>
      </c>
      <c r="B1307" s="2" t="s">
        <v>2356</v>
      </c>
    </row>
    <row r="1308" spans="1:2" ht="15.75" customHeight="1" x14ac:dyDescent="0.25">
      <c r="A1308" s="2" t="s">
        <v>535</v>
      </c>
      <c r="B1308" s="2" t="s">
        <v>2357</v>
      </c>
    </row>
    <row r="1309" spans="1:2" ht="15.75" customHeight="1" x14ac:dyDescent="0.25">
      <c r="A1309" s="2" t="s">
        <v>334</v>
      </c>
      <c r="B1309" s="2" t="s">
        <v>2357</v>
      </c>
    </row>
    <row r="1310" spans="1:2" ht="15.75" customHeight="1" x14ac:dyDescent="0.25">
      <c r="A1310" s="2" t="s">
        <v>2265</v>
      </c>
      <c r="B1310" s="2" t="s">
        <v>2360</v>
      </c>
    </row>
    <row r="1311" spans="1:2" ht="15.75" customHeight="1" x14ac:dyDescent="0.25">
      <c r="A1311" s="2" t="s">
        <v>850</v>
      </c>
      <c r="B1311" s="2" t="s">
        <v>2357</v>
      </c>
    </row>
    <row r="1312" spans="1:2" ht="15.75" customHeight="1" x14ac:dyDescent="0.25">
      <c r="A1312" s="2" t="s">
        <v>1217</v>
      </c>
      <c r="B1312" s="2" t="s">
        <v>2357</v>
      </c>
    </row>
    <row r="1313" spans="1:2" ht="15.75" customHeight="1" x14ac:dyDescent="0.25">
      <c r="A1313" s="2" t="s">
        <v>1556</v>
      </c>
      <c r="B1313" s="2" t="s">
        <v>2357</v>
      </c>
    </row>
    <row r="1314" spans="1:2" ht="15.75" customHeight="1" x14ac:dyDescent="0.25">
      <c r="A1314" s="2" t="s">
        <v>1496</v>
      </c>
      <c r="B1314" s="2" t="s">
        <v>2357</v>
      </c>
    </row>
    <row r="1315" spans="1:2" ht="15.75" customHeight="1" x14ac:dyDescent="0.25">
      <c r="A1315" s="2" t="s">
        <v>2347</v>
      </c>
      <c r="B1315" s="2" t="s">
        <v>2359</v>
      </c>
    </row>
    <row r="1316" spans="1:2" ht="15.75" customHeight="1" x14ac:dyDescent="0.25">
      <c r="A1316" s="2" t="s">
        <v>1938</v>
      </c>
      <c r="B1316" s="2" t="s">
        <v>2357</v>
      </c>
    </row>
    <row r="1317" spans="1:2" ht="15.75" customHeight="1" x14ac:dyDescent="0.25">
      <c r="A1317" s="2" t="s">
        <v>545</v>
      </c>
      <c r="B1317" s="2" t="s">
        <v>2357</v>
      </c>
    </row>
    <row r="1318" spans="1:2" ht="15.75" customHeight="1" x14ac:dyDescent="0.25">
      <c r="A1318" s="2" t="s">
        <v>1427</v>
      </c>
      <c r="B1318" s="2" t="s">
        <v>2357</v>
      </c>
    </row>
    <row r="1319" spans="1:2" ht="15.75" customHeight="1" x14ac:dyDescent="0.25">
      <c r="A1319" s="2" t="s">
        <v>1092</v>
      </c>
      <c r="B1319" s="2" t="s">
        <v>2357</v>
      </c>
    </row>
    <row r="1320" spans="1:2" ht="15.75" customHeight="1" x14ac:dyDescent="0.25">
      <c r="A1320" s="2" t="s">
        <v>1513</v>
      </c>
      <c r="B1320" s="2" t="s">
        <v>2357</v>
      </c>
    </row>
    <row r="1321" spans="1:2" ht="15.75" customHeight="1" x14ac:dyDescent="0.25">
      <c r="A1321" s="2" t="s">
        <v>1056</v>
      </c>
      <c r="B1321" s="2" t="s">
        <v>2357</v>
      </c>
    </row>
    <row r="1322" spans="1:2" ht="15.75" customHeight="1" x14ac:dyDescent="0.25">
      <c r="A1322" s="2" t="s">
        <v>2160</v>
      </c>
      <c r="B1322" s="2" t="s">
        <v>2357</v>
      </c>
    </row>
    <row r="1323" spans="1:2" ht="15.75" customHeight="1" x14ac:dyDescent="0.25">
      <c r="A1323" s="2" t="s">
        <v>2212</v>
      </c>
      <c r="B1323" s="2" t="s">
        <v>2358</v>
      </c>
    </row>
    <row r="1324" spans="1:2" ht="15.75" customHeight="1" x14ac:dyDescent="0.25">
      <c r="A1324" s="2" t="s">
        <v>485</v>
      </c>
      <c r="B1324" s="2" t="s">
        <v>2357</v>
      </c>
    </row>
    <row r="1325" spans="1:2" ht="15.75" customHeight="1" x14ac:dyDescent="0.25">
      <c r="A1325" s="2" t="s">
        <v>2183</v>
      </c>
      <c r="B1325" s="2" t="s">
        <v>2357</v>
      </c>
    </row>
    <row r="1326" spans="1:2" ht="15.75" customHeight="1" x14ac:dyDescent="0.25">
      <c r="A1326" s="2" t="s">
        <v>474</v>
      </c>
      <c r="B1326" s="2" t="s">
        <v>2357</v>
      </c>
    </row>
    <row r="1327" spans="1:2" ht="15.75" customHeight="1" x14ac:dyDescent="0.25">
      <c r="A1327" s="2" t="s">
        <v>1701</v>
      </c>
      <c r="B1327" s="2" t="s">
        <v>2356</v>
      </c>
    </row>
    <row r="1328" spans="1:2" ht="15.75" customHeight="1" x14ac:dyDescent="0.25">
      <c r="A1328" s="2" t="s">
        <v>561</v>
      </c>
      <c r="B1328" s="2" t="s">
        <v>2357</v>
      </c>
    </row>
    <row r="1329" spans="1:2" ht="15.75" customHeight="1" x14ac:dyDescent="0.25">
      <c r="A1329" s="2" t="s">
        <v>507</v>
      </c>
      <c r="B1329" s="2" t="s">
        <v>2357</v>
      </c>
    </row>
    <row r="1330" spans="1:2" ht="15.75" customHeight="1" x14ac:dyDescent="0.25">
      <c r="A1330" s="2" t="s">
        <v>2015</v>
      </c>
      <c r="B1330" s="2" t="s">
        <v>2357</v>
      </c>
    </row>
    <row r="1331" spans="1:2" ht="15.75" customHeight="1" x14ac:dyDescent="0.25">
      <c r="A1331" s="2" t="s">
        <v>701</v>
      </c>
      <c r="B1331" s="2" t="s">
        <v>2357</v>
      </c>
    </row>
    <row r="1332" spans="1:2" ht="15.75" customHeight="1" x14ac:dyDescent="0.25">
      <c r="A1332" s="2" t="s">
        <v>1896</v>
      </c>
      <c r="B1332" s="2" t="s">
        <v>2357</v>
      </c>
    </row>
    <row r="1333" spans="1:2" ht="15.75" customHeight="1" x14ac:dyDescent="0.25">
      <c r="A1333" s="2" t="s">
        <v>2243</v>
      </c>
      <c r="B1333" s="2" t="s">
        <v>2358</v>
      </c>
    </row>
    <row r="1334" spans="1:2" ht="15.75" customHeight="1" x14ac:dyDescent="0.25">
      <c r="A1334" s="2" t="s">
        <v>1656</v>
      </c>
      <c r="B1334" s="2" t="s">
        <v>2359</v>
      </c>
    </row>
    <row r="1335" spans="1:2" ht="15.75" customHeight="1" x14ac:dyDescent="0.25">
      <c r="A1335" s="2" t="s">
        <v>390</v>
      </c>
      <c r="B1335" s="2" t="s">
        <v>2357</v>
      </c>
    </row>
    <row r="1336" spans="1:2" ht="15.75" customHeight="1" x14ac:dyDescent="0.25">
      <c r="A1336" s="2" t="s">
        <v>1097</v>
      </c>
      <c r="B1336" s="2" t="s">
        <v>2357</v>
      </c>
    </row>
    <row r="1337" spans="1:2" ht="15.75" customHeight="1" x14ac:dyDescent="0.25">
      <c r="A1337" s="2" t="s">
        <v>1479</v>
      </c>
      <c r="B1337" s="2" t="s">
        <v>2357</v>
      </c>
    </row>
    <row r="1338" spans="1:2" ht="15.75" customHeight="1" x14ac:dyDescent="0.25">
      <c r="A1338" s="2" t="s">
        <v>946</v>
      </c>
      <c r="B1338" s="2" t="s">
        <v>2357</v>
      </c>
    </row>
    <row r="1339" spans="1:2" ht="15.75" customHeight="1" x14ac:dyDescent="0.25">
      <c r="A1339" s="2" t="s">
        <v>2168</v>
      </c>
      <c r="B1339" s="2" t="s">
        <v>2357</v>
      </c>
    </row>
    <row r="1340" spans="1:2" ht="15.75" customHeight="1" x14ac:dyDescent="0.25">
      <c r="A1340" s="2" t="s">
        <v>1618</v>
      </c>
      <c r="B1340" s="2" t="s">
        <v>2357</v>
      </c>
    </row>
    <row r="1341" spans="1:2" ht="15.75" customHeight="1" x14ac:dyDescent="0.25">
      <c r="A1341" s="2" t="s">
        <v>581</v>
      </c>
      <c r="B1341" s="2" t="s">
        <v>2356</v>
      </c>
    </row>
    <row r="1342" spans="1:2" ht="15.75" customHeight="1" x14ac:dyDescent="0.25">
      <c r="A1342" s="2" t="s">
        <v>1118</v>
      </c>
      <c r="B1342" s="2" t="s">
        <v>2357</v>
      </c>
    </row>
    <row r="1343" spans="1:2" ht="15.75" customHeight="1" x14ac:dyDescent="0.25">
      <c r="A1343" s="2" t="s">
        <v>1017</v>
      </c>
      <c r="B1343" s="2" t="s">
        <v>2357</v>
      </c>
    </row>
    <row r="1344" spans="1:2" ht="15.75" customHeight="1" x14ac:dyDescent="0.25">
      <c r="A1344" s="2" t="s">
        <v>2148</v>
      </c>
      <c r="B1344" s="2" t="s">
        <v>2357</v>
      </c>
    </row>
    <row r="1345" spans="1:2" ht="15.75" customHeight="1" x14ac:dyDescent="0.25">
      <c r="A1345" s="2" t="s">
        <v>2041</v>
      </c>
      <c r="B1345" s="2" t="s">
        <v>2357</v>
      </c>
    </row>
    <row r="1346" spans="1:2" ht="15.75" customHeight="1" x14ac:dyDescent="0.25">
      <c r="A1346" s="2" t="s">
        <v>849</v>
      </c>
      <c r="B1346" s="2" t="s">
        <v>2357</v>
      </c>
    </row>
    <row r="1347" spans="1:2" ht="15.75" customHeight="1" x14ac:dyDescent="0.25">
      <c r="A1347" s="2" t="s">
        <v>2317</v>
      </c>
      <c r="B1347" s="2" t="s">
        <v>2358</v>
      </c>
    </row>
    <row r="1348" spans="1:2" ht="15.75" customHeight="1" x14ac:dyDescent="0.25">
      <c r="A1348" s="2" t="s">
        <v>493</v>
      </c>
      <c r="B1348" s="2" t="s">
        <v>2357</v>
      </c>
    </row>
    <row r="1349" spans="1:2" ht="15.75" customHeight="1" x14ac:dyDescent="0.25">
      <c r="A1349" s="2" t="s">
        <v>1432</v>
      </c>
      <c r="B1349" s="2" t="s">
        <v>2359</v>
      </c>
    </row>
    <row r="1350" spans="1:2" ht="15.75" customHeight="1" x14ac:dyDescent="0.25">
      <c r="A1350" s="2" t="s">
        <v>1208</v>
      </c>
      <c r="B1350" s="2" t="s">
        <v>2357</v>
      </c>
    </row>
    <row r="1351" spans="1:2" ht="15.75" customHeight="1" x14ac:dyDescent="0.25">
      <c r="A1351" s="2" t="s">
        <v>2234</v>
      </c>
      <c r="B1351" s="2" t="s">
        <v>2358</v>
      </c>
    </row>
    <row r="1352" spans="1:2" ht="15.75" customHeight="1" x14ac:dyDescent="0.25">
      <c r="A1352" s="2" t="s">
        <v>1721</v>
      </c>
      <c r="B1352" s="2" t="s">
        <v>2357</v>
      </c>
    </row>
    <row r="1353" spans="1:2" ht="15.75" customHeight="1" x14ac:dyDescent="0.25">
      <c r="A1353" s="2" t="s">
        <v>925</v>
      </c>
      <c r="B1353" s="2" t="s">
        <v>2357</v>
      </c>
    </row>
    <row r="1354" spans="1:2" ht="15.75" customHeight="1" x14ac:dyDescent="0.25">
      <c r="A1354" s="2" t="s">
        <v>630</v>
      </c>
      <c r="B1354" s="2" t="s">
        <v>2357</v>
      </c>
    </row>
    <row r="1355" spans="1:2" ht="15.75" customHeight="1" x14ac:dyDescent="0.25">
      <c r="A1355" s="2" t="s">
        <v>1669</v>
      </c>
      <c r="B1355" s="2" t="s">
        <v>2357</v>
      </c>
    </row>
    <row r="1356" spans="1:2" ht="15.75" customHeight="1" x14ac:dyDescent="0.25">
      <c r="A1356" s="2" t="s">
        <v>1468</v>
      </c>
      <c r="B1356" s="2" t="s">
        <v>2357</v>
      </c>
    </row>
    <row r="1357" spans="1:2" ht="15.75" customHeight="1" x14ac:dyDescent="0.25">
      <c r="A1357" s="2" t="s">
        <v>204</v>
      </c>
      <c r="B1357" s="2" t="s">
        <v>2357</v>
      </c>
    </row>
    <row r="1358" spans="1:2" ht="15.75" customHeight="1" x14ac:dyDescent="0.25">
      <c r="A1358" s="2" t="s">
        <v>879</v>
      </c>
      <c r="B1358" s="2" t="s">
        <v>2357</v>
      </c>
    </row>
    <row r="1359" spans="1:2" ht="15.75" customHeight="1" x14ac:dyDescent="0.25">
      <c r="A1359" s="2" t="s">
        <v>1894</v>
      </c>
      <c r="B1359" s="2" t="s">
        <v>2357</v>
      </c>
    </row>
    <row r="1360" spans="1:2" ht="15.75" customHeight="1" x14ac:dyDescent="0.25">
      <c r="A1360" s="2" t="s">
        <v>1911</v>
      </c>
      <c r="B1360" s="2" t="s">
        <v>2357</v>
      </c>
    </row>
    <row r="1361" spans="1:2" ht="15.75" customHeight="1" x14ac:dyDescent="0.25">
      <c r="A1361" s="2" t="s">
        <v>1937</v>
      </c>
      <c r="B1361" s="2" t="s">
        <v>2356</v>
      </c>
    </row>
    <row r="1362" spans="1:2" ht="15.75" customHeight="1" x14ac:dyDescent="0.25">
      <c r="A1362" s="2" t="s">
        <v>1356</v>
      </c>
      <c r="B1362" s="2" t="s">
        <v>2357</v>
      </c>
    </row>
    <row r="1363" spans="1:2" ht="15.75" customHeight="1" x14ac:dyDescent="0.25">
      <c r="A1363" s="2" t="s">
        <v>1661</v>
      </c>
      <c r="B1363" s="2" t="s">
        <v>2356</v>
      </c>
    </row>
    <row r="1364" spans="1:2" ht="15.75" customHeight="1" x14ac:dyDescent="0.25">
      <c r="A1364" s="2" t="s">
        <v>1064</v>
      </c>
      <c r="B1364" s="2" t="s">
        <v>2357</v>
      </c>
    </row>
    <row r="1365" spans="1:2" ht="15.75" customHeight="1" x14ac:dyDescent="0.25">
      <c r="A1365" s="2" t="s">
        <v>1357</v>
      </c>
      <c r="B1365" s="2" t="s">
        <v>2357</v>
      </c>
    </row>
    <row r="1366" spans="1:2" ht="15.75" customHeight="1" x14ac:dyDescent="0.25">
      <c r="A1366" s="2" t="s">
        <v>1976</v>
      </c>
      <c r="B1366" s="2" t="s">
        <v>2357</v>
      </c>
    </row>
    <row r="1367" spans="1:2" ht="15.75" customHeight="1" x14ac:dyDescent="0.25">
      <c r="A1367" s="2" t="s">
        <v>1946</v>
      </c>
      <c r="B1367" s="2" t="s">
        <v>2357</v>
      </c>
    </row>
    <row r="1368" spans="1:2" ht="15.75" customHeight="1" x14ac:dyDescent="0.25">
      <c r="A1368" s="2" t="s">
        <v>2029</v>
      </c>
      <c r="B1368" s="2" t="s">
        <v>2357</v>
      </c>
    </row>
    <row r="1369" spans="1:2" ht="15.75" customHeight="1" x14ac:dyDescent="0.25">
      <c r="A1369" s="2" t="s">
        <v>2039</v>
      </c>
      <c r="B1369" s="2" t="s">
        <v>2356</v>
      </c>
    </row>
    <row r="1370" spans="1:2" ht="15.75" customHeight="1" x14ac:dyDescent="0.25">
      <c r="A1370" s="2" t="s">
        <v>1028</v>
      </c>
      <c r="B1370" s="2" t="s">
        <v>2357</v>
      </c>
    </row>
    <row r="1371" spans="1:2" ht="15.75" customHeight="1" x14ac:dyDescent="0.25">
      <c r="A1371" s="2" t="s">
        <v>1553</v>
      </c>
      <c r="B1371" s="2" t="s">
        <v>2356</v>
      </c>
    </row>
    <row r="1372" spans="1:2" ht="15.75" customHeight="1" x14ac:dyDescent="0.25">
      <c r="A1372" s="2" t="s">
        <v>1086</v>
      </c>
      <c r="B1372" s="2" t="s">
        <v>2357</v>
      </c>
    </row>
    <row r="1373" spans="1:2" ht="15.75" customHeight="1" x14ac:dyDescent="0.25">
      <c r="A1373" s="2" t="s">
        <v>1540</v>
      </c>
      <c r="B1373" s="2" t="s">
        <v>2357</v>
      </c>
    </row>
    <row r="1374" spans="1:2" ht="15.75" customHeight="1" x14ac:dyDescent="0.25">
      <c r="A1374" s="2" t="s">
        <v>801</v>
      </c>
      <c r="B1374" s="2" t="s">
        <v>2357</v>
      </c>
    </row>
    <row r="1375" spans="1:2" ht="15.75" customHeight="1" x14ac:dyDescent="0.25">
      <c r="A1375" s="2" t="s">
        <v>1354</v>
      </c>
      <c r="B1375" s="2" t="s">
        <v>2357</v>
      </c>
    </row>
    <row r="1376" spans="1:2" ht="15.75" customHeight="1" x14ac:dyDescent="0.25">
      <c r="A1376" s="2" t="s">
        <v>768</v>
      </c>
      <c r="B1376" s="2" t="s">
        <v>2357</v>
      </c>
    </row>
    <row r="1377" spans="1:2" ht="15.75" customHeight="1" x14ac:dyDescent="0.25">
      <c r="A1377" s="2" t="s">
        <v>1089</v>
      </c>
      <c r="B1377" s="2" t="s">
        <v>2356</v>
      </c>
    </row>
    <row r="1378" spans="1:2" ht="15.75" customHeight="1" x14ac:dyDescent="0.25">
      <c r="A1378" s="2" t="s">
        <v>236</v>
      </c>
      <c r="B1378" s="2" t="s">
        <v>2357</v>
      </c>
    </row>
    <row r="1379" spans="1:2" ht="15.75" customHeight="1" x14ac:dyDescent="0.25">
      <c r="A1379" s="2" t="s">
        <v>1616</v>
      </c>
      <c r="B1379" s="2" t="s">
        <v>2357</v>
      </c>
    </row>
    <row r="1380" spans="1:2" ht="15.75" customHeight="1" x14ac:dyDescent="0.25">
      <c r="A1380" s="2" t="s">
        <v>1608</v>
      </c>
      <c r="B1380" s="2" t="s">
        <v>2357</v>
      </c>
    </row>
    <row r="1381" spans="1:2" ht="15.75" customHeight="1" x14ac:dyDescent="0.25">
      <c r="A1381" s="2" t="s">
        <v>833</v>
      </c>
      <c r="B1381" s="2" t="s">
        <v>2357</v>
      </c>
    </row>
    <row r="1382" spans="1:2" ht="15.75" customHeight="1" x14ac:dyDescent="0.25">
      <c r="A1382" s="2" t="s">
        <v>2060</v>
      </c>
      <c r="B1382" s="2" t="s">
        <v>2357</v>
      </c>
    </row>
    <row r="1383" spans="1:2" ht="15.75" customHeight="1" x14ac:dyDescent="0.25">
      <c r="A1383" s="2" t="s">
        <v>1837</v>
      </c>
      <c r="B1383" s="2" t="s">
        <v>2359</v>
      </c>
    </row>
    <row r="1384" spans="1:2" ht="15.75" customHeight="1" x14ac:dyDescent="0.25">
      <c r="A1384" s="2" t="s">
        <v>1499</v>
      </c>
      <c r="B1384" s="2" t="s">
        <v>2356</v>
      </c>
    </row>
    <row r="1385" spans="1:2" ht="15.75" customHeight="1" x14ac:dyDescent="0.25">
      <c r="A1385" s="2" t="s">
        <v>1815</v>
      </c>
      <c r="B1385" s="2" t="s">
        <v>2357</v>
      </c>
    </row>
    <row r="1386" spans="1:2" ht="15.75" customHeight="1" x14ac:dyDescent="0.25">
      <c r="A1386" s="2" t="s">
        <v>2272</v>
      </c>
      <c r="B1386" s="2" t="s">
        <v>2360</v>
      </c>
    </row>
    <row r="1387" spans="1:2" ht="15.75" customHeight="1" x14ac:dyDescent="0.25">
      <c r="A1387" s="2" t="s">
        <v>2163</v>
      </c>
      <c r="B1387" s="2" t="s">
        <v>2357</v>
      </c>
    </row>
    <row r="1388" spans="1:2" ht="15.75" customHeight="1" x14ac:dyDescent="0.25">
      <c r="A1388" s="2" t="s">
        <v>1782</v>
      </c>
      <c r="B1388" s="2" t="s">
        <v>2357</v>
      </c>
    </row>
    <row r="1389" spans="1:2" ht="15.75" customHeight="1" x14ac:dyDescent="0.25">
      <c r="A1389" s="2" t="s">
        <v>1398</v>
      </c>
      <c r="B1389" s="2" t="s">
        <v>2357</v>
      </c>
    </row>
    <row r="1390" spans="1:2" ht="15.75" customHeight="1" x14ac:dyDescent="0.25">
      <c r="A1390" s="2" t="s">
        <v>1262</v>
      </c>
      <c r="B1390" s="2" t="s">
        <v>2357</v>
      </c>
    </row>
    <row r="1391" spans="1:2" ht="15.75" customHeight="1" x14ac:dyDescent="0.25">
      <c r="A1391" s="2" t="s">
        <v>2063</v>
      </c>
      <c r="B1391" s="2" t="s">
        <v>2357</v>
      </c>
    </row>
    <row r="1392" spans="1:2" ht="15.75" customHeight="1" x14ac:dyDescent="0.25">
      <c r="A1392" s="2" t="s">
        <v>2294</v>
      </c>
      <c r="B1392" s="2" t="s">
        <v>2358</v>
      </c>
    </row>
    <row r="1393" spans="1:2" ht="15.75" customHeight="1" x14ac:dyDescent="0.25">
      <c r="A1393" s="2" t="s">
        <v>1272</v>
      </c>
      <c r="B1393" s="2" t="s">
        <v>2357</v>
      </c>
    </row>
    <row r="1394" spans="1:2" ht="15.75" customHeight="1" x14ac:dyDescent="0.25">
      <c r="A1394" s="2" t="s">
        <v>1681</v>
      </c>
      <c r="B1394" s="2" t="s">
        <v>2357</v>
      </c>
    </row>
    <row r="1395" spans="1:2" ht="15.75" customHeight="1" x14ac:dyDescent="0.25">
      <c r="A1395" s="2" t="s">
        <v>936</v>
      </c>
      <c r="B1395" s="2" t="s">
        <v>2357</v>
      </c>
    </row>
    <row r="1396" spans="1:2" ht="15.75" customHeight="1" x14ac:dyDescent="0.25">
      <c r="A1396" s="2" t="s">
        <v>230</v>
      </c>
      <c r="B1396" s="2" t="s">
        <v>2357</v>
      </c>
    </row>
    <row r="1397" spans="1:2" ht="15.75" customHeight="1" x14ac:dyDescent="0.25">
      <c r="A1397" s="2" t="s">
        <v>1796</v>
      </c>
      <c r="B1397" s="2" t="s">
        <v>2356</v>
      </c>
    </row>
    <row r="1398" spans="1:2" ht="15.75" customHeight="1" x14ac:dyDescent="0.25">
      <c r="A1398" s="2" t="s">
        <v>1881</v>
      </c>
      <c r="B1398" s="2" t="s">
        <v>2357</v>
      </c>
    </row>
    <row r="1399" spans="1:2" ht="15.75" customHeight="1" x14ac:dyDescent="0.25">
      <c r="A1399" s="2" t="s">
        <v>2235</v>
      </c>
      <c r="B1399" s="2" t="s">
        <v>2360</v>
      </c>
    </row>
    <row r="1400" spans="1:2" ht="15.75" customHeight="1" x14ac:dyDescent="0.25">
      <c r="A1400" s="2" t="s">
        <v>2003</v>
      </c>
      <c r="B1400" s="2" t="s">
        <v>2357</v>
      </c>
    </row>
    <row r="1401" spans="1:2" ht="15.75" customHeight="1" x14ac:dyDescent="0.25">
      <c r="A1401" s="2" t="s">
        <v>2104</v>
      </c>
      <c r="B1401" s="2" t="s">
        <v>2356</v>
      </c>
    </row>
    <row r="1402" spans="1:2" ht="15.75" customHeight="1" x14ac:dyDescent="0.25">
      <c r="A1402" s="2" t="s">
        <v>1274</v>
      </c>
      <c r="B1402" s="2" t="s">
        <v>2356</v>
      </c>
    </row>
    <row r="1403" spans="1:2" ht="15.75" customHeight="1" x14ac:dyDescent="0.25">
      <c r="A1403" s="2" t="s">
        <v>1425</v>
      </c>
      <c r="B1403" s="2" t="s">
        <v>2357</v>
      </c>
    </row>
    <row r="1404" spans="1:2" ht="15.75" customHeight="1" x14ac:dyDescent="0.25">
      <c r="A1404" s="2" t="s">
        <v>663</v>
      </c>
      <c r="B1404" s="2" t="s">
        <v>2356</v>
      </c>
    </row>
    <row r="1405" spans="1:2" ht="15.75" customHeight="1" x14ac:dyDescent="0.25">
      <c r="A1405" s="2" t="s">
        <v>809</v>
      </c>
      <c r="B1405" s="2" t="s">
        <v>2357</v>
      </c>
    </row>
    <row r="1406" spans="1:2" ht="15.75" customHeight="1" x14ac:dyDescent="0.25">
      <c r="A1406" s="2" t="s">
        <v>2107</v>
      </c>
      <c r="B1406" s="2" t="s">
        <v>2357</v>
      </c>
    </row>
    <row r="1407" spans="1:2" ht="15.75" customHeight="1" x14ac:dyDescent="0.25">
      <c r="A1407" s="2" t="s">
        <v>655</v>
      </c>
      <c r="B1407" s="2" t="s">
        <v>2357</v>
      </c>
    </row>
    <row r="1408" spans="1:2" ht="15.75" customHeight="1" x14ac:dyDescent="0.25">
      <c r="A1408" s="2" t="s">
        <v>1113</v>
      </c>
      <c r="B1408" s="2" t="s">
        <v>2357</v>
      </c>
    </row>
    <row r="1409" spans="1:2" ht="15.75" customHeight="1" x14ac:dyDescent="0.25">
      <c r="A1409" s="2" t="s">
        <v>1662</v>
      </c>
      <c r="B1409" s="2" t="s">
        <v>2356</v>
      </c>
    </row>
    <row r="1410" spans="1:2" ht="15.75" customHeight="1" x14ac:dyDescent="0.25">
      <c r="A1410" s="2" t="s">
        <v>399</v>
      </c>
      <c r="B1410" s="2" t="s">
        <v>2356</v>
      </c>
    </row>
    <row r="1411" spans="1:2" ht="15.75" customHeight="1" x14ac:dyDescent="0.25">
      <c r="A1411" s="2" t="s">
        <v>522</v>
      </c>
      <c r="B1411" s="2" t="s">
        <v>2357</v>
      </c>
    </row>
    <row r="1412" spans="1:2" ht="15.75" customHeight="1" x14ac:dyDescent="0.25">
      <c r="A1412" s="2" t="s">
        <v>1698</v>
      </c>
      <c r="B1412" s="2" t="s">
        <v>2357</v>
      </c>
    </row>
    <row r="1413" spans="1:2" ht="15.75" customHeight="1" x14ac:dyDescent="0.25">
      <c r="A1413" s="2" t="s">
        <v>2102</v>
      </c>
      <c r="B1413" s="2" t="s">
        <v>2357</v>
      </c>
    </row>
    <row r="1414" spans="1:2" ht="15.75" customHeight="1" x14ac:dyDescent="0.25">
      <c r="A1414" s="2" t="s">
        <v>590</v>
      </c>
      <c r="B1414" s="2" t="s">
        <v>2357</v>
      </c>
    </row>
    <row r="1415" spans="1:2" ht="15.75" customHeight="1" x14ac:dyDescent="0.25">
      <c r="A1415" s="2" t="s">
        <v>124</v>
      </c>
      <c r="B1415" s="2" t="s">
        <v>2357</v>
      </c>
    </row>
    <row r="1416" spans="1:2" ht="15.75" customHeight="1" x14ac:dyDescent="0.25">
      <c r="A1416" s="2" t="s">
        <v>1292</v>
      </c>
      <c r="B1416" s="2" t="s">
        <v>2357</v>
      </c>
    </row>
    <row r="1417" spans="1:2" ht="15.75" customHeight="1" x14ac:dyDescent="0.25">
      <c r="A1417" s="2" t="s">
        <v>1449</v>
      </c>
      <c r="B1417" s="2" t="s">
        <v>2356</v>
      </c>
    </row>
    <row r="1418" spans="1:2" ht="15.75" customHeight="1" x14ac:dyDescent="0.25">
      <c r="A1418" s="2" t="s">
        <v>1518</v>
      </c>
      <c r="B1418" s="2" t="s">
        <v>2357</v>
      </c>
    </row>
    <row r="1419" spans="1:2" ht="15.75" customHeight="1" x14ac:dyDescent="0.25">
      <c r="A1419" s="2" t="s">
        <v>1778</v>
      </c>
      <c r="B1419" s="2" t="s">
        <v>2357</v>
      </c>
    </row>
    <row r="1420" spans="1:2" ht="15.75" customHeight="1" x14ac:dyDescent="0.25">
      <c r="A1420" s="2" t="s">
        <v>1740</v>
      </c>
      <c r="B1420" s="2" t="s">
        <v>2356</v>
      </c>
    </row>
    <row r="1421" spans="1:2" ht="15.75" customHeight="1" x14ac:dyDescent="0.25">
      <c r="A1421" s="2" t="s">
        <v>263</v>
      </c>
      <c r="B1421" s="2" t="s">
        <v>2357</v>
      </c>
    </row>
    <row r="1422" spans="1:2" ht="15.75" customHeight="1" x14ac:dyDescent="0.25">
      <c r="A1422" s="2" t="s">
        <v>1704</v>
      </c>
      <c r="B1422" s="2" t="s">
        <v>2356</v>
      </c>
    </row>
    <row r="1423" spans="1:2" ht="15.75" customHeight="1" x14ac:dyDescent="0.25">
      <c r="A1423" s="2" t="s">
        <v>517</v>
      </c>
      <c r="B1423" s="2" t="s">
        <v>2356</v>
      </c>
    </row>
    <row r="1424" spans="1:2" ht="15.75" customHeight="1" x14ac:dyDescent="0.25">
      <c r="A1424" s="2" t="s">
        <v>1838</v>
      </c>
      <c r="B1424" s="2" t="s">
        <v>2356</v>
      </c>
    </row>
    <row r="1425" spans="1:2" ht="15.75" customHeight="1" x14ac:dyDescent="0.25">
      <c r="A1425" s="2" t="s">
        <v>1014</v>
      </c>
      <c r="B1425" s="2" t="s">
        <v>2357</v>
      </c>
    </row>
    <row r="1426" spans="1:2" ht="15.75" customHeight="1" x14ac:dyDescent="0.25">
      <c r="A1426" s="2" t="s">
        <v>1694</v>
      </c>
      <c r="B1426" s="2" t="s">
        <v>2357</v>
      </c>
    </row>
    <row r="1427" spans="1:2" ht="15.75" customHeight="1" x14ac:dyDescent="0.25">
      <c r="A1427" s="2" t="s">
        <v>1743</v>
      </c>
      <c r="B1427" s="2" t="s">
        <v>2356</v>
      </c>
    </row>
    <row r="1428" spans="1:2" ht="15.75" customHeight="1" x14ac:dyDescent="0.25">
      <c r="A1428" s="2" t="s">
        <v>1264</v>
      </c>
      <c r="B1428" s="2" t="s">
        <v>2357</v>
      </c>
    </row>
    <row r="1429" spans="1:2" ht="15.75" customHeight="1" x14ac:dyDescent="0.25">
      <c r="A1429" s="2" t="s">
        <v>783</v>
      </c>
      <c r="B1429" s="2" t="s">
        <v>2356</v>
      </c>
    </row>
    <row r="1430" spans="1:2" ht="15.75" customHeight="1" x14ac:dyDescent="0.25">
      <c r="A1430" s="2" t="s">
        <v>2177</v>
      </c>
      <c r="B1430" s="2" t="s">
        <v>2359</v>
      </c>
    </row>
    <row r="1431" spans="1:2" ht="15.75" customHeight="1" x14ac:dyDescent="0.25">
      <c r="A1431" s="2" t="s">
        <v>1158</v>
      </c>
      <c r="B1431" s="2" t="s">
        <v>2357</v>
      </c>
    </row>
    <row r="1432" spans="1:2" ht="15.75" customHeight="1" x14ac:dyDescent="0.25">
      <c r="A1432" s="2" t="s">
        <v>1589</v>
      </c>
      <c r="B1432" s="2" t="s">
        <v>2357</v>
      </c>
    </row>
    <row r="1433" spans="1:2" ht="15.75" customHeight="1" x14ac:dyDescent="0.25">
      <c r="A1433" s="2" t="s">
        <v>1866</v>
      </c>
      <c r="B1433" s="2" t="s">
        <v>2357</v>
      </c>
    </row>
    <row r="1434" spans="1:2" ht="15.75" customHeight="1" x14ac:dyDescent="0.25">
      <c r="A1434" s="2" t="s">
        <v>942</v>
      </c>
      <c r="B1434" s="2" t="s">
        <v>2357</v>
      </c>
    </row>
    <row r="1435" spans="1:2" ht="15.75" customHeight="1" x14ac:dyDescent="0.25">
      <c r="A1435" s="2" t="s">
        <v>2275</v>
      </c>
      <c r="B1435" s="2" t="s">
        <v>2356</v>
      </c>
    </row>
    <row r="1436" spans="1:2" ht="15.75" customHeight="1" x14ac:dyDescent="0.25">
      <c r="A1436" s="2" t="s">
        <v>401</v>
      </c>
      <c r="B1436" s="2" t="s">
        <v>2357</v>
      </c>
    </row>
    <row r="1437" spans="1:2" ht="15.75" customHeight="1" x14ac:dyDescent="0.25">
      <c r="A1437" s="2" t="s">
        <v>2081</v>
      </c>
      <c r="B1437" s="2" t="s">
        <v>2357</v>
      </c>
    </row>
    <row r="1438" spans="1:2" ht="15.75" customHeight="1" x14ac:dyDescent="0.25">
      <c r="A1438" s="2" t="s">
        <v>1302</v>
      </c>
      <c r="B1438" s="2" t="s">
        <v>2357</v>
      </c>
    </row>
    <row r="1439" spans="1:2" ht="15.75" customHeight="1" x14ac:dyDescent="0.25">
      <c r="A1439" s="2" t="s">
        <v>628</v>
      </c>
      <c r="B1439" s="2" t="s">
        <v>2357</v>
      </c>
    </row>
    <row r="1440" spans="1:2" ht="15.75" customHeight="1" x14ac:dyDescent="0.25">
      <c r="A1440" s="2" t="s">
        <v>698</v>
      </c>
      <c r="B1440" s="2" t="s">
        <v>2356</v>
      </c>
    </row>
    <row r="1441" spans="1:2" ht="15.75" customHeight="1" x14ac:dyDescent="0.25">
      <c r="A1441" s="2" t="s">
        <v>2134</v>
      </c>
      <c r="B1441" s="2" t="s">
        <v>2358</v>
      </c>
    </row>
    <row r="1442" spans="1:2" ht="15.75" customHeight="1" x14ac:dyDescent="0.25">
      <c r="A1442" s="2" t="s">
        <v>1529</v>
      </c>
      <c r="B1442" s="2" t="s">
        <v>2356</v>
      </c>
    </row>
    <row r="1443" spans="1:2" ht="15.75" customHeight="1" x14ac:dyDescent="0.25">
      <c r="A1443" s="2" t="s">
        <v>1912</v>
      </c>
      <c r="B1443" s="2" t="s">
        <v>2356</v>
      </c>
    </row>
    <row r="1444" spans="1:2" ht="15.75" customHeight="1" x14ac:dyDescent="0.25">
      <c r="A1444" s="2" t="s">
        <v>1865</v>
      </c>
      <c r="B1444" s="2" t="s">
        <v>2357</v>
      </c>
    </row>
    <row r="1445" spans="1:2" ht="15.75" customHeight="1" x14ac:dyDescent="0.25">
      <c r="A1445" s="2" t="s">
        <v>2280</v>
      </c>
      <c r="B1445" s="2" t="s">
        <v>2359</v>
      </c>
    </row>
    <row r="1446" spans="1:2" ht="15.75" customHeight="1" x14ac:dyDescent="0.25">
      <c r="A1446" s="2" t="s">
        <v>1442</v>
      </c>
      <c r="B1446" s="2" t="s">
        <v>2357</v>
      </c>
    </row>
    <row r="1447" spans="1:2" ht="15.75" customHeight="1" x14ac:dyDescent="0.25">
      <c r="A1447" s="2" t="s">
        <v>1641</v>
      </c>
      <c r="B1447" s="2" t="s">
        <v>2357</v>
      </c>
    </row>
    <row r="1448" spans="1:2" ht="15.75" customHeight="1" x14ac:dyDescent="0.25">
      <c r="A1448" s="2" t="s">
        <v>1151</v>
      </c>
      <c r="B1448" s="2" t="s">
        <v>2357</v>
      </c>
    </row>
    <row r="1449" spans="1:2" ht="15.75" customHeight="1" x14ac:dyDescent="0.25">
      <c r="A1449" s="2" t="s">
        <v>1535</v>
      </c>
      <c r="B1449" s="2" t="s">
        <v>2357</v>
      </c>
    </row>
    <row r="1450" spans="1:2" ht="15.75" customHeight="1" x14ac:dyDescent="0.25">
      <c r="A1450" s="2" t="s">
        <v>863</v>
      </c>
      <c r="B1450" s="2" t="s">
        <v>2357</v>
      </c>
    </row>
    <row r="1451" spans="1:2" ht="15.75" customHeight="1" x14ac:dyDescent="0.25">
      <c r="A1451" s="2" t="s">
        <v>1444</v>
      </c>
      <c r="B1451" s="2" t="s">
        <v>2357</v>
      </c>
    </row>
    <row r="1452" spans="1:2" ht="15.75" customHeight="1" x14ac:dyDescent="0.25">
      <c r="A1452" s="2" t="s">
        <v>987</v>
      </c>
      <c r="B1452" s="2" t="s">
        <v>2356</v>
      </c>
    </row>
    <row r="1453" spans="1:2" ht="15.75" customHeight="1" x14ac:dyDescent="0.25">
      <c r="A1453" s="2" t="s">
        <v>1537</v>
      </c>
      <c r="B1453" s="2" t="s">
        <v>2357</v>
      </c>
    </row>
    <row r="1454" spans="1:2" ht="15.75" customHeight="1" x14ac:dyDescent="0.25">
      <c r="A1454" s="2" t="s">
        <v>1296</v>
      </c>
      <c r="B1454" s="2" t="s">
        <v>2357</v>
      </c>
    </row>
    <row r="1455" spans="1:2" ht="15.75" customHeight="1" x14ac:dyDescent="0.25">
      <c r="A1455" s="2" t="s">
        <v>145</v>
      </c>
      <c r="B1455" s="2" t="s">
        <v>2357</v>
      </c>
    </row>
    <row r="1456" spans="1:2" ht="15.75" customHeight="1" x14ac:dyDescent="0.25">
      <c r="A1456" s="2" t="s">
        <v>279</v>
      </c>
      <c r="B1456" s="2" t="s">
        <v>2357</v>
      </c>
    </row>
    <row r="1457" spans="1:2" ht="15.75" customHeight="1" x14ac:dyDescent="0.25">
      <c r="A1457" s="2" t="s">
        <v>2241</v>
      </c>
      <c r="B1457" s="2" t="s">
        <v>2360</v>
      </c>
    </row>
    <row r="1458" spans="1:2" ht="15.75" customHeight="1" x14ac:dyDescent="0.25">
      <c r="A1458" s="2" t="s">
        <v>1754</v>
      </c>
      <c r="B1458" s="2" t="s">
        <v>2357</v>
      </c>
    </row>
    <row r="1459" spans="1:2" ht="15.75" customHeight="1" x14ac:dyDescent="0.25">
      <c r="A1459" s="2" t="s">
        <v>1927</v>
      </c>
      <c r="B1459" s="2" t="s">
        <v>2357</v>
      </c>
    </row>
    <row r="1460" spans="1:2" ht="15.75" customHeight="1" x14ac:dyDescent="0.25">
      <c r="A1460" s="2" t="s">
        <v>1393</v>
      </c>
      <c r="B1460" s="2" t="s">
        <v>2356</v>
      </c>
    </row>
    <row r="1461" spans="1:2" ht="15.75" customHeight="1" x14ac:dyDescent="0.25">
      <c r="A1461" s="2" t="s">
        <v>622</v>
      </c>
      <c r="B1461" s="2" t="s">
        <v>2357</v>
      </c>
    </row>
    <row r="1462" spans="1:2" ht="15.75" customHeight="1" x14ac:dyDescent="0.25">
      <c r="A1462" s="2" t="s">
        <v>1024</v>
      </c>
      <c r="B1462" s="2" t="s">
        <v>2357</v>
      </c>
    </row>
    <row r="1463" spans="1:2" ht="15.75" customHeight="1" x14ac:dyDescent="0.25">
      <c r="A1463" s="2" t="s">
        <v>1238</v>
      </c>
      <c r="B1463" s="2" t="s">
        <v>2356</v>
      </c>
    </row>
    <row r="1464" spans="1:2" ht="15.75" customHeight="1" x14ac:dyDescent="0.25">
      <c r="A1464" s="2" t="s">
        <v>1844</v>
      </c>
      <c r="B1464" s="2" t="s">
        <v>2357</v>
      </c>
    </row>
    <row r="1465" spans="1:2" ht="15.75" customHeight="1" x14ac:dyDescent="0.25">
      <c r="A1465" s="2" t="s">
        <v>750</v>
      </c>
      <c r="B1465" s="2" t="s">
        <v>2357</v>
      </c>
    </row>
    <row r="1466" spans="1:2" ht="15.75" customHeight="1" x14ac:dyDescent="0.25">
      <c r="A1466" s="2" t="s">
        <v>876</v>
      </c>
      <c r="B1466" s="2" t="s">
        <v>2356</v>
      </c>
    </row>
    <row r="1467" spans="1:2" ht="15.75" customHeight="1" x14ac:dyDescent="0.25">
      <c r="A1467" s="2" t="s">
        <v>1856</v>
      </c>
      <c r="B1467" s="2" t="s">
        <v>2357</v>
      </c>
    </row>
    <row r="1468" spans="1:2" ht="15.75" customHeight="1" x14ac:dyDescent="0.25">
      <c r="A1468" s="2" t="s">
        <v>2034</v>
      </c>
      <c r="B1468" s="2" t="s">
        <v>2357</v>
      </c>
    </row>
    <row r="1469" spans="1:2" ht="15.75" customHeight="1" x14ac:dyDescent="0.25">
      <c r="A1469" s="2" t="s">
        <v>2281</v>
      </c>
      <c r="B1469" s="2" t="s">
        <v>2360</v>
      </c>
    </row>
    <row r="1470" spans="1:2" ht="15.75" customHeight="1" x14ac:dyDescent="0.25">
      <c r="A1470" s="2" t="s">
        <v>1682</v>
      </c>
      <c r="B1470" s="2" t="s">
        <v>2357</v>
      </c>
    </row>
    <row r="1471" spans="1:2" ht="15.75" customHeight="1" x14ac:dyDescent="0.25">
      <c r="A1471" s="2" t="s">
        <v>1928</v>
      </c>
      <c r="B1471" s="2" t="s">
        <v>2357</v>
      </c>
    </row>
    <row r="1472" spans="1:2" ht="15.75" customHeight="1" x14ac:dyDescent="0.25">
      <c r="A1472" s="2" t="s">
        <v>1224</v>
      </c>
      <c r="B1472" s="2" t="s">
        <v>2357</v>
      </c>
    </row>
    <row r="1473" spans="1:2" ht="15.75" customHeight="1" x14ac:dyDescent="0.25">
      <c r="A1473" s="2" t="s">
        <v>2307</v>
      </c>
      <c r="B1473" s="2" t="s">
        <v>2358</v>
      </c>
    </row>
    <row r="1474" spans="1:2" ht="15.75" customHeight="1" x14ac:dyDescent="0.25">
      <c r="A1474" s="2" t="s">
        <v>1480</v>
      </c>
      <c r="B1474" s="2" t="s">
        <v>2357</v>
      </c>
    </row>
    <row r="1475" spans="1:2" ht="15.75" customHeight="1" x14ac:dyDescent="0.25">
      <c r="A1475" s="2" t="s">
        <v>1756</v>
      </c>
      <c r="B1475" s="2" t="s">
        <v>2357</v>
      </c>
    </row>
    <row r="1476" spans="1:2" ht="15.75" customHeight="1" x14ac:dyDescent="0.25">
      <c r="A1476" s="2" t="s">
        <v>1189</v>
      </c>
      <c r="B1476" s="2" t="s">
        <v>2357</v>
      </c>
    </row>
    <row r="1477" spans="1:2" ht="15.75" customHeight="1" x14ac:dyDescent="0.25">
      <c r="A1477" s="2" t="s">
        <v>1143</v>
      </c>
      <c r="B1477" s="2" t="s">
        <v>2357</v>
      </c>
    </row>
    <row r="1478" spans="1:2" ht="15.75" customHeight="1" x14ac:dyDescent="0.25">
      <c r="A1478" s="2" t="s">
        <v>395</v>
      </c>
      <c r="B1478" s="2" t="s">
        <v>2357</v>
      </c>
    </row>
    <row r="1479" spans="1:2" ht="15.75" customHeight="1" x14ac:dyDescent="0.25">
      <c r="A1479" s="2" t="s">
        <v>1416</v>
      </c>
      <c r="B1479" s="2" t="s">
        <v>2357</v>
      </c>
    </row>
    <row r="1480" spans="1:2" ht="15.75" customHeight="1" x14ac:dyDescent="0.25">
      <c r="A1480" s="2" t="s">
        <v>2320</v>
      </c>
      <c r="B1480" s="2" t="s">
        <v>2357</v>
      </c>
    </row>
    <row r="1481" spans="1:2" ht="15.75" customHeight="1" x14ac:dyDescent="0.25">
      <c r="A1481" s="2" t="s">
        <v>1129</v>
      </c>
      <c r="B1481" s="2" t="s">
        <v>2357</v>
      </c>
    </row>
    <row r="1482" spans="1:2" ht="15.75" customHeight="1" x14ac:dyDescent="0.25">
      <c r="A1482" s="2" t="s">
        <v>247</v>
      </c>
      <c r="B1482" s="2" t="s">
        <v>2357</v>
      </c>
    </row>
    <row r="1483" spans="1:2" ht="15.75" customHeight="1" x14ac:dyDescent="0.25">
      <c r="A1483" s="2" t="s">
        <v>2314</v>
      </c>
      <c r="B1483" s="2" t="s">
        <v>2357</v>
      </c>
    </row>
    <row r="1484" spans="1:2" ht="15.75" customHeight="1" x14ac:dyDescent="0.25">
      <c r="A1484" s="2" t="s">
        <v>1337</v>
      </c>
      <c r="B1484" s="2" t="s">
        <v>2356</v>
      </c>
    </row>
    <row r="1485" spans="1:2" ht="15.75" customHeight="1" x14ac:dyDescent="0.25">
      <c r="A1485" s="2" t="s">
        <v>1448</v>
      </c>
      <c r="B1485" s="2" t="s">
        <v>2357</v>
      </c>
    </row>
    <row r="1486" spans="1:2" ht="15.75" customHeight="1" x14ac:dyDescent="0.25">
      <c r="A1486" s="2" t="s">
        <v>362</v>
      </c>
      <c r="B1486" s="2" t="s">
        <v>2357</v>
      </c>
    </row>
    <row r="1487" spans="1:2" ht="15.75" customHeight="1" x14ac:dyDescent="0.25">
      <c r="A1487" s="2" t="s">
        <v>1646</v>
      </c>
      <c r="B1487" s="2" t="s">
        <v>2356</v>
      </c>
    </row>
    <row r="1488" spans="1:2" ht="15.75" customHeight="1" x14ac:dyDescent="0.25">
      <c r="A1488" s="2" t="s">
        <v>837</v>
      </c>
      <c r="B1488" s="2" t="s">
        <v>2357</v>
      </c>
    </row>
    <row r="1489" spans="1:2" ht="15.75" customHeight="1" x14ac:dyDescent="0.25">
      <c r="A1489" s="2" t="s">
        <v>1395</v>
      </c>
      <c r="B1489" s="2" t="s">
        <v>2357</v>
      </c>
    </row>
    <row r="1490" spans="1:2" ht="15.75" customHeight="1" x14ac:dyDescent="0.25">
      <c r="A1490" s="2" t="s">
        <v>1082</v>
      </c>
      <c r="B1490" s="2" t="s">
        <v>2357</v>
      </c>
    </row>
    <row r="1491" spans="1:2" ht="15.75" customHeight="1" x14ac:dyDescent="0.25">
      <c r="A1491" s="2" t="s">
        <v>1281</v>
      </c>
      <c r="B1491" s="2" t="s">
        <v>2357</v>
      </c>
    </row>
    <row r="1492" spans="1:2" ht="15.75" customHeight="1" x14ac:dyDescent="0.25">
      <c r="A1492" s="2" t="s">
        <v>914</v>
      </c>
      <c r="B1492" s="2" t="s">
        <v>2357</v>
      </c>
    </row>
    <row r="1493" spans="1:2" ht="15.75" customHeight="1" x14ac:dyDescent="0.25">
      <c r="A1493" s="2" t="s">
        <v>1555</v>
      </c>
      <c r="B1493" s="2" t="s">
        <v>2357</v>
      </c>
    </row>
    <row r="1494" spans="1:2" ht="15.75" customHeight="1" x14ac:dyDescent="0.25">
      <c r="A1494" s="2" t="s">
        <v>1255</v>
      </c>
      <c r="B1494" s="2" t="s">
        <v>2357</v>
      </c>
    </row>
    <row r="1495" spans="1:2" ht="15.75" customHeight="1" x14ac:dyDescent="0.25">
      <c r="A1495" s="2" t="s">
        <v>2196</v>
      </c>
      <c r="B1495" s="2" t="s">
        <v>2360</v>
      </c>
    </row>
    <row r="1496" spans="1:2" ht="15.75" customHeight="1" x14ac:dyDescent="0.25">
      <c r="A1496" s="2" t="s">
        <v>712</v>
      </c>
      <c r="B1496" s="2" t="s">
        <v>2356</v>
      </c>
    </row>
    <row r="1497" spans="1:2" ht="15.75" customHeight="1" x14ac:dyDescent="0.25">
      <c r="A1497" s="2" t="s">
        <v>2187</v>
      </c>
      <c r="B1497" s="2" t="s">
        <v>2356</v>
      </c>
    </row>
    <row r="1498" spans="1:2" ht="15.75" customHeight="1" x14ac:dyDescent="0.25">
      <c r="A1498" s="2" t="s">
        <v>857</v>
      </c>
      <c r="B1498" s="2" t="s">
        <v>2357</v>
      </c>
    </row>
    <row r="1499" spans="1:2" ht="15.75" customHeight="1" x14ac:dyDescent="0.25">
      <c r="A1499" s="2" t="s">
        <v>749</v>
      </c>
      <c r="B1499" s="2" t="s">
        <v>2356</v>
      </c>
    </row>
    <row r="1500" spans="1:2" ht="15.75" customHeight="1" x14ac:dyDescent="0.25">
      <c r="A1500" s="2" t="s">
        <v>1483</v>
      </c>
      <c r="B1500" s="2" t="s">
        <v>2356</v>
      </c>
    </row>
    <row r="1501" spans="1:2" ht="15.75" customHeight="1" x14ac:dyDescent="0.25">
      <c r="A1501" s="2" t="s">
        <v>1015</v>
      </c>
      <c r="B1501" s="2" t="s">
        <v>2357</v>
      </c>
    </row>
    <row r="1502" spans="1:2" ht="15.75" customHeight="1" x14ac:dyDescent="0.25">
      <c r="A1502" s="2" t="s">
        <v>2141</v>
      </c>
      <c r="B1502" s="2" t="s">
        <v>2360</v>
      </c>
    </row>
    <row r="1503" spans="1:2" ht="15.75" customHeight="1" x14ac:dyDescent="0.25">
      <c r="A1503" s="2" t="s">
        <v>1408</v>
      </c>
      <c r="B1503" s="2" t="s">
        <v>2356</v>
      </c>
    </row>
    <row r="1504" spans="1:2" ht="15.75" customHeight="1" x14ac:dyDescent="0.25">
      <c r="A1504" s="2" t="s">
        <v>2261</v>
      </c>
      <c r="B1504" s="2" t="s">
        <v>2359</v>
      </c>
    </row>
    <row r="1505" spans="1:2" ht="15.75" customHeight="1" x14ac:dyDescent="0.25">
      <c r="A1505" s="2" t="s">
        <v>1126</v>
      </c>
      <c r="B1505" s="2" t="s">
        <v>2357</v>
      </c>
    </row>
    <row r="1506" spans="1:2" ht="15.75" customHeight="1" x14ac:dyDescent="0.25">
      <c r="A1506" s="2" t="s">
        <v>608</v>
      </c>
      <c r="B1506" s="2" t="s">
        <v>2357</v>
      </c>
    </row>
    <row r="1507" spans="1:2" ht="15.75" customHeight="1" x14ac:dyDescent="0.25">
      <c r="A1507" s="2" t="s">
        <v>694</v>
      </c>
      <c r="B1507" s="2" t="s">
        <v>2357</v>
      </c>
    </row>
    <row r="1508" spans="1:2" ht="15.75" customHeight="1" x14ac:dyDescent="0.25">
      <c r="A1508" s="2" t="s">
        <v>120</v>
      </c>
      <c r="B1508" s="2" t="s">
        <v>2359</v>
      </c>
    </row>
    <row r="1509" spans="1:2" ht="15.75" customHeight="1" x14ac:dyDescent="0.25">
      <c r="A1509" s="2" t="s">
        <v>2059</v>
      </c>
      <c r="B1509" s="2" t="s">
        <v>2357</v>
      </c>
    </row>
    <row r="1510" spans="1:2" ht="15.75" customHeight="1" x14ac:dyDescent="0.25">
      <c r="A1510" s="2" t="s">
        <v>1544</v>
      </c>
      <c r="B1510" s="2" t="s">
        <v>2357</v>
      </c>
    </row>
    <row r="1511" spans="1:2" ht="15.75" customHeight="1" x14ac:dyDescent="0.25">
      <c r="A1511" s="2" t="s">
        <v>2088</v>
      </c>
      <c r="B1511" s="2" t="s">
        <v>2357</v>
      </c>
    </row>
    <row r="1512" spans="1:2" ht="15.75" customHeight="1" x14ac:dyDescent="0.25">
      <c r="A1512" s="2" t="s">
        <v>721</v>
      </c>
      <c r="B1512" s="2" t="s">
        <v>2357</v>
      </c>
    </row>
    <row r="1513" spans="1:2" ht="15.75" customHeight="1" x14ac:dyDescent="0.25">
      <c r="A1513" s="2" t="s">
        <v>1522</v>
      </c>
      <c r="B1513" s="2" t="s">
        <v>2357</v>
      </c>
    </row>
    <row r="1514" spans="1:2" ht="15.75" customHeight="1" x14ac:dyDescent="0.25">
      <c r="A1514" s="2" t="s">
        <v>1854</v>
      </c>
      <c r="B1514" s="2" t="s">
        <v>2357</v>
      </c>
    </row>
    <row r="1515" spans="1:2" ht="15.75" customHeight="1" x14ac:dyDescent="0.25">
      <c r="A1515" s="2" t="s">
        <v>767</v>
      </c>
      <c r="B1515" s="2" t="s">
        <v>2356</v>
      </c>
    </row>
    <row r="1516" spans="1:2" ht="15.75" customHeight="1" x14ac:dyDescent="0.25">
      <c r="A1516" s="2" t="s">
        <v>862</v>
      </c>
      <c r="B1516" s="2" t="s">
        <v>2357</v>
      </c>
    </row>
    <row r="1517" spans="1:2" ht="15.75" customHeight="1" x14ac:dyDescent="0.25">
      <c r="A1517" s="2" t="s">
        <v>1059</v>
      </c>
      <c r="B1517" s="2" t="s">
        <v>2357</v>
      </c>
    </row>
    <row r="1518" spans="1:2" ht="15.75" customHeight="1" x14ac:dyDescent="0.25">
      <c r="A1518" s="2" t="s">
        <v>1832</v>
      </c>
      <c r="B1518" s="2" t="s">
        <v>2357</v>
      </c>
    </row>
    <row r="1519" spans="1:2" ht="15.75" customHeight="1" x14ac:dyDescent="0.25">
      <c r="A1519" s="2" t="s">
        <v>994</v>
      </c>
      <c r="B1519" s="2" t="s">
        <v>2357</v>
      </c>
    </row>
    <row r="1520" spans="1:2" ht="15.75" customHeight="1" x14ac:dyDescent="0.25">
      <c r="A1520" s="2" t="s">
        <v>740</v>
      </c>
      <c r="B1520" s="2" t="s">
        <v>2356</v>
      </c>
    </row>
    <row r="1521" spans="1:2" ht="15.75" customHeight="1" x14ac:dyDescent="0.25">
      <c r="A1521" s="2" t="s">
        <v>940</v>
      </c>
      <c r="B1521" s="2" t="s">
        <v>2357</v>
      </c>
    </row>
    <row r="1522" spans="1:2" ht="15.75" customHeight="1" x14ac:dyDescent="0.25">
      <c r="A1522" s="2" t="s">
        <v>1167</v>
      </c>
      <c r="B1522" s="2" t="s">
        <v>2356</v>
      </c>
    </row>
    <row r="1523" spans="1:2" ht="15.75" customHeight="1" x14ac:dyDescent="0.25">
      <c r="A1523" s="2" t="s">
        <v>1908</v>
      </c>
      <c r="B1523" s="2" t="s">
        <v>2357</v>
      </c>
    </row>
    <row r="1524" spans="1:2" ht="15.75" customHeight="1" x14ac:dyDescent="0.25">
      <c r="A1524" s="2" t="s">
        <v>1826</v>
      </c>
      <c r="B1524" s="2" t="s">
        <v>2357</v>
      </c>
    </row>
    <row r="1525" spans="1:2" ht="15.75" customHeight="1" x14ac:dyDescent="0.25">
      <c r="A1525" s="2" t="s">
        <v>1559</v>
      </c>
      <c r="B1525" s="2" t="s">
        <v>2357</v>
      </c>
    </row>
    <row r="1526" spans="1:2" ht="15.75" customHeight="1" x14ac:dyDescent="0.25">
      <c r="A1526" s="2" t="s">
        <v>2244</v>
      </c>
      <c r="B1526" s="2" t="s">
        <v>2358</v>
      </c>
    </row>
    <row r="1527" spans="1:2" ht="15.75" customHeight="1" x14ac:dyDescent="0.25">
      <c r="A1527" s="2" t="s">
        <v>1476</v>
      </c>
      <c r="B1527" s="2" t="s">
        <v>2359</v>
      </c>
    </row>
    <row r="1528" spans="1:2" ht="15.75" customHeight="1" x14ac:dyDescent="0.25">
      <c r="A1528" s="2" t="s">
        <v>1440</v>
      </c>
      <c r="B1528" s="2" t="s">
        <v>2357</v>
      </c>
    </row>
    <row r="1529" spans="1:2" ht="15.75" customHeight="1" x14ac:dyDescent="0.25">
      <c r="A1529" s="2" t="s">
        <v>2051</v>
      </c>
      <c r="B1529" s="2" t="s">
        <v>2357</v>
      </c>
    </row>
    <row r="1530" spans="1:2" ht="15.75" customHeight="1" x14ac:dyDescent="0.25">
      <c r="A1530" s="2" t="s">
        <v>105</v>
      </c>
      <c r="B1530" s="2" t="s">
        <v>2357</v>
      </c>
    </row>
    <row r="1531" spans="1:2" ht="15.75" customHeight="1" x14ac:dyDescent="0.25">
      <c r="A1531" s="2" t="s">
        <v>89</v>
      </c>
      <c r="B1531" s="2" t="s">
        <v>2357</v>
      </c>
    </row>
    <row r="1532" spans="1:2" ht="15.75" customHeight="1" x14ac:dyDescent="0.25">
      <c r="A1532" s="2" t="s">
        <v>1783</v>
      </c>
      <c r="B1532" s="2" t="s">
        <v>2357</v>
      </c>
    </row>
    <row r="1533" spans="1:2" ht="15.75" customHeight="1" x14ac:dyDescent="0.25">
      <c r="A1533" s="2" t="s">
        <v>1726</v>
      </c>
      <c r="B1533" s="2" t="s">
        <v>2356</v>
      </c>
    </row>
    <row r="1534" spans="1:2" ht="15.75" customHeight="1" x14ac:dyDescent="0.25">
      <c r="A1534" s="2" t="s">
        <v>1932</v>
      </c>
      <c r="B1534" s="2" t="s">
        <v>2357</v>
      </c>
    </row>
    <row r="1535" spans="1:2" ht="15.75" customHeight="1" x14ac:dyDescent="0.25">
      <c r="A1535" s="2" t="s">
        <v>1534</v>
      </c>
      <c r="B1535" s="2" t="s">
        <v>2359</v>
      </c>
    </row>
    <row r="1536" spans="1:2" ht="15.75" customHeight="1" x14ac:dyDescent="0.25">
      <c r="A1536" s="2" t="s">
        <v>757</v>
      </c>
      <c r="B1536" s="2" t="s">
        <v>2359</v>
      </c>
    </row>
    <row r="1537" spans="1:2" ht="15.75" customHeight="1" x14ac:dyDescent="0.25">
      <c r="A1537" s="2" t="s">
        <v>1342</v>
      </c>
      <c r="B1537" s="2" t="s">
        <v>2357</v>
      </c>
    </row>
    <row r="1538" spans="1:2" ht="15.75" customHeight="1" x14ac:dyDescent="0.25">
      <c r="A1538" s="2" t="s">
        <v>1307</v>
      </c>
      <c r="B1538" s="2" t="s">
        <v>2357</v>
      </c>
    </row>
    <row r="1539" spans="1:2" ht="15.75" customHeight="1" x14ac:dyDescent="0.25">
      <c r="A1539" s="2" t="s">
        <v>797</v>
      </c>
      <c r="B1539" s="2" t="s">
        <v>2357</v>
      </c>
    </row>
    <row r="1540" spans="1:2" ht="15.75" customHeight="1" x14ac:dyDescent="0.25">
      <c r="A1540" s="2" t="s">
        <v>678</v>
      </c>
      <c r="B1540" s="2" t="s">
        <v>2357</v>
      </c>
    </row>
    <row r="1541" spans="1:2" ht="15.75" customHeight="1" x14ac:dyDescent="0.25">
      <c r="A1541" s="2" t="s">
        <v>1206</v>
      </c>
      <c r="B1541" s="2" t="s">
        <v>2357</v>
      </c>
    </row>
    <row r="1542" spans="1:2" ht="15.75" customHeight="1" x14ac:dyDescent="0.25">
      <c r="A1542" s="2" t="s">
        <v>1145</v>
      </c>
      <c r="B1542" s="2" t="s">
        <v>2357</v>
      </c>
    </row>
    <row r="1543" spans="1:2" ht="15.75" customHeight="1" x14ac:dyDescent="0.25">
      <c r="A1543" s="2" t="s">
        <v>2172</v>
      </c>
      <c r="B1543" s="2" t="s">
        <v>2360</v>
      </c>
    </row>
    <row r="1544" spans="1:2" ht="15.75" customHeight="1" x14ac:dyDescent="0.25">
      <c r="A1544" s="2" t="s">
        <v>448</v>
      </c>
      <c r="B1544" s="2" t="s">
        <v>2357</v>
      </c>
    </row>
    <row r="1545" spans="1:2" ht="15.75" customHeight="1" x14ac:dyDescent="0.25">
      <c r="A1545" s="2" t="s">
        <v>272</v>
      </c>
      <c r="B1545" s="2" t="s">
        <v>2357</v>
      </c>
    </row>
    <row r="1546" spans="1:2" ht="15.75" customHeight="1" x14ac:dyDescent="0.25">
      <c r="A1546" s="2" t="s">
        <v>1239</v>
      </c>
      <c r="B1546" s="2" t="s">
        <v>2357</v>
      </c>
    </row>
    <row r="1547" spans="1:2" ht="15.75" customHeight="1" x14ac:dyDescent="0.25">
      <c r="A1547" s="2" t="s">
        <v>2116</v>
      </c>
      <c r="B1547" s="2" t="s">
        <v>2358</v>
      </c>
    </row>
    <row r="1548" spans="1:2" ht="15.75" customHeight="1" x14ac:dyDescent="0.25">
      <c r="A1548" s="2" t="s">
        <v>462</v>
      </c>
      <c r="B1548" s="2" t="s">
        <v>2357</v>
      </c>
    </row>
    <row r="1549" spans="1:2" ht="15.75" customHeight="1" x14ac:dyDescent="0.25">
      <c r="A1549" s="2" t="s">
        <v>1148</v>
      </c>
      <c r="B1549" s="2" t="s">
        <v>2356</v>
      </c>
    </row>
    <row r="1550" spans="1:2" ht="15.75" customHeight="1" x14ac:dyDescent="0.25">
      <c r="A1550" s="2" t="s">
        <v>920</v>
      </c>
      <c r="B1550" s="2" t="s">
        <v>2357</v>
      </c>
    </row>
    <row r="1551" spans="1:2" ht="15.75" customHeight="1" x14ac:dyDescent="0.25">
      <c r="A1551" s="2" t="s">
        <v>129</v>
      </c>
      <c r="B1551" s="2" t="s">
        <v>2357</v>
      </c>
    </row>
    <row r="1552" spans="1:2" ht="15.75" customHeight="1" x14ac:dyDescent="0.25">
      <c r="A1552" s="2" t="s">
        <v>2204</v>
      </c>
      <c r="B1552" s="2" t="s">
        <v>2357</v>
      </c>
    </row>
    <row r="1553" spans="1:2" ht="15.75" customHeight="1" x14ac:dyDescent="0.25">
      <c r="A1553" s="2" t="s">
        <v>1498</v>
      </c>
      <c r="B1553" s="2" t="s">
        <v>2357</v>
      </c>
    </row>
    <row r="1554" spans="1:2" ht="15.75" customHeight="1" x14ac:dyDescent="0.25">
      <c r="A1554" s="2" t="s">
        <v>2260</v>
      </c>
      <c r="B1554" s="2" t="s">
        <v>2357</v>
      </c>
    </row>
    <row r="1555" spans="1:2" ht="15.75" customHeight="1" x14ac:dyDescent="0.25">
      <c r="A1555" s="2" t="s">
        <v>536</v>
      </c>
      <c r="B1555" s="2" t="s">
        <v>2357</v>
      </c>
    </row>
    <row r="1556" spans="1:2" ht="15.75" customHeight="1" x14ac:dyDescent="0.25">
      <c r="A1556" s="2" t="s">
        <v>2274</v>
      </c>
      <c r="B1556" s="2" t="s">
        <v>2358</v>
      </c>
    </row>
    <row r="1557" spans="1:2" ht="15.75" customHeight="1" x14ac:dyDescent="0.25">
      <c r="A1557" s="2" t="s">
        <v>282</v>
      </c>
      <c r="B1557" s="2" t="s">
        <v>2357</v>
      </c>
    </row>
    <row r="1558" spans="1:2" ht="15.75" customHeight="1" x14ac:dyDescent="0.25">
      <c r="A1558" s="2" t="s">
        <v>1193</v>
      </c>
      <c r="B1558" s="2" t="s">
        <v>2357</v>
      </c>
    </row>
    <row r="1559" spans="1:2" ht="15.75" customHeight="1" x14ac:dyDescent="0.25">
      <c r="A1559" s="2" t="s">
        <v>293</v>
      </c>
      <c r="B1559" s="2" t="s">
        <v>2357</v>
      </c>
    </row>
    <row r="1560" spans="1:2" ht="15.75" customHeight="1" x14ac:dyDescent="0.25">
      <c r="A1560" s="2" t="s">
        <v>141</v>
      </c>
      <c r="B1560" s="2" t="s">
        <v>2356</v>
      </c>
    </row>
    <row r="1561" spans="1:2" ht="15.75" customHeight="1" x14ac:dyDescent="0.25">
      <c r="A1561" s="2" t="s">
        <v>168</v>
      </c>
      <c r="B1561" s="2" t="s">
        <v>2357</v>
      </c>
    </row>
    <row r="1562" spans="1:2" ht="15.75" customHeight="1" x14ac:dyDescent="0.25">
      <c r="A1562" s="2" t="s">
        <v>789</v>
      </c>
      <c r="B1562" s="2" t="s">
        <v>2357</v>
      </c>
    </row>
    <row r="1563" spans="1:2" ht="15.75" customHeight="1" x14ac:dyDescent="0.25">
      <c r="A1563" s="2" t="s">
        <v>1552</v>
      </c>
      <c r="B1563" s="2" t="s">
        <v>2356</v>
      </c>
    </row>
    <row r="1564" spans="1:2" ht="15.75" customHeight="1" x14ac:dyDescent="0.25">
      <c r="A1564" s="2" t="s">
        <v>1474</v>
      </c>
      <c r="B1564" s="2" t="s">
        <v>2356</v>
      </c>
    </row>
    <row r="1565" spans="1:2" ht="15.75" customHeight="1" x14ac:dyDescent="0.25">
      <c r="A1565" s="2" t="s">
        <v>1992</v>
      </c>
      <c r="B1565" s="2" t="s">
        <v>2357</v>
      </c>
    </row>
    <row r="1566" spans="1:2" ht="15.75" customHeight="1" x14ac:dyDescent="0.25">
      <c r="A1566" s="2" t="s">
        <v>444</v>
      </c>
      <c r="B1566" s="2" t="s">
        <v>2357</v>
      </c>
    </row>
    <row r="1567" spans="1:2" ht="15.75" customHeight="1" x14ac:dyDescent="0.25">
      <c r="A1567" s="2" t="s">
        <v>2353</v>
      </c>
      <c r="B1567" s="2" t="s">
        <v>2358</v>
      </c>
    </row>
    <row r="1568" spans="1:2" ht="15.75" customHeight="1" x14ac:dyDescent="0.25">
      <c r="A1568" s="2" t="s">
        <v>1080</v>
      </c>
      <c r="B1568" s="2" t="s">
        <v>2357</v>
      </c>
    </row>
    <row r="1569" spans="1:2" ht="15.75" customHeight="1" x14ac:dyDescent="0.25">
      <c r="A1569" s="2" t="s">
        <v>1381</v>
      </c>
      <c r="B1569" s="2" t="s">
        <v>2357</v>
      </c>
    </row>
    <row r="1570" spans="1:2" ht="15.75" customHeight="1" x14ac:dyDescent="0.25">
      <c r="A1570" s="2" t="s">
        <v>1060</v>
      </c>
      <c r="B1570" s="2" t="s">
        <v>2357</v>
      </c>
    </row>
    <row r="1571" spans="1:2" ht="15.75" customHeight="1" x14ac:dyDescent="0.25">
      <c r="A1571" s="2" t="s">
        <v>1829</v>
      </c>
      <c r="B1571" s="2" t="s">
        <v>2359</v>
      </c>
    </row>
    <row r="1572" spans="1:2" ht="15.75" customHeight="1" x14ac:dyDescent="0.25">
      <c r="A1572" s="2" t="s">
        <v>2271</v>
      </c>
      <c r="B1572" s="2" t="s">
        <v>2360</v>
      </c>
    </row>
    <row r="1573" spans="1:2" ht="15.75" customHeight="1" x14ac:dyDescent="0.25">
      <c r="A1573" s="2" t="s">
        <v>1282</v>
      </c>
      <c r="B1573" s="2" t="s">
        <v>2357</v>
      </c>
    </row>
    <row r="1574" spans="1:2" ht="15.75" customHeight="1" x14ac:dyDescent="0.25">
      <c r="A1574" s="2" t="s">
        <v>1135</v>
      </c>
      <c r="B1574" s="2" t="s">
        <v>2357</v>
      </c>
    </row>
    <row r="1575" spans="1:2" ht="15.75" customHeight="1" x14ac:dyDescent="0.25">
      <c r="A1575" s="2" t="s">
        <v>810</v>
      </c>
      <c r="B1575" s="2" t="s">
        <v>2357</v>
      </c>
    </row>
    <row r="1576" spans="1:2" ht="15.75" customHeight="1" x14ac:dyDescent="0.25">
      <c r="A1576" s="2" t="s">
        <v>1234</v>
      </c>
      <c r="B1576" s="2" t="s">
        <v>2356</v>
      </c>
    </row>
    <row r="1577" spans="1:2" ht="15.75" customHeight="1" x14ac:dyDescent="0.25">
      <c r="A1577" s="2" t="s">
        <v>226</v>
      </c>
      <c r="B1577" s="2" t="s">
        <v>2356</v>
      </c>
    </row>
    <row r="1578" spans="1:2" ht="15.75" customHeight="1" x14ac:dyDescent="0.25">
      <c r="A1578" s="2" t="s">
        <v>1446</v>
      </c>
      <c r="B1578" s="2" t="s">
        <v>2357</v>
      </c>
    </row>
    <row r="1579" spans="1:2" ht="15.75" customHeight="1" x14ac:dyDescent="0.25">
      <c r="A1579" s="2" t="s">
        <v>1346</v>
      </c>
      <c r="B1579" s="2" t="s">
        <v>2357</v>
      </c>
    </row>
    <row r="1580" spans="1:2" ht="15.75" customHeight="1" x14ac:dyDescent="0.25">
      <c r="A1580" s="2" t="s">
        <v>664</v>
      </c>
      <c r="B1580" s="2" t="s">
        <v>2357</v>
      </c>
    </row>
    <row r="1581" spans="1:2" ht="15.75" customHeight="1" x14ac:dyDescent="0.25">
      <c r="A1581" s="2" t="s">
        <v>621</v>
      </c>
      <c r="B1581" s="2" t="s">
        <v>2357</v>
      </c>
    </row>
    <row r="1582" spans="1:2" ht="15.75" customHeight="1" x14ac:dyDescent="0.25">
      <c r="A1582" s="2" t="s">
        <v>1327</v>
      </c>
      <c r="B1582" s="2" t="s">
        <v>2357</v>
      </c>
    </row>
    <row r="1583" spans="1:2" ht="15.75" customHeight="1" x14ac:dyDescent="0.25">
      <c r="A1583" s="2" t="s">
        <v>803</v>
      </c>
      <c r="B1583" s="2" t="s">
        <v>2359</v>
      </c>
    </row>
    <row r="1584" spans="1:2" ht="15.75" customHeight="1" x14ac:dyDescent="0.25">
      <c r="A1584" s="2" t="s">
        <v>1290</v>
      </c>
      <c r="B1584" s="2" t="s">
        <v>2357</v>
      </c>
    </row>
    <row r="1585" spans="1:2" ht="15.75" customHeight="1" x14ac:dyDescent="0.25">
      <c r="A1585" s="2" t="s">
        <v>625</v>
      </c>
      <c r="B1585" s="2" t="s">
        <v>2357</v>
      </c>
    </row>
    <row r="1586" spans="1:2" ht="15.75" customHeight="1" x14ac:dyDescent="0.25">
      <c r="A1586" s="2" t="s">
        <v>489</v>
      </c>
      <c r="B1586" s="2" t="s">
        <v>2357</v>
      </c>
    </row>
    <row r="1587" spans="1:2" ht="15.75" customHeight="1" x14ac:dyDescent="0.25">
      <c r="A1587" s="2" t="s">
        <v>700</v>
      </c>
      <c r="B1587" s="2" t="s">
        <v>2357</v>
      </c>
    </row>
    <row r="1588" spans="1:2" ht="15.75" customHeight="1" x14ac:dyDescent="0.25">
      <c r="A1588" s="2" t="s">
        <v>2337</v>
      </c>
      <c r="B1588" s="2" t="s">
        <v>2357</v>
      </c>
    </row>
    <row r="1589" spans="1:2" ht="15.75" customHeight="1" x14ac:dyDescent="0.25">
      <c r="A1589" s="2" t="s">
        <v>2318</v>
      </c>
      <c r="B1589" s="2" t="s">
        <v>2360</v>
      </c>
    </row>
    <row r="1590" spans="1:2" ht="15.75" customHeight="1" x14ac:dyDescent="0.25">
      <c r="A1590" s="2" t="s">
        <v>2252</v>
      </c>
      <c r="B1590" s="2" t="s">
        <v>2357</v>
      </c>
    </row>
    <row r="1591" spans="1:2" ht="15.75" customHeight="1" x14ac:dyDescent="0.25">
      <c r="A1591" s="2" t="s">
        <v>1842</v>
      </c>
      <c r="B1591" s="2" t="s">
        <v>2357</v>
      </c>
    </row>
    <row r="1592" spans="1:2" ht="15.75" customHeight="1" x14ac:dyDescent="0.25">
      <c r="A1592" s="2" t="s">
        <v>1885</v>
      </c>
      <c r="B1592" s="2" t="s">
        <v>2356</v>
      </c>
    </row>
    <row r="1593" spans="1:2" ht="15.75" customHeight="1" x14ac:dyDescent="0.25">
      <c r="A1593" s="2" t="s">
        <v>1527</v>
      </c>
      <c r="B1593" s="2" t="s">
        <v>2357</v>
      </c>
    </row>
    <row r="1594" spans="1:2" ht="15.75" customHeight="1" x14ac:dyDescent="0.25">
      <c r="A1594" s="2" t="s">
        <v>1902</v>
      </c>
      <c r="B1594" s="2" t="s">
        <v>2357</v>
      </c>
    </row>
    <row r="1595" spans="1:2" ht="15.75" customHeight="1" x14ac:dyDescent="0.25">
      <c r="A1595" s="2" t="s">
        <v>1595</v>
      </c>
      <c r="B1595" s="2" t="s">
        <v>2356</v>
      </c>
    </row>
    <row r="1596" spans="1:2" ht="15.75" customHeight="1" x14ac:dyDescent="0.25">
      <c r="A1596" s="2" t="s">
        <v>1736</v>
      </c>
      <c r="B1596" s="2" t="s">
        <v>2357</v>
      </c>
    </row>
    <row r="1597" spans="1:2" ht="15.75" customHeight="1" x14ac:dyDescent="0.25">
      <c r="A1597" s="2" t="s">
        <v>1216</v>
      </c>
      <c r="B1597" s="2" t="s">
        <v>2357</v>
      </c>
    </row>
    <row r="1598" spans="1:2" ht="15.75" customHeight="1" x14ac:dyDescent="0.25">
      <c r="A1598" s="2" t="s">
        <v>2010</v>
      </c>
      <c r="B1598" s="2" t="s">
        <v>2357</v>
      </c>
    </row>
    <row r="1599" spans="1:2" ht="15.75" customHeight="1" x14ac:dyDescent="0.25">
      <c r="A1599" s="2" t="s">
        <v>2190</v>
      </c>
      <c r="B1599" s="2" t="s">
        <v>2357</v>
      </c>
    </row>
    <row r="1600" spans="1:2" ht="15.75" customHeight="1" x14ac:dyDescent="0.25">
      <c r="A1600" s="2" t="s">
        <v>2229</v>
      </c>
      <c r="B1600" s="2" t="s">
        <v>2358</v>
      </c>
    </row>
    <row r="1601" spans="1:2" ht="15.75" customHeight="1" x14ac:dyDescent="0.25">
      <c r="A1601" s="2" t="s">
        <v>838</v>
      </c>
      <c r="B1601" s="2" t="s">
        <v>2356</v>
      </c>
    </row>
    <row r="1602" spans="1:2" ht="15.75" customHeight="1" x14ac:dyDescent="0.25">
      <c r="A1602" s="2" t="s">
        <v>393</v>
      </c>
      <c r="B1602" s="2" t="s">
        <v>2357</v>
      </c>
    </row>
    <row r="1603" spans="1:2" ht="15.75" customHeight="1" x14ac:dyDescent="0.25">
      <c r="A1603" s="2" t="s">
        <v>1755</v>
      </c>
      <c r="B1603" s="2" t="s">
        <v>2357</v>
      </c>
    </row>
    <row r="1604" spans="1:2" ht="15.75" customHeight="1" x14ac:dyDescent="0.25">
      <c r="A1604" s="2" t="s">
        <v>1334</v>
      </c>
      <c r="B1604" s="2" t="s">
        <v>2359</v>
      </c>
    </row>
    <row r="1605" spans="1:2" ht="15.75" customHeight="1" x14ac:dyDescent="0.25">
      <c r="A1605" s="2" t="s">
        <v>1744</v>
      </c>
      <c r="B1605" s="2" t="s">
        <v>2357</v>
      </c>
    </row>
    <row r="1606" spans="1:2" ht="15.75" customHeight="1" x14ac:dyDescent="0.25">
      <c r="A1606" s="2" t="s">
        <v>591</v>
      </c>
      <c r="B1606" s="2" t="s">
        <v>2357</v>
      </c>
    </row>
    <row r="1607" spans="1:2" ht="15.75" customHeight="1" x14ac:dyDescent="0.25">
      <c r="A1607" s="2" t="s">
        <v>1088</v>
      </c>
      <c r="B1607" s="2" t="s">
        <v>2357</v>
      </c>
    </row>
    <row r="1608" spans="1:2" ht="15.75" customHeight="1" x14ac:dyDescent="0.25">
      <c r="A1608" s="2" t="s">
        <v>745</v>
      </c>
      <c r="B1608" s="2" t="s">
        <v>2357</v>
      </c>
    </row>
    <row r="1609" spans="1:2" ht="15.75" customHeight="1" x14ac:dyDescent="0.25">
      <c r="A1609" s="2" t="s">
        <v>1458</v>
      </c>
      <c r="B1609" s="2" t="s">
        <v>2357</v>
      </c>
    </row>
    <row r="1610" spans="1:2" ht="15.75" customHeight="1" x14ac:dyDescent="0.25">
      <c r="A1610" s="2" t="s">
        <v>1685</v>
      </c>
      <c r="B1610" s="2" t="s">
        <v>2357</v>
      </c>
    </row>
    <row r="1611" spans="1:2" ht="15.75" customHeight="1" x14ac:dyDescent="0.25">
      <c r="A1611" s="2" t="s">
        <v>298</v>
      </c>
      <c r="B1611" s="2" t="s">
        <v>2356</v>
      </c>
    </row>
    <row r="1612" spans="1:2" ht="15.75" customHeight="1" x14ac:dyDescent="0.25">
      <c r="A1612" s="2" t="s">
        <v>1569</v>
      </c>
      <c r="B1612" s="2" t="s">
        <v>2359</v>
      </c>
    </row>
    <row r="1613" spans="1:2" ht="15.75" customHeight="1" x14ac:dyDescent="0.25">
      <c r="A1613" s="2" t="s">
        <v>2007</v>
      </c>
      <c r="B1613" s="2" t="s">
        <v>2357</v>
      </c>
    </row>
    <row r="1614" spans="1:2" ht="15.75" customHeight="1" x14ac:dyDescent="0.25">
      <c r="A1614" s="2" t="s">
        <v>2157</v>
      </c>
      <c r="B1614" s="2" t="s">
        <v>2357</v>
      </c>
    </row>
    <row r="1615" spans="1:2" ht="15.75" customHeight="1" x14ac:dyDescent="0.25">
      <c r="A1615" s="2" t="s">
        <v>2185</v>
      </c>
      <c r="B1615" s="2" t="s">
        <v>2359</v>
      </c>
    </row>
    <row r="1616" spans="1:2" ht="15.75" customHeight="1" x14ac:dyDescent="0.25">
      <c r="A1616" s="2" t="s">
        <v>1975</v>
      </c>
      <c r="B1616" s="2" t="s">
        <v>2357</v>
      </c>
    </row>
    <row r="1617" spans="1:2" ht="15.75" customHeight="1" x14ac:dyDescent="0.25">
      <c r="A1617" s="2" t="s">
        <v>676</v>
      </c>
      <c r="B1617" s="2" t="s">
        <v>2357</v>
      </c>
    </row>
    <row r="1618" spans="1:2" ht="15.75" customHeight="1" x14ac:dyDescent="0.25">
      <c r="A1618" s="2" t="s">
        <v>1226</v>
      </c>
      <c r="B1618" s="2" t="s">
        <v>2357</v>
      </c>
    </row>
    <row r="1619" spans="1:2" ht="15.75" customHeight="1" x14ac:dyDescent="0.25">
      <c r="A1619" s="2" t="s">
        <v>2250</v>
      </c>
      <c r="B1619" s="2" t="s">
        <v>2358</v>
      </c>
    </row>
    <row r="1620" spans="1:2" ht="15.75" customHeight="1" x14ac:dyDescent="0.25">
      <c r="A1620" s="2" t="s">
        <v>566</v>
      </c>
      <c r="B1620" s="2" t="s">
        <v>2357</v>
      </c>
    </row>
    <row r="1621" spans="1:2" ht="15.75" customHeight="1" x14ac:dyDescent="0.25">
      <c r="A1621" s="2" t="s">
        <v>1788</v>
      </c>
      <c r="B1621" s="2" t="s">
        <v>2357</v>
      </c>
    </row>
    <row r="1622" spans="1:2" ht="15.75" customHeight="1" x14ac:dyDescent="0.25">
      <c r="A1622" s="2" t="s">
        <v>1847</v>
      </c>
      <c r="B1622" s="2" t="s">
        <v>2356</v>
      </c>
    </row>
    <row r="1623" spans="1:2" ht="15.75" customHeight="1" x14ac:dyDescent="0.25">
      <c r="A1623" s="2" t="s">
        <v>2258</v>
      </c>
      <c r="B1623" s="2" t="s">
        <v>2358</v>
      </c>
    </row>
    <row r="1624" spans="1:2" ht="15.75" customHeight="1" x14ac:dyDescent="0.25">
      <c r="A1624" s="2" t="s">
        <v>1799</v>
      </c>
      <c r="B1624" s="2" t="s">
        <v>2357</v>
      </c>
    </row>
    <row r="1625" spans="1:2" ht="15.75" customHeight="1" x14ac:dyDescent="0.25">
      <c r="A1625" s="2" t="s">
        <v>1968</v>
      </c>
      <c r="B1625" s="2" t="s">
        <v>2356</v>
      </c>
    </row>
    <row r="1626" spans="1:2" ht="15.75" customHeight="1" x14ac:dyDescent="0.25">
      <c r="A1626" s="2" t="s">
        <v>2121</v>
      </c>
      <c r="B1626" s="2" t="s">
        <v>2356</v>
      </c>
    </row>
    <row r="1627" spans="1:2" ht="15.75" customHeight="1" x14ac:dyDescent="0.25">
      <c r="A1627" s="2" t="s">
        <v>1205</v>
      </c>
      <c r="B1627" s="2" t="s">
        <v>2357</v>
      </c>
    </row>
    <row r="1628" spans="1:2" ht="15.75" customHeight="1" x14ac:dyDescent="0.25">
      <c r="A1628" s="2" t="s">
        <v>2151</v>
      </c>
      <c r="B1628" s="2" t="s">
        <v>2357</v>
      </c>
    </row>
    <row r="1629" spans="1:2" ht="15.75" customHeight="1" x14ac:dyDescent="0.25">
      <c r="A1629" s="2" t="s">
        <v>2005</v>
      </c>
      <c r="B1629" s="2" t="s">
        <v>2357</v>
      </c>
    </row>
    <row r="1630" spans="1:2" ht="15.75" customHeight="1" x14ac:dyDescent="0.25">
      <c r="A1630" s="2" t="s">
        <v>1612</v>
      </c>
      <c r="B1630" s="2" t="s">
        <v>2356</v>
      </c>
    </row>
    <row r="1631" spans="1:2" ht="15.75" customHeight="1" x14ac:dyDescent="0.25">
      <c r="A1631" s="2" t="s">
        <v>360</v>
      </c>
      <c r="B1631" s="2" t="s">
        <v>2357</v>
      </c>
    </row>
    <row r="1632" spans="1:2" ht="15.75" customHeight="1" x14ac:dyDescent="0.25">
      <c r="A1632" s="2" t="s">
        <v>1973</v>
      </c>
      <c r="B1632" s="2" t="s">
        <v>2356</v>
      </c>
    </row>
    <row r="1633" spans="1:2" ht="15.75" customHeight="1" x14ac:dyDescent="0.25">
      <c r="A1633" s="2" t="s">
        <v>1421</v>
      </c>
      <c r="B1633" s="2" t="s">
        <v>2356</v>
      </c>
    </row>
    <row r="1634" spans="1:2" ht="15.75" customHeight="1" x14ac:dyDescent="0.25">
      <c r="A1634" s="2" t="s">
        <v>1273</v>
      </c>
      <c r="B1634" s="2" t="s">
        <v>2357</v>
      </c>
    </row>
    <row r="1635" spans="1:2" ht="15.75" customHeight="1" x14ac:dyDescent="0.25">
      <c r="A1635" s="2" t="s">
        <v>2273</v>
      </c>
      <c r="B1635" s="2" t="s">
        <v>2360</v>
      </c>
    </row>
    <row r="1636" spans="1:2" ht="15.75" customHeight="1" x14ac:dyDescent="0.25">
      <c r="A1636" s="2" t="s">
        <v>1789</v>
      </c>
      <c r="B1636" s="2" t="s">
        <v>2357</v>
      </c>
    </row>
    <row r="1637" spans="1:2" ht="15.75" customHeight="1" x14ac:dyDescent="0.25">
      <c r="A1637" s="2" t="s">
        <v>647</v>
      </c>
      <c r="B1637" s="2" t="s">
        <v>2357</v>
      </c>
    </row>
    <row r="1638" spans="1:2" ht="15.75" customHeight="1" x14ac:dyDescent="0.25">
      <c r="A1638" s="2" t="s">
        <v>2067</v>
      </c>
      <c r="B1638" s="2" t="s">
        <v>2357</v>
      </c>
    </row>
    <row r="1639" spans="1:2" ht="15.75" customHeight="1" x14ac:dyDescent="0.25">
      <c r="A1639" s="2" t="s">
        <v>338</v>
      </c>
      <c r="B1639" s="2" t="s">
        <v>2357</v>
      </c>
    </row>
    <row r="1640" spans="1:2" ht="15.75" customHeight="1" x14ac:dyDescent="0.25">
      <c r="A1640" s="2" t="s">
        <v>986</v>
      </c>
      <c r="B1640" s="2" t="s">
        <v>2357</v>
      </c>
    </row>
    <row r="1641" spans="1:2" ht="15.75" customHeight="1" x14ac:dyDescent="0.25">
      <c r="A1641" s="2" t="s">
        <v>1572</v>
      </c>
      <c r="B1641" s="2" t="s">
        <v>2357</v>
      </c>
    </row>
    <row r="1642" spans="1:2" ht="15.75" customHeight="1" x14ac:dyDescent="0.25">
      <c r="A1642" s="2" t="s">
        <v>1708</v>
      </c>
      <c r="B1642" s="2" t="s">
        <v>2359</v>
      </c>
    </row>
    <row r="1643" spans="1:2" ht="15.75" customHeight="1" x14ac:dyDescent="0.25">
      <c r="A1643" s="2" t="s">
        <v>2057</v>
      </c>
      <c r="B1643" s="2" t="s">
        <v>2357</v>
      </c>
    </row>
    <row r="1644" spans="1:2" ht="15.75" customHeight="1" x14ac:dyDescent="0.25">
      <c r="A1644" s="2" t="s">
        <v>284</v>
      </c>
      <c r="B1644" s="2" t="s">
        <v>2357</v>
      </c>
    </row>
    <row r="1645" spans="1:2" ht="15.75" customHeight="1" x14ac:dyDescent="0.25">
      <c r="A1645" s="2" t="s">
        <v>816</v>
      </c>
      <c r="B1645" s="2" t="s">
        <v>2357</v>
      </c>
    </row>
    <row r="1646" spans="1:2" ht="15.75" customHeight="1" x14ac:dyDescent="0.25">
      <c r="A1646" s="2" t="s">
        <v>1958</v>
      </c>
      <c r="B1646" s="2" t="s">
        <v>2356</v>
      </c>
    </row>
    <row r="1647" spans="1:2" ht="15.75" customHeight="1" x14ac:dyDescent="0.25">
      <c r="A1647" s="2" t="s">
        <v>196</v>
      </c>
      <c r="B1647" s="2" t="s">
        <v>2359</v>
      </c>
    </row>
    <row r="1648" spans="1:2" ht="15.75" customHeight="1" x14ac:dyDescent="0.25">
      <c r="A1648" s="2" t="s">
        <v>1277</v>
      </c>
      <c r="B1648" s="2" t="s">
        <v>2356</v>
      </c>
    </row>
    <row r="1649" spans="1:2" ht="15.75" customHeight="1" x14ac:dyDescent="0.25">
      <c r="A1649" s="2" t="s">
        <v>1943</v>
      </c>
      <c r="B1649" s="2" t="s">
        <v>2357</v>
      </c>
    </row>
    <row r="1650" spans="1:2" ht="15.75" customHeight="1" x14ac:dyDescent="0.25">
      <c r="A1650" s="2" t="s">
        <v>788</v>
      </c>
      <c r="B1650" s="2" t="s">
        <v>2356</v>
      </c>
    </row>
    <row r="1651" spans="1:2" ht="15.75" customHeight="1" x14ac:dyDescent="0.25">
      <c r="A1651" s="2" t="s">
        <v>1550</v>
      </c>
      <c r="B1651" s="2" t="s">
        <v>2357</v>
      </c>
    </row>
    <row r="1652" spans="1:2" ht="15.75" customHeight="1" x14ac:dyDescent="0.25">
      <c r="A1652" s="2" t="s">
        <v>1819</v>
      </c>
      <c r="B1652" s="2" t="s">
        <v>2357</v>
      </c>
    </row>
    <row r="1653" spans="1:2" ht="15.75" customHeight="1" x14ac:dyDescent="0.25">
      <c r="A1653" s="2" t="s">
        <v>902</v>
      </c>
      <c r="B1653" s="2" t="s">
        <v>2356</v>
      </c>
    </row>
    <row r="1654" spans="1:2" ht="15.75" customHeight="1" x14ac:dyDescent="0.25">
      <c r="A1654" s="2" t="s">
        <v>1153</v>
      </c>
      <c r="B1654" s="2" t="s">
        <v>2357</v>
      </c>
    </row>
    <row r="1655" spans="1:2" ht="15.75" customHeight="1" x14ac:dyDescent="0.25">
      <c r="A1655" s="2" t="s">
        <v>1784</v>
      </c>
      <c r="B1655" s="2" t="s">
        <v>2357</v>
      </c>
    </row>
    <row r="1656" spans="1:2" ht="15.75" customHeight="1" x14ac:dyDescent="0.25">
      <c r="A1656" s="2" t="s">
        <v>799</v>
      </c>
      <c r="B1656" s="2" t="s">
        <v>2357</v>
      </c>
    </row>
    <row r="1657" spans="1:2" ht="15.75" customHeight="1" x14ac:dyDescent="0.25">
      <c r="A1657" s="2" t="s">
        <v>1385</v>
      </c>
      <c r="B1657" s="2" t="s">
        <v>2357</v>
      </c>
    </row>
    <row r="1658" spans="1:2" ht="15.75" customHeight="1" x14ac:dyDescent="0.25">
      <c r="A1658" s="2" t="s">
        <v>1223</v>
      </c>
      <c r="B1658" s="2" t="s">
        <v>2357</v>
      </c>
    </row>
    <row r="1659" spans="1:2" ht="15.75" customHeight="1" x14ac:dyDescent="0.25">
      <c r="A1659" s="2" t="s">
        <v>781</v>
      </c>
      <c r="B1659" s="2" t="s">
        <v>2357</v>
      </c>
    </row>
    <row r="1660" spans="1:2" ht="15.75" customHeight="1" x14ac:dyDescent="0.25">
      <c r="A1660" s="2" t="s">
        <v>730</v>
      </c>
      <c r="B1660" s="2" t="s">
        <v>2357</v>
      </c>
    </row>
    <row r="1661" spans="1:2" ht="15.75" customHeight="1" x14ac:dyDescent="0.25">
      <c r="A1661" s="2" t="s">
        <v>1166</v>
      </c>
      <c r="B1661" s="2" t="s">
        <v>2357</v>
      </c>
    </row>
    <row r="1662" spans="1:2" ht="15.75" customHeight="1" x14ac:dyDescent="0.25">
      <c r="A1662" s="2" t="s">
        <v>826</v>
      </c>
      <c r="B1662" s="2" t="s">
        <v>2357</v>
      </c>
    </row>
    <row r="1663" spans="1:2" ht="15.75" customHeight="1" x14ac:dyDescent="0.25">
      <c r="A1663" s="2" t="s">
        <v>1227</v>
      </c>
      <c r="B1663" s="2" t="s">
        <v>2357</v>
      </c>
    </row>
    <row r="1664" spans="1:2" ht="15.75" customHeight="1" x14ac:dyDescent="0.25">
      <c r="A1664" s="2" t="s">
        <v>1645</v>
      </c>
      <c r="B1664" s="2" t="s">
        <v>2357</v>
      </c>
    </row>
    <row r="1665" spans="1:2" ht="15.75" customHeight="1" x14ac:dyDescent="0.25">
      <c r="A1665" s="2" t="s">
        <v>51</v>
      </c>
      <c r="B1665" s="2" t="s">
        <v>2357</v>
      </c>
    </row>
    <row r="1666" spans="1:2" ht="15.75" customHeight="1" x14ac:dyDescent="0.25">
      <c r="A1666" s="2" t="s">
        <v>1748</v>
      </c>
      <c r="B1666" s="2" t="s">
        <v>2357</v>
      </c>
    </row>
    <row r="1667" spans="1:2" ht="15.75" customHeight="1" x14ac:dyDescent="0.25">
      <c r="A1667" s="2" t="s">
        <v>2173</v>
      </c>
      <c r="B1667" s="2" t="s">
        <v>2358</v>
      </c>
    </row>
    <row r="1668" spans="1:2" ht="15.75" customHeight="1" x14ac:dyDescent="0.25">
      <c r="A1668" s="2" t="s">
        <v>667</v>
      </c>
      <c r="B1668" s="2" t="s">
        <v>2357</v>
      </c>
    </row>
    <row r="1669" spans="1:2" ht="15.75" customHeight="1" x14ac:dyDescent="0.25">
      <c r="A1669" s="2" t="s">
        <v>101</v>
      </c>
      <c r="B1669" s="2" t="s">
        <v>2357</v>
      </c>
    </row>
    <row r="1670" spans="1:2" ht="15.75" customHeight="1" x14ac:dyDescent="0.25">
      <c r="A1670" s="2" t="s">
        <v>1288</v>
      </c>
      <c r="B1670" s="2" t="s">
        <v>2357</v>
      </c>
    </row>
    <row r="1671" spans="1:2" ht="15.75" customHeight="1" x14ac:dyDescent="0.25">
      <c r="A1671" s="2" t="s">
        <v>719</v>
      </c>
      <c r="B1671" s="2" t="s">
        <v>2357</v>
      </c>
    </row>
    <row r="1672" spans="1:2" ht="15.75" customHeight="1" x14ac:dyDescent="0.25">
      <c r="A1672" s="2" t="s">
        <v>108</v>
      </c>
      <c r="B1672" s="2" t="s">
        <v>2357</v>
      </c>
    </row>
    <row r="1673" spans="1:2" ht="15.75" customHeight="1" x14ac:dyDescent="0.25">
      <c r="A1673" s="2" t="s">
        <v>578</v>
      </c>
      <c r="B1673" s="2" t="s">
        <v>2357</v>
      </c>
    </row>
    <row r="1674" spans="1:2" ht="15.75" customHeight="1" x14ac:dyDescent="0.25">
      <c r="A1674" s="2" t="s">
        <v>1057</v>
      </c>
      <c r="B1674" s="2" t="s">
        <v>2356</v>
      </c>
    </row>
    <row r="1675" spans="1:2" ht="15.75" customHeight="1" x14ac:dyDescent="0.25">
      <c r="A1675" s="2" t="s">
        <v>317</v>
      </c>
      <c r="B1675" s="2" t="s">
        <v>2356</v>
      </c>
    </row>
    <row r="1676" spans="1:2" ht="15.75" customHeight="1" x14ac:dyDescent="0.25">
      <c r="A1676" s="2" t="s">
        <v>967</v>
      </c>
      <c r="B1676" s="2" t="s">
        <v>2357</v>
      </c>
    </row>
    <row r="1677" spans="1:2" ht="15.75" customHeight="1" x14ac:dyDescent="0.25">
      <c r="A1677" s="2" t="s">
        <v>2002</v>
      </c>
      <c r="B1677" s="2" t="s">
        <v>2357</v>
      </c>
    </row>
    <row r="1678" spans="1:2" ht="15.75" customHeight="1" x14ac:dyDescent="0.25">
      <c r="A1678" s="2" t="s">
        <v>560</v>
      </c>
      <c r="B1678" s="2" t="s">
        <v>2357</v>
      </c>
    </row>
    <row r="1679" spans="1:2" ht="15.75" customHeight="1" x14ac:dyDescent="0.25">
      <c r="A1679" s="2" t="s">
        <v>779</v>
      </c>
      <c r="B1679" s="2" t="s">
        <v>2357</v>
      </c>
    </row>
    <row r="1680" spans="1:2" ht="15.75" customHeight="1" x14ac:dyDescent="0.25">
      <c r="A1680" s="2" t="s">
        <v>1543</v>
      </c>
      <c r="B1680" s="2" t="s">
        <v>2359</v>
      </c>
    </row>
    <row r="1681" spans="1:2" ht="15.75" customHeight="1" x14ac:dyDescent="0.25">
      <c r="A1681" s="2" t="s">
        <v>2180</v>
      </c>
      <c r="B1681" s="2" t="s">
        <v>2360</v>
      </c>
    </row>
    <row r="1682" spans="1:2" ht="15.75" customHeight="1" x14ac:dyDescent="0.25">
      <c r="A1682" s="2" t="s">
        <v>1036</v>
      </c>
      <c r="B1682" s="2" t="s">
        <v>2357</v>
      </c>
    </row>
    <row r="1683" spans="1:2" ht="15.75" customHeight="1" x14ac:dyDescent="0.25">
      <c r="A1683" s="2" t="s">
        <v>1739</v>
      </c>
      <c r="B1683" s="2" t="s">
        <v>2357</v>
      </c>
    </row>
    <row r="1684" spans="1:2" ht="15.75" customHeight="1" x14ac:dyDescent="0.25">
      <c r="A1684" s="2" t="s">
        <v>2153</v>
      </c>
      <c r="B1684" s="2" t="s">
        <v>2358</v>
      </c>
    </row>
    <row r="1685" spans="1:2" ht="15.75" customHeight="1" x14ac:dyDescent="0.25">
      <c r="A1685" s="2" t="s">
        <v>1935</v>
      </c>
      <c r="B1685" s="2" t="s">
        <v>2356</v>
      </c>
    </row>
    <row r="1686" spans="1:2" ht="15.75" customHeight="1" x14ac:dyDescent="0.25">
      <c r="A1686" s="2" t="s">
        <v>2230</v>
      </c>
      <c r="B1686" s="2" t="s">
        <v>2358</v>
      </c>
    </row>
    <row r="1687" spans="1:2" ht="15.75" customHeight="1" x14ac:dyDescent="0.25">
      <c r="A1687" s="2" t="s">
        <v>1470</v>
      </c>
      <c r="B1687" s="2" t="s">
        <v>2357</v>
      </c>
    </row>
    <row r="1688" spans="1:2" ht="15.75" customHeight="1" x14ac:dyDescent="0.25">
      <c r="A1688" s="2" t="s">
        <v>1625</v>
      </c>
      <c r="B1688" s="2" t="s">
        <v>2357</v>
      </c>
    </row>
    <row r="1689" spans="1:2" ht="15.75" customHeight="1" x14ac:dyDescent="0.25">
      <c r="A1689" s="2" t="s">
        <v>2312</v>
      </c>
      <c r="B1689" s="2" t="s">
        <v>2358</v>
      </c>
    </row>
    <row r="1690" spans="1:2" ht="15.75" customHeight="1" x14ac:dyDescent="0.25">
      <c r="A1690" s="2" t="s">
        <v>1858</v>
      </c>
      <c r="B1690" s="2" t="s">
        <v>2357</v>
      </c>
    </row>
    <row r="1691" spans="1:2" ht="15.75" customHeight="1" x14ac:dyDescent="0.25">
      <c r="A1691" s="2" t="s">
        <v>2129</v>
      </c>
      <c r="B1691" s="2" t="s">
        <v>2360</v>
      </c>
    </row>
    <row r="1692" spans="1:2" ht="15.75" customHeight="1" x14ac:dyDescent="0.25">
      <c r="A1692" s="2" t="s">
        <v>1115</v>
      </c>
      <c r="B1692" s="2" t="s">
        <v>2357</v>
      </c>
    </row>
    <row r="1693" spans="1:2" ht="15.75" customHeight="1" x14ac:dyDescent="0.25">
      <c r="A1693" s="2" t="s">
        <v>1495</v>
      </c>
      <c r="B1693" s="2" t="s">
        <v>2357</v>
      </c>
    </row>
    <row r="1694" spans="1:2" ht="15.75" customHeight="1" x14ac:dyDescent="0.25">
      <c r="A1694" s="2" t="s">
        <v>152</v>
      </c>
      <c r="B1694" s="2" t="s">
        <v>2357</v>
      </c>
    </row>
    <row r="1695" spans="1:2" ht="15.75" customHeight="1" x14ac:dyDescent="0.25">
      <c r="A1695" s="2" t="s">
        <v>1993</v>
      </c>
      <c r="B1695" s="2" t="s">
        <v>2357</v>
      </c>
    </row>
    <row r="1696" spans="1:2" ht="15.75" customHeight="1" x14ac:dyDescent="0.25">
      <c r="A1696" s="2" t="s">
        <v>734</v>
      </c>
      <c r="B1696" s="2" t="s">
        <v>2359</v>
      </c>
    </row>
    <row r="1697" spans="1:2" ht="15.75" customHeight="1" x14ac:dyDescent="0.25">
      <c r="A1697" s="2" t="s">
        <v>1252</v>
      </c>
      <c r="B1697" s="2" t="s">
        <v>2357</v>
      </c>
    </row>
    <row r="1698" spans="1:2" ht="15.75" customHeight="1" x14ac:dyDescent="0.25">
      <c r="A1698" s="2" t="s">
        <v>369</v>
      </c>
      <c r="B1698" s="2" t="s">
        <v>2357</v>
      </c>
    </row>
    <row r="1699" spans="1:2" ht="15.75" customHeight="1" x14ac:dyDescent="0.25">
      <c r="A1699" s="2" t="s">
        <v>1787</v>
      </c>
      <c r="B1699" s="2" t="s">
        <v>2357</v>
      </c>
    </row>
    <row r="1700" spans="1:2" ht="15.75" customHeight="1" x14ac:dyDescent="0.25">
      <c r="A1700" s="2" t="s">
        <v>2218</v>
      </c>
      <c r="B1700" s="2" t="s">
        <v>2357</v>
      </c>
    </row>
    <row r="1701" spans="1:2" ht="15.75" customHeight="1" x14ac:dyDescent="0.25">
      <c r="A1701" s="2" t="s">
        <v>521</v>
      </c>
      <c r="B1701" s="2" t="s">
        <v>2359</v>
      </c>
    </row>
    <row r="1702" spans="1:2" ht="15.75" customHeight="1" x14ac:dyDescent="0.25">
      <c r="A1702" s="2" t="s">
        <v>2336</v>
      </c>
      <c r="B1702" s="2" t="s">
        <v>2357</v>
      </c>
    </row>
    <row r="1703" spans="1:2" ht="15.75" customHeight="1" x14ac:dyDescent="0.25">
      <c r="A1703" s="2" t="s">
        <v>1027</v>
      </c>
      <c r="B1703" s="2" t="s">
        <v>2356</v>
      </c>
    </row>
    <row r="1704" spans="1:2" ht="15.75" customHeight="1" x14ac:dyDescent="0.25">
      <c r="A1704" s="2" t="s">
        <v>1330</v>
      </c>
      <c r="B1704" s="2" t="s">
        <v>2359</v>
      </c>
    </row>
    <row r="1705" spans="1:2" ht="15.75" customHeight="1" x14ac:dyDescent="0.25">
      <c r="A1705" s="2" t="s">
        <v>592</v>
      </c>
      <c r="B1705" s="2" t="s">
        <v>2357</v>
      </c>
    </row>
    <row r="1706" spans="1:2" ht="15.75" customHeight="1" x14ac:dyDescent="0.25">
      <c r="A1706" s="2" t="s">
        <v>1472</v>
      </c>
      <c r="B1706" s="2" t="s">
        <v>2357</v>
      </c>
    </row>
    <row r="1707" spans="1:2" ht="15.75" customHeight="1" x14ac:dyDescent="0.25">
      <c r="A1707" s="2" t="s">
        <v>1152</v>
      </c>
      <c r="B1707" s="2" t="s">
        <v>2357</v>
      </c>
    </row>
    <row r="1708" spans="1:2" ht="15.75" customHeight="1" x14ac:dyDescent="0.25">
      <c r="A1708" s="2" t="s">
        <v>367</v>
      </c>
      <c r="B1708" s="2" t="s">
        <v>2357</v>
      </c>
    </row>
    <row r="1709" spans="1:2" ht="15.75" customHeight="1" x14ac:dyDescent="0.25">
      <c r="A1709" s="2" t="s">
        <v>452</v>
      </c>
      <c r="B1709" s="2" t="s">
        <v>2357</v>
      </c>
    </row>
    <row r="1710" spans="1:2" ht="15.75" customHeight="1" x14ac:dyDescent="0.25">
      <c r="A1710" s="2" t="s">
        <v>1712</v>
      </c>
      <c r="B1710" s="2" t="s">
        <v>2357</v>
      </c>
    </row>
    <row r="1711" spans="1:2" ht="15.75" customHeight="1" x14ac:dyDescent="0.25">
      <c r="A1711" s="2" t="s">
        <v>738</v>
      </c>
      <c r="B1711" s="2" t="s">
        <v>2356</v>
      </c>
    </row>
    <row r="1712" spans="1:2" ht="15.75" customHeight="1" x14ac:dyDescent="0.25">
      <c r="A1712" s="2" t="s">
        <v>727</v>
      </c>
      <c r="B1712" s="2" t="s">
        <v>2357</v>
      </c>
    </row>
    <row r="1713" spans="1:2" ht="15.75" customHeight="1" x14ac:dyDescent="0.25">
      <c r="A1713" s="2" t="s">
        <v>482</v>
      </c>
      <c r="B1713" s="2" t="s">
        <v>2357</v>
      </c>
    </row>
    <row r="1714" spans="1:2" ht="15.75" customHeight="1" x14ac:dyDescent="0.25">
      <c r="A1714" s="2" t="s">
        <v>1749</v>
      </c>
      <c r="B1714" s="2" t="s">
        <v>2357</v>
      </c>
    </row>
    <row r="1715" spans="1:2" ht="15.75" customHeight="1" x14ac:dyDescent="0.25">
      <c r="A1715" s="2" t="s">
        <v>1591</v>
      </c>
      <c r="B1715" s="2" t="s">
        <v>2357</v>
      </c>
    </row>
    <row r="1716" spans="1:2" ht="15.75" customHeight="1" x14ac:dyDescent="0.25">
      <c r="A1716" s="2" t="s">
        <v>998</v>
      </c>
      <c r="B1716" s="2" t="s">
        <v>2357</v>
      </c>
    </row>
    <row r="1717" spans="1:2" ht="15.75" customHeight="1" x14ac:dyDescent="0.25">
      <c r="A1717" s="2" t="s">
        <v>193</v>
      </c>
      <c r="B1717" s="2" t="s">
        <v>2356</v>
      </c>
    </row>
    <row r="1718" spans="1:2" ht="15.75" customHeight="1" x14ac:dyDescent="0.25">
      <c r="A1718" s="2" t="s">
        <v>1676</v>
      </c>
      <c r="B1718" s="2" t="s">
        <v>2357</v>
      </c>
    </row>
    <row r="1719" spans="1:2" ht="15.75" customHeight="1" x14ac:dyDescent="0.25">
      <c r="A1719" s="2" t="s">
        <v>2138</v>
      </c>
      <c r="B1719" s="2" t="s">
        <v>2360</v>
      </c>
    </row>
    <row r="1720" spans="1:2" ht="15.75" customHeight="1" x14ac:dyDescent="0.25">
      <c r="A1720" s="2" t="s">
        <v>1622</v>
      </c>
      <c r="B1720" s="2" t="s">
        <v>2357</v>
      </c>
    </row>
    <row r="1721" spans="1:2" ht="15.75" customHeight="1" x14ac:dyDescent="0.25">
      <c r="A1721" s="2" t="s">
        <v>458</v>
      </c>
      <c r="B1721" s="2" t="s">
        <v>2357</v>
      </c>
    </row>
    <row r="1722" spans="1:2" ht="15.75" customHeight="1" x14ac:dyDescent="0.25">
      <c r="A1722" s="2" t="s">
        <v>1412</v>
      </c>
      <c r="B1722" s="2" t="s">
        <v>2357</v>
      </c>
    </row>
    <row r="1723" spans="1:2" ht="15.75" customHeight="1" x14ac:dyDescent="0.25">
      <c r="A1723" s="2" t="s">
        <v>1775</v>
      </c>
      <c r="B1723" s="2" t="s">
        <v>2357</v>
      </c>
    </row>
    <row r="1724" spans="1:2" ht="15.75" customHeight="1" x14ac:dyDescent="0.25">
      <c r="A1724" s="2" t="s">
        <v>343</v>
      </c>
      <c r="B1724" s="2" t="s">
        <v>2357</v>
      </c>
    </row>
    <row r="1725" spans="1:2" ht="15.75" customHeight="1" x14ac:dyDescent="0.25">
      <c r="A1725" s="2" t="s">
        <v>2024</v>
      </c>
      <c r="B1725" s="2" t="s">
        <v>2357</v>
      </c>
    </row>
    <row r="1726" spans="1:2" ht="15.75" customHeight="1" x14ac:dyDescent="0.25">
      <c r="A1726" s="2" t="s">
        <v>614</v>
      </c>
      <c r="B1726" s="2" t="s">
        <v>2357</v>
      </c>
    </row>
    <row r="1727" spans="1:2" ht="15.75" customHeight="1" x14ac:dyDescent="0.25">
      <c r="A1727" s="2" t="s">
        <v>239</v>
      </c>
      <c r="B1727" s="2" t="s">
        <v>2357</v>
      </c>
    </row>
    <row r="1728" spans="1:2" ht="15.75" customHeight="1" x14ac:dyDescent="0.25">
      <c r="A1728" s="2" t="s">
        <v>1889</v>
      </c>
      <c r="B1728" s="2" t="s">
        <v>2357</v>
      </c>
    </row>
    <row r="1729" spans="1:2" ht="15.75" customHeight="1" x14ac:dyDescent="0.25">
      <c r="A1729" s="2" t="s">
        <v>895</v>
      </c>
      <c r="B1729" s="2" t="s">
        <v>2359</v>
      </c>
    </row>
    <row r="1730" spans="1:2" ht="15.75" customHeight="1" x14ac:dyDescent="0.25">
      <c r="A1730" s="2" t="s">
        <v>1037</v>
      </c>
      <c r="B1730" s="2" t="s">
        <v>2357</v>
      </c>
    </row>
    <row r="1731" spans="1:2" ht="15.75" customHeight="1" x14ac:dyDescent="0.25">
      <c r="A1731" s="2" t="s">
        <v>99</v>
      </c>
      <c r="B1731" s="2" t="s">
        <v>2356</v>
      </c>
    </row>
    <row r="1732" spans="1:2" ht="15.75" customHeight="1" x14ac:dyDescent="0.25">
      <c r="A1732" s="2" t="s">
        <v>1235</v>
      </c>
      <c r="B1732" s="2" t="s">
        <v>2357</v>
      </c>
    </row>
    <row r="1733" spans="1:2" ht="15.75" customHeight="1" x14ac:dyDescent="0.25">
      <c r="A1733" s="2" t="s">
        <v>519</v>
      </c>
      <c r="B1733" s="2" t="s">
        <v>2357</v>
      </c>
    </row>
    <row r="1734" spans="1:2" ht="15.75" customHeight="1" x14ac:dyDescent="0.25">
      <c r="A1734" s="2" t="s">
        <v>1692</v>
      </c>
      <c r="B1734" s="2" t="s">
        <v>2357</v>
      </c>
    </row>
    <row r="1735" spans="1:2" ht="15.75" customHeight="1" x14ac:dyDescent="0.25">
      <c r="A1735" s="2" t="s">
        <v>1320</v>
      </c>
      <c r="B1735" s="2" t="s">
        <v>2357</v>
      </c>
    </row>
    <row r="1736" spans="1:2" ht="15.75" customHeight="1" x14ac:dyDescent="0.25">
      <c r="A1736" s="2" t="s">
        <v>1218</v>
      </c>
      <c r="B1736" s="2" t="s">
        <v>2357</v>
      </c>
    </row>
    <row r="1737" spans="1:2" ht="15.75" customHeight="1" x14ac:dyDescent="0.25">
      <c r="A1737" s="2" t="s">
        <v>2016</v>
      </c>
      <c r="B1737" s="2" t="s">
        <v>2357</v>
      </c>
    </row>
    <row r="1738" spans="1:2" ht="15.75" customHeight="1" x14ac:dyDescent="0.25">
      <c r="A1738" s="2" t="s">
        <v>1899</v>
      </c>
      <c r="B1738" s="2" t="s">
        <v>2357</v>
      </c>
    </row>
    <row r="1739" spans="1:2" ht="15.75" customHeight="1" x14ac:dyDescent="0.25">
      <c r="A1739" s="2" t="s">
        <v>1312</v>
      </c>
      <c r="B1739" s="2" t="s">
        <v>2356</v>
      </c>
    </row>
    <row r="1740" spans="1:2" ht="15.75" customHeight="1" x14ac:dyDescent="0.25">
      <c r="A1740" s="2" t="s">
        <v>423</v>
      </c>
      <c r="B1740" s="2" t="s">
        <v>2357</v>
      </c>
    </row>
    <row r="1741" spans="1:2" ht="15.75" customHeight="1" x14ac:dyDescent="0.25">
      <c r="A1741" s="2" t="s">
        <v>1834</v>
      </c>
      <c r="B1741" s="2" t="s">
        <v>2357</v>
      </c>
    </row>
    <row r="1742" spans="1:2" ht="15.75" customHeight="1" x14ac:dyDescent="0.25">
      <c r="A1742" s="2" t="s">
        <v>25</v>
      </c>
      <c r="B1742" s="2" t="s">
        <v>2357</v>
      </c>
    </row>
    <row r="1743" spans="1:2" ht="15.75" customHeight="1" x14ac:dyDescent="0.25">
      <c r="A1743" s="2" t="s">
        <v>2158</v>
      </c>
      <c r="B1743" s="2" t="s">
        <v>2360</v>
      </c>
    </row>
    <row r="1744" spans="1:2" ht="15.75" customHeight="1" x14ac:dyDescent="0.25">
      <c r="A1744" s="2" t="s">
        <v>2297</v>
      </c>
      <c r="B1744" s="2" t="s">
        <v>2360</v>
      </c>
    </row>
    <row r="1745" spans="1:2" ht="15.75" customHeight="1" x14ac:dyDescent="0.25">
      <c r="A1745" s="2" t="s">
        <v>1810</v>
      </c>
      <c r="B1745" s="2" t="s">
        <v>2357</v>
      </c>
    </row>
    <row r="1746" spans="1:2" ht="15.75" customHeight="1" x14ac:dyDescent="0.25">
      <c r="A1746" s="2" t="s">
        <v>2084</v>
      </c>
      <c r="B1746" s="2" t="s">
        <v>2357</v>
      </c>
    </row>
    <row r="1747" spans="1:2" ht="15.75" customHeight="1" x14ac:dyDescent="0.25">
      <c r="A1747" s="2" t="s">
        <v>1514</v>
      </c>
      <c r="B1747" s="2" t="s">
        <v>2357</v>
      </c>
    </row>
    <row r="1748" spans="1:2" ht="15.75" customHeight="1" x14ac:dyDescent="0.25">
      <c r="A1748" s="2" t="s">
        <v>1707</v>
      </c>
      <c r="B1748" s="2" t="s">
        <v>2357</v>
      </c>
    </row>
    <row r="1749" spans="1:2" ht="15.75" customHeight="1" x14ac:dyDescent="0.25">
      <c r="A1749" s="2" t="s">
        <v>2206</v>
      </c>
      <c r="B1749" s="2" t="s">
        <v>2358</v>
      </c>
    </row>
    <row r="1750" spans="1:2" ht="15.75" customHeight="1" x14ac:dyDescent="0.25">
      <c r="A1750" s="2" t="s">
        <v>1922</v>
      </c>
      <c r="B1750" s="2" t="s">
        <v>2359</v>
      </c>
    </row>
    <row r="1751" spans="1:2" ht="15.75" customHeight="1" x14ac:dyDescent="0.25">
      <c r="A1751" s="2" t="s">
        <v>1747</v>
      </c>
      <c r="B1751" s="2" t="s">
        <v>2356</v>
      </c>
    </row>
    <row r="1752" spans="1:2" ht="15.75" customHeight="1" x14ac:dyDescent="0.25">
      <c r="A1752" s="2" t="s">
        <v>308</v>
      </c>
      <c r="B1752" s="2" t="s">
        <v>2357</v>
      </c>
    </row>
    <row r="1753" spans="1:2" ht="15.75" customHeight="1" x14ac:dyDescent="0.25">
      <c r="A1753" s="2" t="s">
        <v>1477</v>
      </c>
      <c r="B1753" s="2" t="s">
        <v>2357</v>
      </c>
    </row>
    <row r="1754" spans="1:2" ht="15.75" customHeight="1" x14ac:dyDescent="0.25">
      <c r="A1754" s="2" t="s">
        <v>848</v>
      </c>
      <c r="B1754" s="2" t="s">
        <v>2356</v>
      </c>
    </row>
    <row r="1755" spans="1:2" ht="15.75" customHeight="1" x14ac:dyDescent="0.25">
      <c r="A1755" s="2" t="s">
        <v>1684</v>
      </c>
      <c r="B1755" s="2" t="s">
        <v>2356</v>
      </c>
    </row>
    <row r="1756" spans="1:2" ht="15.75" customHeight="1" x14ac:dyDescent="0.25">
      <c r="A1756" s="2" t="s">
        <v>1558</v>
      </c>
      <c r="B1756" s="2" t="s">
        <v>2357</v>
      </c>
    </row>
    <row r="1757" spans="1:2" ht="15.75" customHeight="1" x14ac:dyDescent="0.25">
      <c r="A1757" s="2" t="s">
        <v>1891</v>
      </c>
      <c r="B1757" s="2" t="s">
        <v>2357</v>
      </c>
    </row>
    <row r="1758" spans="1:2" ht="15.75" customHeight="1" x14ac:dyDescent="0.25">
      <c r="A1758" s="2" t="s">
        <v>1586</v>
      </c>
      <c r="B1758" s="2" t="s">
        <v>2357</v>
      </c>
    </row>
    <row r="1759" spans="1:2" ht="15.75" customHeight="1" x14ac:dyDescent="0.25">
      <c r="A1759" s="2" t="s">
        <v>937</v>
      </c>
      <c r="B1759" s="2" t="s">
        <v>2357</v>
      </c>
    </row>
    <row r="1760" spans="1:2" ht="15.75" customHeight="1" x14ac:dyDescent="0.25">
      <c r="A1760" s="2" t="s">
        <v>1469</v>
      </c>
      <c r="B1760" s="2" t="s">
        <v>2357</v>
      </c>
    </row>
    <row r="1761" spans="1:2" ht="15.75" customHeight="1" x14ac:dyDescent="0.25">
      <c r="A1761" s="2" t="s">
        <v>2223</v>
      </c>
      <c r="B1761" s="2" t="s">
        <v>2357</v>
      </c>
    </row>
    <row r="1762" spans="1:2" ht="15.75" customHeight="1" x14ac:dyDescent="0.25">
      <c r="A1762" s="2" t="s">
        <v>1190</v>
      </c>
      <c r="B1762" s="2" t="s">
        <v>2357</v>
      </c>
    </row>
    <row r="1763" spans="1:2" ht="15.75" customHeight="1" x14ac:dyDescent="0.25">
      <c r="A1763" s="2" t="s">
        <v>1104</v>
      </c>
      <c r="B1763" s="2" t="s">
        <v>2357</v>
      </c>
    </row>
    <row r="1764" spans="1:2" ht="15.75" customHeight="1" x14ac:dyDescent="0.25">
      <c r="A1764" s="2" t="s">
        <v>187</v>
      </c>
      <c r="B1764" s="2" t="s">
        <v>2356</v>
      </c>
    </row>
    <row r="1765" spans="1:2" ht="15.75" customHeight="1" x14ac:dyDescent="0.25">
      <c r="A1765" s="2" t="s">
        <v>910</v>
      </c>
      <c r="B1765" s="2" t="s">
        <v>2356</v>
      </c>
    </row>
    <row r="1766" spans="1:2" ht="15.75" customHeight="1" x14ac:dyDescent="0.25">
      <c r="A1766" s="2" t="s">
        <v>2054</v>
      </c>
      <c r="B1766" s="2" t="s">
        <v>2357</v>
      </c>
    </row>
    <row r="1767" spans="1:2" ht="15.75" customHeight="1" x14ac:dyDescent="0.25">
      <c r="A1767" s="2" t="s">
        <v>1836</v>
      </c>
      <c r="B1767" s="2" t="s">
        <v>2357</v>
      </c>
    </row>
    <row r="1768" spans="1:2" ht="15.75" customHeight="1" x14ac:dyDescent="0.25">
      <c r="A1768" s="2" t="s">
        <v>775</v>
      </c>
      <c r="B1768" s="2" t="s">
        <v>2357</v>
      </c>
    </row>
    <row r="1769" spans="1:2" ht="15.75" customHeight="1" x14ac:dyDescent="0.25">
      <c r="A1769" s="2" t="s">
        <v>640</v>
      </c>
      <c r="B1769" s="2" t="s">
        <v>2357</v>
      </c>
    </row>
    <row r="1770" spans="1:2" ht="15.75" customHeight="1" x14ac:dyDescent="0.25">
      <c r="A1770" s="2" t="s">
        <v>646</v>
      </c>
      <c r="B1770" s="2" t="s">
        <v>2357</v>
      </c>
    </row>
    <row r="1771" spans="1:2" ht="15.75" customHeight="1" x14ac:dyDescent="0.25">
      <c r="A1771" s="2" t="s">
        <v>325</v>
      </c>
      <c r="B1771" s="2" t="s">
        <v>2357</v>
      </c>
    </row>
    <row r="1772" spans="1:2" ht="15.75" customHeight="1" x14ac:dyDescent="0.25">
      <c r="A1772" s="2" t="s">
        <v>2108</v>
      </c>
      <c r="B1772" s="2" t="s">
        <v>2356</v>
      </c>
    </row>
    <row r="1773" spans="1:2" ht="15.75" customHeight="1" x14ac:dyDescent="0.25">
      <c r="A1773" s="2" t="s">
        <v>1447</v>
      </c>
      <c r="B1773" s="2" t="s">
        <v>2357</v>
      </c>
    </row>
    <row r="1774" spans="1:2" ht="15.75" customHeight="1" x14ac:dyDescent="0.25">
      <c r="A1774" s="2" t="s">
        <v>733</v>
      </c>
      <c r="B1774" s="2" t="s">
        <v>2357</v>
      </c>
    </row>
    <row r="1775" spans="1:2" ht="15.75" customHeight="1" x14ac:dyDescent="0.25">
      <c r="A1775" s="2" t="s">
        <v>1493</v>
      </c>
      <c r="B1775" s="2" t="s">
        <v>2356</v>
      </c>
    </row>
    <row r="1776" spans="1:2" ht="15.75" customHeight="1" x14ac:dyDescent="0.25">
      <c r="A1776" s="2" t="s">
        <v>539</v>
      </c>
      <c r="B1776" s="2" t="s">
        <v>2357</v>
      </c>
    </row>
    <row r="1777" spans="1:2" ht="15.75" customHeight="1" x14ac:dyDescent="0.25">
      <c r="A1777" s="2" t="s">
        <v>1402</v>
      </c>
      <c r="B1777" s="2" t="s">
        <v>2357</v>
      </c>
    </row>
    <row r="1778" spans="1:2" ht="15.75" customHeight="1" x14ac:dyDescent="0.25">
      <c r="A1778" s="2" t="s">
        <v>1773</v>
      </c>
      <c r="B1778" s="2" t="s">
        <v>2357</v>
      </c>
    </row>
    <row r="1779" spans="1:2" ht="15.75" customHeight="1" x14ac:dyDescent="0.25">
      <c r="A1779" s="2" t="s">
        <v>1131</v>
      </c>
      <c r="B1779" s="2" t="s">
        <v>2357</v>
      </c>
    </row>
    <row r="1780" spans="1:2" ht="15.75" customHeight="1" x14ac:dyDescent="0.25">
      <c r="A1780" s="2" t="s">
        <v>1650</v>
      </c>
      <c r="B1780" s="2" t="s">
        <v>2356</v>
      </c>
    </row>
    <row r="1781" spans="1:2" ht="15.75" customHeight="1" x14ac:dyDescent="0.25">
      <c r="A1781" s="2" t="s">
        <v>1776</v>
      </c>
      <c r="B1781" s="2" t="s">
        <v>2357</v>
      </c>
    </row>
    <row r="1782" spans="1:2" ht="15.75" customHeight="1" x14ac:dyDescent="0.25">
      <c r="A1782" s="2" t="s">
        <v>268</v>
      </c>
      <c r="B1782" s="2" t="s">
        <v>2357</v>
      </c>
    </row>
    <row r="1783" spans="1:2" ht="15.75" customHeight="1" x14ac:dyDescent="0.25">
      <c r="A1783" s="2" t="s">
        <v>1078</v>
      </c>
      <c r="B1783" s="2" t="s">
        <v>2357</v>
      </c>
    </row>
    <row r="1784" spans="1:2" ht="15.75" customHeight="1" x14ac:dyDescent="0.25">
      <c r="A1784" s="2" t="s">
        <v>2094</v>
      </c>
      <c r="B1784" s="2" t="s">
        <v>2357</v>
      </c>
    </row>
    <row r="1785" spans="1:2" ht="15.75" customHeight="1" x14ac:dyDescent="0.25">
      <c r="A1785" s="2" t="s">
        <v>1674</v>
      </c>
      <c r="B1785" s="2" t="s">
        <v>2357</v>
      </c>
    </row>
    <row r="1786" spans="1:2" ht="15.75" customHeight="1" x14ac:dyDescent="0.25">
      <c r="A1786" s="2" t="s">
        <v>2077</v>
      </c>
      <c r="B1786" s="2" t="s">
        <v>2357</v>
      </c>
    </row>
    <row r="1787" spans="1:2" ht="15.75" customHeight="1" x14ac:dyDescent="0.25">
      <c r="A1787" s="2" t="s">
        <v>1940</v>
      </c>
      <c r="B1787" s="2" t="s">
        <v>2357</v>
      </c>
    </row>
    <row r="1788" spans="1:2" ht="15.75" customHeight="1" x14ac:dyDescent="0.25">
      <c r="A1788" s="2" t="s">
        <v>1967</v>
      </c>
      <c r="B1788" s="2" t="s">
        <v>2357</v>
      </c>
    </row>
    <row r="1789" spans="1:2" ht="15.75" customHeight="1" x14ac:dyDescent="0.25">
      <c r="A1789" s="2" t="s">
        <v>1910</v>
      </c>
      <c r="B1789" s="2" t="s">
        <v>2359</v>
      </c>
    </row>
    <row r="1790" spans="1:2" ht="15.75" customHeight="1" x14ac:dyDescent="0.25">
      <c r="A1790" s="2" t="s">
        <v>1269</v>
      </c>
      <c r="B1790" s="2" t="s">
        <v>2357</v>
      </c>
    </row>
    <row r="1791" spans="1:2" ht="15.75" customHeight="1" x14ac:dyDescent="0.25">
      <c r="A1791" s="2" t="s">
        <v>1888</v>
      </c>
      <c r="B1791" s="2" t="s">
        <v>2357</v>
      </c>
    </row>
    <row r="1792" spans="1:2" ht="15.75" customHeight="1" x14ac:dyDescent="0.25">
      <c r="A1792" s="2" t="s">
        <v>2231</v>
      </c>
      <c r="B1792" s="2" t="s">
        <v>2360</v>
      </c>
    </row>
    <row r="1793" spans="1:2" ht="15.75" customHeight="1" x14ac:dyDescent="0.25">
      <c r="A1793" s="2" t="s">
        <v>1481</v>
      </c>
      <c r="B1793" s="2" t="s">
        <v>2356</v>
      </c>
    </row>
    <row r="1794" spans="1:2" ht="15.75" customHeight="1" x14ac:dyDescent="0.25">
      <c r="A1794" s="2" t="s">
        <v>1560</v>
      </c>
      <c r="B1794" s="2" t="s">
        <v>2357</v>
      </c>
    </row>
    <row r="1795" spans="1:2" ht="15.75" customHeight="1" x14ac:dyDescent="0.25">
      <c r="A1795" s="2" t="s">
        <v>1367</v>
      </c>
      <c r="B1795" s="2" t="s">
        <v>2357</v>
      </c>
    </row>
    <row r="1796" spans="1:2" ht="15.75" customHeight="1" x14ac:dyDescent="0.25">
      <c r="A1796" s="2" t="s">
        <v>1345</v>
      </c>
      <c r="B1796" s="2" t="s">
        <v>2357</v>
      </c>
    </row>
    <row r="1797" spans="1:2" ht="15.75" customHeight="1" x14ac:dyDescent="0.25">
      <c r="A1797" s="2" t="s">
        <v>185</v>
      </c>
      <c r="B1797" s="2" t="s">
        <v>2356</v>
      </c>
    </row>
    <row r="1798" spans="1:2" ht="15.75" customHeight="1" x14ac:dyDescent="0.25">
      <c r="A1798" s="2" t="s">
        <v>2348</v>
      </c>
      <c r="B1798" s="2" t="s">
        <v>2360</v>
      </c>
    </row>
    <row r="1799" spans="1:2" ht="15.75" customHeight="1" x14ac:dyDescent="0.25">
      <c r="A1799" s="2" t="s">
        <v>607</v>
      </c>
      <c r="B1799" s="2" t="s">
        <v>2357</v>
      </c>
    </row>
    <row r="1800" spans="1:2" ht="15.75" customHeight="1" x14ac:dyDescent="0.25">
      <c r="A1800" s="2" t="s">
        <v>1219</v>
      </c>
      <c r="B1800" s="2" t="s">
        <v>2356</v>
      </c>
    </row>
    <row r="1801" spans="1:2" ht="15.75" customHeight="1" x14ac:dyDescent="0.25">
      <c r="A1801" s="2" t="s">
        <v>1568</v>
      </c>
      <c r="B1801" s="2" t="s">
        <v>2357</v>
      </c>
    </row>
    <row r="1802" spans="1:2" ht="15.75" customHeight="1" x14ac:dyDescent="0.25">
      <c r="A1802" s="2" t="s">
        <v>1871</v>
      </c>
      <c r="B1802" s="2" t="s">
        <v>2356</v>
      </c>
    </row>
    <row r="1803" spans="1:2" ht="15.75" customHeight="1" x14ac:dyDescent="0.25">
      <c r="A1803" s="2" t="s">
        <v>2189</v>
      </c>
      <c r="B1803" s="2" t="s">
        <v>2357</v>
      </c>
    </row>
    <row r="1804" spans="1:2" ht="15.75" customHeight="1" x14ac:dyDescent="0.25">
      <c r="A1804" s="2" t="s">
        <v>943</v>
      </c>
      <c r="B1804" s="2" t="s">
        <v>2356</v>
      </c>
    </row>
    <row r="1805" spans="1:2" ht="15.75" customHeight="1" x14ac:dyDescent="0.25">
      <c r="A1805" s="2" t="s">
        <v>403</v>
      </c>
      <c r="B1805" s="2" t="s">
        <v>2359</v>
      </c>
    </row>
    <row r="1806" spans="1:2" ht="15.75" customHeight="1" x14ac:dyDescent="0.25">
      <c r="A1806" s="2" t="s">
        <v>992</v>
      </c>
      <c r="B1806" s="2" t="s">
        <v>2357</v>
      </c>
    </row>
    <row r="1807" spans="1:2" ht="15.75" customHeight="1" x14ac:dyDescent="0.25">
      <c r="A1807" s="2" t="s">
        <v>1401</v>
      </c>
      <c r="B1807" s="2" t="s">
        <v>2357</v>
      </c>
    </row>
    <row r="1808" spans="1:2" ht="15.75" customHeight="1" x14ac:dyDescent="0.25">
      <c r="A1808" s="2" t="s">
        <v>1758</v>
      </c>
      <c r="B1808" s="2" t="s">
        <v>2356</v>
      </c>
    </row>
    <row r="1809" spans="1:2" ht="15.75" customHeight="1" x14ac:dyDescent="0.25">
      <c r="A1809" s="2" t="s">
        <v>2092</v>
      </c>
      <c r="B1809" s="2" t="s">
        <v>2357</v>
      </c>
    </row>
    <row r="1810" spans="1:2" ht="15.75" customHeight="1" x14ac:dyDescent="0.25">
      <c r="A1810" s="2" t="s">
        <v>1936</v>
      </c>
      <c r="B1810" s="2" t="s">
        <v>2357</v>
      </c>
    </row>
    <row r="1811" spans="1:2" ht="15.75" customHeight="1" x14ac:dyDescent="0.25">
      <c r="A1811" s="2" t="s">
        <v>1156</v>
      </c>
      <c r="B1811" s="2" t="s">
        <v>2357</v>
      </c>
    </row>
    <row r="1812" spans="1:2" ht="15.75" customHeight="1" x14ac:dyDescent="0.25">
      <c r="A1812" s="2" t="s">
        <v>2156</v>
      </c>
      <c r="B1812" s="2" t="s">
        <v>2360</v>
      </c>
    </row>
    <row r="1813" spans="1:2" ht="15.75" customHeight="1" x14ac:dyDescent="0.25">
      <c r="A1813" s="2" t="s">
        <v>1639</v>
      </c>
      <c r="B1813" s="2" t="s">
        <v>2357</v>
      </c>
    </row>
    <row r="1814" spans="1:2" ht="15.75" customHeight="1" x14ac:dyDescent="0.25">
      <c r="A1814" s="2" t="s">
        <v>886</v>
      </c>
      <c r="B1814" s="2" t="s">
        <v>2359</v>
      </c>
    </row>
    <row r="1815" spans="1:2" ht="15.75" customHeight="1" x14ac:dyDescent="0.25">
      <c r="A1815" s="2" t="s">
        <v>2259</v>
      </c>
      <c r="B1815" s="2" t="s">
        <v>2360</v>
      </c>
    </row>
    <row r="1816" spans="1:2" ht="15.75" customHeight="1" x14ac:dyDescent="0.25">
      <c r="A1816" s="2" t="s">
        <v>778</v>
      </c>
      <c r="B1816" s="2" t="s">
        <v>2357</v>
      </c>
    </row>
    <row r="1817" spans="1:2" ht="15.75" customHeight="1" x14ac:dyDescent="0.25">
      <c r="A1817" s="2" t="s">
        <v>297</v>
      </c>
      <c r="B1817" s="2" t="s">
        <v>2357</v>
      </c>
    </row>
    <row r="1818" spans="1:2" ht="15.75" customHeight="1" x14ac:dyDescent="0.25">
      <c r="A1818" s="2" t="s">
        <v>1045</v>
      </c>
      <c r="B1818" s="2" t="s">
        <v>2357</v>
      </c>
    </row>
    <row r="1819" spans="1:2" ht="15.75" customHeight="1" x14ac:dyDescent="0.25">
      <c r="A1819" s="2" t="s">
        <v>1451</v>
      </c>
      <c r="B1819" s="2" t="s">
        <v>2357</v>
      </c>
    </row>
    <row r="1820" spans="1:2" ht="15.75" customHeight="1" x14ac:dyDescent="0.25">
      <c r="A1820" s="2" t="s">
        <v>1287</v>
      </c>
      <c r="B1820" s="2" t="s">
        <v>2357</v>
      </c>
    </row>
    <row r="1821" spans="1:2" ht="15.75" customHeight="1" x14ac:dyDescent="0.25">
      <c r="A1821" s="2" t="s">
        <v>2267</v>
      </c>
      <c r="B1821" s="2" t="s">
        <v>2357</v>
      </c>
    </row>
    <row r="1822" spans="1:2" ht="15.75" customHeight="1" x14ac:dyDescent="0.25">
      <c r="A1822" s="2" t="s">
        <v>966</v>
      </c>
      <c r="B1822" s="2" t="s">
        <v>2357</v>
      </c>
    </row>
    <row r="1823" spans="1:2" ht="15.75" customHeight="1" x14ac:dyDescent="0.25">
      <c r="A1823" s="2" t="s">
        <v>490</v>
      </c>
      <c r="B1823" s="2" t="s">
        <v>2357</v>
      </c>
    </row>
    <row r="1824" spans="1:2" ht="15.75" customHeight="1" x14ac:dyDescent="0.25">
      <c r="A1824" s="2" t="s">
        <v>1161</v>
      </c>
      <c r="B1824" s="2" t="s">
        <v>2357</v>
      </c>
    </row>
    <row r="1825" spans="1:2" ht="15.75" customHeight="1" x14ac:dyDescent="0.25">
      <c r="A1825" s="2" t="s">
        <v>1907</v>
      </c>
      <c r="B1825" s="2" t="s">
        <v>2357</v>
      </c>
    </row>
    <row r="1826" spans="1:2" ht="15.75" customHeight="1" x14ac:dyDescent="0.25">
      <c r="A1826" s="2" t="s">
        <v>1982</v>
      </c>
      <c r="B1826" s="2" t="s">
        <v>2357</v>
      </c>
    </row>
    <row r="1827" spans="1:2" ht="15.75" customHeight="1" x14ac:dyDescent="0.25">
      <c r="A1827" s="2" t="s">
        <v>1520</v>
      </c>
      <c r="B1827" s="2" t="s">
        <v>2357</v>
      </c>
    </row>
    <row r="1828" spans="1:2" ht="15.75" customHeight="1" x14ac:dyDescent="0.25">
      <c r="A1828" s="2" t="s">
        <v>685</v>
      </c>
      <c r="B1828" s="2" t="s">
        <v>2357</v>
      </c>
    </row>
    <row r="1829" spans="1:2" ht="15.75" customHeight="1" x14ac:dyDescent="0.25">
      <c r="A1829" s="2" t="s">
        <v>2197</v>
      </c>
      <c r="B1829" s="2" t="s">
        <v>2357</v>
      </c>
    </row>
    <row r="1830" spans="1:2" ht="15.75" customHeight="1" x14ac:dyDescent="0.25">
      <c r="A1830" s="2" t="s">
        <v>1249</v>
      </c>
      <c r="B1830" s="2" t="s">
        <v>2357</v>
      </c>
    </row>
    <row r="1831" spans="1:2" ht="15.75" customHeight="1" x14ac:dyDescent="0.25">
      <c r="A1831" s="2" t="s">
        <v>1597</v>
      </c>
      <c r="B1831" s="2" t="s">
        <v>2357</v>
      </c>
    </row>
    <row r="1832" spans="1:2" ht="15.75" customHeight="1" x14ac:dyDescent="0.25">
      <c r="A1832" s="2" t="s">
        <v>847</v>
      </c>
      <c r="B1832" s="2" t="s">
        <v>2357</v>
      </c>
    </row>
    <row r="1833" spans="1:2" ht="15.75" customHeight="1" x14ac:dyDescent="0.25">
      <c r="A1833" s="2" t="s">
        <v>1164</v>
      </c>
      <c r="B1833" s="2" t="s">
        <v>2357</v>
      </c>
    </row>
    <row r="1834" spans="1:2" ht="15.75" customHeight="1" x14ac:dyDescent="0.25">
      <c r="A1834" s="2" t="s">
        <v>310</v>
      </c>
      <c r="B1834" s="2" t="s">
        <v>2357</v>
      </c>
    </row>
    <row r="1835" spans="1:2" ht="15.75" customHeight="1" x14ac:dyDescent="0.25">
      <c r="A1835" s="2" t="s">
        <v>1377</v>
      </c>
      <c r="B1835" s="2" t="s">
        <v>2357</v>
      </c>
    </row>
    <row r="1836" spans="1:2" ht="15.75" customHeight="1" x14ac:dyDescent="0.25">
      <c r="A1836" s="2" t="s">
        <v>526</v>
      </c>
      <c r="B1836" s="2" t="s">
        <v>2357</v>
      </c>
    </row>
    <row r="1837" spans="1:2" ht="15.75" customHeight="1" x14ac:dyDescent="0.25">
      <c r="A1837" s="2" t="s">
        <v>1972</v>
      </c>
      <c r="B1837" s="2" t="s">
        <v>2357</v>
      </c>
    </row>
    <row r="1838" spans="1:2" ht="15.75" customHeight="1" x14ac:dyDescent="0.25">
      <c r="A1838" s="2" t="s">
        <v>2078</v>
      </c>
      <c r="B1838" s="2" t="s">
        <v>2359</v>
      </c>
    </row>
    <row r="1839" spans="1:2" ht="15.75" customHeight="1" x14ac:dyDescent="0.25">
      <c r="A1839" s="2" t="s">
        <v>1805</v>
      </c>
      <c r="B1839" s="2" t="s">
        <v>2357</v>
      </c>
    </row>
    <row r="1840" spans="1:2" ht="15.75" customHeight="1" x14ac:dyDescent="0.25">
      <c r="A1840" s="2" t="s">
        <v>1693</v>
      </c>
      <c r="B1840" s="2" t="s">
        <v>2357</v>
      </c>
    </row>
    <row r="1841" spans="1:2" ht="15.75" customHeight="1" x14ac:dyDescent="0.25">
      <c r="A1841" s="2" t="s">
        <v>1901</v>
      </c>
      <c r="B1841" s="2" t="s">
        <v>2357</v>
      </c>
    </row>
    <row r="1842" spans="1:2" ht="15.75" customHeight="1" x14ac:dyDescent="0.25">
      <c r="A1842" s="2" t="s">
        <v>1379</v>
      </c>
      <c r="B1842" s="2" t="s">
        <v>2357</v>
      </c>
    </row>
    <row r="1843" spans="1:2" ht="15.75" customHeight="1" x14ac:dyDescent="0.25">
      <c r="A1843" s="2" t="s">
        <v>2287</v>
      </c>
      <c r="B1843" s="2" t="s">
        <v>2360</v>
      </c>
    </row>
    <row r="1844" spans="1:2" ht="15.75" customHeight="1" x14ac:dyDescent="0.25">
      <c r="A1844" s="2" t="s">
        <v>1414</v>
      </c>
      <c r="B1844" s="2" t="s">
        <v>2357</v>
      </c>
    </row>
    <row r="1845" spans="1:2" ht="15.75" customHeight="1" x14ac:dyDescent="0.25">
      <c r="A1845" s="2" t="s">
        <v>339</v>
      </c>
      <c r="B1845" s="2" t="s">
        <v>2357</v>
      </c>
    </row>
    <row r="1846" spans="1:2" ht="15.75" customHeight="1" x14ac:dyDescent="0.25">
      <c r="A1846" s="2" t="s">
        <v>1930</v>
      </c>
      <c r="B1846" s="2" t="s">
        <v>2356</v>
      </c>
    </row>
    <row r="1847" spans="1:2" ht="15.75" customHeight="1" x14ac:dyDescent="0.25">
      <c r="A1847" s="2" t="s">
        <v>2309</v>
      </c>
      <c r="B1847" s="2" t="s">
        <v>2357</v>
      </c>
    </row>
    <row r="1848" spans="1:2" ht="15.75" customHeight="1" x14ac:dyDescent="0.25">
      <c r="A1848" s="2" t="s">
        <v>1511</v>
      </c>
      <c r="B1848" s="2" t="s">
        <v>2357</v>
      </c>
    </row>
    <row r="1849" spans="1:2" ht="15.75" customHeight="1" x14ac:dyDescent="0.25">
      <c r="A1849" s="2" t="s">
        <v>981</v>
      </c>
      <c r="B1849" s="2" t="s">
        <v>2359</v>
      </c>
    </row>
    <row r="1850" spans="1:2" ht="15.75" customHeight="1" x14ac:dyDescent="0.25">
      <c r="A1850" s="2" t="s">
        <v>1378</v>
      </c>
      <c r="B1850" s="2" t="s">
        <v>2357</v>
      </c>
    </row>
    <row r="1851" spans="1:2" ht="15.75" customHeight="1" x14ac:dyDescent="0.25">
      <c r="A1851" s="2" t="s">
        <v>1013</v>
      </c>
      <c r="B1851" s="2" t="s">
        <v>2356</v>
      </c>
    </row>
    <row r="1852" spans="1:2" ht="15.75" customHeight="1" x14ac:dyDescent="0.25">
      <c r="A1852" s="2" t="s">
        <v>583</v>
      </c>
      <c r="B1852" s="2" t="s">
        <v>2356</v>
      </c>
    </row>
    <row r="1853" spans="1:2" ht="15.75" customHeight="1" x14ac:dyDescent="0.25">
      <c r="A1853" s="2" t="s">
        <v>1918</v>
      </c>
      <c r="B1853" s="2" t="s">
        <v>2357</v>
      </c>
    </row>
    <row r="1854" spans="1:2" ht="15.75" customHeight="1" x14ac:dyDescent="0.25">
      <c r="A1854" s="2" t="s">
        <v>498</v>
      </c>
      <c r="B1854" s="2" t="s">
        <v>2357</v>
      </c>
    </row>
    <row r="1855" spans="1:2" ht="15.75" customHeight="1" x14ac:dyDescent="0.25">
      <c r="A1855" s="2" t="s">
        <v>921</v>
      </c>
      <c r="B1855" s="2" t="s">
        <v>2356</v>
      </c>
    </row>
    <row r="1856" spans="1:2" ht="15.75" customHeight="1" x14ac:dyDescent="0.25">
      <c r="A1856" s="2" t="s">
        <v>18</v>
      </c>
      <c r="B1856" s="2" t="s">
        <v>2357</v>
      </c>
    </row>
    <row r="1857" spans="1:2" ht="15.75" customHeight="1" x14ac:dyDescent="0.25">
      <c r="A1857" s="2" t="s">
        <v>2032</v>
      </c>
      <c r="B1857" s="2" t="s">
        <v>2357</v>
      </c>
    </row>
    <row r="1858" spans="1:2" ht="15.75" customHeight="1" x14ac:dyDescent="0.25">
      <c r="A1858" s="2" t="s">
        <v>707</v>
      </c>
      <c r="B1858" s="2" t="s">
        <v>2357</v>
      </c>
    </row>
    <row r="1859" spans="1:2" ht="15.75" customHeight="1" x14ac:dyDescent="0.25">
      <c r="A1859" s="2" t="s">
        <v>2118</v>
      </c>
      <c r="B1859" s="2" t="s">
        <v>2360</v>
      </c>
    </row>
    <row r="1860" spans="1:2" ht="15.75" customHeight="1" x14ac:dyDescent="0.25">
      <c r="A1860" s="2" t="s">
        <v>1584</v>
      </c>
      <c r="B1860" s="2" t="s">
        <v>2357</v>
      </c>
    </row>
    <row r="1861" spans="1:2" ht="15.75" customHeight="1" x14ac:dyDescent="0.25">
      <c r="A1861" s="2" t="s">
        <v>2065</v>
      </c>
      <c r="B1861" s="2" t="s">
        <v>2357</v>
      </c>
    </row>
    <row r="1862" spans="1:2" ht="15.75" customHeight="1" x14ac:dyDescent="0.25">
      <c r="A1862" s="2" t="s">
        <v>1790</v>
      </c>
      <c r="B1862" s="2" t="s">
        <v>2357</v>
      </c>
    </row>
    <row r="1863" spans="1:2" ht="15.75" customHeight="1" x14ac:dyDescent="0.25">
      <c r="A1863" s="2" t="s">
        <v>1638</v>
      </c>
      <c r="B1863" s="2" t="s">
        <v>2357</v>
      </c>
    </row>
    <row r="1864" spans="1:2" ht="15.75" customHeight="1" x14ac:dyDescent="0.25">
      <c r="A1864" s="2" t="s">
        <v>2001</v>
      </c>
      <c r="B1864" s="2" t="s">
        <v>2357</v>
      </c>
    </row>
    <row r="1865" spans="1:2" ht="15.75" customHeight="1" x14ac:dyDescent="0.25">
      <c r="A1865" s="2" t="s">
        <v>1897</v>
      </c>
      <c r="B1865" s="2" t="s">
        <v>2357</v>
      </c>
    </row>
    <row r="1866" spans="1:2" ht="15.75" customHeight="1" x14ac:dyDescent="0.25">
      <c r="A1866" s="2" t="s">
        <v>1767</v>
      </c>
      <c r="B1866" s="2" t="s">
        <v>2357</v>
      </c>
    </row>
    <row r="1867" spans="1:2" ht="15.75" customHeight="1" x14ac:dyDescent="0.25">
      <c r="A1867" s="2" t="s">
        <v>1779</v>
      </c>
      <c r="B1867" s="2" t="s">
        <v>2357</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Detail</vt:lpstr>
      <vt:lpstr>Data</vt:lpstr>
      <vt:lpstr>Pivot</vt:lpstr>
      <vt:lpstr>Status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Dodi Saputra</dc:creator>
  <cp:lastModifiedBy>Dodi Saputra</cp:lastModifiedBy>
  <cp:lastPrinted>2025-12-21T20:48:14Z</cp:lastPrinted>
  <dcterms:created xsi:type="dcterms:W3CDTF">2025-12-15T16:03:17Z</dcterms:created>
  <dcterms:modified xsi:type="dcterms:W3CDTF">2026-04-02T12:49:40Z</dcterms:modified>
</cp:coreProperties>
</file>